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Resultados/4/"/>
    </mc:Choice>
  </mc:AlternateContent>
  <xr:revisionPtr revIDLastSave="0" documentId="13_ncr:1_{FC4E2474-8DF6-4680-AFB7-1A8101EC0014}" xr6:coauthVersionLast="47" xr6:coauthVersionMax="47" xr10:uidLastSave="{00000000-0000-0000-0000-000000000000}"/>
  <bookViews>
    <workbookView xWindow="-96" yWindow="0" windowWidth="11712" windowHeight="12336" tabRatio="780" firstSheet="8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10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101" sheetId="93" r:id="rId36"/>
    <sheet name="DetValiRetri202610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D40" i="91"/>
  <c r="E39" i="91"/>
  <c r="E38" i="91"/>
  <c r="E37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AG63" i="90"/>
  <c r="AG62" i="90"/>
  <c r="AG61" i="90"/>
  <c r="AG60" i="90"/>
  <c r="L30" i="90"/>
  <c r="J30" i="90"/>
  <c r="L29" i="90"/>
  <c r="L28" i="90"/>
  <c r="J28" i="90"/>
  <c r="L27" i="90"/>
  <c r="L26" i="90"/>
  <c r="O45" i="88"/>
  <c r="N45" i="88"/>
  <c r="M45" i="88"/>
  <c r="F45" i="88"/>
  <c r="D35" i="88"/>
  <c r="E34" i="88"/>
  <c r="E33" i="88"/>
  <c r="E32" i="88"/>
  <c r="E31" i="88"/>
  <c r="E30" i="88"/>
  <c r="E36" i="88" s="1"/>
  <c r="K27" i="88"/>
  <c r="H27" i="88"/>
  <c r="N22" i="88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I129" i="86"/>
  <c r="I128" i="86"/>
  <c r="I127" i="86"/>
  <c r="I126" i="86"/>
  <c r="I125" i="86"/>
  <c r="L108" i="86"/>
  <c r="J108" i="86"/>
  <c r="L107" i="86"/>
  <c r="J107" i="86"/>
  <c r="L106" i="86"/>
  <c r="J106" i="86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/>
  <c r="AA70" i="86"/>
  <c r="Z70" i="86"/>
  <c r="Y70" i="86"/>
  <c r="X70" i="86"/>
  <c r="W70" i="86"/>
  <c r="V70" i="86"/>
  <c r="U70" i="86"/>
  <c r="AF70" i="86" s="1"/>
  <c r="N70" i="86"/>
  <c r="AB70" i="86" s="1"/>
  <c r="I70" i="86"/>
  <c r="H70" i="86"/>
  <c r="G70" i="86"/>
  <c r="F70" i="86"/>
  <c r="E70" i="86"/>
  <c r="D70" i="86"/>
  <c r="AE69" i="86"/>
  <c r="AD69" i="86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 s="1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AA71" i="86" s="1"/>
  <c r="Z66" i="86"/>
  <c r="Z71" i="86" s="1"/>
  <c r="Y66" i="86"/>
  <c r="Y71" i="86" s="1"/>
  <c r="X66" i="86"/>
  <c r="X71" i="86" s="1"/>
  <c r="W66" i="86"/>
  <c r="W71" i="86" s="1"/>
  <c r="V66" i="86"/>
  <c r="V71" i="86" s="1"/>
  <c r="U66" i="86"/>
  <c r="N66" i="86"/>
  <c r="I66" i="86"/>
  <c r="I71" i="86" s="1"/>
  <c r="H66" i="86"/>
  <c r="H71" i="86" s="1"/>
  <c r="G66" i="86"/>
  <c r="G71" i="86" s="1"/>
  <c r="F66" i="86"/>
  <c r="F71" i="86" s="1"/>
  <c r="E66" i="86"/>
  <c r="E71" i="86" s="1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AF51" i="86" s="1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AF50" i="86" s="1"/>
  <c r="N50" i="86"/>
  <c r="AB50" i="86" s="1"/>
  <c r="I50" i="86"/>
  <c r="H50" i="86"/>
  <c r="G50" i="86"/>
  <c r="F50" i="86"/>
  <c r="E50" i="86"/>
  <c r="D50" i="86"/>
  <c r="AE49" i="86"/>
  <c r="AD49" i="86" s="1"/>
  <c r="AA49" i="86"/>
  <c r="Z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Z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 s="1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E108" i="86" s="1"/>
  <c r="AD13" i="86"/>
  <c r="AC13" i="86"/>
  <c r="AC108" i="86" s="1"/>
  <c r="AA13" i="86"/>
  <c r="AA108" i="86" s="1"/>
  <c r="Z13" i="86"/>
  <c r="Z108" i="86" s="1"/>
  <c r="Y13" i="86"/>
  <c r="Y108" i="86" s="1"/>
  <c r="X13" i="86"/>
  <c r="X108" i="86" s="1"/>
  <c r="W13" i="86"/>
  <c r="W108" i="86" s="1"/>
  <c r="V13" i="86"/>
  <c r="V108" i="86" s="1"/>
  <c r="U13" i="86"/>
  <c r="N13" i="86"/>
  <c r="I13" i="86"/>
  <c r="I108" i="86" s="1"/>
  <c r="H13" i="86"/>
  <c r="H108" i="86" s="1"/>
  <c r="G13" i="86"/>
  <c r="G108" i="86" s="1"/>
  <c r="F13" i="86"/>
  <c r="F108" i="86" s="1"/>
  <c r="E13" i="86"/>
  <c r="E108" i="86" s="1"/>
  <c r="D13" i="86"/>
  <c r="AE12" i="86"/>
  <c r="AE107" i="86" s="1"/>
  <c r="AD12" i="86"/>
  <c r="AC12" i="86"/>
  <c r="AC107" i="86" s="1"/>
  <c r="AA12" i="86"/>
  <c r="AA107" i="86" s="1"/>
  <c r="Z12" i="86"/>
  <c r="Z107" i="86" s="1"/>
  <c r="Y12" i="86"/>
  <c r="Y107" i="86" s="1"/>
  <c r="X12" i="86"/>
  <c r="X107" i="86" s="1"/>
  <c r="W12" i="86"/>
  <c r="W107" i="86" s="1"/>
  <c r="V12" i="86"/>
  <c r="V107" i="86" s="1"/>
  <c r="U12" i="86"/>
  <c r="N12" i="86"/>
  <c r="I12" i="86"/>
  <c r="I107" i="86" s="1"/>
  <c r="H12" i="86"/>
  <c r="H107" i="86" s="1"/>
  <c r="G12" i="86"/>
  <c r="G107" i="86" s="1"/>
  <c r="F12" i="86"/>
  <c r="F107" i="86" s="1"/>
  <c r="E12" i="86"/>
  <c r="E107" i="86" s="1"/>
  <c r="D12" i="86"/>
  <c r="AE11" i="86"/>
  <c r="AE106" i="86" s="1"/>
  <c r="AD11" i="86"/>
  <c r="AC11" i="86"/>
  <c r="AC106" i="86" s="1"/>
  <c r="AA11" i="86"/>
  <c r="AA106" i="86" s="1"/>
  <c r="Z11" i="86"/>
  <c r="Z106" i="86" s="1"/>
  <c r="Y11" i="86"/>
  <c r="Y106" i="86" s="1"/>
  <c r="X11" i="86"/>
  <c r="X106" i="86" s="1"/>
  <c r="W11" i="86"/>
  <c r="W106" i="86" s="1"/>
  <c r="V11" i="86"/>
  <c r="V106" i="86" s="1"/>
  <c r="U11" i="86"/>
  <c r="N11" i="86"/>
  <c r="I11" i="86"/>
  <c r="I106" i="86" s="1"/>
  <c r="H11" i="86"/>
  <c r="H106" i="86" s="1"/>
  <c r="G11" i="86"/>
  <c r="G106" i="86" s="1"/>
  <c r="F11" i="86"/>
  <c r="F106" i="86" s="1"/>
  <c r="E11" i="86"/>
  <c r="E106" i="86" s="1"/>
  <c r="D11" i="86"/>
  <c r="AE10" i="86"/>
  <c r="AC10" i="86"/>
  <c r="AC105" i="86" s="1"/>
  <c r="AA10" i="86"/>
  <c r="AA105" i="86" s="1"/>
  <c r="Z10" i="86"/>
  <c r="Z105" i="86" s="1"/>
  <c r="Y10" i="86"/>
  <c r="Y105" i="86" s="1"/>
  <c r="X10" i="86"/>
  <c r="X105" i="86" s="1"/>
  <c r="W10" i="86"/>
  <c r="W105" i="86" s="1"/>
  <c r="V10" i="86"/>
  <c r="V105" i="86" s="1"/>
  <c r="U10" i="86"/>
  <c r="N10" i="86"/>
  <c r="I10" i="86"/>
  <c r="I105" i="86" s="1"/>
  <c r="H10" i="86"/>
  <c r="H105" i="86" s="1"/>
  <c r="G10" i="86"/>
  <c r="G105" i="86" s="1"/>
  <c r="F10" i="86"/>
  <c r="F105" i="86" s="1"/>
  <c r="E10" i="86"/>
  <c r="E105" i="86" s="1"/>
  <c r="D10" i="86"/>
  <c r="AE9" i="86"/>
  <c r="AD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L129" i="85"/>
  <c r="K129" i="85"/>
  <c r="I129" i="85"/>
  <c r="D129" i="85"/>
  <c r="L128" i="85"/>
  <c r="K128" i="85"/>
  <c r="I128" i="85"/>
  <c r="D128" i="85"/>
  <c r="L127" i="85"/>
  <c r="K127" i="85"/>
  <c r="I127" i="85"/>
  <c r="D127" i="85"/>
  <c r="L126" i="85"/>
  <c r="K126" i="85"/>
  <c r="I126" i="85"/>
  <c r="D126" i="85"/>
  <c r="L125" i="85"/>
  <c r="K125" i="85"/>
  <c r="I125" i="85"/>
  <c r="D125" i="85"/>
  <c r="L108" i="85"/>
  <c r="J108" i="85"/>
  <c r="L107" i="85"/>
  <c r="J107" i="85"/>
  <c r="L106" i="85"/>
  <c r="J106" i="85"/>
  <c r="L105" i="85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AE70" i="85"/>
  <c r="AD70" i="85" s="1"/>
  <c r="AC70" i="85"/>
  <c r="AA70" i="85"/>
  <c r="Z70" i="85"/>
  <c r="Y70" i="85"/>
  <c r="X70" i="85"/>
  <c r="W70" i="85"/>
  <c r="V70" i="85"/>
  <c r="U70" i="85"/>
  <c r="N70" i="85"/>
  <c r="AB70" i="85" s="1"/>
  <c r="I70" i="85"/>
  <c r="H70" i="85"/>
  <c r="G70" i="85"/>
  <c r="F70" i="85"/>
  <c r="E70" i="85"/>
  <c r="D70" i="85"/>
  <c r="AE69" i="85"/>
  <c r="AD69" i="85" s="1"/>
  <c r="AC69" i="85"/>
  <c r="AA69" i="85"/>
  <c r="Z69" i="85"/>
  <c r="Y69" i="85"/>
  <c r="X69" i="85"/>
  <c r="W69" i="85"/>
  <c r="V69" i="85"/>
  <c r="U69" i="85"/>
  <c r="N69" i="85"/>
  <c r="AB69" i="85" s="1"/>
  <c r="I69" i="85"/>
  <c r="H69" i="85"/>
  <c r="G69" i="85"/>
  <c r="F69" i="85"/>
  <c r="E69" i="85"/>
  <c r="D69" i="85"/>
  <c r="AE68" i="85"/>
  <c r="AD68" i="85"/>
  <c r="AC68" i="85"/>
  <c r="AA68" i="85"/>
  <c r="Z68" i="85"/>
  <c r="Y68" i="85"/>
  <c r="X68" i="85"/>
  <c r="W68" i="85"/>
  <c r="V68" i="85"/>
  <c r="U68" i="85"/>
  <c r="N68" i="85"/>
  <c r="AB68" i="85" s="1"/>
  <c r="I68" i="85"/>
  <c r="H68" i="85"/>
  <c r="G68" i="85"/>
  <c r="F68" i="85"/>
  <c r="E68" i="85"/>
  <c r="D68" i="85"/>
  <c r="AE67" i="85"/>
  <c r="AD67" i="85" s="1"/>
  <c r="AC67" i="85"/>
  <c r="AA67" i="85"/>
  <c r="Z67" i="85"/>
  <c r="Y67" i="85"/>
  <c r="X67" i="85"/>
  <c r="W67" i="85"/>
  <c r="V67" i="85"/>
  <c r="U67" i="85"/>
  <c r="N67" i="85"/>
  <c r="AB67" i="85" s="1"/>
  <c r="I67" i="85"/>
  <c r="H67" i="85"/>
  <c r="G67" i="85"/>
  <c r="F67" i="85"/>
  <c r="E67" i="85"/>
  <c r="D67" i="85"/>
  <c r="AE66" i="85"/>
  <c r="AC66" i="85"/>
  <c r="AC71" i="85" s="1"/>
  <c r="AA66" i="85"/>
  <c r="AA71" i="85" s="1"/>
  <c r="Z66" i="85"/>
  <c r="Z71" i="85" s="1"/>
  <c r="Y66" i="85"/>
  <c r="Y71" i="85" s="1"/>
  <c r="X66" i="85"/>
  <c r="X71" i="85" s="1"/>
  <c r="W66" i="85"/>
  <c r="W71" i="85" s="1"/>
  <c r="V66" i="85"/>
  <c r="V71" i="85" s="1"/>
  <c r="U66" i="85"/>
  <c r="N66" i="85"/>
  <c r="I66" i="85"/>
  <c r="I71" i="85" s="1"/>
  <c r="H66" i="85"/>
  <c r="H71" i="85" s="1"/>
  <c r="G66" i="85"/>
  <c r="G71" i="85" s="1"/>
  <c r="F66" i="85"/>
  <c r="F71" i="85" s="1"/>
  <c r="E66" i="85"/>
  <c r="E71" i="85" s="1"/>
  <c r="D66" i="85"/>
  <c r="X64" i="85"/>
  <c r="U64" i="85"/>
  <c r="L52" i="85"/>
  <c r="J52" i="85"/>
  <c r="AE51" i="85"/>
  <c r="AD51" i="85" s="1"/>
  <c r="AC51" i="85"/>
  <c r="AA51" i="85"/>
  <c r="Z51" i="85"/>
  <c r="Y51" i="85"/>
  <c r="X51" i="85"/>
  <c r="W51" i="85"/>
  <c r="V51" i="85"/>
  <c r="U51" i="85"/>
  <c r="N51" i="85"/>
  <c r="AB51" i="85" s="1"/>
  <c r="I51" i="85"/>
  <c r="H51" i="85"/>
  <c r="G51" i="85"/>
  <c r="F51" i="85"/>
  <c r="E51" i="85"/>
  <c r="D51" i="85"/>
  <c r="Z50" i="85"/>
  <c r="Z49" i="85"/>
  <c r="AE48" i="85"/>
  <c r="AD48" i="85"/>
  <c r="AC48" i="85"/>
  <c r="AA48" i="85"/>
  <c r="Z48" i="85"/>
  <c r="Y48" i="85"/>
  <c r="X48" i="85"/>
  <c r="W48" i="85"/>
  <c r="V48" i="85"/>
  <c r="U48" i="85"/>
  <c r="N48" i="85"/>
  <c r="AB48" i="85" s="1"/>
  <c r="I48" i="85"/>
  <c r="H48" i="85"/>
  <c r="G48" i="85"/>
  <c r="F48" i="85"/>
  <c r="E48" i="85"/>
  <c r="D48" i="85"/>
  <c r="AE47" i="85"/>
  <c r="AE52" i="85" s="1"/>
  <c r="AD47" i="85"/>
  <c r="AD52" i="85" s="1"/>
  <c r="AC47" i="85"/>
  <c r="AC52" i="85" s="1"/>
  <c r="AA47" i="85"/>
  <c r="AA52" i="85" s="1"/>
  <c r="Z47" i="85"/>
  <c r="Z52" i="85" s="1"/>
  <c r="Y47" i="85"/>
  <c r="Y52" i="85" s="1"/>
  <c r="X47" i="85"/>
  <c r="X52" i="85" s="1"/>
  <c r="W47" i="85"/>
  <c r="W52" i="85" s="1"/>
  <c r="V47" i="85"/>
  <c r="V52" i="85" s="1"/>
  <c r="U47" i="85"/>
  <c r="N47" i="85"/>
  <c r="I47" i="85"/>
  <c r="I52" i="85" s="1"/>
  <c r="H47" i="85"/>
  <c r="H52" i="85" s="1"/>
  <c r="G47" i="85"/>
  <c r="G52" i="85" s="1"/>
  <c r="F47" i="85"/>
  <c r="F52" i="85" s="1"/>
  <c r="E47" i="85"/>
  <c r="E52" i="85" s="1"/>
  <c r="D47" i="85"/>
  <c r="X45" i="85"/>
  <c r="U45" i="85"/>
  <c r="L33" i="85"/>
  <c r="J33" i="85"/>
  <c r="AE32" i="85"/>
  <c r="AD32" i="85" s="1"/>
  <c r="AC32" i="85"/>
  <c r="AA32" i="85"/>
  <c r="Z32" i="85"/>
  <c r="Y32" i="85"/>
  <c r="X32" i="85"/>
  <c r="W32" i="85"/>
  <c r="V32" i="85"/>
  <c r="U32" i="85"/>
  <c r="N32" i="85"/>
  <c r="AB32" i="85" s="1"/>
  <c r="I32" i="85"/>
  <c r="H32" i="85"/>
  <c r="G32" i="85"/>
  <c r="F32" i="85"/>
  <c r="E32" i="85"/>
  <c r="D32" i="85"/>
  <c r="AE31" i="85"/>
  <c r="AD31" i="85" s="1"/>
  <c r="AC31" i="85"/>
  <c r="AA31" i="85"/>
  <c r="Z31" i="85"/>
  <c r="Y31" i="85"/>
  <c r="X31" i="85"/>
  <c r="W31" i="85"/>
  <c r="V31" i="85"/>
  <c r="U31" i="85"/>
  <c r="N31" i="85"/>
  <c r="AB31" i="85" s="1"/>
  <c r="I31" i="85"/>
  <c r="H31" i="85"/>
  <c r="G31" i="85"/>
  <c r="F31" i="85"/>
  <c r="E31" i="85"/>
  <c r="D31" i="85"/>
  <c r="AE30" i="85"/>
  <c r="AD30" i="85"/>
  <c r="AC30" i="85"/>
  <c r="AA30" i="85"/>
  <c r="Z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D30" i="85"/>
  <c r="AE29" i="85"/>
  <c r="AD29" i="85" s="1"/>
  <c r="AC29" i="85"/>
  <c r="AA29" i="85"/>
  <c r="Z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D29" i="85"/>
  <c r="AE28" i="85"/>
  <c r="AC28" i="85"/>
  <c r="AC33" i="85" s="1"/>
  <c r="AA28" i="85"/>
  <c r="AA33" i="85" s="1"/>
  <c r="Z28" i="85"/>
  <c r="Z33" i="85" s="1"/>
  <c r="Y28" i="85"/>
  <c r="Y33" i="85" s="1"/>
  <c r="X28" i="85"/>
  <c r="X33" i="85" s="1"/>
  <c r="W28" i="85"/>
  <c r="W33" i="85" s="1"/>
  <c r="V28" i="85"/>
  <c r="V33" i="85" s="1"/>
  <c r="U28" i="85"/>
  <c r="N28" i="85"/>
  <c r="I28" i="85"/>
  <c r="I33" i="85" s="1"/>
  <c r="H28" i="85"/>
  <c r="H33" i="85" s="1"/>
  <c r="G28" i="85"/>
  <c r="G33" i="85" s="1"/>
  <c r="F28" i="85"/>
  <c r="F33" i="85" s="1"/>
  <c r="E28" i="85"/>
  <c r="E33" i="85" s="1"/>
  <c r="D28" i="85"/>
  <c r="X26" i="85"/>
  <c r="U26" i="85"/>
  <c r="L14" i="85"/>
  <c r="J14" i="85"/>
  <c r="AE13" i="85"/>
  <c r="AC13" i="85"/>
  <c r="AC108" i="85" s="1"/>
  <c r="AA13" i="85"/>
  <c r="AA108" i="85" s="1"/>
  <c r="Z13" i="85"/>
  <c r="Z108" i="85" s="1"/>
  <c r="Y13" i="85"/>
  <c r="Y108" i="85" s="1"/>
  <c r="X13" i="85"/>
  <c r="X108" i="85" s="1"/>
  <c r="W13" i="85"/>
  <c r="W108" i="85" s="1"/>
  <c r="V13" i="85"/>
  <c r="V108" i="85" s="1"/>
  <c r="U13" i="85"/>
  <c r="N13" i="85"/>
  <c r="I13" i="85"/>
  <c r="I108" i="85" s="1"/>
  <c r="H13" i="85"/>
  <c r="H108" i="85" s="1"/>
  <c r="G13" i="85"/>
  <c r="G108" i="85" s="1"/>
  <c r="F13" i="85"/>
  <c r="F108" i="85" s="1"/>
  <c r="E13" i="85"/>
  <c r="E108" i="85" s="1"/>
  <c r="D13" i="85"/>
  <c r="AE12" i="85"/>
  <c r="AC12" i="85"/>
  <c r="AC107" i="85" s="1"/>
  <c r="AA12" i="85"/>
  <c r="AA107" i="85" s="1"/>
  <c r="Z12" i="85"/>
  <c r="Z107" i="85" s="1"/>
  <c r="Y12" i="85"/>
  <c r="Y107" i="85" s="1"/>
  <c r="X12" i="85"/>
  <c r="X107" i="85" s="1"/>
  <c r="W12" i="85"/>
  <c r="W107" i="85" s="1"/>
  <c r="V12" i="85"/>
  <c r="V107" i="85" s="1"/>
  <c r="U12" i="85"/>
  <c r="N12" i="85"/>
  <c r="I12" i="85"/>
  <c r="I107" i="85" s="1"/>
  <c r="H12" i="85"/>
  <c r="H107" i="85" s="1"/>
  <c r="G12" i="85"/>
  <c r="G107" i="85" s="1"/>
  <c r="F12" i="85"/>
  <c r="F107" i="85" s="1"/>
  <c r="E12" i="85"/>
  <c r="E107" i="85" s="1"/>
  <c r="D12" i="85"/>
  <c r="Z11" i="85"/>
  <c r="Z106" i="85" s="1"/>
  <c r="AE10" i="85"/>
  <c r="AC10" i="85"/>
  <c r="AC105" i="85" s="1"/>
  <c r="AA10" i="85"/>
  <c r="AA105" i="85" s="1"/>
  <c r="Z10" i="85"/>
  <c r="Z105" i="85" s="1"/>
  <c r="Y10" i="85"/>
  <c r="Y105" i="85" s="1"/>
  <c r="X10" i="85"/>
  <c r="X105" i="85" s="1"/>
  <c r="W10" i="85"/>
  <c r="W105" i="85" s="1"/>
  <c r="V10" i="85"/>
  <c r="V105" i="85" s="1"/>
  <c r="U10" i="85"/>
  <c r="N10" i="85"/>
  <c r="I10" i="85"/>
  <c r="I105" i="85" s="1"/>
  <c r="H10" i="85"/>
  <c r="H105" i="85" s="1"/>
  <c r="G10" i="85"/>
  <c r="G105" i="85" s="1"/>
  <c r="F10" i="85"/>
  <c r="F105" i="85" s="1"/>
  <c r="E10" i="85"/>
  <c r="E105" i="85" s="1"/>
  <c r="D10" i="85"/>
  <c r="AE9" i="85"/>
  <c r="AD9" i="85"/>
  <c r="AC9" i="85"/>
  <c r="AA9" i="85"/>
  <c r="Z9" i="85"/>
  <c r="Y9" i="85"/>
  <c r="X9" i="85"/>
  <c r="W9" i="85"/>
  <c r="V9" i="85"/>
  <c r="U9" i="85"/>
  <c r="N9" i="85"/>
  <c r="I9" i="85"/>
  <c r="H9" i="85"/>
  <c r="G9" i="85"/>
  <c r="F9" i="85"/>
  <c r="E9" i="85"/>
  <c r="D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L129" i="97"/>
  <c r="K129" i="97"/>
  <c r="D129" i="97"/>
  <c r="L128" i="97"/>
  <c r="K128" i="97"/>
  <c r="I128" i="97"/>
  <c r="D128" i="97"/>
  <c r="L127" i="97"/>
  <c r="K127" i="97"/>
  <c r="D127" i="97"/>
  <c r="L126" i="97"/>
  <c r="K126" i="97"/>
  <c r="I126" i="97"/>
  <c r="D126" i="97"/>
  <c r="L125" i="97"/>
  <c r="K125" i="97"/>
  <c r="D125" i="97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Z89" i="97"/>
  <c r="J89" i="97"/>
  <c r="J108" i="97" s="1"/>
  <c r="AD88" i="97"/>
  <c r="AB88" i="97"/>
  <c r="Z88" i="97"/>
  <c r="AF88" i="97" s="1"/>
  <c r="K88" i="97"/>
  <c r="M88" i="97" s="1"/>
  <c r="O88" i="97" s="1"/>
  <c r="Z87" i="97"/>
  <c r="J87" i="97"/>
  <c r="AD86" i="97"/>
  <c r="AB86" i="97"/>
  <c r="Z86" i="97"/>
  <c r="AF86" i="97" s="1"/>
  <c r="K86" i="97"/>
  <c r="M86" i="97" s="1"/>
  <c r="O86" i="97" s="1"/>
  <c r="Z85" i="97"/>
  <c r="J85" i="97"/>
  <c r="X83" i="97"/>
  <c r="U83" i="97"/>
  <c r="L71" i="97"/>
  <c r="J71" i="97"/>
  <c r="AE70" i="97"/>
  <c r="AD70" i="97"/>
  <c r="AC70" i="97"/>
  <c r="AA70" i="97"/>
  <c r="Z70" i="97"/>
  <c r="Y70" i="97"/>
  <c r="X70" i="97"/>
  <c r="W70" i="97"/>
  <c r="V70" i="97"/>
  <c r="U70" i="97"/>
  <c r="N70" i="97"/>
  <c r="AB70" i="97" s="1"/>
  <c r="K70" i="97"/>
  <c r="M70" i="97" s="1"/>
  <c r="O70" i="97" s="1"/>
  <c r="I70" i="97"/>
  <c r="H70" i="97"/>
  <c r="G70" i="97"/>
  <c r="F70" i="97"/>
  <c r="E70" i="97"/>
  <c r="D70" i="97"/>
  <c r="AE69" i="97"/>
  <c r="AD69" i="97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AE67" i="97"/>
  <c r="AD67" i="97"/>
  <c r="AC67" i="97"/>
  <c r="AA67" i="97"/>
  <c r="Z67" i="97"/>
  <c r="Y67" i="97"/>
  <c r="X67" i="97"/>
  <c r="W67" i="97"/>
  <c r="V67" i="97"/>
  <c r="U67" i="97"/>
  <c r="N67" i="97"/>
  <c r="AB67" i="97" s="1"/>
  <c r="I67" i="97"/>
  <c r="H67" i="97"/>
  <c r="G67" i="97"/>
  <c r="F67" i="97"/>
  <c r="E67" i="97"/>
  <c r="D67" i="97"/>
  <c r="AE66" i="97"/>
  <c r="AC66" i="97"/>
  <c r="AC71" i="97" s="1"/>
  <c r="AA66" i="97"/>
  <c r="AA71" i="97" s="1"/>
  <c r="Z66" i="97"/>
  <c r="Z71" i="97" s="1"/>
  <c r="Y66" i="97"/>
  <c r="Y71" i="97" s="1"/>
  <c r="X66" i="97"/>
  <c r="X71" i="97" s="1"/>
  <c r="W66" i="97"/>
  <c r="W71" i="97" s="1"/>
  <c r="V66" i="97"/>
  <c r="V71" i="97" s="1"/>
  <c r="U66" i="97"/>
  <c r="N66" i="97"/>
  <c r="K66" i="97"/>
  <c r="I66" i="97"/>
  <c r="I71" i="97" s="1"/>
  <c r="H66" i="97"/>
  <c r="H71" i="97" s="1"/>
  <c r="G66" i="97"/>
  <c r="G71" i="97" s="1"/>
  <c r="F66" i="97"/>
  <c r="F71" i="97" s="1"/>
  <c r="E66" i="97"/>
  <c r="E71" i="97" s="1"/>
  <c r="D66" i="97"/>
  <c r="X64" i="97"/>
  <c r="U64" i="97"/>
  <c r="L52" i="97"/>
  <c r="J52" i="97"/>
  <c r="AE51" i="97"/>
  <c r="AD51" i="97" s="1"/>
  <c r="AC51" i="97"/>
  <c r="AA51" i="97"/>
  <c r="Z51" i="97"/>
  <c r="Y51" i="97"/>
  <c r="X51" i="97"/>
  <c r="W51" i="97"/>
  <c r="V51" i="97"/>
  <c r="U51" i="97"/>
  <c r="N51" i="97"/>
  <c r="AB51" i="97" s="1"/>
  <c r="I51" i="97"/>
  <c r="H51" i="97"/>
  <c r="G51" i="97"/>
  <c r="F51" i="97"/>
  <c r="E51" i="97"/>
  <c r="D51" i="97"/>
  <c r="AE50" i="97"/>
  <c r="AD50" i="97" s="1"/>
  <c r="AC50" i="97"/>
  <c r="AA50" i="97"/>
  <c r="Z50" i="97"/>
  <c r="Y50" i="97"/>
  <c r="X50" i="97"/>
  <c r="W50" i="97"/>
  <c r="V50" i="97"/>
  <c r="U50" i="97"/>
  <c r="N50" i="97"/>
  <c r="AB50" i="97" s="1"/>
  <c r="I50" i="97"/>
  <c r="H50" i="97"/>
  <c r="G50" i="97"/>
  <c r="F50" i="97"/>
  <c r="E50" i="97"/>
  <c r="D50" i="97"/>
  <c r="AE49" i="97"/>
  <c r="AD49" i="97" s="1"/>
  <c r="AC49" i="97"/>
  <c r="AA49" i="97"/>
  <c r="Z49" i="97"/>
  <c r="Y49" i="97"/>
  <c r="X49" i="97"/>
  <c r="W49" i="97"/>
  <c r="V49" i="97"/>
  <c r="U49" i="97"/>
  <c r="N49" i="97"/>
  <c r="AB49" i="97" s="1"/>
  <c r="I49" i="97"/>
  <c r="H49" i="97"/>
  <c r="G49" i="97"/>
  <c r="F49" i="97"/>
  <c r="E49" i="97"/>
  <c r="D49" i="97"/>
  <c r="AE48" i="97"/>
  <c r="AD48" i="97" s="1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AE47" i="97"/>
  <c r="AE52" i="97" s="1"/>
  <c r="AD47" i="97"/>
  <c r="AD52" i="97" s="1"/>
  <c r="AC47" i="97"/>
  <c r="AC52" i="97" s="1"/>
  <c r="AA47" i="97"/>
  <c r="AA52" i="97" s="1"/>
  <c r="Z47" i="97"/>
  <c r="Z52" i="97" s="1"/>
  <c r="Y47" i="97"/>
  <c r="Y52" i="97" s="1"/>
  <c r="X47" i="97"/>
  <c r="X52" i="97" s="1"/>
  <c r="W47" i="97"/>
  <c r="W52" i="97" s="1"/>
  <c r="V47" i="97"/>
  <c r="V52" i="97" s="1"/>
  <c r="U47" i="97"/>
  <c r="N47" i="97"/>
  <c r="I47" i="97"/>
  <c r="I52" i="97" s="1"/>
  <c r="H47" i="97"/>
  <c r="H52" i="97" s="1"/>
  <c r="G47" i="97"/>
  <c r="G52" i="97" s="1"/>
  <c r="F47" i="97"/>
  <c r="F52" i="97" s="1"/>
  <c r="E47" i="97"/>
  <c r="E52" i="97" s="1"/>
  <c r="D47" i="97"/>
  <c r="X45" i="97"/>
  <c r="U45" i="97"/>
  <c r="L33" i="97"/>
  <c r="J33" i="97"/>
  <c r="AE32" i="97"/>
  <c r="AD32" i="97" s="1"/>
  <c r="AC32" i="97"/>
  <c r="AA32" i="97"/>
  <c r="Z32" i="97"/>
  <c r="Y32" i="97"/>
  <c r="X32" i="97"/>
  <c r="W32" i="97"/>
  <c r="V32" i="97"/>
  <c r="U32" i="97"/>
  <c r="N32" i="97"/>
  <c r="AB32" i="97" s="1"/>
  <c r="I32" i="97"/>
  <c r="H32" i="97"/>
  <c r="G32" i="97"/>
  <c r="F32" i="97"/>
  <c r="E32" i="97"/>
  <c r="D32" i="97"/>
  <c r="AE31" i="97"/>
  <c r="AD31" i="97" s="1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 s="1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 s="1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E28" i="97"/>
  <c r="AC28" i="97"/>
  <c r="AC33" i="97" s="1"/>
  <c r="AA28" i="97"/>
  <c r="AA33" i="97" s="1"/>
  <c r="Z28" i="97"/>
  <c r="Z33" i="97" s="1"/>
  <c r="Y28" i="97"/>
  <c r="Y33" i="97" s="1"/>
  <c r="X28" i="97"/>
  <c r="X33" i="97" s="1"/>
  <c r="W28" i="97"/>
  <c r="W33" i="97" s="1"/>
  <c r="V28" i="97"/>
  <c r="V33" i="97" s="1"/>
  <c r="U28" i="97"/>
  <c r="N28" i="97"/>
  <c r="I28" i="97"/>
  <c r="I33" i="97" s="1"/>
  <c r="H28" i="97"/>
  <c r="H33" i="97" s="1"/>
  <c r="G28" i="97"/>
  <c r="G33" i="97" s="1"/>
  <c r="F28" i="97"/>
  <c r="F33" i="97" s="1"/>
  <c r="E28" i="97"/>
  <c r="E33" i="97" s="1"/>
  <c r="D28" i="97"/>
  <c r="X26" i="97"/>
  <c r="U26" i="97"/>
  <c r="L14" i="97"/>
  <c r="J14" i="97"/>
  <c r="AE13" i="97"/>
  <c r="AD13" i="97"/>
  <c r="AC13" i="97"/>
  <c r="AC108" i="97" s="1"/>
  <c r="AA13" i="97"/>
  <c r="Z13" i="97"/>
  <c r="Z108" i="97" s="1"/>
  <c r="Y13" i="97"/>
  <c r="X13" i="97"/>
  <c r="W13" i="97"/>
  <c r="V13" i="97"/>
  <c r="U13" i="97"/>
  <c r="N13" i="97"/>
  <c r="I13" i="97"/>
  <c r="H13" i="97"/>
  <c r="G13" i="97"/>
  <c r="F13" i="97"/>
  <c r="E13" i="97"/>
  <c r="D13" i="97"/>
  <c r="AE12" i="97"/>
  <c r="AE107" i="97" s="1"/>
  <c r="AD12" i="97"/>
  <c r="AC12" i="97"/>
  <c r="AC107" i="97" s="1"/>
  <c r="AA12" i="97"/>
  <c r="AA107" i="97" s="1"/>
  <c r="Z12" i="97"/>
  <c r="Z107" i="97" s="1"/>
  <c r="Y12" i="97"/>
  <c r="Y107" i="97" s="1"/>
  <c r="X12" i="97"/>
  <c r="X107" i="97" s="1"/>
  <c r="W12" i="97"/>
  <c r="W107" i="97" s="1"/>
  <c r="V12" i="97"/>
  <c r="V107" i="97" s="1"/>
  <c r="U12" i="97"/>
  <c r="N12" i="97"/>
  <c r="I12" i="97"/>
  <c r="I107" i="97" s="1"/>
  <c r="H12" i="97"/>
  <c r="H107" i="97" s="1"/>
  <c r="G12" i="97"/>
  <c r="G107" i="97" s="1"/>
  <c r="F12" i="97"/>
  <c r="F107" i="97" s="1"/>
  <c r="E12" i="97"/>
  <c r="E107" i="97" s="1"/>
  <c r="D12" i="97"/>
  <c r="AE11" i="97"/>
  <c r="AC11" i="97"/>
  <c r="AC106" i="97" s="1"/>
  <c r="AA11" i="97"/>
  <c r="Z11" i="97"/>
  <c r="Z106" i="97" s="1"/>
  <c r="Y11" i="97"/>
  <c r="Y106" i="97" s="1"/>
  <c r="X11" i="97"/>
  <c r="X106" i="97" s="1"/>
  <c r="W11" i="97"/>
  <c r="W106" i="97" s="1"/>
  <c r="V11" i="97"/>
  <c r="V106" i="97" s="1"/>
  <c r="U11" i="97"/>
  <c r="N11" i="97"/>
  <c r="I11" i="97"/>
  <c r="I106" i="97" s="1"/>
  <c r="H11" i="97"/>
  <c r="H106" i="97" s="1"/>
  <c r="G11" i="97"/>
  <c r="G106" i="97" s="1"/>
  <c r="F11" i="97"/>
  <c r="F106" i="97" s="1"/>
  <c r="E11" i="97"/>
  <c r="E106" i="97" s="1"/>
  <c r="D11" i="97"/>
  <c r="AE10" i="97"/>
  <c r="AC10" i="97"/>
  <c r="AC105" i="97" s="1"/>
  <c r="AA10" i="97"/>
  <c r="AA105" i="97" s="1"/>
  <c r="Z10" i="97"/>
  <c r="Z105" i="97" s="1"/>
  <c r="Y10" i="97"/>
  <c r="Y105" i="97" s="1"/>
  <c r="X10" i="97"/>
  <c r="X105" i="97" s="1"/>
  <c r="W10" i="97"/>
  <c r="W105" i="97" s="1"/>
  <c r="V10" i="97"/>
  <c r="V105" i="97" s="1"/>
  <c r="U10" i="97"/>
  <c r="N10" i="97"/>
  <c r="I10" i="97"/>
  <c r="I105" i="97" s="1"/>
  <c r="H10" i="97"/>
  <c r="H105" i="97" s="1"/>
  <c r="G10" i="97"/>
  <c r="G105" i="97" s="1"/>
  <c r="F10" i="97"/>
  <c r="F105" i="97" s="1"/>
  <c r="E10" i="97"/>
  <c r="E105" i="97" s="1"/>
  <c r="D10" i="97"/>
  <c r="AE9" i="97"/>
  <c r="AC9" i="97"/>
  <c r="AA9" i="97"/>
  <c r="Z9" i="97"/>
  <c r="Y9" i="97"/>
  <c r="X9" i="97"/>
  <c r="W9" i="97"/>
  <c r="V9" i="97"/>
  <c r="U9" i="97"/>
  <c r="N9" i="97"/>
  <c r="I9" i="97"/>
  <c r="H9" i="97"/>
  <c r="G9" i="97"/>
  <c r="F9" i="97"/>
  <c r="E9" i="97"/>
  <c r="D9" i="97"/>
  <c r="X7" i="97"/>
  <c r="U7" i="97"/>
  <c r="K7" i="97"/>
  <c r="G7" i="97"/>
  <c r="D7" i="97"/>
  <c r="D6" i="97"/>
  <c r="N3" i="97"/>
  <c r="O46" i="81"/>
  <c r="N46" i="81"/>
  <c r="M46" i="81"/>
  <c r="F46" i="81"/>
  <c r="E35" i="81"/>
  <c r="E34" i="81"/>
  <c r="I33" i="81"/>
  <c r="E33" i="81"/>
  <c r="E32" i="81"/>
  <c r="I31" i="81"/>
  <c r="E31" i="81"/>
  <c r="E30" i="81"/>
  <c r="K27" i="81"/>
  <c r="H27" i="81"/>
  <c r="N22" i="81"/>
  <c r="X7" i="81"/>
  <c r="U7" i="81"/>
  <c r="K7" i="81"/>
  <c r="Y7" i="81" s="1"/>
  <c r="G7" i="81"/>
  <c r="V7" i="81" s="1"/>
  <c r="D7" i="81"/>
  <c r="U6" i="81"/>
  <c r="F6" i="81"/>
  <c r="D6" i="81"/>
  <c r="N3" i="81"/>
  <c r="AD3" i="81" s="1"/>
  <c r="C14" i="80"/>
  <c r="N8" i="80"/>
  <c r="L8" i="80"/>
  <c r="C8" i="80"/>
  <c r="H8" i="80" s="1"/>
  <c r="O8" i="80" s="1"/>
  <c r="P8" i="80" s="1"/>
  <c r="L7" i="80"/>
  <c r="C7" i="80"/>
  <c r="L6" i="80"/>
  <c r="G6" i="80"/>
  <c r="C6" i="80"/>
  <c r="L5" i="80"/>
  <c r="L9" i="80" s="1"/>
  <c r="M21" i="36" s="1"/>
  <c r="C5" i="80"/>
  <c r="L4" i="80"/>
  <c r="C4" i="80"/>
  <c r="L3" i="80"/>
  <c r="C3" i="80"/>
  <c r="E146" i="79"/>
  <c r="H145" i="79"/>
  <c r="E145" i="79"/>
  <c r="E144" i="79"/>
  <c r="H143" i="79"/>
  <c r="G4" i="80" s="1"/>
  <c r="E143" i="79"/>
  <c r="E142" i="79"/>
  <c r="E147" i="79" s="1"/>
  <c r="E130" i="79"/>
  <c r="I128" i="79"/>
  <c r="I38" i="91" s="1"/>
  <c r="I126" i="79"/>
  <c r="I36" i="91" s="1"/>
  <c r="K122" i="79"/>
  <c r="G122" i="79"/>
  <c r="M117" i="79"/>
  <c r="AG107" i="79"/>
  <c r="X102" i="79"/>
  <c r="U102" i="79"/>
  <c r="K102" i="79"/>
  <c r="Y102" i="79" s="1"/>
  <c r="G102" i="79"/>
  <c r="V102" i="79" s="1"/>
  <c r="D102" i="79"/>
  <c r="D101" i="79"/>
  <c r="N98" i="79"/>
  <c r="AD98" i="79" s="1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K83" i="79"/>
  <c r="Y83" i="79" s="1"/>
  <c r="G83" i="79"/>
  <c r="V83" i="79" s="1"/>
  <c r="D83" i="79"/>
  <c r="D82" i="79"/>
  <c r="N79" i="79"/>
  <c r="AD79" i="79" s="1"/>
  <c r="L71" i="79"/>
  <c r="J71" i="79"/>
  <c r="Z70" i="79"/>
  <c r="Z69" i="79"/>
  <c r="Z68" i="79"/>
  <c r="Z67" i="79"/>
  <c r="Z66" i="79"/>
  <c r="Z71" i="79" s="1"/>
  <c r="X64" i="79"/>
  <c r="U64" i="79"/>
  <c r="K64" i="79"/>
  <c r="Y64" i="79" s="1"/>
  <c r="G64" i="79"/>
  <c r="V64" i="79" s="1"/>
  <c r="D64" i="79"/>
  <c r="D63" i="79"/>
  <c r="N60" i="79"/>
  <c r="AD60" i="79" s="1"/>
  <c r="L52" i="79"/>
  <c r="J52" i="79"/>
  <c r="Z51" i="79"/>
  <c r="Z50" i="79"/>
  <c r="Z52" i="79" s="1"/>
  <c r="Z49" i="79"/>
  <c r="Z48" i="79"/>
  <c r="Z47" i="79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47" i="75" s="1"/>
  <c r="E130" i="75"/>
  <c r="I129" i="75"/>
  <c r="I127" i="75"/>
  <c r="I125" i="75"/>
  <c r="L108" i="75"/>
  <c r="L13" i="76" s="1"/>
  <c r="J108" i="75"/>
  <c r="L107" i="75"/>
  <c r="L12" i="76" s="1"/>
  <c r="L106" i="75"/>
  <c r="L11" i="76" s="1"/>
  <c r="J106" i="75"/>
  <c r="L105" i="75"/>
  <c r="L10" i="76" s="1"/>
  <c r="L104" i="75"/>
  <c r="X102" i="75"/>
  <c r="U102" i="75"/>
  <c r="AC90" i="75"/>
  <c r="L90" i="75"/>
  <c r="AF89" i="75"/>
  <c r="K89" i="75"/>
  <c r="M89" i="75" s="1"/>
  <c r="O89" i="75" s="1"/>
  <c r="Z88" i="75"/>
  <c r="AD87" i="75"/>
  <c r="AF87" i="75" s="1"/>
  <c r="AG87" i="75" s="1"/>
  <c r="AH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E71" i="75" s="1"/>
  <c r="AD66" i="75"/>
  <c r="AD71" i="75" s="1"/>
  <c r="AC66" i="75"/>
  <c r="AC71" i="75" s="1"/>
  <c r="AA66" i="75"/>
  <c r="AA71" i="75" s="1"/>
  <c r="Z66" i="75"/>
  <c r="Z71" i="75" s="1"/>
  <c r="Y66" i="75"/>
  <c r="Y71" i="75" s="1"/>
  <c r="X66" i="75"/>
  <c r="X71" i="75" s="1"/>
  <c r="W66" i="75"/>
  <c r="W71" i="75" s="1"/>
  <c r="V66" i="75"/>
  <c r="V71" i="75" s="1"/>
  <c r="U66" i="75"/>
  <c r="N66" i="75"/>
  <c r="I66" i="75"/>
  <c r="I71" i="75" s="1"/>
  <c r="H66" i="75"/>
  <c r="H71" i="75" s="1"/>
  <c r="G66" i="75"/>
  <c r="G71" i="75" s="1"/>
  <c r="F66" i="75"/>
  <c r="F71" i="75" s="1"/>
  <c r="E66" i="75"/>
  <c r="E71" i="75" s="1"/>
  <c r="D66" i="75"/>
  <c r="X64" i="75"/>
  <c r="U64" i="75"/>
  <c r="L52" i="75"/>
  <c r="J52" i="75"/>
  <c r="AE51" i="75"/>
  <c r="AD51" i="75"/>
  <c r="AC51" i="75"/>
  <c r="AA51" i="75"/>
  <c r="Z51" i="75"/>
  <c r="Y51" i="75"/>
  <c r="X51" i="75"/>
  <c r="W51" i="75"/>
  <c r="V51" i="75"/>
  <c r="U51" i="75"/>
  <c r="N51" i="75"/>
  <c r="AB51" i="75" s="1"/>
  <c r="I51" i="75"/>
  <c r="H51" i="75"/>
  <c r="G51" i="75"/>
  <c r="F51" i="75"/>
  <c r="E51" i="75"/>
  <c r="D51" i="75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/>
  <c r="AC48" i="75"/>
  <c r="AA48" i="75"/>
  <c r="Z48" i="75"/>
  <c r="Y48" i="75"/>
  <c r="X48" i="75"/>
  <c r="W48" i="75"/>
  <c r="V48" i="75"/>
  <c r="U48" i="75"/>
  <c r="AF48" i="75" s="1"/>
  <c r="N48" i="75"/>
  <c r="AB48" i="75" s="1"/>
  <c r="I48" i="75"/>
  <c r="H48" i="75"/>
  <c r="G48" i="75"/>
  <c r="F48" i="75"/>
  <c r="E48" i="75"/>
  <c r="D48" i="75"/>
  <c r="AE47" i="75"/>
  <c r="AE52" i="75" s="1"/>
  <c r="AD47" i="75"/>
  <c r="AD52" i="75" s="1"/>
  <c r="AC47" i="75"/>
  <c r="AC52" i="75" s="1"/>
  <c r="AA47" i="75"/>
  <c r="AA52" i="75" s="1"/>
  <c r="Z47" i="75"/>
  <c r="Z52" i="75" s="1"/>
  <c r="Y47" i="75"/>
  <c r="Y52" i="75" s="1"/>
  <c r="X47" i="75"/>
  <c r="X52" i="75" s="1"/>
  <c r="W47" i="75"/>
  <c r="W52" i="75" s="1"/>
  <c r="V47" i="75"/>
  <c r="V52" i="75" s="1"/>
  <c r="U47" i="75"/>
  <c r="N47" i="75"/>
  <c r="I47" i="75"/>
  <c r="I52" i="75" s="1"/>
  <c r="H47" i="75"/>
  <c r="H52" i="75" s="1"/>
  <c r="G47" i="75"/>
  <c r="G52" i="75" s="1"/>
  <c r="F47" i="75"/>
  <c r="F52" i="75" s="1"/>
  <c r="E47" i="75"/>
  <c r="E52" i="75" s="1"/>
  <c r="D47" i="75"/>
  <c r="X45" i="75"/>
  <c r="U45" i="75"/>
  <c r="L33" i="75"/>
  <c r="J33" i="75"/>
  <c r="AE32" i="75"/>
  <c r="AD32" i="75" s="1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Z31" i="75"/>
  <c r="AE30" i="75"/>
  <c r="AD30" i="75" s="1"/>
  <c r="AC30" i="75"/>
  <c r="AA30" i="75"/>
  <c r="Z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D30" i="75"/>
  <c r="Z29" i="75"/>
  <c r="AE28" i="75"/>
  <c r="AC28" i="75"/>
  <c r="AC33" i="75" s="1"/>
  <c r="AA28" i="75"/>
  <c r="AA33" i="75" s="1"/>
  <c r="Z28" i="75"/>
  <c r="Z33" i="75" s="1"/>
  <c r="Y28" i="75"/>
  <c r="Y33" i="75" s="1"/>
  <c r="X28" i="75"/>
  <c r="X33" i="75" s="1"/>
  <c r="W28" i="75"/>
  <c r="W33" i="75" s="1"/>
  <c r="V28" i="75"/>
  <c r="V33" i="75" s="1"/>
  <c r="U28" i="75"/>
  <c r="N28" i="75"/>
  <c r="I28" i="75"/>
  <c r="I33" i="75" s="1"/>
  <c r="H28" i="75"/>
  <c r="H33" i="75" s="1"/>
  <c r="G28" i="75"/>
  <c r="G33" i="75" s="1"/>
  <c r="F28" i="75"/>
  <c r="F33" i="75" s="1"/>
  <c r="E28" i="75"/>
  <c r="E33" i="75" s="1"/>
  <c r="D28" i="75"/>
  <c r="X26" i="75"/>
  <c r="U26" i="75"/>
  <c r="L14" i="75"/>
  <c r="J14" i="75"/>
  <c r="AE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Z12" i="75"/>
  <c r="Z107" i="75" s="1"/>
  <c r="AE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AE10" i="75"/>
  <c r="AD10" i="75"/>
  <c r="AC10" i="75"/>
  <c r="AC105" i="75" s="1"/>
  <c r="AA10" i="75"/>
  <c r="Z10" i="75"/>
  <c r="Z105" i="75" s="1"/>
  <c r="Y10" i="75"/>
  <c r="X10" i="75"/>
  <c r="W10" i="75"/>
  <c r="V10" i="75"/>
  <c r="U10" i="75"/>
  <c r="N10" i="75"/>
  <c r="I10" i="75"/>
  <c r="H10" i="75"/>
  <c r="G10" i="75"/>
  <c r="F10" i="75"/>
  <c r="E10" i="75"/>
  <c r="D10" i="75"/>
  <c r="AE9" i="75"/>
  <c r="AD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5" i="39"/>
  <c r="E34" i="39"/>
  <c r="E33" i="39"/>
  <c r="E32" i="39"/>
  <c r="E31" i="39"/>
  <c r="E30" i="39"/>
  <c r="K27" i="39"/>
  <c r="H27" i="39"/>
  <c r="N22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E146" i="22"/>
  <c r="E145" i="22"/>
  <c r="E144" i="22"/>
  <c r="E143" i="22"/>
  <c r="E142" i="22"/>
  <c r="E147" i="22" s="1"/>
  <c r="E130" i="22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Z88" i="22"/>
  <c r="Z87" i="22"/>
  <c r="Z86" i="22"/>
  <c r="Z85" i="22"/>
  <c r="Z90" i="22" s="1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Z70" i="22"/>
  <c r="Z69" i="22"/>
  <c r="Z68" i="22"/>
  <c r="Z67" i="22"/>
  <c r="Z66" i="22"/>
  <c r="Z71" i="22" s="1"/>
  <c r="X64" i="22"/>
  <c r="U64" i="22"/>
  <c r="K64" i="22"/>
  <c r="Y64" i="22" s="1"/>
  <c r="G64" i="22"/>
  <c r="V64" i="22" s="1"/>
  <c r="D64" i="22"/>
  <c r="D63" i="22"/>
  <c r="AD60" i="22"/>
  <c r="N60" i="22"/>
  <c r="L52" i="22"/>
  <c r="J52" i="22"/>
  <c r="Z51" i="22"/>
  <c r="Z50" i="22"/>
  <c r="Z49" i="22"/>
  <c r="AE48" i="22"/>
  <c r="AD48" i="22" s="1"/>
  <c r="AC48" i="22"/>
  <c r="AA48" i="22"/>
  <c r="Z48" i="22"/>
  <c r="Y48" i="22"/>
  <c r="X48" i="22"/>
  <c r="W48" i="22"/>
  <c r="V48" i="22"/>
  <c r="U48" i="22"/>
  <c r="AF48" i="22" s="1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X47" i="22"/>
  <c r="W47" i="22"/>
  <c r="V47" i="22"/>
  <c r="U47" i="22"/>
  <c r="N47" i="22"/>
  <c r="I47" i="22"/>
  <c r="H47" i="22"/>
  <c r="G47" i="22"/>
  <c r="F47" i="22"/>
  <c r="E47" i="22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Z32" i="22"/>
  <c r="Z31" i="22"/>
  <c r="Z30" i="22"/>
  <c r="Z29" i="22"/>
  <c r="Z28" i="22"/>
  <c r="Z33" i="22" s="1"/>
  <c r="X26" i="22"/>
  <c r="U26" i="22"/>
  <c r="K26" i="22"/>
  <c r="Y26" i="22" s="1"/>
  <c r="G26" i="22"/>
  <c r="V26" i="22" s="1"/>
  <c r="D26" i="22"/>
  <c r="D25" i="22"/>
  <c r="N22" i="22"/>
  <c r="AD22" i="22" s="1"/>
  <c r="L13" i="22"/>
  <c r="L12" i="22"/>
  <c r="Y11" i="22"/>
  <c r="X11" i="22"/>
  <c r="W11" i="22"/>
  <c r="V11" i="22"/>
  <c r="U11" i="22"/>
  <c r="N11" i="22"/>
  <c r="L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I9" i="22"/>
  <c r="H9" i="22"/>
  <c r="G9" i="22"/>
  <c r="F9" i="22"/>
  <c r="E9" i="22"/>
  <c r="D9" i="22"/>
  <c r="Y7" i="22"/>
  <c r="X7" i="22"/>
  <c r="V7" i="22"/>
  <c r="U7" i="22"/>
  <c r="AD3" i="22"/>
  <c r="T13" i="89"/>
  <c r="S13" i="89"/>
  <c r="R13" i="89"/>
  <c r="Q13" i="89"/>
  <c r="P13" i="89"/>
  <c r="U13" i="89" s="1"/>
  <c r="I13" i="89"/>
  <c r="H13" i="89"/>
  <c r="G13" i="89"/>
  <c r="F13" i="89"/>
  <c r="E13" i="89"/>
  <c r="D13" i="89"/>
  <c r="J13" i="89" s="1"/>
  <c r="V13" i="89" s="1"/>
  <c r="W13" i="89" s="1"/>
  <c r="T12" i="89"/>
  <c r="T17" i="89" s="1"/>
  <c r="S12" i="89"/>
  <c r="S17" i="89" s="1"/>
  <c r="R12" i="89"/>
  <c r="R17" i="89" s="1"/>
  <c r="Q12" i="89"/>
  <c r="Q17" i="89" s="1"/>
  <c r="P12" i="89"/>
  <c r="I12" i="89"/>
  <c r="I17" i="89" s="1"/>
  <c r="H12" i="89"/>
  <c r="H17" i="89" s="1"/>
  <c r="G12" i="89"/>
  <c r="G17" i="89" s="1"/>
  <c r="F12" i="89"/>
  <c r="F17" i="89" s="1"/>
  <c r="E12" i="89"/>
  <c r="E17" i="89" s="1"/>
  <c r="D12" i="89"/>
  <c r="I10" i="89"/>
  <c r="F10" i="89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Z89" i="79" s="1"/>
  <c r="J51" i="69"/>
  <c r="Z50" i="69"/>
  <c r="J50" i="69"/>
  <c r="Z49" i="69"/>
  <c r="Z87" i="79" s="1"/>
  <c r="J49" i="69"/>
  <c r="Z48" i="69"/>
  <c r="J48" i="69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W12" i="69"/>
  <c r="W50" i="69" s="1"/>
  <c r="V12" i="69"/>
  <c r="V50" i="69" s="1"/>
  <c r="U12" i="69"/>
  <c r="N12" i="69"/>
  <c r="I12" i="69"/>
  <c r="I50" i="69" s="1"/>
  <c r="H12" i="69"/>
  <c r="H50" i="69" s="1"/>
  <c r="G12" i="69"/>
  <c r="G50" i="69" s="1"/>
  <c r="F12" i="69"/>
  <c r="F50" i="69" s="1"/>
  <c r="E12" i="69"/>
  <c r="E50" i="69" s="1"/>
  <c r="D12" i="69"/>
  <c r="AD11" i="69"/>
  <c r="AA11" i="69"/>
  <c r="AA49" i="69" s="1"/>
  <c r="Z11" i="69"/>
  <c r="Y11" i="69"/>
  <c r="Y49" i="69" s="1"/>
  <c r="X11" i="69"/>
  <c r="X49" i="69" s="1"/>
  <c r="W11" i="69"/>
  <c r="W49" i="69" s="1"/>
  <c r="V11" i="69"/>
  <c r="V49" i="69" s="1"/>
  <c r="U11" i="69"/>
  <c r="N11" i="69"/>
  <c r="I11" i="69"/>
  <c r="I49" i="69" s="1"/>
  <c r="H11" i="69"/>
  <c r="H49" i="69" s="1"/>
  <c r="G11" i="69"/>
  <c r="G49" i="69" s="1"/>
  <c r="F11" i="69"/>
  <c r="F49" i="69" s="1"/>
  <c r="E11" i="69"/>
  <c r="E49" i="69" s="1"/>
  <c r="D11" i="69"/>
  <c r="AD10" i="69"/>
  <c r="AA10" i="69"/>
  <c r="AA48" i="69" s="1"/>
  <c r="Z10" i="69"/>
  <c r="Y10" i="69"/>
  <c r="Y48" i="69" s="1"/>
  <c r="X10" i="69"/>
  <c r="X48" i="69" s="1"/>
  <c r="W10" i="69"/>
  <c r="W48" i="69" s="1"/>
  <c r="V10" i="69"/>
  <c r="V48" i="69" s="1"/>
  <c r="U10" i="69"/>
  <c r="N10" i="69"/>
  <c r="I10" i="69"/>
  <c r="I48" i="69" s="1"/>
  <c r="H10" i="69"/>
  <c r="H48" i="69" s="1"/>
  <c r="G10" i="69"/>
  <c r="G48" i="69" s="1"/>
  <c r="F10" i="69"/>
  <c r="F48" i="69" s="1"/>
  <c r="E10" i="69"/>
  <c r="E48" i="69" s="1"/>
  <c r="D10" i="69"/>
  <c r="AD9" i="69"/>
  <c r="AA9" i="69"/>
  <c r="Z9" i="69"/>
  <c r="Z14" i="69" s="1"/>
  <c r="Y9" i="69"/>
  <c r="X9" i="69"/>
  <c r="W9" i="69"/>
  <c r="V9" i="69"/>
  <c r="U9" i="69"/>
  <c r="N9" i="69"/>
  <c r="I9" i="69"/>
  <c r="H9" i="69"/>
  <c r="G9" i="69"/>
  <c r="F9" i="69"/>
  <c r="E9" i="69"/>
  <c r="D9" i="69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N10" i="67"/>
  <c r="Y28" i="69" s="1"/>
  <c r="M10" i="67"/>
  <c r="X28" i="69" s="1"/>
  <c r="L10" i="67"/>
  <c r="W28" i="69" s="1"/>
  <c r="K10" i="67"/>
  <c r="V28" i="69" s="1"/>
  <c r="J10" i="67"/>
  <c r="U28" i="69" s="1"/>
  <c r="I10" i="67"/>
  <c r="N28" i="69" s="1"/>
  <c r="H10" i="67"/>
  <c r="I28" i="69" s="1"/>
  <c r="G10" i="67"/>
  <c r="H28" i="69" s="1"/>
  <c r="F10" i="67"/>
  <c r="G28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N62" i="68"/>
  <c r="Y13" i="69" s="1"/>
  <c r="M62" i="68"/>
  <c r="X13" i="69" s="1"/>
  <c r="L62" i="68"/>
  <c r="W13" i="69" s="1"/>
  <c r="K62" i="68"/>
  <c r="V13" i="69" s="1"/>
  <c r="J62" i="68"/>
  <c r="U13" i="69" s="1"/>
  <c r="I62" i="68"/>
  <c r="N13" i="69" s="1"/>
  <c r="H62" i="68"/>
  <c r="I13" i="69" s="1"/>
  <c r="G62" i="68"/>
  <c r="H13" i="69" s="1"/>
  <c r="F62" i="68"/>
  <c r="G13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K49" i="68"/>
  <c r="J49" i="68"/>
  <c r="I49" i="68"/>
  <c r="H49" i="68"/>
  <c r="G49" i="68"/>
  <c r="F49" i="68"/>
  <c r="E49" i="68"/>
  <c r="D49" i="68"/>
  <c r="C49" i="68"/>
  <c r="C37" i="68"/>
  <c r="P36" i="68"/>
  <c r="O36" i="68"/>
  <c r="N36" i="68"/>
  <c r="M36" i="68"/>
  <c r="L36" i="68"/>
  <c r="K36" i="68"/>
  <c r="J36" i="68"/>
  <c r="I36" i="68"/>
  <c r="H36" i="68"/>
  <c r="G36" i="68"/>
  <c r="F36" i="68"/>
  <c r="E36" i="68"/>
  <c r="D36" i="68"/>
  <c r="C36" i="68"/>
  <c r="C24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C11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D386" i="61"/>
  <c r="R385" i="61"/>
  <c r="Q385" i="61"/>
  <c r="P385" i="61"/>
  <c r="O385" i="61"/>
  <c r="N385" i="61"/>
  <c r="M385" i="61"/>
  <c r="L385" i="61"/>
  <c r="K385" i="61"/>
  <c r="J385" i="61"/>
  <c r="I385" i="61"/>
  <c r="H385" i="61"/>
  <c r="G385" i="61"/>
  <c r="F385" i="61"/>
  <c r="E385" i="61"/>
  <c r="D385" i="61"/>
  <c r="D383" i="61"/>
  <c r="R382" i="61"/>
  <c r="Q382" i="61"/>
  <c r="P382" i="61"/>
  <c r="O382" i="61"/>
  <c r="N382" i="61"/>
  <c r="M382" i="61"/>
  <c r="L382" i="61"/>
  <c r="K382" i="61"/>
  <c r="J382" i="61"/>
  <c r="I382" i="61"/>
  <c r="H382" i="61"/>
  <c r="G382" i="61"/>
  <c r="F382" i="61"/>
  <c r="E382" i="61"/>
  <c r="D382" i="6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AF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AE70" i="22" s="1"/>
  <c r="AD70" i="22" s="1"/>
  <c r="R373" i="61"/>
  <c r="Q373" i="61"/>
  <c r="AC70" i="22" s="1"/>
  <c r="P373" i="61"/>
  <c r="N70" i="22" s="1"/>
  <c r="AB70" i="22" s="1"/>
  <c r="O373" i="61"/>
  <c r="AA70" i="22" s="1"/>
  <c r="N373" i="61"/>
  <c r="Y70" i="22" s="1"/>
  <c r="M373" i="61"/>
  <c r="X70" i="22" s="1"/>
  <c r="L373" i="61"/>
  <c r="W70" i="22" s="1"/>
  <c r="K373" i="61"/>
  <c r="V70" i="22" s="1"/>
  <c r="J373" i="61"/>
  <c r="U70" i="22" s="1"/>
  <c r="I373" i="61"/>
  <c r="I70" i="22" s="1"/>
  <c r="H373" i="61"/>
  <c r="H70" i="22" s="1"/>
  <c r="G373" i="61"/>
  <c r="G70" i="22" s="1"/>
  <c r="F373" i="61"/>
  <c r="F70" i="22" s="1"/>
  <c r="E373" i="61"/>
  <c r="E70" i="22" s="1"/>
  <c r="D373" i="61"/>
  <c r="D70" i="22" s="1"/>
  <c r="D345" i="61"/>
  <c r="R344" i="61"/>
  <c r="Q344" i="61"/>
  <c r="P344" i="61"/>
  <c r="O344" i="61"/>
  <c r="N344" i="61"/>
  <c r="M344" i="61"/>
  <c r="L344" i="61"/>
  <c r="K344" i="61"/>
  <c r="J344" i="61"/>
  <c r="I344" i="61"/>
  <c r="H344" i="61"/>
  <c r="G344" i="61"/>
  <c r="F344" i="61"/>
  <c r="E344" i="61"/>
  <c r="D344" i="6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AF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AE69" i="22" s="1"/>
  <c r="AD69" i="22" s="1"/>
  <c r="R332" i="61"/>
  <c r="Q332" i="61"/>
  <c r="AC69" i="22" s="1"/>
  <c r="P332" i="61"/>
  <c r="N69" i="22" s="1"/>
  <c r="AB69" i="22" s="1"/>
  <c r="O332" i="61"/>
  <c r="AA69" i="22" s="1"/>
  <c r="N332" i="61"/>
  <c r="Y69" i="22" s="1"/>
  <c r="M332" i="61"/>
  <c r="X69" i="22" s="1"/>
  <c r="L332" i="61"/>
  <c r="W69" i="22" s="1"/>
  <c r="K332" i="61"/>
  <c r="V69" i="22" s="1"/>
  <c r="J332" i="61"/>
  <c r="U69" i="22" s="1"/>
  <c r="AF69" i="22" s="1"/>
  <c r="I332" i="61"/>
  <c r="I69" i="22" s="1"/>
  <c r="H332" i="61"/>
  <c r="H69" i="22" s="1"/>
  <c r="G332" i="61"/>
  <c r="G69" i="22" s="1"/>
  <c r="F332" i="61"/>
  <c r="F69" i="22" s="1"/>
  <c r="E332" i="61"/>
  <c r="E69" i="22" s="1"/>
  <c r="D332" i="61"/>
  <c r="D69" i="22" s="1"/>
  <c r="D230" i="61"/>
  <c r="R229" i="61"/>
  <c r="Q229" i="61"/>
  <c r="P229" i="61"/>
  <c r="O229" i="61"/>
  <c r="N229" i="61"/>
  <c r="M229" i="61"/>
  <c r="L229" i="61"/>
  <c r="K229" i="61"/>
  <c r="J229" i="61"/>
  <c r="I229" i="61"/>
  <c r="H229" i="61"/>
  <c r="G229" i="61"/>
  <c r="F229" i="61"/>
  <c r="E229" i="61"/>
  <c r="D229" i="6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AF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AE68" i="22" s="1"/>
  <c r="AD68" i="22" s="1"/>
  <c r="R217" i="61"/>
  <c r="Q217" i="61"/>
  <c r="AC68" i="22" s="1"/>
  <c r="P217" i="61"/>
  <c r="N68" i="22" s="1"/>
  <c r="AB68" i="22" s="1"/>
  <c r="O217" i="61"/>
  <c r="AA68" i="22" s="1"/>
  <c r="N217" i="61"/>
  <c r="Y68" i="22" s="1"/>
  <c r="M217" i="61"/>
  <c r="X68" i="22" s="1"/>
  <c r="L217" i="61"/>
  <c r="W68" i="22" s="1"/>
  <c r="K217" i="61"/>
  <c r="V68" i="22" s="1"/>
  <c r="J217" i="61"/>
  <c r="U68" i="22" s="1"/>
  <c r="AF68" i="22" s="1"/>
  <c r="I217" i="61"/>
  <c r="I68" i="22" s="1"/>
  <c r="H217" i="61"/>
  <c r="H68" i="22" s="1"/>
  <c r="G217" i="61"/>
  <c r="G68" i="22" s="1"/>
  <c r="F217" i="61"/>
  <c r="F68" i="22" s="1"/>
  <c r="E217" i="61"/>
  <c r="E68" i="22" s="1"/>
  <c r="D217" i="61"/>
  <c r="D68" i="22" s="1"/>
  <c r="D193" i="61"/>
  <c r="R192" i="61"/>
  <c r="Q192" i="61"/>
  <c r="P192" i="61"/>
  <c r="O192" i="61"/>
  <c r="N192" i="61"/>
  <c r="M192" i="61"/>
  <c r="L192" i="61"/>
  <c r="K192" i="61"/>
  <c r="J192" i="61"/>
  <c r="I192" i="61"/>
  <c r="H192" i="61"/>
  <c r="G192" i="61"/>
  <c r="F192" i="61"/>
  <c r="E192" i="61"/>
  <c r="D192" i="6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AF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AE67" i="22" s="1"/>
  <c r="AD67" i="22" s="1"/>
  <c r="R180" i="61"/>
  <c r="Q180" i="61"/>
  <c r="AC67" i="22" s="1"/>
  <c r="P180" i="61"/>
  <c r="N67" i="22" s="1"/>
  <c r="AB67" i="22" s="1"/>
  <c r="O180" i="61"/>
  <c r="AA67" i="22" s="1"/>
  <c r="N180" i="61"/>
  <c r="Y67" i="22" s="1"/>
  <c r="M180" i="61"/>
  <c r="X67" i="22" s="1"/>
  <c r="L180" i="61"/>
  <c r="W67" i="22" s="1"/>
  <c r="K180" i="61"/>
  <c r="V67" i="22" s="1"/>
  <c r="J180" i="61"/>
  <c r="U67" i="22" s="1"/>
  <c r="I180" i="61"/>
  <c r="I67" i="22" s="1"/>
  <c r="H180" i="61"/>
  <c r="H67" i="22" s="1"/>
  <c r="G180" i="61"/>
  <c r="G67" i="22" s="1"/>
  <c r="F180" i="61"/>
  <c r="F67" i="22" s="1"/>
  <c r="E180" i="61"/>
  <c r="E67" i="22" s="1"/>
  <c r="D180" i="61"/>
  <c r="D67" i="22" s="1"/>
  <c r="D92" i="61"/>
  <c r="R91" i="61"/>
  <c r="Q91" i="61"/>
  <c r="P91" i="61"/>
  <c r="O91" i="61"/>
  <c r="N91" i="61"/>
  <c r="M91" i="61"/>
  <c r="L91" i="61"/>
  <c r="K91" i="61"/>
  <c r="J91" i="61"/>
  <c r="I91" i="61"/>
  <c r="H91" i="61"/>
  <c r="G91" i="61"/>
  <c r="F91" i="61"/>
  <c r="E91" i="61"/>
  <c r="D91" i="61"/>
  <c r="D89" i="61"/>
  <c r="R88" i="61"/>
  <c r="Q88" i="61"/>
  <c r="P88" i="61"/>
  <c r="O88" i="61"/>
  <c r="N88" i="61"/>
  <c r="M88" i="61"/>
  <c r="L88" i="61"/>
  <c r="K88" i="61"/>
  <c r="J88" i="61"/>
  <c r="I88" i="61"/>
  <c r="H88" i="61"/>
  <c r="G88" i="61"/>
  <c r="F88" i="61"/>
  <c r="E88" i="61"/>
  <c r="D88" i="61"/>
  <c r="D86" i="61"/>
  <c r="AE66" i="79" s="1"/>
  <c r="R85" i="61"/>
  <c r="Q85" i="61"/>
  <c r="AC66" i="79" s="1"/>
  <c r="P85" i="61"/>
  <c r="N66" i="79" s="1"/>
  <c r="O85" i="61"/>
  <c r="AA66" i="79" s="1"/>
  <c r="N85" i="61"/>
  <c r="Y66" i="79" s="1"/>
  <c r="M85" i="61"/>
  <c r="X66" i="79" s="1"/>
  <c r="L85" i="61"/>
  <c r="W66" i="79" s="1"/>
  <c r="K85" i="61"/>
  <c r="V66" i="79" s="1"/>
  <c r="J85" i="61"/>
  <c r="U66" i="79" s="1"/>
  <c r="I85" i="61"/>
  <c r="I66" i="79" s="1"/>
  <c r="H85" i="61"/>
  <c r="H66" i="79" s="1"/>
  <c r="G85" i="61"/>
  <c r="G66" i="79" s="1"/>
  <c r="F85" i="61"/>
  <c r="F66" i="79" s="1"/>
  <c r="E85" i="61"/>
  <c r="E66" i="79" s="1"/>
  <c r="D85" i="61"/>
  <c r="D66" i="79" s="1"/>
  <c r="D80" i="61"/>
  <c r="R79" i="61"/>
  <c r="R393" i="61" s="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79" i="61"/>
  <c r="E523" i="59"/>
  <c r="R522" i="59"/>
  <c r="Q522" i="59"/>
  <c r="P522" i="59"/>
  <c r="O522" i="59"/>
  <c r="N522" i="59"/>
  <c r="M522" i="59"/>
  <c r="L522" i="59"/>
  <c r="K522" i="59"/>
  <c r="J522" i="59"/>
  <c r="I522" i="59"/>
  <c r="H522" i="59"/>
  <c r="G522" i="59"/>
  <c r="F522" i="59"/>
  <c r="E522" i="59"/>
  <c r="E520" i="59"/>
  <c r="R519" i="59"/>
  <c r="Q519" i="59"/>
  <c r="P519" i="59"/>
  <c r="O519" i="59"/>
  <c r="N519" i="59"/>
  <c r="M519" i="59"/>
  <c r="L519" i="59"/>
  <c r="K519" i="59"/>
  <c r="J519" i="59"/>
  <c r="I519" i="59"/>
  <c r="H519" i="59"/>
  <c r="G519" i="59"/>
  <c r="F519" i="59"/>
  <c r="E519" i="59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AE32" i="22" s="1"/>
  <c r="AD32" i="22" s="1"/>
  <c r="R510" i="59"/>
  <c r="AC32" i="22" s="1"/>
  <c r="Q510" i="59"/>
  <c r="AA32" i="22" s="1"/>
  <c r="P510" i="59"/>
  <c r="Y32" i="22" s="1"/>
  <c r="O510" i="59"/>
  <c r="X32" i="22" s="1"/>
  <c r="N510" i="59"/>
  <c r="W32" i="22" s="1"/>
  <c r="M510" i="59"/>
  <c r="V32" i="22" s="1"/>
  <c r="L510" i="59"/>
  <c r="U32" i="22" s="1"/>
  <c r="K510" i="59"/>
  <c r="N32" i="22" s="1"/>
  <c r="AB32" i="22" s="1"/>
  <c r="J510" i="59"/>
  <c r="I32" i="22" s="1"/>
  <c r="I510" i="59"/>
  <c r="H32" i="22" s="1"/>
  <c r="H510" i="59"/>
  <c r="G32" i="22" s="1"/>
  <c r="G510" i="59"/>
  <c r="F32" i="22" s="1"/>
  <c r="F510" i="59"/>
  <c r="E32" i="22" s="1"/>
  <c r="E510" i="59"/>
  <c r="D32" i="22" s="1"/>
  <c r="E436" i="59"/>
  <c r="R435" i="59"/>
  <c r="Q435" i="59"/>
  <c r="P435" i="59"/>
  <c r="O435" i="59"/>
  <c r="N435" i="59"/>
  <c r="M435" i="59"/>
  <c r="L435" i="59"/>
  <c r="K435" i="59"/>
  <c r="J435" i="59"/>
  <c r="I435" i="59"/>
  <c r="H435" i="59"/>
  <c r="G435" i="59"/>
  <c r="F435" i="59"/>
  <c r="E435" i="59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AD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K426" i="59"/>
  <c r="N31" i="75" s="1"/>
  <c r="AB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AE31" i="22" s="1"/>
  <c r="AD31" i="22" s="1"/>
  <c r="R423" i="59"/>
  <c r="AC31" i="22" s="1"/>
  <c r="Q423" i="59"/>
  <c r="AA31" i="22" s="1"/>
  <c r="P423" i="59"/>
  <c r="Y31" i="22" s="1"/>
  <c r="O423" i="59"/>
  <c r="X31" i="22" s="1"/>
  <c r="N423" i="59"/>
  <c r="W31" i="22" s="1"/>
  <c r="M423" i="59"/>
  <c r="V31" i="22" s="1"/>
  <c r="L423" i="59"/>
  <c r="U31" i="22" s="1"/>
  <c r="K423" i="59"/>
  <c r="N31" i="22" s="1"/>
  <c r="AB31" i="22" s="1"/>
  <c r="J423" i="59"/>
  <c r="I31" i="22" s="1"/>
  <c r="I423" i="59"/>
  <c r="H31" i="22" s="1"/>
  <c r="H423" i="59"/>
  <c r="G31" i="22" s="1"/>
  <c r="G423" i="59"/>
  <c r="F31" i="22" s="1"/>
  <c r="F423" i="59"/>
  <c r="E31" i="22" s="1"/>
  <c r="E423" i="59"/>
  <c r="D31" i="22" s="1"/>
  <c r="E312" i="59"/>
  <c r="R311" i="59"/>
  <c r="Q311" i="59"/>
  <c r="P311" i="59"/>
  <c r="O311" i="59"/>
  <c r="N311" i="59"/>
  <c r="M311" i="59"/>
  <c r="L311" i="59"/>
  <c r="K311" i="59"/>
  <c r="J311" i="59"/>
  <c r="I311" i="59"/>
  <c r="H311" i="59"/>
  <c r="G311" i="59"/>
  <c r="F311" i="59"/>
  <c r="E311" i="59"/>
  <c r="E306" i="59"/>
  <c r="AE30" i="79" s="1"/>
  <c r="AD30" i="79" s="1"/>
  <c r="R305" i="59"/>
  <c r="AC30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AE30" i="22" s="1"/>
  <c r="AD30" i="22" s="1"/>
  <c r="R299" i="59"/>
  <c r="AC30" i="22" s="1"/>
  <c r="Q299" i="59"/>
  <c r="AA30" i="22" s="1"/>
  <c r="P299" i="59"/>
  <c r="Y30" i="22" s="1"/>
  <c r="O299" i="59"/>
  <c r="X30" i="22" s="1"/>
  <c r="N299" i="59"/>
  <c r="W30" i="22" s="1"/>
  <c r="M299" i="59"/>
  <c r="V30" i="22" s="1"/>
  <c r="L299" i="59"/>
  <c r="U30" i="22" s="1"/>
  <c r="K299" i="59"/>
  <c r="N30" i="22" s="1"/>
  <c r="AB30" i="22" s="1"/>
  <c r="J299" i="59"/>
  <c r="I30" i="22" s="1"/>
  <c r="I299" i="59"/>
  <c r="H30" i="22" s="1"/>
  <c r="H299" i="59"/>
  <c r="G30" i="22" s="1"/>
  <c r="G299" i="59"/>
  <c r="F30" i="22" s="1"/>
  <c r="F299" i="59"/>
  <c r="E30" i="22" s="1"/>
  <c r="E299" i="59"/>
  <c r="D30" i="22" s="1"/>
  <c r="E191" i="59"/>
  <c r="R190" i="59"/>
  <c r="Q190" i="59"/>
  <c r="P190" i="59"/>
  <c r="O190" i="59"/>
  <c r="N190" i="59"/>
  <c r="M190" i="59"/>
  <c r="L190" i="59"/>
  <c r="K190" i="59"/>
  <c r="J190" i="59"/>
  <c r="I190" i="59"/>
  <c r="H190" i="59"/>
  <c r="G190" i="59"/>
  <c r="F190" i="59"/>
  <c r="E190" i="59"/>
  <c r="E185" i="59"/>
  <c r="AE29" i="79" s="1"/>
  <c r="AD29" i="79" s="1"/>
  <c r="R184" i="59"/>
  <c r="AC29" i="79" s="1"/>
  <c r="Q184" i="59"/>
  <c r="AA29" i="79" s="1"/>
  <c r="P184" i="59"/>
  <c r="Y29" i="79" s="1"/>
  <c r="O184" i="59"/>
  <c r="X29" i="79" s="1"/>
  <c r="N184" i="59"/>
  <c r="W29" i="79" s="1"/>
  <c r="M184" i="59"/>
  <c r="V29" i="79" s="1"/>
  <c r="L184" i="59"/>
  <c r="U29" i="79" s="1"/>
  <c r="AF29" i="79" s="1"/>
  <c r="K184" i="59"/>
  <c r="N29" i="79" s="1"/>
  <c r="AB29" i="79" s="1"/>
  <c r="J184" i="59"/>
  <c r="I29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P181" i="59"/>
  <c r="Y29" i="75" s="1"/>
  <c r="O181" i="59"/>
  <c r="X29" i="75" s="1"/>
  <c r="N181" i="59"/>
  <c r="W29" i="75" s="1"/>
  <c r="M181" i="59"/>
  <c r="V29" i="75" s="1"/>
  <c r="L181" i="59"/>
  <c r="U29" i="75" s="1"/>
  <c r="K181" i="59"/>
  <c r="N29" i="75" s="1"/>
  <c r="AB29" i="75" s="1"/>
  <c r="J181" i="59"/>
  <c r="I29" i="75" s="1"/>
  <c r="I181" i="59"/>
  <c r="H29" i="75" s="1"/>
  <c r="H181" i="59"/>
  <c r="G29" i="75" s="1"/>
  <c r="G181" i="59"/>
  <c r="F29" i="75" s="1"/>
  <c r="F181" i="59"/>
  <c r="E29" i="75" s="1"/>
  <c r="E181" i="59"/>
  <c r="D29" i="75" s="1"/>
  <c r="E179" i="59"/>
  <c r="R178" i="59"/>
  <c r="AC29" i="22" s="1"/>
  <c r="Q178" i="59"/>
  <c r="P178" i="59"/>
  <c r="O178" i="59"/>
  <c r="N178" i="59"/>
  <c r="M178" i="59"/>
  <c r="L178" i="59"/>
  <c r="K178" i="59"/>
  <c r="J178" i="59"/>
  <c r="I29" i="22" s="1"/>
  <c r="I178" i="59"/>
  <c r="H29" i="22" s="1"/>
  <c r="H178" i="59"/>
  <c r="G29" i="22" s="1"/>
  <c r="G178" i="59"/>
  <c r="F29" i="22" s="1"/>
  <c r="F178" i="59"/>
  <c r="E29" i="22" s="1"/>
  <c r="E178" i="59"/>
  <c r="E70" i="59"/>
  <c r="S69" i="59"/>
  <c r="R69" i="59"/>
  <c r="Q69" i="59"/>
  <c r="P69" i="59"/>
  <c r="O69" i="59"/>
  <c r="N69" i="59"/>
  <c r="M69" i="59"/>
  <c r="L69" i="59"/>
  <c r="K69" i="59"/>
  <c r="J69" i="59"/>
  <c r="I69" i="59"/>
  <c r="H69" i="59"/>
  <c r="G69" i="59"/>
  <c r="F69" i="59"/>
  <c r="E69" i="59"/>
  <c r="E67" i="59"/>
  <c r="F66" i="59"/>
  <c r="E66" i="59"/>
  <c r="E64" i="59"/>
  <c r="AE28" i="79" s="1"/>
  <c r="S63" i="59"/>
  <c r="R63" i="59"/>
  <c r="AC28" i="79" s="1"/>
  <c r="AC33" i="79" s="1"/>
  <c r="Q63" i="59"/>
  <c r="AA28" i="79" s="1"/>
  <c r="AA33" i="79" s="1"/>
  <c r="P63" i="59"/>
  <c r="Y28" i="79" s="1"/>
  <c r="Y33" i="79" s="1"/>
  <c r="O63" i="59"/>
  <c r="X28" i="79" s="1"/>
  <c r="X33" i="79" s="1"/>
  <c r="N63" i="59"/>
  <c r="W28" i="79" s="1"/>
  <c r="W33" i="79" s="1"/>
  <c r="M63" i="59"/>
  <c r="V28" i="79" s="1"/>
  <c r="V33" i="79" s="1"/>
  <c r="L63" i="59"/>
  <c r="U28" i="79" s="1"/>
  <c r="K63" i="59"/>
  <c r="N28" i="79" s="1"/>
  <c r="J63" i="59"/>
  <c r="I28" i="79" s="1"/>
  <c r="I33" i="79" s="1"/>
  <c r="I63" i="59"/>
  <c r="H28" i="79" s="1"/>
  <c r="H33" i="79" s="1"/>
  <c r="H63" i="59"/>
  <c r="G28" i="79" s="1"/>
  <c r="G33" i="79" s="1"/>
  <c r="G63" i="59"/>
  <c r="F28" i="79" s="1"/>
  <c r="F33" i="79" s="1"/>
  <c r="F63" i="59"/>
  <c r="E28" i="79" s="1"/>
  <c r="E33" i="79" s="1"/>
  <c r="E63" i="59"/>
  <c r="D28" i="79" s="1"/>
  <c r="E58" i="59"/>
  <c r="AE28" i="22" s="1"/>
  <c r="S57" i="59"/>
  <c r="R57" i="59"/>
  <c r="AC28" i="22" s="1"/>
  <c r="AC33" i="22" s="1"/>
  <c r="Q57" i="59"/>
  <c r="AA28" i="22" s="1"/>
  <c r="P57" i="59"/>
  <c r="Y28" i="22" s="1"/>
  <c r="O57" i="59"/>
  <c r="X28" i="22" s="1"/>
  <c r="N57" i="59"/>
  <c r="W28" i="22" s="1"/>
  <c r="M57" i="59"/>
  <c r="V28" i="22" s="1"/>
  <c r="L57" i="59"/>
  <c r="U28" i="22" s="1"/>
  <c r="K57" i="59"/>
  <c r="N28" i="22" s="1"/>
  <c r="J57" i="59"/>
  <c r="I28" i="22" s="1"/>
  <c r="I33" i="22" s="1"/>
  <c r="I57" i="59"/>
  <c r="H28" i="22" s="1"/>
  <c r="H33" i="22" s="1"/>
  <c r="H57" i="59"/>
  <c r="G28" i="22" s="1"/>
  <c r="G33" i="22" s="1"/>
  <c r="G57" i="59"/>
  <c r="F28" i="22" s="1"/>
  <c r="F33" i="22" s="1"/>
  <c r="F57" i="59"/>
  <c r="E28" i="22" s="1"/>
  <c r="E33" i="22" s="1"/>
  <c r="E57" i="59"/>
  <c r="D28" i="22" s="1"/>
  <c r="F11" i="64"/>
  <c r="E11" i="64"/>
  <c r="D11" i="64"/>
  <c r="H7" i="64"/>
  <c r="F7" i="64"/>
  <c r="H6" i="64"/>
  <c r="F6" i="64"/>
  <c r="H5" i="64"/>
  <c r="F5" i="64"/>
  <c r="H4" i="64"/>
  <c r="F4" i="64"/>
  <c r="H3" i="64"/>
  <c r="H9" i="64" s="1"/>
  <c r="H10" i="64" s="1"/>
  <c r="F3" i="64"/>
  <c r="R25" i="56"/>
  <c r="L129" i="86" s="1"/>
  <c r="O25" i="56"/>
  <c r="L25" i="56"/>
  <c r="I25" i="56"/>
  <c r="L129" i="79" s="1"/>
  <c r="F25" i="56"/>
  <c r="L129" i="75" s="1"/>
  <c r="R24" i="56"/>
  <c r="L128" i="86" s="1"/>
  <c r="O24" i="56"/>
  <c r="L24" i="56"/>
  <c r="I24" i="56"/>
  <c r="L128" i="79" s="1"/>
  <c r="F24" i="56"/>
  <c r="L128" i="75" s="1"/>
  <c r="R23" i="56"/>
  <c r="L127" i="86" s="1"/>
  <c r="O23" i="56"/>
  <c r="L23" i="56"/>
  <c r="I23" i="56"/>
  <c r="L127" i="79" s="1"/>
  <c r="F23" i="56"/>
  <c r="L127" i="75" s="1"/>
  <c r="R22" i="56"/>
  <c r="L126" i="86" s="1"/>
  <c r="O22" i="56"/>
  <c r="L22" i="56"/>
  <c r="I22" i="56"/>
  <c r="L126" i="79" s="1"/>
  <c r="F22" i="56"/>
  <c r="L126" i="75" s="1"/>
  <c r="R21" i="56"/>
  <c r="O21" i="56"/>
  <c r="O26" i="56" s="1"/>
  <c r="O27" i="56" s="1"/>
  <c r="L21" i="56"/>
  <c r="L26" i="56" s="1"/>
  <c r="L27" i="56" s="1"/>
  <c r="I21" i="56"/>
  <c r="F21" i="56"/>
  <c r="R16" i="56"/>
  <c r="K129" i="86" s="1"/>
  <c r="O16" i="56"/>
  <c r="L16" i="56"/>
  <c r="I16" i="56"/>
  <c r="K129" i="79" s="1"/>
  <c r="F16" i="56"/>
  <c r="K129" i="75" s="1"/>
  <c r="R15" i="56"/>
  <c r="K128" i="86" s="1"/>
  <c r="O15" i="56"/>
  <c r="L15" i="56"/>
  <c r="I15" i="56"/>
  <c r="K128" i="79" s="1"/>
  <c r="F15" i="56"/>
  <c r="K128" i="75" s="1"/>
  <c r="R14" i="56"/>
  <c r="K127" i="86" s="1"/>
  <c r="O14" i="56"/>
  <c r="L14" i="56"/>
  <c r="I14" i="56"/>
  <c r="K127" i="79" s="1"/>
  <c r="F14" i="56"/>
  <c r="K127" i="75" s="1"/>
  <c r="R13" i="56"/>
  <c r="K126" i="86" s="1"/>
  <c r="O13" i="56"/>
  <c r="L13" i="56"/>
  <c r="I13" i="56"/>
  <c r="K126" i="79" s="1"/>
  <c r="F13" i="56"/>
  <c r="K126" i="75" s="1"/>
  <c r="R12" i="56"/>
  <c r="O12" i="56"/>
  <c r="O17" i="56" s="1"/>
  <c r="O18" i="56" s="1"/>
  <c r="L12" i="56"/>
  <c r="L17" i="56" s="1"/>
  <c r="L18" i="56" s="1"/>
  <c r="I12" i="56"/>
  <c r="F12" i="56"/>
  <c r="R7" i="56"/>
  <c r="D129" i="86" s="1"/>
  <c r="O7" i="56"/>
  <c r="L7" i="56"/>
  <c r="I7" i="56"/>
  <c r="D129" i="79" s="1"/>
  <c r="F7" i="56"/>
  <c r="D129" i="75" s="1"/>
  <c r="R6" i="56"/>
  <c r="D128" i="86" s="1"/>
  <c r="O6" i="56"/>
  <c r="L6" i="56"/>
  <c r="I6" i="56"/>
  <c r="D128" i="79" s="1"/>
  <c r="F6" i="56"/>
  <c r="D128" i="75" s="1"/>
  <c r="R5" i="56"/>
  <c r="D127" i="86" s="1"/>
  <c r="O5" i="56"/>
  <c r="L5" i="56"/>
  <c r="I5" i="56"/>
  <c r="D127" i="79" s="1"/>
  <c r="F5" i="56"/>
  <c r="D127" i="75" s="1"/>
  <c r="R4" i="56"/>
  <c r="D126" i="86" s="1"/>
  <c r="O4" i="56"/>
  <c r="L4" i="56"/>
  <c r="I4" i="56"/>
  <c r="D126" i="79" s="1"/>
  <c r="F4" i="56"/>
  <c r="D126" i="75" s="1"/>
  <c r="R3" i="56"/>
  <c r="O3" i="56"/>
  <c r="O8" i="56" s="1"/>
  <c r="O9" i="56" s="1"/>
  <c r="L3" i="56"/>
  <c r="L8" i="56" s="1"/>
  <c r="L9" i="56" s="1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S833" i="55"/>
  <c r="R833" i="55"/>
  <c r="Q833" i="55"/>
  <c r="P833" i="55"/>
  <c r="O833" i="55"/>
  <c r="N833" i="55"/>
  <c r="M833" i="55"/>
  <c r="L833" i="55"/>
  <c r="K833" i="55"/>
  <c r="J833" i="55"/>
  <c r="I833" i="55"/>
  <c r="H833" i="55"/>
  <c r="G833" i="55"/>
  <c r="F833" i="55"/>
  <c r="F832" i="55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S831" i="55"/>
  <c r="R831" i="55"/>
  <c r="Q831" i="55"/>
  <c r="P831" i="55"/>
  <c r="O831" i="55"/>
  <c r="N831" i="55"/>
  <c r="M831" i="55"/>
  <c r="L831" i="55"/>
  <c r="K831" i="55"/>
  <c r="J831" i="55"/>
  <c r="I831" i="55"/>
  <c r="H831" i="55"/>
  <c r="G831" i="55"/>
  <c r="F831" i="55"/>
  <c r="F829" i="55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S828" i="55"/>
  <c r="R828" i="55"/>
  <c r="Q828" i="55"/>
  <c r="P828" i="55"/>
  <c r="O828" i="55"/>
  <c r="N828" i="55"/>
  <c r="M828" i="55"/>
  <c r="L828" i="55"/>
  <c r="K828" i="55"/>
  <c r="J828" i="55"/>
  <c r="I828" i="55"/>
  <c r="H828" i="55"/>
  <c r="G828" i="55"/>
  <c r="F828" i="55"/>
  <c r="F827" i="55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S826" i="55"/>
  <c r="R826" i="55"/>
  <c r="Q826" i="55"/>
  <c r="P826" i="55"/>
  <c r="O826" i="55"/>
  <c r="N826" i="55"/>
  <c r="M826" i="55"/>
  <c r="L826" i="55"/>
  <c r="K826" i="55"/>
  <c r="J826" i="55"/>
  <c r="I826" i="55"/>
  <c r="H826" i="55"/>
  <c r="G826" i="55"/>
  <c r="F826" i="55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E51" i="22" s="1"/>
  <c r="AD51" i="22" s="1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AC51" i="22" s="1"/>
  <c r="S813" i="55"/>
  <c r="R813" i="55"/>
  <c r="AA51" i="22" s="1"/>
  <c r="Q813" i="55"/>
  <c r="Y51" i="22" s="1"/>
  <c r="P813" i="55"/>
  <c r="X51" i="22" s="1"/>
  <c r="O813" i="55"/>
  <c r="W51" i="22" s="1"/>
  <c r="N813" i="55"/>
  <c r="V51" i="22" s="1"/>
  <c r="M813" i="55"/>
  <c r="U51" i="22" s="1"/>
  <c r="L813" i="55"/>
  <c r="N51" i="22" s="1"/>
  <c r="AB51" i="22" s="1"/>
  <c r="K813" i="55"/>
  <c r="I51" i="22" s="1"/>
  <c r="J813" i="55"/>
  <c r="H51" i="22" s="1"/>
  <c r="I813" i="55"/>
  <c r="G51" i="22" s="1"/>
  <c r="H813" i="55"/>
  <c r="F51" i="22" s="1"/>
  <c r="G813" i="55"/>
  <c r="E51" i="22" s="1"/>
  <c r="F813" i="55"/>
  <c r="D51" i="22" s="1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AC13" i="22" s="1"/>
  <c r="S811" i="55"/>
  <c r="R811" i="55"/>
  <c r="Q811" i="55"/>
  <c r="P811" i="55"/>
  <c r="O811" i="55"/>
  <c r="N811" i="55"/>
  <c r="M811" i="55"/>
  <c r="L811" i="55"/>
  <c r="K811" i="55"/>
  <c r="I13" i="22" s="1"/>
  <c r="J811" i="55"/>
  <c r="H13" i="22" s="1"/>
  <c r="I811" i="55"/>
  <c r="G13" i="22" s="1"/>
  <c r="H811" i="55"/>
  <c r="F13" i="22" s="1"/>
  <c r="G811" i="55"/>
  <c r="E13" i="22" s="1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J15" i="89" s="1"/>
  <c r="V15" i="89" s="1"/>
  <c r="W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AF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S712" i="55"/>
  <c r="R712" i="55"/>
  <c r="Q712" i="55"/>
  <c r="P712" i="55"/>
  <c r="O712" i="55"/>
  <c r="N712" i="55"/>
  <c r="M712" i="55"/>
  <c r="L712" i="55"/>
  <c r="K712" i="55"/>
  <c r="J712" i="55"/>
  <c r="I712" i="55"/>
  <c r="H712" i="55"/>
  <c r="G712" i="55"/>
  <c r="F712" i="55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AE107" i="79" s="1"/>
  <c r="Z702" i="55"/>
  <c r="Y702" i="55"/>
  <c r="X702" i="55"/>
  <c r="W702" i="55"/>
  <c r="V702" i="55"/>
  <c r="U702" i="55"/>
  <c r="T702" i="55"/>
  <c r="AC12" i="79" s="1"/>
  <c r="AC107" i="79" s="1"/>
  <c r="S702" i="55"/>
  <c r="R702" i="55"/>
  <c r="AA12" i="79" s="1"/>
  <c r="AA107" i="79" s="1"/>
  <c r="Q702" i="55"/>
  <c r="Y12" i="79" s="1"/>
  <c r="Y107" i="79" s="1"/>
  <c r="P702" i="55"/>
  <c r="X12" i="79" s="1"/>
  <c r="X107" i="79" s="1"/>
  <c r="O702" i="55"/>
  <c r="W12" i="79" s="1"/>
  <c r="W107" i="79" s="1"/>
  <c r="N702" i="55"/>
  <c r="V12" i="79" s="1"/>
  <c r="V107" i="79" s="1"/>
  <c r="M702" i="55"/>
  <c r="U12" i="79" s="1"/>
  <c r="L702" i="55"/>
  <c r="N12" i="79" s="1"/>
  <c r="K702" i="55"/>
  <c r="I12" i="79" s="1"/>
  <c r="I107" i="79" s="1"/>
  <c r="J702" i="55"/>
  <c r="H12" i="79" s="1"/>
  <c r="H107" i="79" s="1"/>
  <c r="I702" i="55"/>
  <c r="G12" i="79" s="1"/>
  <c r="G107" i="79" s="1"/>
  <c r="H702" i="55"/>
  <c r="F12" i="79" s="1"/>
  <c r="F107" i="79" s="1"/>
  <c r="G702" i="55"/>
  <c r="E12" i="79" s="1"/>
  <c r="E107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L699" i="55"/>
  <c r="N50" i="75" s="1"/>
  <c r="AB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E12" i="75" s="1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AC12" i="75" s="1"/>
  <c r="AC107" i="75" s="1"/>
  <c r="S697" i="55"/>
  <c r="R697" i="55"/>
  <c r="AA12" i="75" s="1"/>
  <c r="Q697" i="55"/>
  <c r="Y12" i="75" s="1"/>
  <c r="P697" i="55"/>
  <c r="X12" i="75" s="1"/>
  <c r="O697" i="55"/>
  <c r="W12" i="75" s="1"/>
  <c r="N697" i="55"/>
  <c r="V12" i="75" s="1"/>
  <c r="M697" i="55"/>
  <c r="U12" i="75" s="1"/>
  <c r="L697" i="55"/>
  <c r="N12" i="75" s="1"/>
  <c r="K697" i="55"/>
  <c r="I12" i="75" s="1"/>
  <c r="J697" i="55"/>
  <c r="H12" i="75" s="1"/>
  <c r="I697" i="55"/>
  <c r="G12" i="75" s="1"/>
  <c r="H697" i="55"/>
  <c r="F12" i="75" s="1"/>
  <c r="G697" i="55"/>
  <c r="E12" i="75" s="1"/>
  <c r="F697" i="55"/>
  <c r="D12" i="75" s="1"/>
  <c r="F695" i="55"/>
  <c r="AE50" i="22" s="1"/>
  <c r="AD50" i="22" s="1"/>
  <c r="AA694" i="55"/>
  <c r="Z694" i="55"/>
  <c r="Y694" i="55"/>
  <c r="X694" i="55"/>
  <c r="W694" i="55"/>
  <c r="V694" i="55"/>
  <c r="U694" i="55"/>
  <c r="T694" i="55"/>
  <c r="AC50" i="22" s="1"/>
  <c r="S694" i="55"/>
  <c r="R694" i="55"/>
  <c r="AA50" i="22" s="1"/>
  <c r="Q694" i="55"/>
  <c r="Y50" i="22" s="1"/>
  <c r="P694" i="55"/>
  <c r="X50" i="22" s="1"/>
  <c r="O694" i="55"/>
  <c r="W50" i="22" s="1"/>
  <c r="N694" i="55"/>
  <c r="V50" i="22" s="1"/>
  <c r="M694" i="55"/>
  <c r="U50" i="22" s="1"/>
  <c r="AF50" i="22" s="1"/>
  <c r="L694" i="55"/>
  <c r="N50" i="22" s="1"/>
  <c r="AB50" i="22" s="1"/>
  <c r="K694" i="55"/>
  <c r="I50" i="22" s="1"/>
  <c r="J694" i="55"/>
  <c r="H50" i="22" s="1"/>
  <c r="I694" i="55"/>
  <c r="G50" i="22" s="1"/>
  <c r="H694" i="55"/>
  <c r="F50" i="22" s="1"/>
  <c r="G694" i="55"/>
  <c r="E50" i="22" s="1"/>
  <c r="F694" i="55"/>
  <c r="D50" i="22" s="1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AC12" i="22" s="1"/>
  <c r="AC107" i="22" s="1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T14" i="89" s="1"/>
  <c r="P514" i="55"/>
  <c r="S14" i="89" s="1"/>
  <c r="O514" i="55"/>
  <c r="R14" i="89" s="1"/>
  <c r="N514" i="55"/>
  <c r="Q14" i="89" s="1"/>
  <c r="M514" i="55"/>
  <c r="P14" i="89" s="1"/>
  <c r="U14" i="89" s="1"/>
  <c r="L514" i="55"/>
  <c r="K514" i="55"/>
  <c r="I14" i="89" s="1"/>
  <c r="J514" i="55"/>
  <c r="H14" i="89" s="1"/>
  <c r="I514" i="55"/>
  <c r="G14" i="89" s="1"/>
  <c r="H514" i="55"/>
  <c r="F14" i="89" s="1"/>
  <c r="G514" i="55"/>
  <c r="E14" i="89" s="1"/>
  <c r="F514" i="55"/>
  <c r="D14" i="89" s="1"/>
  <c r="J14" i="89" s="1"/>
  <c r="V14" i="89" s="1"/>
  <c r="W14" i="89" s="1"/>
  <c r="F507" i="55"/>
  <c r="AE49" i="85" s="1"/>
  <c r="AD49" i="85" s="1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AC49" i="85" s="1"/>
  <c r="S506" i="55"/>
  <c r="R506" i="55"/>
  <c r="AA49" i="85" s="1"/>
  <c r="Q506" i="55"/>
  <c r="Y49" i="85" s="1"/>
  <c r="P506" i="55"/>
  <c r="X49" i="85" s="1"/>
  <c r="O506" i="55"/>
  <c r="W49" i="85" s="1"/>
  <c r="N506" i="55"/>
  <c r="V49" i="85" s="1"/>
  <c r="M506" i="55"/>
  <c r="U49" i="85" s="1"/>
  <c r="L506" i="55"/>
  <c r="N49" i="85" s="1"/>
  <c r="AB49" i="85" s="1"/>
  <c r="K506" i="55"/>
  <c r="I49" i="85" s="1"/>
  <c r="J506" i="55"/>
  <c r="H49" i="85" s="1"/>
  <c r="I506" i="55"/>
  <c r="G49" i="85" s="1"/>
  <c r="H506" i="55"/>
  <c r="F49" i="85" s="1"/>
  <c r="G506" i="55"/>
  <c r="E49" i="85" s="1"/>
  <c r="F506" i="55"/>
  <c r="D49" i="85" s="1"/>
  <c r="F505" i="55"/>
  <c r="AE11" i="85" s="1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AC11" i="85" s="1"/>
  <c r="AC106" i="85" s="1"/>
  <c r="S504" i="55"/>
  <c r="R504" i="55"/>
  <c r="AA11" i="85" s="1"/>
  <c r="AA106" i="85" s="1"/>
  <c r="Q504" i="55"/>
  <c r="Y11" i="85" s="1"/>
  <c r="Y106" i="85" s="1"/>
  <c r="P504" i="55"/>
  <c r="X11" i="85" s="1"/>
  <c r="X106" i="85" s="1"/>
  <c r="O504" i="55"/>
  <c r="W11" i="85" s="1"/>
  <c r="W106" i="85" s="1"/>
  <c r="N504" i="55"/>
  <c r="V11" i="85" s="1"/>
  <c r="V106" i="85" s="1"/>
  <c r="M504" i="55"/>
  <c r="U11" i="85" s="1"/>
  <c r="L504" i="55"/>
  <c r="N11" i="85" s="1"/>
  <c r="K504" i="55"/>
  <c r="I11" i="85" s="1"/>
  <c r="I106" i="85" s="1"/>
  <c r="J504" i="55"/>
  <c r="H11" i="85" s="1"/>
  <c r="H106" i="85" s="1"/>
  <c r="I504" i="55"/>
  <c r="G11" i="85" s="1"/>
  <c r="G106" i="85" s="1"/>
  <c r="H504" i="55"/>
  <c r="F11" i="85" s="1"/>
  <c r="F106" i="85" s="1"/>
  <c r="G504" i="55"/>
  <c r="E11" i="85" s="1"/>
  <c r="E106" i="85" s="1"/>
  <c r="F504" i="55"/>
  <c r="D11" i="85" s="1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AC106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E49" i="22" s="1"/>
  <c r="AD49" i="22" s="1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AC49" i="22" s="1"/>
  <c r="S486" i="55"/>
  <c r="R486" i="55"/>
  <c r="AA49" i="22" s="1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AA11" i="22" s="1"/>
  <c r="T484" i="55"/>
  <c r="AC11" i="22" s="1"/>
  <c r="AC106" i="22" s="1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G353" i="55"/>
  <c r="F353" i="55"/>
  <c r="F346" i="55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5" i="55"/>
  <c r="F344" i="55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G343" i="55"/>
  <c r="F343" i="55"/>
  <c r="F336" i="55"/>
  <c r="AE48" i="79" s="1"/>
  <c r="AD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S335" i="55"/>
  <c r="R335" i="55"/>
  <c r="AA48" i="79" s="1"/>
  <c r="Q335" i="55"/>
  <c r="Y48" i="79" s="1"/>
  <c r="P335" i="55"/>
  <c r="X48" i="79" s="1"/>
  <c r="O335" i="55"/>
  <c r="W48" i="79" s="1"/>
  <c r="N335" i="55"/>
  <c r="V48" i="79" s="1"/>
  <c r="M335" i="55"/>
  <c r="U48" i="79" s="1"/>
  <c r="AF48" i="79" s="1"/>
  <c r="L335" i="55"/>
  <c r="N48" i="79" s="1"/>
  <c r="AB48" i="79" s="1"/>
  <c r="K335" i="55"/>
  <c r="I48" i="79" s="1"/>
  <c r="J335" i="55"/>
  <c r="H48" i="79" s="1"/>
  <c r="I335" i="55"/>
  <c r="G48" i="79" s="1"/>
  <c r="H335" i="55"/>
  <c r="F48" i="79" s="1"/>
  <c r="G335" i="55"/>
  <c r="E48" i="79" s="1"/>
  <c r="F335" i="55"/>
  <c r="D48" i="79" s="1"/>
  <c r="F334" i="55"/>
  <c r="AE10" i="79" s="1"/>
  <c r="AE105" i="79" s="1"/>
  <c r="AA333" i="55"/>
  <c r="Z333" i="55"/>
  <c r="Y333" i="55"/>
  <c r="X333" i="55"/>
  <c r="W333" i="55"/>
  <c r="V333" i="55"/>
  <c r="U333" i="55"/>
  <c r="T333" i="55"/>
  <c r="AC10" i="79" s="1"/>
  <c r="AC105" i="79" s="1"/>
  <c r="S333" i="55"/>
  <c r="R333" i="55"/>
  <c r="AA10" i="79" s="1"/>
  <c r="AA105" i="79" s="1"/>
  <c r="Q333" i="55"/>
  <c r="Y10" i="79" s="1"/>
  <c r="Y105" i="79" s="1"/>
  <c r="P333" i="55"/>
  <c r="X10" i="79" s="1"/>
  <c r="X105" i="79" s="1"/>
  <c r="O333" i="55"/>
  <c r="W10" i="79" s="1"/>
  <c r="W105" i="79" s="1"/>
  <c r="N333" i="55"/>
  <c r="V10" i="79" s="1"/>
  <c r="V105" i="79" s="1"/>
  <c r="M333" i="55"/>
  <c r="U10" i="79" s="1"/>
  <c r="L333" i="55"/>
  <c r="N10" i="79" s="1"/>
  <c r="K333" i="55"/>
  <c r="I10" i="79" s="1"/>
  <c r="I105" i="79" s="1"/>
  <c r="J333" i="55"/>
  <c r="H10" i="79" s="1"/>
  <c r="H105" i="79" s="1"/>
  <c r="I333" i="55"/>
  <c r="G10" i="79" s="1"/>
  <c r="G105" i="79" s="1"/>
  <c r="H333" i="55"/>
  <c r="F10" i="79" s="1"/>
  <c r="F105" i="79" s="1"/>
  <c r="G333" i="55"/>
  <c r="E10" i="79" s="1"/>
  <c r="E105" i="79" s="1"/>
  <c r="F333" i="55"/>
  <c r="D10" i="79" s="1"/>
  <c r="F331" i="55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S330" i="55"/>
  <c r="R330" i="55"/>
  <c r="Q330" i="55"/>
  <c r="P330" i="55"/>
  <c r="O330" i="55"/>
  <c r="N330" i="55"/>
  <c r="M330" i="55"/>
  <c r="L330" i="55"/>
  <c r="K330" i="55"/>
  <c r="J330" i="55"/>
  <c r="I330" i="55"/>
  <c r="H330" i="55"/>
  <c r="G330" i="55"/>
  <c r="F330" i="55"/>
  <c r="F329" i="55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S328" i="55"/>
  <c r="R328" i="55"/>
  <c r="Q328" i="55"/>
  <c r="P328" i="55"/>
  <c r="O328" i="55"/>
  <c r="N328" i="55"/>
  <c r="M328" i="55"/>
  <c r="L328" i="55"/>
  <c r="K328" i="55"/>
  <c r="J328" i="55"/>
  <c r="I328" i="55"/>
  <c r="H328" i="55"/>
  <c r="G328" i="55"/>
  <c r="F328" i="55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P119" i="55"/>
  <c r="O119" i="55"/>
  <c r="N119" i="55"/>
  <c r="M119" i="55"/>
  <c r="L119" i="55"/>
  <c r="K119" i="55"/>
  <c r="J119" i="55"/>
  <c r="I119" i="55"/>
  <c r="H119" i="55"/>
  <c r="G119" i="55"/>
  <c r="F119" i="55"/>
  <c r="F112" i="55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L111" i="55"/>
  <c r="K111" i="55"/>
  <c r="J111" i="55"/>
  <c r="I111" i="55"/>
  <c r="H111" i="55"/>
  <c r="G111" i="55"/>
  <c r="F111" i="55"/>
  <c r="F110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F107" i="55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S106" i="55"/>
  <c r="R106" i="55"/>
  <c r="Q106" i="55"/>
  <c r="P106" i="55"/>
  <c r="O106" i="55"/>
  <c r="N106" i="55"/>
  <c r="M106" i="55"/>
  <c r="L106" i="55"/>
  <c r="K106" i="55"/>
  <c r="J106" i="55"/>
  <c r="I106" i="55"/>
  <c r="H106" i="55"/>
  <c r="G106" i="55"/>
  <c r="F106" i="55"/>
  <c r="F105" i="55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S104" i="55"/>
  <c r="R104" i="55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F102" i="55"/>
  <c r="AE47" i="79" s="1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AC47" i="79" s="1"/>
  <c r="AC52" i="79" s="1"/>
  <c r="S101" i="55"/>
  <c r="R101" i="55"/>
  <c r="AA47" i="79" s="1"/>
  <c r="AA52" i="79" s="1"/>
  <c r="Q101" i="55"/>
  <c r="Y47" i="79" s="1"/>
  <c r="Y52" i="79" s="1"/>
  <c r="P101" i="55"/>
  <c r="X47" i="79" s="1"/>
  <c r="X52" i="79" s="1"/>
  <c r="O101" i="55"/>
  <c r="W47" i="79" s="1"/>
  <c r="W52" i="79" s="1"/>
  <c r="N101" i="55"/>
  <c r="V47" i="79" s="1"/>
  <c r="V52" i="79" s="1"/>
  <c r="M101" i="55"/>
  <c r="U47" i="79" s="1"/>
  <c r="L101" i="55"/>
  <c r="N47" i="79" s="1"/>
  <c r="K101" i="55"/>
  <c r="I47" i="79" s="1"/>
  <c r="I52" i="79" s="1"/>
  <c r="J101" i="55"/>
  <c r="H47" i="79" s="1"/>
  <c r="H52" i="79" s="1"/>
  <c r="I101" i="55"/>
  <c r="G47" i="79" s="1"/>
  <c r="G52" i="79" s="1"/>
  <c r="H101" i="55"/>
  <c r="F47" i="79" s="1"/>
  <c r="F52" i="79" s="1"/>
  <c r="G101" i="55"/>
  <c r="E47" i="79" s="1"/>
  <c r="E52" i="79" s="1"/>
  <c r="F101" i="55"/>
  <c r="D47" i="79" s="1"/>
  <c r="F100" i="55"/>
  <c r="AE9" i="79" s="1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AC9" i="79" s="1"/>
  <c r="S99" i="55"/>
  <c r="R99" i="55"/>
  <c r="AA9" i="79" s="1"/>
  <c r="Q99" i="55"/>
  <c r="Y9" i="79" s="1"/>
  <c r="P99" i="55"/>
  <c r="X9" i="79" s="1"/>
  <c r="O99" i="55"/>
  <c r="W9" i="79" s="1"/>
  <c r="N99" i="55"/>
  <c r="V9" i="79" s="1"/>
  <c r="M99" i="55"/>
  <c r="U9" i="79" s="1"/>
  <c r="L99" i="55"/>
  <c r="N9" i="79" s="1"/>
  <c r="K99" i="55"/>
  <c r="I9" i="79" s="1"/>
  <c r="J99" i="55"/>
  <c r="H9" i="79" s="1"/>
  <c r="I99" i="55"/>
  <c r="G9" i="79" s="1"/>
  <c r="H99" i="55"/>
  <c r="F9" i="79" s="1"/>
  <c r="G99" i="55"/>
  <c r="E9" i="79" s="1"/>
  <c r="F99" i="55"/>
  <c r="D9" i="79" s="1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C9" i="87" l="1"/>
  <c r="C15" i="87" s="1"/>
  <c r="L8" i="87"/>
  <c r="E35" i="88"/>
  <c r="E131" i="86"/>
  <c r="E82" i="91"/>
  <c r="I81" i="91"/>
  <c r="I34" i="88"/>
  <c r="G7" i="87"/>
  <c r="I80" i="91"/>
  <c r="I33" i="88"/>
  <c r="G6" i="87"/>
  <c r="I79" i="91"/>
  <c r="G5" i="87"/>
  <c r="I32" i="88"/>
  <c r="I78" i="91"/>
  <c r="G4" i="87"/>
  <c r="I31" i="88"/>
  <c r="I77" i="91"/>
  <c r="I131" i="86"/>
  <c r="I83" i="91" s="1"/>
  <c r="G3" i="87"/>
  <c r="G9" i="87" s="1"/>
  <c r="I30" i="88"/>
  <c r="I36" i="88" s="1"/>
  <c r="I45" i="88" s="1"/>
  <c r="L13" i="88"/>
  <c r="L97" i="90"/>
  <c r="J13" i="88"/>
  <c r="AD108" i="86"/>
  <c r="J97" i="90"/>
  <c r="L12" i="88"/>
  <c r="L96" i="90"/>
  <c r="J12" i="88"/>
  <c r="AD107" i="86"/>
  <c r="J96" i="90"/>
  <c r="L11" i="88"/>
  <c r="L95" i="90"/>
  <c r="AD106" i="86"/>
  <c r="J95" i="90"/>
  <c r="J11" i="88"/>
  <c r="L10" i="88"/>
  <c r="L94" i="90"/>
  <c r="J94" i="90"/>
  <c r="J10" i="88"/>
  <c r="L9" i="88"/>
  <c r="L14" i="88" s="1"/>
  <c r="L44" i="88" s="1"/>
  <c r="L109" i="86"/>
  <c r="L98" i="90" s="1"/>
  <c r="L93" i="90"/>
  <c r="J109" i="86"/>
  <c r="J98" i="90" s="1"/>
  <c r="J93" i="90"/>
  <c r="J9" i="88"/>
  <c r="J14" i="88" s="1"/>
  <c r="J44" i="88" s="1"/>
  <c r="AF85" i="86"/>
  <c r="Z90" i="86"/>
  <c r="K90" i="86"/>
  <c r="M85" i="86"/>
  <c r="K70" i="86"/>
  <c r="M70" i="86" s="1"/>
  <c r="O70" i="86" s="1"/>
  <c r="AG70" i="86" s="1"/>
  <c r="AH70" i="86" s="1"/>
  <c r="M7" i="87"/>
  <c r="J129" i="86"/>
  <c r="G146" i="86"/>
  <c r="K69" i="86"/>
  <c r="M69" i="86" s="1"/>
  <c r="O69" i="86" s="1"/>
  <c r="G145" i="86"/>
  <c r="J128" i="86"/>
  <c r="M6" i="87"/>
  <c r="M5" i="87"/>
  <c r="G144" i="86"/>
  <c r="J127" i="86"/>
  <c r="K68" i="86"/>
  <c r="M68" i="86" s="1"/>
  <c r="O68" i="86" s="1"/>
  <c r="G143" i="86"/>
  <c r="K67" i="86"/>
  <c r="M67" i="86" s="1"/>
  <c r="O67" i="86" s="1"/>
  <c r="M4" i="87"/>
  <c r="J126" i="86"/>
  <c r="AE71" i="86"/>
  <c r="AD66" i="86"/>
  <c r="AD71" i="86" s="1"/>
  <c r="U71" i="86"/>
  <c r="Y73" i="86" s="1"/>
  <c r="N71" i="86"/>
  <c r="AB66" i="86"/>
  <c r="D71" i="86"/>
  <c r="K66" i="86"/>
  <c r="J125" i="86"/>
  <c r="G142" i="86"/>
  <c r="G147" i="86" s="1"/>
  <c r="M3" i="87"/>
  <c r="M9" i="87" s="1"/>
  <c r="G129" i="86"/>
  <c r="K51" i="86"/>
  <c r="M51" i="86" s="1"/>
  <c r="O51" i="86" s="1"/>
  <c r="AG51" i="86" s="1"/>
  <c r="AH51" i="86" s="1"/>
  <c r="K50" i="86"/>
  <c r="M50" i="86" s="1"/>
  <c r="O50" i="86" s="1"/>
  <c r="AG50" i="86" s="1"/>
  <c r="AH50" i="86" s="1"/>
  <c r="G128" i="86"/>
  <c r="G127" i="86"/>
  <c r="K49" i="86"/>
  <c r="M49" i="86" s="1"/>
  <c r="O49" i="86" s="1"/>
  <c r="G126" i="86"/>
  <c r="K48" i="86"/>
  <c r="M48" i="86" s="1"/>
  <c r="O48" i="86" s="1"/>
  <c r="AD47" i="86"/>
  <c r="AD52" i="86" s="1"/>
  <c r="AE52" i="86"/>
  <c r="U52" i="86"/>
  <c r="Y54" i="86" s="1"/>
  <c r="N52" i="86"/>
  <c r="AB47" i="86"/>
  <c r="D52" i="86"/>
  <c r="G125" i="86"/>
  <c r="K47" i="86"/>
  <c r="F146" i="86"/>
  <c r="H129" i="86"/>
  <c r="K32" i="86"/>
  <c r="M32" i="86" s="1"/>
  <c r="O32" i="86" s="1"/>
  <c r="H128" i="86"/>
  <c r="K31" i="86"/>
  <c r="M31" i="86" s="1"/>
  <c r="O31" i="86" s="1"/>
  <c r="F145" i="86"/>
  <c r="F144" i="86"/>
  <c r="H127" i="86"/>
  <c r="K30" i="86"/>
  <c r="M30" i="86" s="1"/>
  <c r="O30" i="86" s="1"/>
  <c r="H126" i="86"/>
  <c r="F143" i="86"/>
  <c r="K29" i="86"/>
  <c r="M29" i="86" s="1"/>
  <c r="O29" i="86" s="1"/>
  <c r="AE33" i="86"/>
  <c r="AD28" i="86"/>
  <c r="AD33" i="86" s="1"/>
  <c r="U33" i="86"/>
  <c r="Y35" i="86" s="1"/>
  <c r="AB28" i="86"/>
  <c r="N33" i="86"/>
  <c r="D33" i="86"/>
  <c r="K28" i="86"/>
  <c r="H125" i="86"/>
  <c r="F142" i="86"/>
  <c r="F147" i="86" s="1"/>
  <c r="AE13" i="88"/>
  <c r="AE97" i="90"/>
  <c r="AC13" i="88"/>
  <c r="AC97" i="90"/>
  <c r="AA13" i="88"/>
  <c r="AA97" i="90"/>
  <c r="Z97" i="90"/>
  <c r="Z13" i="88"/>
  <c r="Y13" i="88"/>
  <c r="Y97" i="90"/>
  <c r="X13" i="88"/>
  <c r="X97" i="90"/>
  <c r="W13" i="88"/>
  <c r="W97" i="90"/>
  <c r="V13" i="88"/>
  <c r="V97" i="90"/>
  <c r="U108" i="86"/>
  <c r="AB13" i="86"/>
  <c r="N108" i="86"/>
  <c r="I13" i="88"/>
  <c r="I97" i="90"/>
  <c r="H13" i="88"/>
  <c r="H97" i="90"/>
  <c r="G13" i="88"/>
  <c r="G97" i="90"/>
  <c r="F13" i="88"/>
  <c r="F97" i="90"/>
  <c r="E13" i="88"/>
  <c r="E97" i="90"/>
  <c r="K13" i="86"/>
  <c r="M13" i="86" s="1"/>
  <c r="O13" i="86" s="1"/>
  <c r="D108" i="86"/>
  <c r="AE12" i="88"/>
  <c r="AE96" i="90"/>
  <c r="AC12" i="88"/>
  <c r="AC96" i="90"/>
  <c r="AA12" i="88"/>
  <c r="AA96" i="90"/>
  <c r="Z12" i="88"/>
  <c r="Z96" i="90"/>
  <c r="Y12" i="88"/>
  <c r="Y96" i="90"/>
  <c r="X96" i="90"/>
  <c r="X12" i="88"/>
  <c r="W12" i="88"/>
  <c r="W96" i="90"/>
  <c r="V12" i="88"/>
  <c r="V96" i="90"/>
  <c r="U107" i="86"/>
  <c r="AB12" i="86"/>
  <c r="N107" i="86"/>
  <c r="I12" i="88"/>
  <c r="I96" i="90"/>
  <c r="H12" i="88"/>
  <c r="H96" i="90"/>
  <c r="G12" i="88"/>
  <c r="G96" i="90"/>
  <c r="F12" i="88"/>
  <c r="F96" i="90"/>
  <c r="E12" i="88"/>
  <c r="E96" i="90"/>
  <c r="K12" i="86"/>
  <c r="M12" i="86" s="1"/>
  <c r="O12" i="86" s="1"/>
  <c r="D107" i="86"/>
  <c r="AE11" i="88"/>
  <c r="AE95" i="90"/>
  <c r="AC11" i="88"/>
  <c r="AC95" i="90"/>
  <c r="AA11" i="88"/>
  <c r="AA95" i="90"/>
  <c r="Z11" i="88"/>
  <c r="Z95" i="90"/>
  <c r="Y11" i="88"/>
  <c r="Y95" i="90"/>
  <c r="X11" i="88"/>
  <c r="X95" i="90"/>
  <c r="W11" i="88"/>
  <c r="W95" i="90"/>
  <c r="V11" i="88"/>
  <c r="V95" i="90"/>
  <c r="U106" i="86"/>
  <c r="AB11" i="86"/>
  <c r="N106" i="86"/>
  <c r="I11" i="88"/>
  <c r="I95" i="90"/>
  <c r="H95" i="90"/>
  <c r="H11" i="88"/>
  <c r="G11" i="88"/>
  <c r="G95" i="90"/>
  <c r="F95" i="90"/>
  <c r="F11" i="88"/>
  <c r="E11" i="88"/>
  <c r="E95" i="90"/>
  <c r="K11" i="86"/>
  <c r="M11" i="86" s="1"/>
  <c r="O11" i="86" s="1"/>
  <c r="D106" i="86"/>
  <c r="AD10" i="86"/>
  <c r="AD14" i="86" s="1"/>
  <c r="AE105" i="86"/>
  <c r="AD105" i="86" s="1"/>
  <c r="AC10" i="88"/>
  <c r="AC94" i="90"/>
  <c r="AA10" i="88"/>
  <c r="AA94" i="90"/>
  <c r="Z10" i="88"/>
  <c r="Z94" i="90"/>
  <c r="Y10" i="88"/>
  <c r="Y94" i="90"/>
  <c r="X94" i="90"/>
  <c r="X10" i="88"/>
  <c r="W10" i="88"/>
  <c r="W94" i="90"/>
  <c r="V10" i="88"/>
  <c r="V94" i="90"/>
  <c r="U105" i="86"/>
  <c r="AB10" i="86"/>
  <c r="N105" i="86"/>
  <c r="I10" i="88"/>
  <c r="I94" i="90"/>
  <c r="H10" i="88"/>
  <c r="H94" i="90"/>
  <c r="G10" i="88"/>
  <c r="G94" i="90"/>
  <c r="F10" i="88"/>
  <c r="F94" i="90"/>
  <c r="E10" i="88"/>
  <c r="E94" i="90"/>
  <c r="D105" i="86"/>
  <c r="K10" i="86"/>
  <c r="M10" i="86" s="1"/>
  <c r="O10" i="86" s="1"/>
  <c r="AE104" i="86"/>
  <c r="AD104" i="86" s="1"/>
  <c r="AE14" i="86"/>
  <c r="AC104" i="86"/>
  <c r="AC14" i="86"/>
  <c r="AA104" i="86"/>
  <c r="AA14" i="86"/>
  <c r="Z14" i="86"/>
  <c r="Z104" i="86"/>
  <c r="Y14" i="86"/>
  <c r="Y104" i="86"/>
  <c r="X14" i="86"/>
  <c r="X104" i="86"/>
  <c r="W104" i="86"/>
  <c r="W14" i="86"/>
  <c r="V14" i="86"/>
  <c r="V104" i="86"/>
  <c r="U104" i="86"/>
  <c r="U14" i="86"/>
  <c r="Y16" i="86" s="1"/>
  <c r="N14" i="86"/>
  <c r="N104" i="86"/>
  <c r="AB9" i="86"/>
  <c r="AF9" i="86" s="1"/>
  <c r="I104" i="86"/>
  <c r="I14" i="86"/>
  <c r="H104" i="86"/>
  <c r="H14" i="86"/>
  <c r="G104" i="86"/>
  <c r="G14" i="86"/>
  <c r="F104" i="86"/>
  <c r="F14" i="86"/>
  <c r="E104" i="86"/>
  <c r="E14" i="86"/>
  <c r="D14" i="86"/>
  <c r="K9" i="86"/>
  <c r="D104" i="86"/>
  <c r="K45" i="86"/>
  <c r="Y45" i="86" s="1"/>
  <c r="K64" i="86"/>
  <c r="Y64" i="86" s="1"/>
  <c r="K83" i="86"/>
  <c r="Y83" i="86" s="1"/>
  <c r="K26" i="86"/>
  <c r="Y26" i="86" s="1"/>
  <c r="K122" i="86"/>
  <c r="K102" i="86"/>
  <c r="Y7" i="86"/>
  <c r="G83" i="86"/>
  <c r="V83" i="86" s="1"/>
  <c r="G45" i="86"/>
  <c r="V45" i="86" s="1"/>
  <c r="V7" i="86"/>
  <c r="G26" i="86"/>
  <c r="V26" i="86" s="1"/>
  <c r="G122" i="86"/>
  <c r="G102" i="86"/>
  <c r="G64" i="86"/>
  <c r="V64" i="86" s="1"/>
  <c r="D26" i="86"/>
  <c r="D45" i="86"/>
  <c r="D64" i="86"/>
  <c r="D102" i="86"/>
  <c r="D125" i="90" s="1"/>
  <c r="D83" i="86"/>
  <c r="D82" i="86"/>
  <c r="D63" i="86"/>
  <c r="D44" i="86"/>
  <c r="D25" i="86"/>
  <c r="D101" i="86"/>
  <c r="D124" i="90" s="1"/>
  <c r="N60" i="86"/>
  <c r="AD60" i="86" s="1"/>
  <c r="M117" i="86"/>
  <c r="N98" i="86"/>
  <c r="N41" i="86"/>
  <c r="AD41" i="86" s="1"/>
  <c r="N22" i="86"/>
  <c r="AD22" i="86" s="1"/>
  <c r="N79" i="86"/>
  <c r="AD79" i="86" s="1"/>
  <c r="AD3" i="86"/>
  <c r="C9" i="83"/>
  <c r="G3" i="83"/>
  <c r="G9" i="83" s="1"/>
  <c r="H23" i="36" s="1"/>
  <c r="H147" i="85"/>
  <c r="E35" i="82"/>
  <c r="L8" i="83"/>
  <c r="E68" i="91"/>
  <c r="E131" i="85"/>
  <c r="L67" i="91"/>
  <c r="L34" i="82"/>
  <c r="K67" i="91"/>
  <c r="K34" i="82"/>
  <c r="I67" i="91"/>
  <c r="I34" i="82"/>
  <c r="D67" i="91"/>
  <c r="D34" i="82"/>
  <c r="K7" i="83"/>
  <c r="L66" i="91"/>
  <c r="L33" i="82"/>
  <c r="K66" i="91"/>
  <c r="K33" i="82"/>
  <c r="I66" i="91"/>
  <c r="I33" i="82"/>
  <c r="D66" i="91"/>
  <c r="K6" i="83"/>
  <c r="D33" i="82"/>
  <c r="L65" i="91"/>
  <c r="L32" i="82"/>
  <c r="K65" i="91"/>
  <c r="K32" i="82"/>
  <c r="I65" i="91"/>
  <c r="I32" i="82"/>
  <c r="D65" i="91"/>
  <c r="D32" i="82"/>
  <c r="K5" i="83"/>
  <c r="L64" i="91"/>
  <c r="L31" i="82"/>
  <c r="K64" i="91"/>
  <c r="K31" i="82"/>
  <c r="I64" i="91"/>
  <c r="I31" i="82"/>
  <c r="D64" i="91"/>
  <c r="K4" i="83"/>
  <c r="D31" i="82"/>
  <c r="L63" i="91"/>
  <c r="L30" i="82"/>
  <c r="L36" i="82" s="1"/>
  <c r="L45" i="82" s="1"/>
  <c r="L131" i="85"/>
  <c r="L69" i="91" s="1"/>
  <c r="K63" i="91"/>
  <c r="K30" i="82"/>
  <c r="K36" i="82" s="1"/>
  <c r="K45" i="82" s="1"/>
  <c r="K131" i="85"/>
  <c r="K69" i="91" s="1"/>
  <c r="I30" i="82"/>
  <c r="I36" i="82" s="1"/>
  <c r="I45" i="82" s="1"/>
  <c r="I131" i="85"/>
  <c r="I63" i="91"/>
  <c r="D30" i="82"/>
  <c r="D36" i="82" s="1"/>
  <c r="D63" i="91"/>
  <c r="K3" i="83"/>
  <c r="K9" i="83" s="1"/>
  <c r="L23" i="36" s="1"/>
  <c r="D131" i="85"/>
  <c r="L13" i="82"/>
  <c r="L80" i="90"/>
  <c r="J80" i="90"/>
  <c r="J13" i="82"/>
  <c r="L79" i="90"/>
  <c r="L12" i="82"/>
  <c r="J12" i="82"/>
  <c r="J79" i="90"/>
  <c r="L11" i="82"/>
  <c r="L78" i="90"/>
  <c r="J78" i="90"/>
  <c r="J11" i="82"/>
  <c r="L77" i="90"/>
  <c r="L10" i="82"/>
  <c r="J77" i="90"/>
  <c r="J10" i="82"/>
  <c r="L109" i="85"/>
  <c r="L81" i="90" s="1"/>
  <c r="L76" i="90"/>
  <c r="L9" i="82"/>
  <c r="L14" i="82" s="1"/>
  <c r="L44" i="82" s="1"/>
  <c r="J109" i="85"/>
  <c r="J81" i="90" s="1"/>
  <c r="J76" i="90"/>
  <c r="J9" i="82"/>
  <c r="J14" i="82" s="1"/>
  <c r="J44" i="82" s="1"/>
  <c r="AF90" i="85"/>
  <c r="K90" i="85"/>
  <c r="M85" i="85"/>
  <c r="J129" i="85"/>
  <c r="M7" i="83"/>
  <c r="K70" i="85"/>
  <c r="M70" i="85" s="1"/>
  <c r="O70" i="85" s="1"/>
  <c r="G146" i="85"/>
  <c r="J128" i="85"/>
  <c r="M6" i="83"/>
  <c r="K69" i="85"/>
  <c r="M69" i="85" s="1"/>
  <c r="O69" i="85" s="1"/>
  <c r="G145" i="85"/>
  <c r="K68" i="85"/>
  <c r="M68" i="85" s="1"/>
  <c r="O68" i="85" s="1"/>
  <c r="G144" i="85"/>
  <c r="J127" i="85"/>
  <c r="M5" i="83"/>
  <c r="M4" i="83"/>
  <c r="J126" i="85"/>
  <c r="G143" i="85"/>
  <c r="K67" i="85"/>
  <c r="M67" i="85" s="1"/>
  <c r="O67" i="85" s="1"/>
  <c r="AD66" i="85"/>
  <c r="AD71" i="85" s="1"/>
  <c r="AE71" i="85"/>
  <c r="U71" i="85"/>
  <c r="Y73" i="85" s="1"/>
  <c r="AB66" i="85"/>
  <c r="N71" i="85"/>
  <c r="M3" i="83"/>
  <c r="M9" i="83" s="1"/>
  <c r="N23" i="36" s="1"/>
  <c r="D71" i="85"/>
  <c r="J125" i="85"/>
  <c r="K66" i="85"/>
  <c r="G142" i="85"/>
  <c r="G147" i="85" s="1"/>
  <c r="K51" i="85"/>
  <c r="M51" i="85" s="1"/>
  <c r="O51" i="85" s="1"/>
  <c r="G129" i="85"/>
  <c r="G126" i="85"/>
  <c r="K48" i="85"/>
  <c r="M48" i="85" s="1"/>
  <c r="O48" i="85" s="1"/>
  <c r="U52" i="85"/>
  <c r="Y54" i="85" s="1"/>
  <c r="AB47" i="85"/>
  <c r="N52" i="85"/>
  <c r="K47" i="85"/>
  <c r="G125" i="85"/>
  <c r="D52" i="85"/>
  <c r="F146" i="85"/>
  <c r="K32" i="85"/>
  <c r="M32" i="85" s="1"/>
  <c r="O32" i="85" s="1"/>
  <c r="E7" i="83"/>
  <c r="H129" i="85"/>
  <c r="K31" i="85"/>
  <c r="M31" i="85" s="1"/>
  <c r="O31" i="85" s="1"/>
  <c r="E6" i="83"/>
  <c r="H128" i="85"/>
  <c r="F145" i="85"/>
  <c r="K30" i="85"/>
  <c r="M30" i="85" s="1"/>
  <c r="O30" i="85" s="1"/>
  <c r="F144" i="85"/>
  <c r="H127" i="85"/>
  <c r="E5" i="83"/>
  <c r="K29" i="85"/>
  <c r="M29" i="85" s="1"/>
  <c r="O29" i="85" s="1"/>
  <c r="E4" i="83"/>
  <c r="F143" i="85"/>
  <c r="H126" i="85"/>
  <c r="AD28" i="85"/>
  <c r="AD33" i="85" s="1"/>
  <c r="AE33" i="85"/>
  <c r="U33" i="85"/>
  <c r="Y35" i="85" s="1"/>
  <c r="N33" i="85"/>
  <c r="AB28" i="85"/>
  <c r="D33" i="85"/>
  <c r="F142" i="85"/>
  <c r="F147" i="85" s="1"/>
  <c r="K28" i="85"/>
  <c r="H125" i="85"/>
  <c r="E3" i="83"/>
  <c r="E9" i="83" s="1"/>
  <c r="F23" i="36" s="1"/>
  <c r="AD13" i="85"/>
  <c r="AE108" i="85"/>
  <c r="AD108" i="85" s="1"/>
  <c r="AC13" i="82"/>
  <c r="AC80" i="90"/>
  <c r="AA80" i="90"/>
  <c r="AA13" i="82"/>
  <c r="Z13" i="82"/>
  <c r="Z80" i="90"/>
  <c r="Y80" i="90"/>
  <c r="Y13" i="82"/>
  <c r="X13" i="82"/>
  <c r="X80" i="90"/>
  <c r="W13" i="82"/>
  <c r="W80" i="90"/>
  <c r="V13" i="82"/>
  <c r="V80" i="90"/>
  <c r="U108" i="85"/>
  <c r="N108" i="85"/>
  <c r="AB13" i="85"/>
  <c r="I13" i="82"/>
  <c r="I80" i="90"/>
  <c r="H80" i="90"/>
  <c r="H13" i="82"/>
  <c r="G13" i="82"/>
  <c r="G80" i="90"/>
  <c r="F13" i="82"/>
  <c r="F80" i="90"/>
  <c r="E13" i="82"/>
  <c r="E80" i="90"/>
  <c r="D108" i="85"/>
  <c r="K13" i="85"/>
  <c r="M13" i="85" s="1"/>
  <c r="O13" i="85" s="1"/>
  <c r="AD12" i="85"/>
  <c r="AE107" i="85"/>
  <c r="AD107" i="85" s="1"/>
  <c r="AC79" i="90"/>
  <c r="AC12" i="82"/>
  <c r="AA12" i="82"/>
  <c r="AA79" i="90"/>
  <c r="Z12" i="82"/>
  <c r="Z79" i="90"/>
  <c r="Y12" i="82"/>
  <c r="Y79" i="90"/>
  <c r="X12" i="82"/>
  <c r="X79" i="90"/>
  <c r="W12" i="82"/>
  <c r="W79" i="90"/>
  <c r="V12" i="82"/>
  <c r="V79" i="90"/>
  <c r="U107" i="85"/>
  <c r="AB12" i="85"/>
  <c r="N107" i="85"/>
  <c r="I12" i="82"/>
  <c r="I79" i="90"/>
  <c r="H79" i="90"/>
  <c r="H12" i="82"/>
  <c r="G12" i="82"/>
  <c r="G79" i="90"/>
  <c r="F12" i="82"/>
  <c r="F79" i="90"/>
  <c r="E12" i="82"/>
  <c r="E79" i="90"/>
  <c r="K12" i="85"/>
  <c r="M12" i="85" s="1"/>
  <c r="O12" i="85" s="1"/>
  <c r="D107" i="85"/>
  <c r="Z78" i="90"/>
  <c r="Z11" i="82"/>
  <c r="AD10" i="85"/>
  <c r="AE105" i="85"/>
  <c r="AD105" i="85" s="1"/>
  <c r="AC10" i="82"/>
  <c r="AC77" i="90"/>
  <c r="AA77" i="90"/>
  <c r="AA10" i="82"/>
  <c r="Z10" i="82"/>
  <c r="Z77" i="90"/>
  <c r="Y77" i="90"/>
  <c r="Y10" i="82"/>
  <c r="X10" i="82"/>
  <c r="X77" i="90"/>
  <c r="W10" i="82"/>
  <c r="W77" i="90"/>
  <c r="V10" i="82"/>
  <c r="V77" i="90"/>
  <c r="U105" i="85"/>
  <c r="AB10" i="85"/>
  <c r="N105" i="85"/>
  <c r="I10" i="82"/>
  <c r="I77" i="90"/>
  <c r="H10" i="82"/>
  <c r="H77" i="90"/>
  <c r="G10" i="82"/>
  <c r="G77" i="90"/>
  <c r="F10" i="82"/>
  <c r="F77" i="90"/>
  <c r="E10" i="82"/>
  <c r="E77" i="90"/>
  <c r="K10" i="85"/>
  <c r="M10" i="85" s="1"/>
  <c r="O10" i="85" s="1"/>
  <c r="D105" i="85"/>
  <c r="AE14" i="85"/>
  <c r="AE104" i="85"/>
  <c r="AD104" i="85" s="1"/>
  <c r="AC14" i="85"/>
  <c r="AC104" i="85"/>
  <c r="AA14" i="85"/>
  <c r="AA104" i="85"/>
  <c r="Z104" i="85"/>
  <c r="Z14" i="85"/>
  <c r="Y104" i="85"/>
  <c r="Y14" i="85"/>
  <c r="X14" i="85"/>
  <c r="X104" i="85"/>
  <c r="W104" i="85"/>
  <c r="W14" i="85"/>
  <c r="V14" i="85"/>
  <c r="V104" i="85"/>
  <c r="U104" i="85"/>
  <c r="U14" i="85"/>
  <c r="Y16" i="85" s="1"/>
  <c r="N14" i="85"/>
  <c r="N104" i="85"/>
  <c r="AB9" i="85"/>
  <c r="AF9" i="85" s="1"/>
  <c r="I104" i="85"/>
  <c r="I14" i="85"/>
  <c r="H104" i="85"/>
  <c r="H14" i="85"/>
  <c r="G14" i="85"/>
  <c r="G104" i="85"/>
  <c r="F104" i="85"/>
  <c r="F14" i="85"/>
  <c r="E104" i="85"/>
  <c r="E14" i="85"/>
  <c r="D14" i="85"/>
  <c r="K9" i="85"/>
  <c r="D104" i="85"/>
  <c r="K83" i="85"/>
  <c r="Y83" i="85" s="1"/>
  <c r="Y7" i="85"/>
  <c r="K102" i="85"/>
  <c r="K64" i="85"/>
  <c r="Y64" i="85" s="1"/>
  <c r="K26" i="85"/>
  <c r="Y26" i="85" s="1"/>
  <c r="K45" i="85"/>
  <c r="Y45" i="85" s="1"/>
  <c r="K122" i="85"/>
  <c r="K27" i="82" s="1"/>
  <c r="G83" i="85"/>
  <c r="V83" i="85" s="1"/>
  <c r="G45" i="85"/>
  <c r="V45" i="85" s="1"/>
  <c r="V7" i="85"/>
  <c r="G122" i="85"/>
  <c r="H27" i="82" s="1"/>
  <c r="G102" i="85"/>
  <c r="G26" i="85"/>
  <c r="V26" i="85" s="1"/>
  <c r="G64" i="85"/>
  <c r="V64" i="85" s="1"/>
  <c r="D26" i="85"/>
  <c r="D102" i="85"/>
  <c r="D7" i="82" s="1"/>
  <c r="D45" i="85"/>
  <c r="D64" i="85"/>
  <c r="D83" i="85"/>
  <c r="D44" i="85"/>
  <c r="D82" i="85"/>
  <c r="D25" i="85"/>
  <c r="D63" i="85"/>
  <c r="D101" i="85"/>
  <c r="D6" i="82" s="1"/>
  <c r="N98" i="85"/>
  <c r="N79" i="85"/>
  <c r="AD79" i="85" s="1"/>
  <c r="AD3" i="85"/>
  <c r="N22" i="85"/>
  <c r="AD22" i="85" s="1"/>
  <c r="M117" i="85"/>
  <c r="N22" i="82" s="1"/>
  <c r="N60" i="85"/>
  <c r="AD60" i="85" s="1"/>
  <c r="N41" i="85"/>
  <c r="AD41" i="85" s="1"/>
  <c r="C9" i="98"/>
  <c r="L8" i="98"/>
  <c r="E131" i="97"/>
  <c r="E35" i="99"/>
  <c r="E54" i="91"/>
  <c r="L34" i="99"/>
  <c r="L53" i="91"/>
  <c r="K34" i="99"/>
  <c r="K53" i="91"/>
  <c r="D53" i="91"/>
  <c r="D34" i="99"/>
  <c r="K7" i="98"/>
  <c r="L33" i="99"/>
  <c r="L52" i="91"/>
  <c r="K52" i="91"/>
  <c r="K33" i="99"/>
  <c r="I33" i="99"/>
  <c r="I52" i="91"/>
  <c r="D33" i="99"/>
  <c r="D52" i="91"/>
  <c r="K6" i="98"/>
  <c r="D145" i="97"/>
  <c r="L51" i="91"/>
  <c r="L32" i="99"/>
  <c r="K32" i="99"/>
  <c r="K51" i="91"/>
  <c r="D32" i="99"/>
  <c r="D51" i="91"/>
  <c r="K5" i="98"/>
  <c r="L50" i="91"/>
  <c r="L31" i="99"/>
  <c r="K31" i="99"/>
  <c r="K50" i="91"/>
  <c r="I50" i="91"/>
  <c r="I31" i="99"/>
  <c r="D50" i="91"/>
  <c r="K4" i="98"/>
  <c r="D31" i="99"/>
  <c r="L49" i="91"/>
  <c r="L30" i="99"/>
  <c r="L36" i="99" s="1"/>
  <c r="L46" i="99" s="1"/>
  <c r="L131" i="97"/>
  <c r="L55" i="91" s="1"/>
  <c r="K131" i="97"/>
  <c r="K30" i="99"/>
  <c r="K36" i="99" s="1"/>
  <c r="K46" i="99" s="1"/>
  <c r="K49" i="91"/>
  <c r="D131" i="97"/>
  <c r="D30" i="99"/>
  <c r="D36" i="99" s="1"/>
  <c r="D46" i="99" s="1"/>
  <c r="D49" i="91"/>
  <c r="K3" i="98"/>
  <c r="K9" i="98" s="1"/>
  <c r="L22" i="36" s="1"/>
  <c r="L64" i="90"/>
  <c r="L13" i="99"/>
  <c r="AD63" i="90"/>
  <c r="AD12" i="99"/>
  <c r="L63" i="90"/>
  <c r="L12" i="99"/>
  <c r="J63" i="90"/>
  <c r="J12" i="99"/>
  <c r="L62" i="90"/>
  <c r="L11" i="99"/>
  <c r="L10" i="99"/>
  <c r="L61" i="90"/>
  <c r="J10" i="99"/>
  <c r="J61" i="90"/>
  <c r="L9" i="99"/>
  <c r="L14" i="99" s="1"/>
  <c r="L45" i="99" s="1"/>
  <c r="L109" i="97"/>
  <c r="L65" i="90" s="1"/>
  <c r="L60" i="90"/>
  <c r="J64" i="90"/>
  <c r="J13" i="99"/>
  <c r="K87" i="97"/>
  <c r="M87" i="97" s="1"/>
  <c r="J106" i="97"/>
  <c r="Z90" i="97"/>
  <c r="J90" i="97"/>
  <c r="J104" i="97"/>
  <c r="K85" i="97"/>
  <c r="J129" i="97"/>
  <c r="G146" i="97"/>
  <c r="M7" i="98"/>
  <c r="G145" i="97"/>
  <c r="K69" i="97"/>
  <c r="M69" i="97" s="1"/>
  <c r="O69" i="97" s="1"/>
  <c r="M6" i="98"/>
  <c r="J128" i="97"/>
  <c r="K68" i="97"/>
  <c r="M68" i="97" s="1"/>
  <c r="O68" i="97" s="1"/>
  <c r="J127" i="97"/>
  <c r="M5" i="98"/>
  <c r="G144" i="97"/>
  <c r="J126" i="97"/>
  <c r="G143" i="97"/>
  <c r="M4" i="98"/>
  <c r="K67" i="97"/>
  <c r="M67" i="97" s="1"/>
  <c r="O67" i="97" s="1"/>
  <c r="AD66" i="97"/>
  <c r="AD71" i="97" s="1"/>
  <c r="AE71" i="97"/>
  <c r="U71" i="97"/>
  <c r="Y73" i="97" s="1"/>
  <c r="AB66" i="97"/>
  <c r="N71" i="97"/>
  <c r="M66" i="97"/>
  <c r="K71" i="97"/>
  <c r="M3" i="98"/>
  <c r="M9" i="98" s="1"/>
  <c r="N22" i="36" s="1"/>
  <c r="J125" i="97"/>
  <c r="G142" i="97"/>
  <c r="G147" i="97" s="1"/>
  <c r="D71" i="97"/>
  <c r="G129" i="97"/>
  <c r="K51" i="97"/>
  <c r="M51" i="97" s="1"/>
  <c r="O51" i="97" s="1"/>
  <c r="G128" i="97"/>
  <c r="K50" i="97"/>
  <c r="M50" i="97" s="1"/>
  <c r="O50" i="97" s="1"/>
  <c r="G127" i="97"/>
  <c r="K49" i="97"/>
  <c r="M49" i="97" s="1"/>
  <c r="O49" i="97" s="1"/>
  <c r="K48" i="97"/>
  <c r="M48" i="97" s="1"/>
  <c r="O48" i="97" s="1"/>
  <c r="G126" i="97"/>
  <c r="U52" i="97"/>
  <c r="Y54" i="97" s="1"/>
  <c r="AB47" i="97"/>
  <c r="N52" i="97"/>
  <c r="K47" i="97"/>
  <c r="D52" i="97"/>
  <c r="G125" i="97"/>
  <c r="F146" i="97"/>
  <c r="H129" i="97"/>
  <c r="E7" i="98"/>
  <c r="K32" i="97"/>
  <c r="M32" i="97" s="1"/>
  <c r="O32" i="97" s="1"/>
  <c r="E6" i="98"/>
  <c r="K31" i="97"/>
  <c r="M31" i="97" s="1"/>
  <c r="O31" i="97" s="1"/>
  <c r="H128" i="97"/>
  <c r="F145" i="97"/>
  <c r="F144" i="97"/>
  <c r="K30" i="97"/>
  <c r="M30" i="97" s="1"/>
  <c r="O30" i="97" s="1"/>
  <c r="H127" i="97"/>
  <c r="E5" i="98"/>
  <c r="E4" i="98"/>
  <c r="K29" i="97"/>
  <c r="M29" i="97" s="1"/>
  <c r="O29" i="97" s="1"/>
  <c r="F143" i="97"/>
  <c r="H126" i="97"/>
  <c r="AE33" i="97"/>
  <c r="AD28" i="97"/>
  <c r="AD33" i="97" s="1"/>
  <c r="U33" i="97"/>
  <c r="Y35" i="97" s="1"/>
  <c r="N33" i="97"/>
  <c r="AB28" i="97"/>
  <c r="K28" i="97"/>
  <c r="H125" i="97"/>
  <c r="E3" i="98"/>
  <c r="E9" i="98" s="1"/>
  <c r="F22" i="36" s="1"/>
  <c r="D33" i="97"/>
  <c r="F142" i="97"/>
  <c r="F147" i="97" s="1"/>
  <c r="AC13" i="99"/>
  <c r="AC64" i="90"/>
  <c r="Z13" i="99"/>
  <c r="Z64" i="90"/>
  <c r="AB13" i="97"/>
  <c r="AF13" i="97" s="1"/>
  <c r="AG13" i="97" s="1"/>
  <c r="AH13" i="97" s="1"/>
  <c r="K13" i="97"/>
  <c r="M13" i="97" s="1"/>
  <c r="O13" i="97" s="1"/>
  <c r="AE12" i="99"/>
  <c r="AE63" i="90"/>
  <c r="AC12" i="99"/>
  <c r="AC63" i="90"/>
  <c r="AA63" i="90"/>
  <c r="AA12" i="99"/>
  <c r="Z12" i="99"/>
  <c r="Z63" i="90"/>
  <c r="Y12" i="99"/>
  <c r="Y63" i="90"/>
  <c r="X12" i="99"/>
  <c r="X63" i="90"/>
  <c r="W63" i="90"/>
  <c r="W12" i="99"/>
  <c r="V12" i="99"/>
  <c r="V63" i="90"/>
  <c r="U107" i="97"/>
  <c r="AB12" i="97"/>
  <c r="N107" i="97"/>
  <c r="I12" i="99"/>
  <c r="I63" i="90"/>
  <c r="H12" i="99"/>
  <c r="H63" i="90"/>
  <c r="G63" i="90"/>
  <c r="G12" i="99"/>
  <c r="F12" i="99"/>
  <c r="F63" i="90"/>
  <c r="E12" i="99"/>
  <c r="E63" i="90"/>
  <c r="D107" i="97"/>
  <c r="K12" i="97"/>
  <c r="M12" i="97" s="1"/>
  <c r="O12" i="97" s="1"/>
  <c r="AD11" i="97"/>
  <c r="AE106" i="97"/>
  <c r="AC11" i="99"/>
  <c r="AC62" i="90"/>
  <c r="Z11" i="99"/>
  <c r="Z62" i="90"/>
  <c r="Y11" i="99"/>
  <c r="Y62" i="90"/>
  <c r="X62" i="90"/>
  <c r="X11" i="99"/>
  <c r="W11" i="99"/>
  <c r="W62" i="90"/>
  <c r="V11" i="99"/>
  <c r="V62" i="90"/>
  <c r="U106" i="97"/>
  <c r="AB11" i="97"/>
  <c r="AF11" i="97" s="1"/>
  <c r="AG11" i="97" s="1"/>
  <c r="AH11" i="97" s="1"/>
  <c r="I11" i="99"/>
  <c r="I62" i="90"/>
  <c r="H62" i="90"/>
  <c r="H11" i="99"/>
  <c r="G11" i="99"/>
  <c r="G62" i="90"/>
  <c r="F62" i="90"/>
  <c r="F11" i="99"/>
  <c r="E62" i="90"/>
  <c r="E11" i="99"/>
  <c r="D106" i="97"/>
  <c r="K11" i="97"/>
  <c r="M11" i="97" s="1"/>
  <c r="O11" i="97" s="1"/>
  <c r="AE105" i="97"/>
  <c r="AD105" i="97" s="1"/>
  <c r="AD10" i="97"/>
  <c r="AC61" i="90"/>
  <c r="AC10" i="99"/>
  <c r="AA10" i="99"/>
  <c r="AA61" i="90"/>
  <c r="Z10" i="99"/>
  <c r="Z61" i="90"/>
  <c r="Y61" i="90"/>
  <c r="Y10" i="99"/>
  <c r="X10" i="99"/>
  <c r="X61" i="90"/>
  <c r="W10" i="99"/>
  <c r="W61" i="90"/>
  <c r="V10" i="99"/>
  <c r="V61" i="90"/>
  <c r="U105" i="97"/>
  <c r="AF10" i="97"/>
  <c r="AB10" i="97"/>
  <c r="AB105" i="97" s="1"/>
  <c r="N105" i="97"/>
  <c r="I10" i="99"/>
  <c r="I61" i="90"/>
  <c r="H61" i="90"/>
  <c r="H10" i="99"/>
  <c r="G61" i="90"/>
  <c r="G10" i="99"/>
  <c r="F10" i="99"/>
  <c r="F61" i="90"/>
  <c r="E10" i="99"/>
  <c r="E61" i="90"/>
  <c r="D105" i="97"/>
  <c r="K10" i="97"/>
  <c r="M10" i="97" s="1"/>
  <c r="O10" i="97" s="1"/>
  <c r="AD9" i="97"/>
  <c r="AD14" i="97" s="1"/>
  <c r="AE104" i="97"/>
  <c r="AE14" i="97"/>
  <c r="AC14" i="97"/>
  <c r="AC104" i="97"/>
  <c r="AA14" i="97"/>
  <c r="AA104" i="97"/>
  <c r="Z104" i="97"/>
  <c r="Z14" i="97"/>
  <c r="Y104" i="97"/>
  <c r="Y14" i="97"/>
  <c r="X14" i="97"/>
  <c r="X104" i="97"/>
  <c r="W14" i="97"/>
  <c r="W104" i="97"/>
  <c r="V14" i="97"/>
  <c r="V104" i="97"/>
  <c r="U104" i="97"/>
  <c r="U14" i="97"/>
  <c r="Y16" i="97" s="1"/>
  <c r="N14" i="97"/>
  <c r="AB9" i="97"/>
  <c r="AF9" i="97" s="1"/>
  <c r="I104" i="97"/>
  <c r="I14" i="97"/>
  <c r="H14" i="97"/>
  <c r="H104" i="97"/>
  <c r="G104" i="97"/>
  <c r="G14" i="97"/>
  <c r="F104" i="97"/>
  <c r="F14" i="97"/>
  <c r="E104" i="97"/>
  <c r="E14" i="97"/>
  <c r="D14" i="97"/>
  <c r="D104" i="97"/>
  <c r="K9" i="97"/>
  <c r="K45" i="97"/>
  <c r="Y45" i="97" s="1"/>
  <c r="Y7" i="97"/>
  <c r="K102" i="97"/>
  <c r="K122" i="97"/>
  <c r="K27" i="99" s="1"/>
  <c r="K83" i="97"/>
  <c r="Y83" i="97" s="1"/>
  <c r="K26" i="97"/>
  <c r="Y26" i="97" s="1"/>
  <c r="K64" i="97"/>
  <c r="Y64" i="97" s="1"/>
  <c r="G83" i="97"/>
  <c r="V83" i="97" s="1"/>
  <c r="G45" i="97"/>
  <c r="V45" i="97" s="1"/>
  <c r="V7" i="97"/>
  <c r="G26" i="97"/>
  <c r="V26" i="97" s="1"/>
  <c r="G102" i="97"/>
  <c r="G64" i="97"/>
  <c r="V64" i="97" s="1"/>
  <c r="G122" i="97"/>
  <c r="H27" i="99" s="1"/>
  <c r="D83" i="97"/>
  <c r="D64" i="97"/>
  <c r="D45" i="97"/>
  <c r="D102" i="97"/>
  <c r="D7" i="99" s="1"/>
  <c r="D26" i="97"/>
  <c r="D44" i="97"/>
  <c r="D63" i="97"/>
  <c r="D101" i="97"/>
  <c r="D6" i="99" s="1"/>
  <c r="D82" i="97"/>
  <c r="D25" i="97"/>
  <c r="N41" i="97"/>
  <c r="AD41" i="97" s="1"/>
  <c r="AD3" i="97"/>
  <c r="N22" i="97"/>
  <c r="AD22" i="97" s="1"/>
  <c r="M117" i="97"/>
  <c r="N22" i="99" s="1"/>
  <c r="N79" i="97"/>
  <c r="AD79" i="97" s="1"/>
  <c r="N60" i="97"/>
  <c r="AD60" i="97" s="1"/>
  <c r="N98" i="97"/>
  <c r="C9" i="80"/>
  <c r="E40" i="91"/>
  <c r="E131" i="79"/>
  <c r="AH107" i="79"/>
  <c r="AG46" i="90"/>
  <c r="K26" i="79"/>
  <c r="Y26" i="79" s="1"/>
  <c r="Y7" i="79"/>
  <c r="K45" i="79"/>
  <c r="Y45" i="79" s="1"/>
  <c r="G45" i="79"/>
  <c r="V45" i="79" s="1"/>
  <c r="V7" i="79"/>
  <c r="G26" i="79"/>
  <c r="V26" i="79" s="1"/>
  <c r="D45" i="79"/>
  <c r="D26" i="79"/>
  <c r="D44" i="79"/>
  <c r="D25" i="79"/>
  <c r="AD3" i="79"/>
  <c r="N22" i="79"/>
  <c r="AD22" i="79" s="1"/>
  <c r="N41" i="79"/>
  <c r="AD41" i="79" s="1"/>
  <c r="C9" i="77"/>
  <c r="G3" i="77"/>
  <c r="E35" i="76"/>
  <c r="E131" i="75"/>
  <c r="L8" i="77"/>
  <c r="E26" i="91"/>
  <c r="I34" i="76"/>
  <c r="I25" i="91"/>
  <c r="I32" i="76"/>
  <c r="I23" i="91"/>
  <c r="I30" i="76"/>
  <c r="I21" i="91"/>
  <c r="J13" i="76"/>
  <c r="J11" i="76"/>
  <c r="L9" i="76"/>
  <c r="L14" i="76" s="1"/>
  <c r="L44" i="76" s="1"/>
  <c r="L109" i="75"/>
  <c r="L31" i="90" s="1"/>
  <c r="Z90" i="75"/>
  <c r="J129" i="75"/>
  <c r="M7" i="77"/>
  <c r="K70" i="75"/>
  <c r="M70" i="75" s="1"/>
  <c r="O70" i="75" s="1"/>
  <c r="G146" i="75"/>
  <c r="K68" i="75"/>
  <c r="M68" i="75" s="1"/>
  <c r="O68" i="75" s="1"/>
  <c r="G144" i="75"/>
  <c r="J127" i="75"/>
  <c r="M5" i="77"/>
  <c r="U71" i="75"/>
  <c r="Y73" i="75" s="1"/>
  <c r="AB66" i="75"/>
  <c r="N71" i="75"/>
  <c r="M3" i="77"/>
  <c r="M9" i="77" s="1"/>
  <c r="N20" i="36" s="1"/>
  <c r="N24" i="36" s="1"/>
  <c r="G142" i="75"/>
  <c r="G147" i="75" s="1"/>
  <c r="J125" i="75"/>
  <c r="D71" i="75"/>
  <c r="K66" i="75"/>
  <c r="G129" i="75"/>
  <c r="K51" i="75"/>
  <c r="M51" i="75" s="1"/>
  <c r="O51" i="75" s="1"/>
  <c r="K49" i="75"/>
  <c r="M49" i="75" s="1"/>
  <c r="O49" i="75" s="1"/>
  <c r="G127" i="75"/>
  <c r="G126" i="75"/>
  <c r="K48" i="75"/>
  <c r="M48" i="75" s="1"/>
  <c r="O48" i="75" s="1"/>
  <c r="AG48" i="75" s="1"/>
  <c r="AH48" i="75" s="1"/>
  <c r="U52" i="75"/>
  <c r="Y54" i="75" s="1"/>
  <c r="AB47" i="75"/>
  <c r="N52" i="75"/>
  <c r="K47" i="75"/>
  <c r="D52" i="75"/>
  <c r="G125" i="75"/>
  <c r="H129" i="75"/>
  <c r="K32" i="75"/>
  <c r="M32" i="75" s="1"/>
  <c r="O32" i="75" s="1"/>
  <c r="E7" i="77"/>
  <c r="F146" i="75"/>
  <c r="H127" i="75"/>
  <c r="E5" i="77"/>
  <c r="K30" i="75"/>
  <c r="M30" i="75" s="1"/>
  <c r="O30" i="75" s="1"/>
  <c r="F144" i="75"/>
  <c r="AE33" i="75"/>
  <c r="AD28" i="75"/>
  <c r="AD33" i="75" s="1"/>
  <c r="U33" i="75"/>
  <c r="Y35" i="75" s="1"/>
  <c r="N33" i="75"/>
  <c r="AB28" i="75"/>
  <c r="D33" i="75"/>
  <c r="E3" i="77"/>
  <c r="E9" i="77" s="1"/>
  <c r="F20" i="36" s="1"/>
  <c r="F24" i="36" s="1"/>
  <c r="F142" i="75"/>
  <c r="F147" i="75" s="1"/>
  <c r="K28" i="75"/>
  <c r="H125" i="75"/>
  <c r="AD13" i="75"/>
  <c r="AE108" i="75"/>
  <c r="AD108" i="75" s="1"/>
  <c r="AC13" i="76"/>
  <c r="AC30" i="90"/>
  <c r="AA13" i="76"/>
  <c r="AA30" i="90"/>
  <c r="Z13" i="76"/>
  <c r="Z30" i="90"/>
  <c r="Y13" i="76"/>
  <c r="Y30" i="90"/>
  <c r="X13" i="76"/>
  <c r="X30" i="90"/>
  <c r="W13" i="76"/>
  <c r="W30" i="90"/>
  <c r="V13" i="76"/>
  <c r="V30" i="90"/>
  <c r="U108" i="75"/>
  <c r="AB13" i="75"/>
  <c r="N108" i="75"/>
  <c r="I13" i="76"/>
  <c r="I30" i="90"/>
  <c r="H13" i="76"/>
  <c r="H30" i="90"/>
  <c r="G13" i="76"/>
  <c r="G30" i="90"/>
  <c r="F13" i="76"/>
  <c r="F30" i="90"/>
  <c r="E13" i="76"/>
  <c r="E30" i="90"/>
  <c r="K13" i="75"/>
  <c r="M13" i="75" s="1"/>
  <c r="O13" i="75" s="1"/>
  <c r="D108" i="75"/>
  <c r="Z12" i="76"/>
  <c r="Z29" i="90"/>
  <c r="AD11" i="75"/>
  <c r="AD14" i="75" s="1"/>
  <c r="AE106" i="75"/>
  <c r="AD106" i="75" s="1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N106" i="75"/>
  <c r="AB11" i="75"/>
  <c r="I11" i="76"/>
  <c r="I28" i="90"/>
  <c r="H11" i="76"/>
  <c r="H28" i="90"/>
  <c r="G11" i="76"/>
  <c r="G28" i="90"/>
  <c r="F11" i="76"/>
  <c r="F28" i="90"/>
  <c r="E11" i="76"/>
  <c r="E28" i="90"/>
  <c r="K11" i="75"/>
  <c r="M11" i="75" s="1"/>
  <c r="O11" i="75" s="1"/>
  <c r="D106" i="75"/>
  <c r="AC10" i="76"/>
  <c r="AC27" i="90"/>
  <c r="Z10" i="76"/>
  <c r="Z27" i="90"/>
  <c r="AF10" i="75"/>
  <c r="AB10" i="75"/>
  <c r="K10" i="75"/>
  <c r="M10" i="75" s="1"/>
  <c r="O10" i="75" s="1"/>
  <c r="AE14" i="75"/>
  <c r="AE104" i="75"/>
  <c r="AC104" i="75"/>
  <c r="AC14" i="75"/>
  <c r="AA14" i="75"/>
  <c r="AA104" i="75"/>
  <c r="Z14" i="75"/>
  <c r="Z104" i="75"/>
  <c r="Y14" i="75"/>
  <c r="Y104" i="75"/>
  <c r="X14" i="75"/>
  <c r="X104" i="75"/>
  <c r="W104" i="75"/>
  <c r="W14" i="75"/>
  <c r="V104" i="75"/>
  <c r="V14" i="75"/>
  <c r="U104" i="75"/>
  <c r="U14" i="75"/>
  <c r="Y16" i="75" s="1"/>
  <c r="N104" i="75"/>
  <c r="AB9" i="75"/>
  <c r="AF9" i="75" s="1"/>
  <c r="N14" i="75"/>
  <c r="I14" i="75"/>
  <c r="I104" i="75"/>
  <c r="H104" i="75"/>
  <c r="H14" i="75"/>
  <c r="G104" i="75"/>
  <c r="G14" i="75"/>
  <c r="F104" i="75"/>
  <c r="F14" i="75"/>
  <c r="E104" i="75"/>
  <c r="E14" i="75"/>
  <c r="K9" i="75"/>
  <c r="D104" i="75"/>
  <c r="D14" i="75"/>
  <c r="K26" i="75"/>
  <c r="Y26" i="75" s="1"/>
  <c r="K122" i="75"/>
  <c r="K27" i="76" s="1"/>
  <c r="Y7" i="75"/>
  <c r="K45" i="75"/>
  <c r="Y45" i="75" s="1"/>
  <c r="K102" i="75"/>
  <c r="K64" i="75"/>
  <c r="Y64" i="75" s="1"/>
  <c r="K83" i="75"/>
  <c r="Y83" i="75" s="1"/>
  <c r="G102" i="75"/>
  <c r="V7" i="75"/>
  <c r="G122" i="75"/>
  <c r="H27" i="76" s="1"/>
  <c r="G26" i="75"/>
  <c r="V26" i="75" s="1"/>
  <c r="G83" i="75"/>
  <c r="V83" i="75" s="1"/>
  <c r="G45" i="75"/>
  <c r="V45" i="75" s="1"/>
  <c r="G64" i="75"/>
  <c r="V64" i="75" s="1"/>
  <c r="D45" i="75"/>
  <c r="D26" i="75"/>
  <c r="D83" i="75"/>
  <c r="D102" i="75"/>
  <c r="D7" i="76" s="1"/>
  <c r="D64" i="75"/>
  <c r="D44" i="75"/>
  <c r="D25" i="75"/>
  <c r="D82" i="75"/>
  <c r="D63" i="75"/>
  <c r="D101" i="75"/>
  <c r="D6" i="76" s="1"/>
  <c r="N41" i="75"/>
  <c r="AD41" i="75" s="1"/>
  <c r="N98" i="75"/>
  <c r="M117" i="75"/>
  <c r="N22" i="76" s="1"/>
  <c r="N22" i="75"/>
  <c r="AD22" i="75" s="1"/>
  <c r="AD3" i="75"/>
  <c r="N60" i="75"/>
  <c r="AD60" i="75" s="1"/>
  <c r="N79" i="75"/>
  <c r="AD79" i="75" s="1"/>
  <c r="C9" i="36"/>
  <c r="C15" i="36" s="1"/>
  <c r="L8" i="36"/>
  <c r="E11" i="91"/>
  <c r="E97" i="91" s="1"/>
  <c r="E131" i="22"/>
  <c r="K7" i="39"/>
  <c r="Y7" i="39" s="1"/>
  <c r="Y102" i="22"/>
  <c r="K7" i="88"/>
  <c r="Y7" i="88" s="1"/>
  <c r="G7" i="39"/>
  <c r="V7" i="39" s="1"/>
  <c r="V102" i="22"/>
  <c r="G7" i="88"/>
  <c r="V7" i="88" s="1"/>
  <c r="D7" i="88"/>
  <c r="D7" i="39"/>
  <c r="D6" i="88"/>
  <c r="D6" i="39"/>
  <c r="N3" i="88"/>
  <c r="AD3" i="88" s="1"/>
  <c r="AD98" i="22"/>
  <c r="N3" i="39"/>
  <c r="AD3" i="39" s="1"/>
  <c r="G126" i="22"/>
  <c r="K48" i="22"/>
  <c r="M48" i="22" s="1"/>
  <c r="O48" i="22" s="1"/>
  <c r="AG48" i="22" s="1"/>
  <c r="AH48" i="22" s="1"/>
  <c r="AD47" i="22"/>
  <c r="AD52" i="22" s="1"/>
  <c r="AE52" i="22"/>
  <c r="U52" i="22"/>
  <c r="N52" i="22"/>
  <c r="AB47" i="22"/>
  <c r="K47" i="22"/>
  <c r="D52" i="22"/>
  <c r="G125" i="22"/>
  <c r="Z13" i="22"/>
  <c r="Z108" i="22" s="1"/>
  <c r="L13" i="79"/>
  <c r="L108" i="22"/>
  <c r="L12" i="79"/>
  <c r="Z12" i="22"/>
  <c r="Z107" i="22" s="1"/>
  <c r="L107" i="22"/>
  <c r="AB11" i="22"/>
  <c r="Z11" i="22"/>
  <c r="L106" i="22"/>
  <c r="L11" i="79"/>
  <c r="AC10" i="39"/>
  <c r="AC10" i="90"/>
  <c r="AB10" i="22"/>
  <c r="L10" i="79"/>
  <c r="Z10" i="22"/>
  <c r="L105" i="22"/>
  <c r="AC14" i="22"/>
  <c r="AB9" i="22"/>
  <c r="L104" i="22"/>
  <c r="Z9" i="22"/>
  <c r="L9" i="79"/>
  <c r="L14" i="22"/>
  <c r="P17" i="89"/>
  <c r="T19" i="89" s="1"/>
  <c r="U12" i="89"/>
  <c r="U17" i="89" s="1"/>
  <c r="D17" i="89"/>
  <c r="J12" i="89"/>
  <c r="R31" i="95"/>
  <c r="K32" i="95"/>
  <c r="O31" i="95"/>
  <c r="J89" i="22"/>
  <c r="J89" i="79"/>
  <c r="J88" i="75"/>
  <c r="J88" i="22"/>
  <c r="J87" i="79"/>
  <c r="J87" i="22"/>
  <c r="J86" i="75"/>
  <c r="J86" i="22"/>
  <c r="Z52" i="69"/>
  <c r="Z85" i="79"/>
  <c r="Z90" i="79" s="1"/>
  <c r="J52" i="69"/>
  <c r="J85" i="75"/>
  <c r="J85" i="22"/>
  <c r="J85" i="79"/>
  <c r="J90" i="79" s="1"/>
  <c r="W88" i="22"/>
  <c r="W88" i="75"/>
  <c r="W107" i="75" s="1"/>
  <c r="V88" i="75"/>
  <c r="V107" i="75" s="1"/>
  <c r="V88" i="22"/>
  <c r="U50" i="69"/>
  <c r="N50" i="69"/>
  <c r="AB12" i="69"/>
  <c r="I88" i="22"/>
  <c r="I88" i="75"/>
  <c r="I107" i="75" s="1"/>
  <c r="H88" i="75"/>
  <c r="H107" i="75" s="1"/>
  <c r="H88" i="22"/>
  <c r="G88" i="22"/>
  <c r="G88" i="75"/>
  <c r="G107" i="75" s="1"/>
  <c r="F88" i="75"/>
  <c r="F107" i="75" s="1"/>
  <c r="F88" i="22"/>
  <c r="E88" i="22"/>
  <c r="E88" i="75"/>
  <c r="E107" i="75" s="1"/>
  <c r="D50" i="69"/>
  <c r="K12" i="69"/>
  <c r="M12" i="69" s="1"/>
  <c r="O12" i="69" s="1"/>
  <c r="AD49" i="69"/>
  <c r="AC11" i="69"/>
  <c r="AC49" i="69" s="1"/>
  <c r="AD87" i="79" s="1"/>
  <c r="AA87" i="22"/>
  <c r="AA106" i="22" s="1"/>
  <c r="AA87" i="79"/>
  <c r="AA106" i="79" s="1"/>
  <c r="AA87" i="97"/>
  <c r="Y87" i="22"/>
  <c r="Y87" i="79"/>
  <c r="Y106" i="79" s="1"/>
  <c r="X87" i="22"/>
  <c r="X87" i="79"/>
  <c r="X106" i="79" s="1"/>
  <c r="W87" i="22"/>
  <c r="W87" i="79"/>
  <c r="W106" i="79" s="1"/>
  <c r="V87" i="22"/>
  <c r="V87" i="79"/>
  <c r="V106" i="79" s="1"/>
  <c r="U49" i="69"/>
  <c r="AB11" i="69"/>
  <c r="N49" i="69"/>
  <c r="I87" i="22"/>
  <c r="I87" i="79"/>
  <c r="I106" i="79" s="1"/>
  <c r="H87" i="22"/>
  <c r="H87" i="79"/>
  <c r="H106" i="79" s="1"/>
  <c r="G87" i="22"/>
  <c r="G87" i="79"/>
  <c r="G106" i="79" s="1"/>
  <c r="F87" i="22"/>
  <c r="F87" i="79"/>
  <c r="F106" i="79" s="1"/>
  <c r="E87" i="22"/>
  <c r="E87" i="79"/>
  <c r="E106" i="79" s="1"/>
  <c r="K11" i="69"/>
  <c r="M11" i="69" s="1"/>
  <c r="O11" i="69" s="1"/>
  <c r="D49" i="69"/>
  <c r="AC10" i="69"/>
  <c r="AC48" i="69" s="1"/>
  <c r="AD48" i="69"/>
  <c r="AA86" i="22"/>
  <c r="AA86" i="75"/>
  <c r="Y86" i="22"/>
  <c r="Y86" i="75"/>
  <c r="X86" i="22"/>
  <c r="X86" i="75"/>
  <c r="W86" i="75"/>
  <c r="W86" i="22"/>
  <c r="V86" i="22"/>
  <c r="V86" i="75"/>
  <c r="U48" i="69"/>
  <c r="AB10" i="69"/>
  <c r="N48" i="69"/>
  <c r="I86" i="75"/>
  <c r="I86" i="22"/>
  <c r="I105" i="22" s="1"/>
  <c r="H86" i="22"/>
  <c r="H105" i="22" s="1"/>
  <c r="H86" i="75"/>
  <c r="G86" i="22"/>
  <c r="G105" i="22" s="1"/>
  <c r="G86" i="75"/>
  <c r="F86" i="75"/>
  <c r="F86" i="22"/>
  <c r="F105" i="22" s="1"/>
  <c r="E86" i="22"/>
  <c r="E105" i="22" s="1"/>
  <c r="E86" i="75"/>
  <c r="K10" i="69"/>
  <c r="M10" i="69" s="1"/>
  <c r="O10" i="69" s="1"/>
  <c r="D48" i="69"/>
  <c r="AD47" i="69"/>
  <c r="AC9" i="69"/>
  <c r="AD14" i="69"/>
  <c r="AA47" i="69"/>
  <c r="AA14" i="69"/>
  <c r="Y14" i="69"/>
  <c r="Y47" i="69"/>
  <c r="X14" i="69"/>
  <c r="X47" i="69"/>
  <c r="W14" i="69"/>
  <c r="W47" i="69"/>
  <c r="V47" i="69"/>
  <c r="V14" i="69"/>
  <c r="U14" i="69"/>
  <c r="Y16" i="69" s="1"/>
  <c r="U47" i="69"/>
  <c r="AB9" i="69"/>
  <c r="AE9" i="69" s="1"/>
  <c r="N47" i="69"/>
  <c r="N14" i="69"/>
  <c r="I47" i="69"/>
  <c r="I14" i="69"/>
  <c r="H47" i="69"/>
  <c r="H14" i="69"/>
  <c r="G14" i="69"/>
  <c r="G47" i="69"/>
  <c r="F14" i="69"/>
  <c r="F47" i="69"/>
  <c r="E14" i="69"/>
  <c r="E47" i="69"/>
  <c r="K9" i="69"/>
  <c r="D14" i="69"/>
  <c r="D47" i="69"/>
  <c r="Y7" i="69"/>
  <c r="K26" i="69"/>
  <c r="Y26" i="69" s="1"/>
  <c r="K45" i="69"/>
  <c r="Y45" i="69" s="1"/>
  <c r="H45" i="69"/>
  <c r="V45" i="69" s="1"/>
  <c r="V7" i="69"/>
  <c r="H26" i="69"/>
  <c r="V26" i="69" s="1"/>
  <c r="D26" i="69"/>
  <c r="D45" i="69"/>
  <c r="D44" i="69"/>
  <c r="D25" i="69"/>
  <c r="N41" i="69"/>
  <c r="AC41" i="69" s="1"/>
  <c r="AC3" i="69"/>
  <c r="N22" i="69"/>
  <c r="AC22" i="69" s="1"/>
  <c r="AD33" i="69"/>
  <c r="AC28" i="69"/>
  <c r="AC33" i="69" s="1"/>
  <c r="U33" i="69"/>
  <c r="Y35" i="69" s="1"/>
  <c r="AB28" i="69"/>
  <c r="N33" i="69"/>
  <c r="K28" i="69"/>
  <c r="D33" i="69"/>
  <c r="AC13" i="69"/>
  <c r="AC51" i="69" s="1"/>
  <c r="AD51" i="69"/>
  <c r="U51" i="69"/>
  <c r="AB13" i="69"/>
  <c r="N51" i="69"/>
  <c r="F89" i="22"/>
  <c r="F108" i="22" s="1"/>
  <c r="F89" i="79"/>
  <c r="F108" i="79" s="1"/>
  <c r="F89" i="97"/>
  <c r="E89" i="79"/>
  <c r="E108" i="79" s="1"/>
  <c r="E89" i="97"/>
  <c r="E89" i="22"/>
  <c r="E108" i="22" s="1"/>
  <c r="K13" i="69"/>
  <c r="M13" i="69" s="1"/>
  <c r="O13" i="69" s="1"/>
  <c r="D51" i="69"/>
  <c r="AC12" i="69"/>
  <c r="AC50" i="69" s="1"/>
  <c r="AD50" i="69"/>
  <c r="AA88" i="22"/>
  <c r="AA88" i="75"/>
  <c r="AA107" i="75" s="1"/>
  <c r="Y88" i="22"/>
  <c r="Y88" i="75"/>
  <c r="Y107" i="75" s="1"/>
  <c r="X88" i="22"/>
  <c r="X88" i="75"/>
  <c r="X107" i="75" s="1"/>
  <c r="K70" i="79"/>
  <c r="M70" i="79" s="1"/>
  <c r="O70" i="79" s="1"/>
  <c r="AG70" i="79" s="1"/>
  <c r="AH70" i="79" s="1"/>
  <c r="J129" i="79"/>
  <c r="G146" i="79"/>
  <c r="M7" i="80"/>
  <c r="K70" i="22"/>
  <c r="M70" i="22" s="1"/>
  <c r="O70" i="22" s="1"/>
  <c r="J129" i="22"/>
  <c r="G146" i="22"/>
  <c r="M7" i="36"/>
  <c r="K69" i="79"/>
  <c r="M69" i="79" s="1"/>
  <c r="O69" i="79" s="1"/>
  <c r="AG69" i="79" s="1"/>
  <c r="AH69" i="79" s="1"/>
  <c r="J128" i="79"/>
  <c r="G145" i="79"/>
  <c r="M6" i="80"/>
  <c r="K69" i="75"/>
  <c r="M69" i="75" s="1"/>
  <c r="O69" i="75" s="1"/>
  <c r="AG69" i="75" s="1"/>
  <c r="AH69" i="75" s="1"/>
  <c r="J128" i="75"/>
  <c r="G145" i="75"/>
  <c r="M6" i="77"/>
  <c r="K69" i="22"/>
  <c r="M69" i="22" s="1"/>
  <c r="O69" i="22" s="1"/>
  <c r="AG69" i="22" s="1"/>
  <c r="AH69" i="22" s="1"/>
  <c r="J128" i="22"/>
  <c r="G145" i="22"/>
  <c r="M6" i="36"/>
  <c r="K68" i="79"/>
  <c r="M68" i="79" s="1"/>
  <c r="O68" i="79" s="1"/>
  <c r="AG68" i="79" s="1"/>
  <c r="AH68" i="79" s="1"/>
  <c r="J127" i="79"/>
  <c r="G144" i="79"/>
  <c r="M5" i="80"/>
  <c r="K68" i="22"/>
  <c r="M68" i="22" s="1"/>
  <c r="O68" i="22" s="1"/>
  <c r="AG68" i="22" s="1"/>
  <c r="AH68" i="22" s="1"/>
  <c r="J127" i="22"/>
  <c r="G144" i="22"/>
  <c r="M5" i="36"/>
  <c r="K67" i="79"/>
  <c r="M67" i="79" s="1"/>
  <c r="O67" i="79" s="1"/>
  <c r="AG67" i="79" s="1"/>
  <c r="AH67" i="79" s="1"/>
  <c r="J126" i="79"/>
  <c r="G143" i="79"/>
  <c r="M4" i="80"/>
  <c r="K67" i="75"/>
  <c r="M67" i="75" s="1"/>
  <c r="O67" i="75" s="1"/>
  <c r="AG67" i="75" s="1"/>
  <c r="AH67" i="75" s="1"/>
  <c r="J126" i="75"/>
  <c r="G143" i="75"/>
  <c r="M4" i="77"/>
  <c r="J126" i="22"/>
  <c r="G143" i="22"/>
  <c r="M4" i="36"/>
  <c r="K67" i="22"/>
  <c r="M67" i="22" s="1"/>
  <c r="O67" i="22" s="1"/>
  <c r="AE71" i="79"/>
  <c r="AD66" i="79"/>
  <c r="AD71" i="79" s="1"/>
  <c r="AB66" i="79"/>
  <c r="AB71" i="79" s="1"/>
  <c r="N71" i="79"/>
  <c r="AF66" i="79"/>
  <c r="U71" i="79"/>
  <c r="Y73" i="79" s="1"/>
  <c r="K66" i="79"/>
  <c r="D71" i="79"/>
  <c r="J125" i="79"/>
  <c r="G142" i="79"/>
  <c r="G147" i="79" s="1"/>
  <c r="M3" i="80"/>
  <c r="M9" i="80" s="1"/>
  <c r="N21" i="36" s="1"/>
  <c r="AE66" i="22"/>
  <c r="D394" i="61"/>
  <c r="Q393" i="61"/>
  <c r="AC66" i="22"/>
  <c r="N66" i="22"/>
  <c r="P393" i="61"/>
  <c r="AA66" i="22"/>
  <c r="O393" i="61"/>
  <c r="Y66" i="22"/>
  <c r="N393" i="61"/>
  <c r="M393" i="61"/>
  <c r="X66" i="22"/>
  <c r="L393" i="61"/>
  <c r="W66" i="22"/>
  <c r="K393" i="61"/>
  <c r="V66" i="22"/>
  <c r="U66" i="22"/>
  <c r="J393" i="61"/>
  <c r="I66" i="22"/>
  <c r="I393" i="61"/>
  <c r="H66" i="22"/>
  <c r="H393" i="61"/>
  <c r="G66" i="22"/>
  <c r="G393" i="61"/>
  <c r="F393" i="61"/>
  <c r="F66" i="22"/>
  <c r="E66" i="22"/>
  <c r="E393" i="61"/>
  <c r="D66" i="22"/>
  <c r="D393" i="61"/>
  <c r="K32" i="79"/>
  <c r="M32" i="79" s="1"/>
  <c r="O32" i="79" s="1"/>
  <c r="H129" i="79"/>
  <c r="F146" i="79"/>
  <c r="E7" i="80"/>
  <c r="K32" i="22"/>
  <c r="M32" i="22" s="1"/>
  <c r="O32" i="22" s="1"/>
  <c r="H129" i="22"/>
  <c r="F146" i="22"/>
  <c r="E7" i="36"/>
  <c r="K31" i="79"/>
  <c r="M31" i="79" s="1"/>
  <c r="O31" i="79" s="1"/>
  <c r="H128" i="79"/>
  <c r="F145" i="79"/>
  <c r="E6" i="80"/>
  <c r="K31" i="75"/>
  <c r="M31" i="75" s="1"/>
  <c r="O31" i="75" s="1"/>
  <c r="H128" i="75"/>
  <c r="F145" i="75"/>
  <c r="E6" i="77"/>
  <c r="K31" i="22"/>
  <c r="M31" i="22" s="1"/>
  <c r="O31" i="22" s="1"/>
  <c r="H128" i="22"/>
  <c r="F145" i="22"/>
  <c r="E6" i="36"/>
  <c r="K30" i="79"/>
  <c r="M30" i="79" s="1"/>
  <c r="O30" i="79" s="1"/>
  <c r="H127" i="79"/>
  <c r="F144" i="79"/>
  <c r="E5" i="80"/>
  <c r="H127" i="22"/>
  <c r="F144" i="22"/>
  <c r="E5" i="36"/>
  <c r="K30" i="22"/>
  <c r="M30" i="22" s="1"/>
  <c r="O30" i="22" s="1"/>
  <c r="K29" i="79"/>
  <c r="M29" i="79" s="1"/>
  <c r="O29" i="79" s="1"/>
  <c r="AG29" i="79" s="1"/>
  <c r="AH29" i="79" s="1"/>
  <c r="H126" i="79"/>
  <c r="F143" i="79"/>
  <c r="E4" i="80"/>
  <c r="K29" i="75"/>
  <c r="M29" i="75" s="1"/>
  <c r="O29" i="75" s="1"/>
  <c r="H126" i="75"/>
  <c r="F143" i="75"/>
  <c r="E4" i="77"/>
  <c r="AE29" i="22"/>
  <c r="AA29" i="22"/>
  <c r="Y29" i="22"/>
  <c r="X29" i="22"/>
  <c r="W29" i="22"/>
  <c r="V29" i="22"/>
  <c r="U29" i="22"/>
  <c r="N29" i="22"/>
  <c r="D29" i="22"/>
  <c r="AE33" i="79"/>
  <c r="AD28" i="79"/>
  <c r="AD33" i="79" s="1"/>
  <c r="U33" i="79"/>
  <c r="Y35" i="79" s="1"/>
  <c r="AB28" i="79"/>
  <c r="N33" i="79"/>
  <c r="K28" i="79"/>
  <c r="D33" i="79"/>
  <c r="H125" i="79"/>
  <c r="F142" i="79"/>
  <c r="F147" i="79" s="1"/>
  <c r="E3" i="80"/>
  <c r="E9" i="80" s="1"/>
  <c r="F21" i="36" s="1"/>
  <c r="AE33" i="22"/>
  <c r="AD28" i="22"/>
  <c r="U33" i="22"/>
  <c r="AB28" i="22"/>
  <c r="N33" i="22"/>
  <c r="H125" i="22"/>
  <c r="F142" i="22"/>
  <c r="E3" i="36"/>
  <c r="K28" i="22"/>
  <c r="D33" i="22"/>
  <c r="F12" i="64"/>
  <c r="F13" i="64"/>
  <c r="J13" i="22"/>
  <c r="I7" i="64"/>
  <c r="I6" i="64"/>
  <c r="J12" i="22"/>
  <c r="I5" i="64"/>
  <c r="J11" i="22"/>
  <c r="K11" i="22" s="1"/>
  <c r="M11" i="22" s="1"/>
  <c r="O11" i="22" s="1"/>
  <c r="I4" i="64"/>
  <c r="J10" i="22"/>
  <c r="K10" i="22" s="1"/>
  <c r="M10" i="22" s="1"/>
  <c r="O10" i="22" s="1"/>
  <c r="F9" i="64"/>
  <c r="I9" i="64" s="1"/>
  <c r="I3" i="64"/>
  <c r="J9" i="22"/>
  <c r="K9" i="22" s="1"/>
  <c r="L34" i="88"/>
  <c r="L81" i="91"/>
  <c r="L39" i="91"/>
  <c r="L34" i="81"/>
  <c r="L34" i="76"/>
  <c r="L25" i="91"/>
  <c r="L33" i="88"/>
  <c r="L80" i="91"/>
  <c r="L38" i="91"/>
  <c r="L33" i="81"/>
  <c r="L33" i="76"/>
  <c r="L24" i="91"/>
  <c r="L32" i="88"/>
  <c r="L79" i="91"/>
  <c r="L37" i="91"/>
  <c r="L32" i="81"/>
  <c r="L32" i="76"/>
  <c r="L23" i="91"/>
  <c r="L31" i="88"/>
  <c r="L78" i="91"/>
  <c r="L36" i="91"/>
  <c r="L31" i="81"/>
  <c r="L31" i="76"/>
  <c r="L22" i="91"/>
  <c r="L125" i="86"/>
  <c r="R26" i="56"/>
  <c r="R27" i="56" s="1"/>
  <c r="I26" i="56"/>
  <c r="I27" i="56" s="1"/>
  <c r="L125" i="79"/>
  <c r="L125" i="75"/>
  <c r="F26" i="56"/>
  <c r="F27" i="56" s="1"/>
  <c r="K34" i="88"/>
  <c r="K81" i="91"/>
  <c r="K34" i="81"/>
  <c r="K39" i="91"/>
  <c r="K34" i="76"/>
  <c r="K25" i="91"/>
  <c r="K33" i="88"/>
  <c r="K80" i="91"/>
  <c r="K33" i="81"/>
  <c r="K38" i="91"/>
  <c r="K33" i="76"/>
  <c r="K24" i="91"/>
  <c r="K32" i="88"/>
  <c r="K79" i="91"/>
  <c r="K37" i="91"/>
  <c r="K32" i="81"/>
  <c r="K32" i="76"/>
  <c r="K23" i="91"/>
  <c r="K31" i="88"/>
  <c r="K78" i="91"/>
  <c r="K36" i="91"/>
  <c r="K31" i="81"/>
  <c r="K31" i="76"/>
  <c r="K22" i="91"/>
  <c r="K125" i="86"/>
  <c r="R17" i="56"/>
  <c r="R18" i="56" s="1"/>
  <c r="I17" i="56"/>
  <c r="I18" i="56" s="1"/>
  <c r="K125" i="79"/>
  <c r="K125" i="75"/>
  <c r="F17" i="56"/>
  <c r="F18" i="56" s="1"/>
  <c r="K7" i="87"/>
  <c r="D34" i="88"/>
  <c r="D81" i="91"/>
  <c r="K7" i="80"/>
  <c r="D39" i="91"/>
  <c r="D34" i="81"/>
  <c r="K7" i="77"/>
  <c r="D34" i="76"/>
  <c r="D25" i="91"/>
  <c r="K6" i="87"/>
  <c r="D33" i="88"/>
  <c r="D80" i="91"/>
  <c r="K6" i="80"/>
  <c r="D33" i="81"/>
  <c r="D38" i="91"/>
  <c r="K6" i="77"/>
  <c r="D33" i="76"/>
  <c r="D24" i="91"/>
  <c r="K5" i="87"/>
  <c r="D32" i="88"/>
  <c r="D79" i="91"/>
  <c r="K5" i="80"/>
  <c r="D37" i="91"/>
  <c r="D32" i="81"/>
  <c r="K5" i="77"/>
  <c r="D32" i="76"/>
  <c r="D23" i="91"/>
  <c r="K4" i="87"/>
  <c r="D31" i="88"/>
  <c r="D78" i="91"/>
  <c r="K4" i="80"/>
  <c r="D36" i="91"/>
  <c r="D31" i="81"/>
  <c r="K4" i="77"/>
  <c r="D31" i="76"/>
  <c r="D22" i="91"/>
  <c r="R8" i="56"/>
  <c r="R9" i="56" s="1"/>
  <c r="D125" i="86"/>
  <c r="D125" i="79"/>
  <c r="I8" i="56"/>
  <c r="I9" i="56" s="1"/>
  <c r="F8" i="56"/>
  <c r="F9" i="56" s="1"/>
  <c r="D125" i="75"/>
  <c r="L34" i="39"/>
  <c r="L10" i="91"/>
  <c r="K34" i="39"/>
  <c r="K10" i="91"/>
  <c r="L33" i="39"/>
  <c r="L9" i="91"/>
  <c r="K33" i="39"/>
  <c r="K9" i="91"/>
  <c r="L32" i="39"/>
  <c r="L8" i="91"/>
  <c r="K32" i="39"/>
  <c r="K8" i="91"/>
  <c r="L31" i="39"/>
  <c r="L7" i="91"/>
  <c r="K31" i="39"/>
  <c r="K7" i="91"/>
  <c r="C21" i="56"/>
  <c r="N4" i="70"/>
  <c r="M4" i="70"/>
  <c r="C12" i="56"/>
  <c r="D5" i="70"/>
  <c r="D6" i="70" s="1"/>
  <c r="N3" i="70"/>
  <c r="C5" i="70"/>
  <c r="C6" i="70" s="1"/>
  <c r="M3" i="70"/>
  <c r="M5" i="70" s="1"/>
  <c r="M6" i="70" s="1"/>
  <c r="D79" i="62"/>
  <c r="E79" i="62"/>
  <c r="I146" i="85" s="1"/>
  <c r="F7" i="83" s="1"/>
  <c r="D78" i="62"/>
  <c r="E78" i="62"/>
  <c r="I145" i="85" s="1"/>
  <c r="F6" i="83" s="1"/>
  <c r="D77" i="62"/>
  <c r="E77" i="62"/>
  <c r="I144" i="85" s="1"/>
  <c r="F5" i="83" s="1"/>
  <c r="D76" i="62"/>
  <c r="E76" i="62"/>
  <c r="I143" i="85" s="1"/>
  <c r="F4" i="83" s="1"/>
  <c r="E75" i="62"/>
  <c r="I142" i="85" s="1"/>
  <c r="D75" i="62"/>
  <c r="D73" i="62"/>
  <c r="E73" i="62"/>
  <c r="I146" i="97" s="1"/>
  <c r="F7" i="98" s="1"/>
  <c r="E72" i="62"/>
  <c r="D72" i="62"/>
  <c r="C7" i="56"/>
  <c r="D129" i="22" s="1"/>
  <c r="J52" i="62"/>
  <c r="I55" i="62"/>
  <c r="J55" i="62" s="1"/>
  <c r="J51" i="62"/>
  <c r="E71" i="62"/>
  <c r="I145" i="97" s="1"/>
  <c r="F6" i="98" s="1"/>
  <c r="D71" i="62"/>
  <c r="E69" i="62"/>
  <c r="D69" i="62"/>
  <c r="E70" i="62"/>
  <c r="I145" i="79" s="1"/>
  <c r="F6" i="80" s="1"/>
  <c r="D70" i="62"/>
  <c r="J42" i="62"/>
  <c r="C6" i="56"/>
  <c r="D128" i="22" s="1"/>
  <c r="I45" i="62"/>
  <c r="J45" i="62" s="1"/>
  <c r="J41" i="62"/>
  <c r="E68" i="62"/>
  <c r="I144" i="97" s="1"/>
  <c r="F5" i="98" s="1"/>
  <c r="D68" i="62"/>
  <c r="D67" i="62"/>
  <c r="E67" i="62"/>
  <c r="C5" i="56"/>
  <c r="D127" i="22" s="1"/>
  <c r="J33" i="62"/>
  <c r="I36" i="62"/>
  <c r="J36" i="62" s="1"/>
  <c r="J32" i="62"/>
  <c r="E66" i="62"/>
  <c r="I143" i="97" s="1"/>
  <c r="F4" i="98" s="1"/>
  <c r="D66" i="62"/>
  <c r="E64" i="62"/>
  <c r="D64" i="62"/>
  <c r="E65" i="62"/>
  <c r="I143" i="79" s="1"/>
  <c r="F4" i="80" s="1"/>
  <c r="D65" i="62"/>
  <c r="J24" i="62"/>
  <c r="C4" i="56"/>
  <c r="D126" i="22" s="1"/>
  <c r="I27" i="62"/>
  <c r="J27" i="62" s="1"/>
  <c r="J23" i="62"/>
  <c r="D63" i="62"/>
  <c r="E63" i="62"/>
  <c r="I142" i="97" s="1"/>
  <c r="E62" i="62"/>
  <c r="D62" i="62"/>
  <c r="C3" i="56"/>
  <c r="J14" i="62"/>
  <c r="I17" i="62"/>
  <c r="J17" i="62" s="1"/>
  <c r="J13" i="62"/>
  <c r="I2" i="62"/>
  <c r="I6" i="62" s="1"/>
  <c r="I7" i="62" s="1"/>
  <c r="C6" i="62"/>
  <c r="C7" i="62" s="1"/>
  <c r="K51" i="79"/>
  <c r="M51" i="79" s="1"/>
  <c r="O51" i="79" s="1"/>
  <c r="G129" i="79"/>
  <c r="AB13" i="79"/>
  <c r="G129" i="22"/>
  <c r="K51" i="22"/>
  <c r="M51" i="22" s="1"/>
  <c r="O51" i="22" s="1"/>
  <c r="AE13" i="22"/>
  <c r="AA13" i="22"/>
  <c r="Y13" i="22"/>
  <c r="X13" i="22"/>
  <c r="W13" i="22"/>
  <c r="V13" i="22"/>
  <c r="U13" i="22"/>
  <c r="N13" i="22"/>
  <c r="F13" i="39"/>
  <c r="F27" i="93"/>
  <c r="F36" i="93" s="1"/>
  <c r="F13" i="90"/>
  <c r="E13" i="39"/>
  <c r="E27" i="93"/>
  <c r="E36" i="93" s="1"/>
  <c r="E13" i="90"/>
  <c r="D13" i="22"/>
  <c r="K50" i="85"/>
  <c r="M50" i="85" s="1"/>
  <c r="O50" i="85" s="1"/>
  <c r="AG50" i="85" s="1"/>
  <c r="AH50" i="85" s="1"/>
  <c r="G128" i="85"/>
  <c r="K50" i="79"/>
  <c r="M50" i="79" s="1"/>
  <c r="O50" i="79" s="1"/>
  <c r="G128" i="79"/>
  <c r="AE46" i="90"/>
  <c r="AE12" i="81"/>
  <c r="AC46" i="90"/>
  <c r="AC12" i="81"/>
  <c r="AA46" i="90"/>
  <c r="AA12" i="81"/>
  <c r="Y46" i="90"/>
  <c r="Y12" i="81"/>
  <c r="X46" i="90"/>
  <c r="X12" i="81"/>
  <c r="W12" i="81"/>
  <c r="W46" i="90"/>
  <c r="V46" i="90"/>
  <c r="V12" i="81"/>
  <c r="U107" i="79"/>
  <c r="AB12" i="79"/>
  <c r="AB107" i="79" s="1"/>
  <c r="N107" i="79"/>
  <c r="I46" i="90"/>
  <c r="I12" i="81"/>
  <c r="H46" i="90"/>
  <c r="H12" i="81"/>
  <c r="G12" i="81"/>
  <c r="G46" i="90"/>
  <c r="F46" i="90"/>
  <c r="F12" i="81"/>
  <c r="E46" i="90"/>
  <c r="E12" i="81"/>
  <c r="D107" i="79"/>
  <c r="K50" i="75"/>
  <c r="M50" i="75" s="1"/>
  <c r="O50" i="75" s="1"/>
  <c r="G128" i="75"/>
  <c r="AD12" i="75"/>
  <c r="AC12" i="76"/>
  <c r="AC29" i="90"/>
  <c r="AA12" i="76"/>
  <c r="AA29" i="90"/>
  <c r="Y12" i="76"/>
  <c r="Y29" i="90"/>
  <c r="X12" i="76"/>
  <c r="X29" i="90"/>
  <c r="W12" i="76"/>
  <c r="W29" i="90"/>
  <c r="V12" i="76"/>
  <c r="V29" i="90"/>
  <c r="AB12" i="75"/>
  <c r="AF12" i="75" s="1"/>
  <c r="AG12" i="75" s="1"/>
  <c r="AH12" i="75" s="1"/>
  <c r="I12" i="76"/>
  <c r="I29" i="90"/>
  <c r="H12" i="76"/>
  <c r="H29" i="90"/>
  <c r="G12" i="76"/>
  <c r="G29" i="90"/>
  <c r="F12" i="76"/>
  <c r="F29" i="90"/>
  <c r="E12" i="76"/>
  <c r="E29" i="90"/>
  <c r="K12" i="75"/>
  <c r="M12" i="75" s="1"/>
  <c r="O12" i="75" s="1"/>
  <c r="K50" i="22"/>
  <c r="M50" i="22" s="1"/>
  <c r="O50" i="22" s="1"/>
  <c r="AG50" i="22" s="1"/>
  <c r="AH50" i="22" s="1"/>
  <c r="G128" i="22"/>
  <c r="AE12" i="22"/>
  <c r="AE14" i="22" s="1"/>
  <c r="AC12" i="39"/>
  <c r="AC12" i="90"/>
  <c r="AA12" i="22"/>
  <c r="Y12" i="22"/>
  <c r="X12" i="22"/>
  <c r="W12" i="22"/>
  <c r="V12" i="22"/>
  <c r="U12" i="22"/>
  <c r="U14" i="22" s="1"/>
  <c r="N12" i="22"/>
  <c r="N14" i="22" s="1"/>
  <c r="I12" i="22"/>
  <c r="H12" i="22"/>
  <c r="G12" i="22"/>
  <c r="F12" i="22"/>
  <c r="E12" i="22"/>
  <c r="D12" i="22"/>
  <c r="D14" i="22" s="1"/>
  <c r="K49" i="85"/>
  <c r="M49" i="85" s="1"/>
  <c r="O49" i="85" s="1"/>
  <c r="G127" i="85"/>
  <c r="AE106" i="85"/>
  <c r="AD106" i="85" s="1"/>
  <c r="AD11" i="85"/>
  <c r="AC11" i="82"/>
  <c r="AC78" i="90"/>
  <c r="AA11" i="82"/>
  <c r="AA78" i="90"/>
  <c r="Y11" i="82"/>
  <c r="Y78" i="90"/>
  <c r="X78" i="90"/>
  <c r="X11" i="82"/>
  <c r="W11" i="82"/>
  <c r="W78" i="90"/>
  <c r="V11" i="82"/>
  <c r="V78" i="90"/>
  <c r="U106" i="85"/>
  <c r="AB11" i="85"/>
  <c r="N106" i="85"/>
  <c r="I78" i="90"/>
  <c r="I11" i="82"/>
  <c r="H11" i="82"/>
  <c r="H78" i="90"/>
  <c r="G11" i="82"/>
  <c r="G78" i="90"/>
  <c r="F78" i="90"/>
  <c r="F11" i="82"/>
  <c r="E11" i="82"/>
  <c r="E78" i="90"/>
  <c r="K11" i="85"/>
  <c r="M11" i="85" s="1"/>
  <c r="O11" i="85" s="1"/>
  <c r="D106" i="85"/>
  <c r="K49" i="79"/>
  <c r="M49" i="79" s="1"/>
  <c r="O49" i="79" s="1"/>
  <c r="G127" i="79"/>
  <c r="AC45" i="90"/>
  <c r="AC11" i="81"/>
  <c r="AB11" i="79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11" i="22"/>
  <c r="AC11" i="39"/>
  <c r="AC11" i="90"/>
  <c r="K48" i="79"/>
  <c r="M48" i="79" s="1"/>
  <c r="O48" i="79" s="1"/>
  <c r="AG48" i="79" s="1"/>
  <c r="AH48" i="79" s="1"/>
  <c r="G126" i="79"/>
  <c r="AE10" i="81"/>
  <c r="AE44" i="90"/>
  <c r="AC44" i="90"/>
  <c r="AC10" i="81"/>
  <c r="AA44" i="90"/>
  <c r="AA10" i="81"/>
  <c r="Y44" i="90"/>
  <c r="Y10" i="81"/>
  <c r="X44" i="90"/>
  <c r="X10" i="81"/>
  <c r="W44" i="90"/>
  <c r="W10" i="81"/>
  <c r="V10" i="81"/>
  <c r="V44" i="90"/>
  <c r="U105" i="79"/>
  <c r="AB10" i="79"/>
  <c r="AB105" i="79" s="1"/>
  <c r="N105" i="79"/>
  <c r="I44" i="90"/>
  <c r="I10" i="81"/>
  <c r="H10" i="81"/>
  <c r="H44" i="90"/>
  <c r="G44" i="90"/>
  <c r="G10" i="81"/>
  <c r="F10" i="81"/>
  <c r="F44" i="90"/>
  <c r="E44" i="90"/>
  <c r="E10" i="81"/>
  <c r="D105" i="79"/>
  <c r="AE52" i="79"/>
  <c r="AD47" i="79"/>
  <c r="AD52" i="79" s="1"/>
  <c r="U52" i="79"/>
  <c r="Y54" i="79" s="1"/>
  <c r="AB47" i="79"/>
  <c r="N52" i="79"/>
  <c r="K47" i="79"/>
  <c r="D52" i="79"/>
  <c r="G125" i="79"/>
  <c r="AE14" i="79"/>
  <c r="AC14" i="79"/>
  <c r="AC104" i="79"/>
  <c r="AA14" i="79"/>
  <c r="Y14" i="79"/>
  <c r="X14" i="79"/>
  <c r="W14" i="79"/>
  <c r="V14" i="79"/>
  <c r="U14" i="79"/>
  <c r="Y16" i="79" s="1"/>
  <c r="AB9" i="79"/>
  <c r="N14" i="79"/>
  <c r="I14" i="79"/>
  <c r="H14" i="79"/>
  <c r="G14" i="79"/>
  <c r="F14" i="79"/>
  <c r="E14" i="79"/>
  <c r="D14" i="79"/>
  <c r="K32" i="69"/>
  <c r="M32" i="69" s="1"/>
  <c r="O32" i="69" s="1"/>
  <c r="AE31" i="69"/>
  <c r="AF31" i="69" s="1"/>
  <c r="AG31" i="69" s="1"/>
  <c r="AE30" i="69"/>
  <c r="AF30" i="69" s="1"/>
  <c r="AG30" i="69" s="1"/>
  <c r="AE29" i="69"/>
  <c r="AF29" i="69" s="1"/>
  <c r="AG29" i="69" s="1"/>
  <c r="AA33" i="69"/>
  <c r="Y33" i="69"/>
  <c r="X33" i="69"/>
  <c r="W33" i="69"/>
  <c r="V33" i="69"/>
  <c r="I33" i="69"/>
  <c r="H33" i="69"/>
  <c r="G33" i="69"/>
  <c r="AA51" i="69"/>
  <c r="Y51" i="69"/>
  <c r="X51" i="69"/>
  <c r="W51" i="69"/>
  <c r="V51" i="69"/>
  <c r="I51" i="69"/>
  <c r="H51" i="69"/>
  <c r="G51" i="69"/>
  <c r="AF49" i="85"/>
  <c r="AF49" i="79"/>
  <c r="AG49" i="79" s="1"/>
  <c r="AH49" i="79" s="1"/>
  <c r="AG88" i="86"/>
  <c r="AH88" i="86" s="1"/>
  <c r="AF32" i="86"/>
  <c r="AF29" i="86"/>
  <c r="AG87" i="85"/>
  <c r="AH87" i="85" s="1"/>
  <c r="AF69" i="85"/>
  <c r="AF67" i="85"/>
  <c r="AF31" i="85"/>
  <c r="AF70" i="22"/>
  <c r="AF31" i="22"/>
  <c r="AF50" i="79"/>
  <c r="AF50" i="75"/>
  <c r="AG89" i="86"/>
  <c r="AH89" i="86" s="1"/>
  <c r="AG86" i="86"/>
  <c r="AH86" i="86" s="1"/>
  <c r="AF69" i="86"/>
  <c r="AF68" i="86"/>
  <c r="AF67" i="86"/>
  <c r="AF31" i="86"/>
  <c r="AF30" i="86"/>
  <c r="AG88" i="85"/>
  <c r="AH88" i="85" s="1"/>
  <c r="AF30" i="85"/>
  <c r="AF29" i="85"/>
  <c r="AG88" i="97"/>
  <c r="AH88" i="97" s="1"/>
  <c r="AG86" i="97"/>
  <c r="AH86" i="97" s="1"/>
  <c r="AF70" i="97"/>
  <c r="AG70" i="97" s="1"/>
  <c r="AH70" i="97" s="1"/>
  <c r="AF69" i="97"/>
  <c r="AF68" i="97"/>
  <c r="AF67" i="97"/>
  <c r="AF51" i="97"/>
  <c r="AF50" i="97"/>
  <c r="AF49" i="97"/>
  <c r="AF48" i="97"/>
  <c r="AF32" i="97"/>
  <c r="AF31" i="97"/>
  <c r="AG86" i="79"/>
  <c r="AH86" i="79" s="1"/>
  <c r="AG89" i="75"/>
  <c r="AH89" i="75" s="1"/>
  <c r="AE32" i="69"/>
  <c r="AF32" i="69" s="1"/>
  <c r="AG32" i="69" s="1"/>
  <c r="AF67" i="22"/>
  <c r="AC71" i="79"/>
  <c r="AA71" i="79"/>
  <c r="Y71" i="79"/>
  <c r="X71" i="79"/>
  <c r="W71" i="79"/>
  <c r="V71" i="79"/>
  <c r="I71" i="79"/>
  <c r="H71" i="79"/>
  <c r="G71" i="79"/>
  <c r="F71" i="79"/>
  <c r="E71" i="79"/>
  <c r="AF32" i="79"/>
  <c r="AF32" i="22"/>
  <c r="AF31" i="79"/>
  <c r="AF31" i="75"/>
  <c r="AF30" i="79"/>
  <c r="AF30" i="22"/>
  <c r="AF29" i="75"/>
  <c r="AF51" i="79"/>
  <c r="AC108" i="79"/>
  <c r="AF51" i="22"/>
  <c r="AC108" i="22"/>
  <c r="AG87" i="86"/>
  <c r="AH87" i="86" s="1"/>
  <c r="AF49" i="86"/>
  <c r="AF48" i="86"/>
  <c r="AG89" i="85"/>
  <c r="AH89" i="85" s="1"/>
  <c r="AG86" i="85"/>
  <c r="AH86" i="85" s="1"/>
  <c r="AF70" i="85"/>
  <c r="AF68" i="85"/>
  <c r="AF51" i="85"/>
  <c r="AF48" i="85"/>
  <c r="AF32" i="85"/>
  <c r="AG88" i="79"/>
  <c r="AH88" i="79" s="1"/>
  <c r="AF49" i="75"/>
  <c r="AF32" i="75"/>
  <c r="AF30" i="75"/>
  <c r="AF30" i="97"/>
  <c r="AF29" i="97"/>
  <c r="AF70" i="75"/>
  <c r="AF68" i="75"/>
  <c r="AF51" i="75"/>
  <c r="L9" i="87" l="1"/>
  <c r="N8" i="87"/>
  <c r="O8" i="87" s="1"/>
  <c r="P8" i="87" s="1"/>
  <c r="E45" i="88"/>
  <c r="E83" i="91"/>
  <c r="AD13" i="88"/>
  <c r="AD97" i="90"/>
  <c r="AD12" i="88"/>
  <c r="AD96" i="90"/>
  <c r="AD11" i="88"/>
  <c r="AD95" i="90"/>
  <c r="AD10" i="88"/>
  <c r="AD94" i="90"/>
  <c r="AD109" i="86"/>
  <c r="AD98" i="90" s="1"/>
  <c r="AD9" i="88"/>
  <c r="AD14" i="88" s="1"/>
  <c r="AD93" i="90"/>
  <c r="AF90" i="86"/>
  <c r="O85" i="86"/>
  <c r="M90" i="86"/>
  <c r="J34" i="88"/>
  <c r="J81" i="91"/>
  <c r="J33" i="88"/>
  <c r="J80" i="91"/>
  <c r="J32" i="88"/>
  <c r="J79" i="91"/>
  <c r="J31" i="88"/>
  <c r="J78" i="91"/>
  <c r="M66" i="86"/>
  <c r="K71" i="86"/>
  <c r="J131" i="86"/>
  <c r="J83" i="91" s="1"/>
  <c r="J30" i="88"/>
  <c r="J36" i="88" s="1"/>
  <c r="J45" i="88" s="1"/>
  <c r="J77" i="91"/>
  <c r="J146" i="86"/>
  <c r="D7" i="87"/>
  <c r="G34" i="88"/>
  <c r="G81" i="91"/>
  <c r="J145" i="86"/>
  <c r="G33" i="88"/>
  <c r="G80" i="91"/>
  <c r="D6" i="87"/>
  <c r="J144" i="86"/>
  <c r="D5" i="87"/>
  <c r="G32" i="88"/>
  <c r="G79" i="91"/>
  <c r="J143" i="86"/>
  <c r="G31" i="88"/>
  <c r="G78" i="91"/>
  <c r="D4" i="87"/>
  <c r="G131" i="86"/>
  <c r="G83" i="91" s="1"/>
  <c r="D3" i="87"/>
  <c r="G30" i="88"/>
  <c r="G36" i="88" s="1"/>
  <c r="G45" i="88" s="1"/>
  <c r="G77" i="91"/>
  <c r="J142" i="86"/>
  <c r="J147" i="86" s="1"/>
  <c r="K52" i="86"/>
  <c r="M47" i="86"/>
  <c r="E7" i="87"/>
  <c r="K146" i="86"/>
  <c r="H34" i="88"/>
  <c r="H81" i="91"/>
  <c r="E6" i="87"/>
  <c r="H33" i="88"/>
  <c r="H80" i="91"/>
  <c r="K145" i="86"/>
  <c r="K144" i="86"/>
  <c r="E5" i="87"/>
  <c r="H32" i="88"/>
  <c r="H79" i="91"/>
  <c r="K143" i="86"/>
  <c r="E4" i="87"/>
  <c r="H31" i="88"/>
  <c r="H78" i="91"/>
  <c r="M28" i="86"/>
  <c r="K33" i="86"/>
  <c r="H131" i="86"/>
  <c r="H83" i="91" s="1"/>
  <c r="K142" i="86"/>
  <c r="K147" i="86" s="1"/>
  <c r="E3" i="87"/>
  <c r="E9" i="87" s="1"/>
  <c r="H30" i="88"/>
  <c r="H36" i="88" s="1"/>
  <c r="H45" i="88" s="1"/>
  <c r="H77" i="91"/>
  <c r="U13" i="88"/>
  <c r="U97" i="90"/>
  <c r="AF108" i="86"/>
  <c r="J7" i="87"/>
  <c r="N13" i="88"/>
  <c r="N97" i="90"/>
  <c r="D146" i="86"/>
  <c r="I7" i="87"/>
  <c r="N7" i="87" s="1"/>
  <c r="D97" i="90"/>
  <c r="K108" i="86"/>
  <c r="D13" i="88"/>
  <c r="K13" i="88" s="1"/>
  <c r="M13" i="88" s="1"/>
  <c r="O13" i="88" s="1"/>
  <c r="U12" i="88"/>
  <c r="AF107" i="86"/>
  <c r="U96" i="90"/>
  <c r="J6" i="87"/>
  <c r="N12" i="88"/>
  <c r="N96" i="90"/>
  <c r="D145" i="86"/>
  <c r="I6" i="87"/>
  <c r="N6" i="87" s="1"/>
  <c r="D12" i="88"/>
  <c r="K12" i="88" s="1"/>
  <c r="M12" i="88" s="1"/>
  <c r="O12" i="88" s="1"/>
  <c r="D96" i="90"/>
  <c r="K107" i="86"/>
  <c r="AF106" i="86"/>
  <c r="U95" i="90"/>
  <c r="U11" i="88"/>
  <c r="J5" i="87"/>
  <c r="N95" i="90"/>
  <c r="N11" i="88"/>
  <c r="I5" i="87"/>
  <c r="N5" i="87" s="1"/>
  <c r="D11" i="88"/>
  <c r="K11" i="88" s="1"/>
  <c r="M11" i="88" s="1"/>
  <c r="O11" i="88" s="1"/>
  <c r="K106" i="86"/>
  <c r="D144" i="86"/>
  <c r="D95" i="90"/>
  <c r="AE10" i="88"/>
  <c r="AE94" i="90"/>
  <c r="U10" i="88"/>
  <c r="AF105" i="86"/>
  <c r="U94" i="90"/>
  <c r="J4" i="87"/>
  <c r="N10" i="88"/>
  <c r="N94" i="90"/>
  <c r="K105" i="86"/>
  <c r="D143" i="86"/>
  <c r="I4" i="87"/>
  <c r="N4" i="87" s="1"/>
  <c r="D10" i="88"/>
  <c r="K10" i="88" s="1"/>
  <c r="M10" i="88" s="1"/>
  <c r="O10" i="88" s="1"/>
  <c r="D94" i="90"/>
  <c r="AE9" i="88"/>
  <c r="AE14" i="88" s="1"/>
  <c r="AE109" i="86"/>
  <c r="AE98" i="90" s="1"/>
  <c r="AE93" i="90"/>
  <c r="AC109" i="86"/>
  <c r="AC98" i="90" s="1"/>
  <c r="AC9" i="88"/>
  <c r="AC14" i="88" s="1"/>
  <c r="AC93" i="90"/>
  <c r="AA109" i="86"/>
  <c r="AA98" i="90" s="1"/>
  <c r="AA93" i="90"/>
  <c r="AA9" i="88"/>
  <c r="AA14" i="88" s="1"/>
  <c r="Z109" i="86"/>
  <c r="Z98" i="90" s="1"/>
  <c r="Z9" i="88"/>
  <c r="Z14" i="88" s="1"/>
  <c r="Z93" i="90"/>
  <c r="Y109" i="86"/>
  <c r="Y98" i="90" s="1"/>
  <c r="Y9" i="88"/>
  <c r="Y14" i="88" s="1"/>
  <c r="Y93" i="90"/>
  <c r="X109" i="86"/>
  <c r="X98" i="90" s="1"/>
  <c r="X9" i="88"/>
  <c r="X14" i="88" s="1"/>
  <c r="X93" i="90"/>
  <c r="W109" i="86"/>
  <c r="W98" i="90" s="1"/>
  <c r="W9" i="88"/>
  <c r="W14" i="88" s="1"/>
  <c r="W93" i="90"/>
  <c r="V109" i="86"/>
  <c r="V98" i="90" s="1"/>
  <c r="V9" i="88"/>
  <c r="V14" i="88" s="1"/>
  <c r="V93" i="90"/>
  <c r="U109" i="86"/>
  <c r="U93" i="90"/>
  <c r="U9" i="88"/>
  <c r="AF14" i="86"/>
  <c r="N109" i="86"/>
  <c r="N98" i="90" s="1"/>
  <c r="N9" i="88"/>
  <c r="N14" i="88" s="1"/>
  <c r="N44" i="88" s="1"/>
  <c r="J3" i="87"/>
  <c r="J9" i="87" s="1"/>
  <c r="N93" i="90"/>
  <c r="AB104" i="86"/>
  <c r="AF104" i="86" s="1"/>
  <c r="AB14" i="86"/>
  <c r="I109" i="86"/>
  <c r="I98" i="90" s="1"/>
  <c r="I9" i="88"/>
  <c r="I14" i="88" s="1"/>
  <c r="I44" i="88" s="1"/>
  <c r="I93" i="90"/>
  <c r="H93" i="90"/>
  <c r="H109" i="86"/>
  <c r="H98" i="90" s="1"/>
  <c r="H9" i="88"/>
  <c r="H14" i="88" s="1"/>
  <c r="H44" i="88" s="1"/>
  <c r="G109" i="86"/>
  <c r="G98" i="90" s="1"/>
  <c r="G9" i="88"/>
  <c r="G14" i="88" s="1"/>
  <c r="G44" i="88" s="1"/>
  <c r="G93" i="90"/>
  <c r="F93" i="90"/>
  <c r="F109" i="86"/>
  <c r="F98" i="90" s="1"/>
  <c r="F9" i="88"/>
  <c r="F14" i="88" s="1"/>
  <c r="F44" i="88" s="1"/>
  <c r="E109" i="86"/>
  <c r="E98" i="90" s="1"/>
  <c r="E9" i="88"/>
  <c r="E14" i="88" s="1"/>
  <c r="E44" i="88" s="1"/>
  <c r="E93" i="90"/>
  <c r="K14" i="86"/>
  <c r="M9" i="86"/>
  <c r="D109" i="86"/>
  <c r="D98" i="90" s="1"/>
  <c r="I3" i="87"/>
  <c r="K104" i="86"/>
  <c r="D142" i="86"/>
  <c r="D9" i="88"/>
  <c r="D93" i="90"/>
  <c r="Y102" i="86"/>
  <c r="Y125" i="90" s="1"/>
  <c r="K125" i="90"/>
  <c r="G125" i="90"/>
  <c r="V102" i="86"/>
  <c r="V125" i="90" s="1"/>
  <c r="N121" i="90"/>
  <c r="AD98" i="86"/>
  <c r="AD121" i="90" s="1"/>
  <c r="C15" i="83"/>
  <c r="D23" i="36"/>
  <c r="L9" i="83"/>
  <c r="M23" i="36" s="1"/>
  <c r="N8" i="83"/>
  <c r="O8" i="83" s="1"/>
  <c r="P8" i="83" s="1"/>
  <c r="E69" i="91"/>
  <c r="E36" i="82"/>
  <c r="E45" i="82" s="1"/>
  <c r="I69" i="91"/>
  <c r="M32" i="36"/>
  <c r="I32" i="36"/>
  <c r="D69" i="91"/>
  <c r="AD13" i="82"/>
  <c r="AD80" i="90"/>
  <c r="AD12" i="82"/>
  <c r="AD79" i="90"/>
  <c r="AD11" i="82"/>
  <c r="AD78" i="90"/>
  <c r="AD10" i="82"/>
  <c r="AD77" i="90"/>
  <c r="AD109" i="85"/>
  <c r="AD81" i="90" s="1"/>
  <c r="AD9" i="82"/>
  <c r="AD14" i="82" s="1"/>
  <c r="AD76" i="90"/>
  <c r="O85" i="85"/>
  <c r="M90" i="85"/>
  <c r="J67" i="91"/>
  <c r="J34" i="82"/>
  <c r="J33" i="82"/>
  <c r="J66" i="91"/>
  <c r="J32" i="82"/>
  <c r="J65" i="91"/>
  <c r="J64" i="91"/>
  <c r="J31" i="82"/>
  <c r="J30" i="82"/>
  <c r="J36" i="82" s="1"/>
  <c r="J131" i="85"/>
  <c r="J63" i="91"/>
  <c r="M66" i="85"/>
  <c r="K71" i="85"/>
  <c r="J146" i="85"/>
  <c r="D7" i="83"/>
  <c r="H7" i="83" s="1"/>
  <c r="G67" i="91"/>
  <c r="G34" i="82"/>
  <c r="J143" i="85"/>
  <c r="G31" i="82"/>
  <c r="G64" i="91"/>
  <c r="D4" i="83"/>
  <c r="H4" i="83" s="1"/>
  <c r="M47" i="85"/>
  <c r="K52" i="85"/>
  <c r="G131" i="85"/>
  <c r="J142" i="85"/>
  <c r="G63" i="91"/>
  <c r="D3" i="83"/>
  <c r="G30" i="82"/>
  <c r="K146" i="85"/>
  <c r="H34" i="82"/>
  <c r="H67" i="91"/>
  <c r="H33" i="82"/>
  <c r="H66" i="91"/>
  <c r="K145" i="85"/>
  <c r="K144" i="85"/>
  <c r="H65" i="91"/>
  <c r="H32" i="82"/>
  <c r="K143" i="85"/>
  <c r="H31" i="82"/>
  <c r="H64" i="91"/>
  <c r="M28" i="85"/>
  <c r="K33" i="85"/>
  <c r="H131" i="85"/>
  <c r="K142" i="85"/>
  <c r="K147" i="85" s="1"/>
  <c r="H30" i="82"/>
  <c r="H36" i="82" s="1"/>
  <c r="H45" i="82" s="1"/>
  <c r="H63" i="91"/>
  <c r="AE13" i="82"/>
  <c r="AE80" i="90"/>
  <c r="U13" i="82"/>
  <c r="AF108" i="85"/>
  <c r="U80" i="90"/>
  <c r="N80" i="90"/>
  <c r="J7" i="83"/>
  <c r="N13" i="82"/>
  <c r="K108" i="85"/>
  <c r="D13" i="82"/>
  <c r="K13" i="82" s="1"/>
  <c r="M13" i="82" s="1"/>
  <c r="O13" i="82" s="1"/>
  <c r="D146" i="85"/>
  <c r="L146" i="85" s="1"/>
  <c r="M146" i="85" s="1"/>
  <c r="I7" i="83"/>
  <c r="N7" i="83" s="1"/>
  <c r="D80" i="90"/>
  <c r="AE79" i="90"/>
  <c r="AE12" i="82"/>
  <c r="U79" i="90"/>
  <c r="AF107" i="85"/>
  <c r="U12" i="82"/>
  <c r="N12" i="82"/>
  <c r="J6" i="83"/>
  <c r="N79" i="90"/>
  <c r="D145" i="85"/>
  <c r="I6" i="83"/>
  <c r="N6" i="83" s="1"/>
  <c r="D12" i="82"/>
  <c r="K12" i="82" s="1"/>
  <c r="M12" i="82" s="1"/>
  <c r="O12" i="82" s="1"/>
  <c r="D79" i="90"/>
  <c r="K107" i="85"/>
  <c r="AE77" i="90"/>
  <c r="AE10" i="82"/>
  <c r="AF105" i="85"/>
  <c r="U10" i="82"/>
  <c r="U77" i="90"/>
  <c r="J4" i="83"/>
  <c r="N10" i="82"/>
  <c r="N77" i="90"/>
  <c r="K105" i="85"/>
  <c r="D143" i="85"/>
  <c r="L143" i="85" s="1"/>
  <c r="M143" i="85" s="1"/>
  <c r="I4" i="83"/>
  <c r="N4" i="83" s="1"/>
  <c r="D10" i="82"/>
  <c r="K10" i="82" s="1"/>
  <c r="M10" i="82" s="1"/>
  <c r="O10" i="82" s="1"/>
  <c r="D77" i="90"/>
  <c r="AE76" i="90"/>
  <c r="AE109" i="85"/>
  <c r="AE81" i="90" s="1"/>
  <c r="AE9" i="82"/>
  <c r="AC109" i="85"/>
  <c r="AC81" i="90" s="1"/>
  <c r="AC76" i="90"/>
  <c r="AC9" i="82"/>
  <c r="AC14" i="82" s="1"/>
  <c r="AA9" i="82"/>
  <c r="AA14" i="82" s="1"/>
  <c r="AA109" i="85"/>
  <c r="AA81" i="90" s="1"/>
  <c r="AA76" i="90"/>
  <c r="Z9" i="82"/>
  <c r="Z14" i="82" s="1"/>
  <c r="Z76" i="90"/>
  <c r="Z109" i="85"/>
  <c r="Z81" i="90" s="1"/>
  <c r="Y109" i="85"/>
  <c r="Y81" i="90" s="1"/>
  <c r="Y9" i="82"/>
  <c r="Y14" i="82" s="1"/>
  <c r="Y76" i="90"/>
  <c r="X9" i="82"/>
  <c r="X14" i="82" s="1"/>
  <c r="X109" i="85"/>
  <c r="X81" i="90" s="1"/>
  <c r="X76" i="90"/>
  <c r="W9" i="82"/>
  <c r="W14" i="82" s="1"/>
  <c r="W76" i="90"/>
  <c r="W109" i="85"/>
  <c r="W81" i="90" s="1"/>
  <c r="V9" i="82"/>
  <c r="V14" i="82" s="1"/>
  <c r="V109" i="85"/>
  <c r="V81" i="90" s="1"/>
  <c r="V76" i="90"/>
  <c r="U9" i="82"/>
  <c r="U76" i="90"/>
  <c r="U109" i="85"/>
  <c r="N109" i="85"/>
  <c r="J3" i="83"/>
  <c r="N9" i="82"/>
  <c r="N76" i="90"/>
  <c r="AB14" i="85"/>
  <c r="AB104" i="85"/>
  <c r="AF104" i="85" s="1"/>
  <c r="I109" i="85"/>
  <c r="I81" i="90" s="1"/>
  <c r="I76" i="90"/>
  <c r="I9" i="82"/>
  <c r="I14" i="82" s="1"/>
  <c r="I44" i="82" s="1"/>
  <c r="H9" i="82"/>
  <c r="H14" i="82" s="1"/>
  <c r="H76" i="90"/>
  <c r="H109" i="85"/>
  <c r="H81" i="90" s="1"/>
  <c r="G109" i="85"/>
  <c r="G81" i="90" s="1"/>
  <c r="G9" i="82"/>
  <c r="G14" i="82" s="1"/>
  <c r="G44" i="82" s="1"/>
  <c r="G76" i="90"/>
  <c r="F109" i="85"/>
  <c r="F81" i="90" s="1"/>
  <c r="F9" i="82"/>
  <c r="F14" i="82" s="1"/>
  <c r="F44" i="82" s="1"/>
  <c r="F76" i="90"/>
  <c r="E109" i="85"/>
  <c r="E81" i="90" s="1"/>
  <c r="E9" i="82"/>
  <c r="E14" i="82" s="1"/>
  <c r="E44" i="82" s="1"/>
  <c r="E76" i="90"/>
  <c r="M9" i="85"/>
  <c r="K14" i="85"/>
  <c r="D142" i="85"/>
  <c r="I3" i="83"/>
  <c r="D9" i="82"/>
  <c r="K104" i="85"/>
  <c r="D109" i="85"/>
  <c r="D76" i="90"/>
  <c r="Y102" i="85"/>
  <c r="K7" i="82"/>
  <c r="Y7" i="82" s="1"/>
  <c r="V102" i="85"/>
  <c r="G7" i="82"/>
  <c r="V7" i="82" s="1"/>
  <c r="N3" i="82"/>
  <c r="AD3" i="82" s="1"/>
  <c r="AD98" i="85"/>
  <c r="C15" i="98"/>
  <c r="D22" i="36"/>
  <c r="L9" i="98"/>
  <c r="M22" i="36" s="1"/>
  <c r="N8" i="98"/>
  <c r="O8" i="98" s="1"/>
  <c r="P8" i="98" s="1"/>
  <c r="E36" i="99"/>
  <c r="E46" i="99" s="1"/>
  <c r="E55" i="91"/>
  <c r="K55" i="91"/>
  <c r="O31" i="36"/>
  <c r="D55" i="91"/>
  <c r="I31" i="36"/>
  <c r="AD10" i="99"/>
  <c r="AD61" i="90"/>
  <c r="AD106" i="97"/>
  <c r="J62" i="90"/>
  <c r="J11" i="99"/>
  <c r="J109" i="97"/>
  <c r="J65" i="90" s="1"/>
  <c r="J9" i="99"/>
  <c r="J14" i="99" s="1"/>
  <c r="J45" i="99" s="1"/>
  <c r="J60" i="90"/>
  <c r="AD104" i="97"/>
  <c r="M85" i="97"/>
  <c r="J34" i="99"/>
  <c r="J53" i="91"/>
  <c r="J33" i="99"/>
  <c r="J52" i="91"/>
  <c r="J32" i="99"/>
  <c r="J51" i="91"/>
  <c r="J31" i="99"/>
  <c r="J50" i="91"/>
  <c r="M71" i="97"/>
  <c r="O66" i="97"/>
  <c r="O71" i="97" s="1"/>
  <c r="J30" i="99"/>
  <c r="J36" i="99" s="1"/>
  <c r="J49" i="91"/>
  <c r="J131" i="97"/>
  <c r="G34" i="99"/>
  <c r="G53" i="91"/>
  <c r="D7" i="98"/>
  <c r="J146" i="97"/>
  <c r="G33" i="99"/>
  <c r="G52" i="91"/>
  <c r="J145" i="97"/>
  <c r="L145" i="97" s="1"/>
  <c r="M145" i="97" s="1"/>
  <c r="D6" i="98"/>
  <c r="H6" i="98" s="1"/>
  <c r="D5" i="98"/>
  <c r="G32" i="99"/>
  <c r="G51" i="91"/>
  <c r="J144" i="97"/>
  <c r="J143" i="97"/>
  <c r="D4" i="98"/>
  <c r="H4" i="98" s="1"/>
  <c r="G31" i="99"/>
  <c r="G50" i="91"/>
  <c r="K52" i="97"/>
  <c r="M47" i="97"/>
  <c r="G131" i="97"/>
  <c r="D3" i="98"/>
  <c r="G30" i="99"/>
  <c r="G36" i="99" s="1"/>
  <c r="G46" i="99" s="1"/>
  <c r="G49" i="91"/>
  <c r="J142" i="97"/>
  <c r="J147" i="97" s="1"/>
  <c r="K146" i="97"/>
  <c r="H34" i="99"/>
  <c r="H53" i="91"/>
  <c r="K145" i="97"/>
  <c r="H52" i="91"/>
  <c r="H33" i="99"/>
  <c r="K144" i="97"/>
  <c r="H51" i="91"/>
  <c r="H32" i="99"/>
  <c r="K143" i="97"/>
  <c r="H31" i="99"/>
  <c r="H50" i="91"/>
  <c r="M28" i="97"/>
  <c r="K33" i="97"/>
  <c r="H131" i="97"/>
  <c r="H30" i="99"/>
  <c r="H36" i="99" s="1"/>
  <c r="H46" i="99" s="1"/>
  <c r="K142" i="97"/>
  <c r="K147" i="97" s="1"/>
  <c r="H49" i="91"/>
  <c r="U12" i="99"/>
  <c r="U63" i="90"/>
  <c r="J6" i="98"/>
  <c r="N12" i="99"/>
  <c r="N63" i="90"/>
  <c r="D63" i="90"/>
  <c r="D12" i="99"/>
  <c r="K12" i="99" s="1"/>
  <c r="M12" i="99" s="1"/>
  <c r="O12" i="99" s="1"/>
  <c r="I6" i="98"/>
  <c r="N6" i="98" s="1"/>
  <c r="K107" i="97"/>
  <c r="AE11" i="99"/>
  <c r="AE62" i="90"/>
  <c r="U62" i="90"/>
  <c r="U11" i="99"/>
  <c r="K106" i="97"/>
  <c r="I5" i="98"/>
  <c r="D62" i="90"/>
  <c r="D11" i="99"/>
  <c r="K11" i="99" s="1"/>
  <c r="M11" i="99" s="1"/>
  <c r="AE61" i="90"/>
  <c r="AE10" i="99"/>
  <c r="AF105" i="97"/>
  <c r="U10" i="99"/>
  <c r="U61" i="90"/>
  <c r="AB61" i="90"/>
  <c r="AB10" i="99"/>
  <c r="N10" i="99"/>
  <c r="N61" i="90"/>
  <c r="J4" i="98"/>
  <c r="D143" i="97"/>
  <c r="L143" i="97" s="1"/>
  <c r="M143" i="97" s="1"/>
  <c r="I4" i="98"/>
  <c r="N4" i="98" s="1"/>
  <c r="D61" i="90"/>
  <c r="K105" i="97"/>
  <c r="D10" i="99"/>
  <c r="K10" i="99" s="1"/>
  <c r="M10" i="99" s="1"/>
  <c r="O10" i="99" s="1"/>
  <c r="AE60" i="90"/>
  <c r="AE9" i="99"/>
  <c r="AC109" i="97"/>
  <c r="AC65" i="90" s="1"/>
  <c r="AC9" i="99"/>
  <c r="AC14" i="99" s="1"/>
  <c r="AC60" i="90"/>
  <c r="AA9" i="99"/>
  <c r="AA109" i="97"/>
  <c r="AA65" i="90" s="1"/>
  <c r="AA60" i="90"/>
  <c r="Z109" i="97"/>
  <c r="Z65" i="90" s="1"/>
  <c r="Z9" i="99"/>
  <c r="Z14" i="99" s="1"/>
  <c r="Z60" i="90"/>
  <c r="Y60" i="90"/>
  <c r="Y9" i="99"/>
  <c r="X60" i="90"/>
  <c r="X9" i="99"/>
  <c r="W9" i="99"/>
  <c r="W60" i="90"/>
  <c r="V60" i="90"/>
  <c r="V9" i="99"/>
  <c r="U9" i="99"/>
  <c r="U60" i="90"/>
  <c r="AF14" i="97"/>
  <c r="AB14" i="97"/>
  <c r="I60" i="90"/>
  <c r="I9" i="99"/>
  <c r="H9" i="99"/>
  <c r="H60" i="90"/>
  <c r="G9" i="99"/>
  <c r="G60" i="90"/>
  <c r="F9" i="99"/>
  <c r="F60" i="90"/>
  <c r="F109" i="97"/>
  <c r="F65" i="90" s="1"/>
  <c r="E9" i="99"/>
  <c r="E109" i="97"/>
  <c r="E65" i="90" s="1"/>
  <c r="E60" i="90"/>
  <c r="I3" i="98"/>
  <c r="D60" i="90"/>
  <c r="K104" i="97"/>
  <c r="D9" i="99"/>
  <c r="K14" i="97"/>
  <c r="M9" i="97"/>
  <c r="Y102" i="97"/>
  <c r="K7" i="99"/>
  <c r="Y7" i="99" s="1"/>
  <c r="G7" i="99"/>
  <c r="V7" i="99" s="1"/>
  <c r="V102" i="97"/>
  <c r="N3" i="99"/>
  <c r="AD3" i="99" s="1"/>
  <c r="AD98" i="97"/>
  <c r="C15" i="80"/>
  <c r="D21" i="36"/>
  <c r="E36" i="81"/>
  <c r="E46" i="81" s="1"/>
  <c r="E41" i="91"/>
  <c r="C15" i="77"/>
  <c r="D20" i="36"/>
  <c r="E36" i="76"/>
  <c r="E45" i="76" s="1"/>
  <c r="E27" i="91"/>
  <c r="L9" i="77"/>
  <c r="M20" i="36" s="1"/>
  <c r="M24" i="36" s="1"/>
  <c r="M25" i="36" s="1"/>
  <c r="N8" i="77"/>
  <c r="O8" i="77" s="1"/>
  <c r="P8" i="77" s="1"/>
  <c r="AD13" i="76"/>
  <c r="AD30" i="90"/>
  <c r="AD11" i="76"/>
  <c r="AD28" i="90"/>
  <c r="J34" i="76"/>
  <c r="J25" i="91"/>
  <c r="J32" i="76"/>
  <c r="J23" i="91"/>
  <c r="J131" i="75"/>
  <c r="J30" i="76"/>
  <c r="J36" i="76" s="1"/>
  <c r="J45" i="76" s="1"/>
  <c r="J21" i="91"/>
  <c r="M66" i="75"/>
  <c r="K71" i="75"/>
  <c r="J146" i="75"/>
  <c r="D7" i="77"/>
  <c r="H7" i="77" s="1"/>
  <c r="O7" i="77" s="1"/>
  <c r="P7" i="77" s="1"/>
  <c r="G34" i="76"/>
  <c r="G25" i="91"/>
  <c r="J144" i="75"/>
  <c r="D5" i="77"/>
  <c r="H5" i="77" s="1"/>
  <c r="O5" i="77" s="1"/>
  <c r="P5" i="77" s="1"/>
  <c r="G32" i="76"/>
  <c r="G23" i="91"/>
  <c r="J143" i="75"/>
  <c r="D4" i="77"/>
  <c r="G31" i="76"/>
  <c r="G22" i="91"/>
  <c r="K52" i="75"/>
  <c r="M47" i="75"/>
  <c r="G131" i="75"/>
  <c r="J142" i="75"/>
  <c r="D3" i="77"/>
  <c r="G30" i="76"/>
  <c r="G21" i="91"/>
  <c r="K146" i="75"/>
  <c r="H34" i="76"/>
  <c r="H25" i="91"/>
  <c r="K144" i="75"/>
  <c r="H32" i="76"/>
  <c r="H23" i="91"/>
  <c r="K33" i="75"/>
  <c r="M28" i="75"/>
  <c r="H131" i="75"/>
  <c r="K142" i="75"/>
  <c r="H30" i="76"/>
  <c r="H21" i="91"/>
  <c r="AE13" i="76"/>
  <c r="AE30" i="90"/>
  <c r="AF108" i="75"/>
  <c r="U13" i="76"/>
  <c r="U30" i="90"/>
  <c r="J7" i="77"/>
  <c r="N13" i="76"/>
  <c r="N30" i="90"/>
  <c r="K108" i="75"/>
  <c r="D146" i="75"/>
  <c r="I7" i="77"/>
  <c r="N7" i="77" s="1"/>
  <c r="D13" i="76"/>
  <c r="K13" i="76" s="1"/>
  <c r="M13" i="76" s="1"/>
  <c r="O13" i="76" s="1"/>
  <c r="D30" i="90"/>
  <c r="AE11" i="76"/>
  <c r="AE28" i="90"/>
  <c r="AF106" i="75"/>
  <c r="U11" i="76"/>
  <c r="U28" i="90"/>
  <c r="J5" i="77"/>
  <c r="N11" i="76"/>
  <c r="N28" i="90"/>
  <c r="K106" i="75"/>
  <c r="D144" i="75"/>
  <c r="I5" i="77"/>
  <c r="N5" i="77" s="1"/>
  <c r="D11" i="76"/>
  <c r="K11" i="76" s="1"/>
  <c r="M11" i="76" s="1"/>
  <c r="O11" i="76" s="1"/>
  <c r="D28" i="90"/>
  <c r="AE9" i="76"/>
  <c r="AE26" i="90"/>
  <c r="AC109" i="75"/>
  <c r="AC31" i="90" s="1"/>
  <c r="AC9" i="76"/>
  <c r="AC14" i="76" s="1"/>
  <c r="AC26" i="90"/>
  <c r="AA9" i="76"/>
  <c r="AA26" i="90"/>
  <c r="Z109" i="75"/>
  <c r="Z31" i="90" s="1"/>
  <c r="Z9" i="76"/>
  <c r="Z14" i="76" s="1"/>
  <c r="Z26" i="90"/>
  <c r="Y9" i="76"/>
  <c r="Y26" i="90"/>
  <c r="X9" i="76"/>
  <c r="X26" i="90"/>
  <c r="W9" i="76"/>
  <c r="W26" i="90"/>
  <c r="V9" i="76"/>
  <c r="V26" i="90"/>
  <c r="U9" i="76"/>
  <c r="U26" i="90"/>
  <c r="J3" i="77"/>
  <c r="N9" i="76"/>
  <c r="N26" i="90"/>
  <c r="AB14" i="75"/>
  <c r="AB104" i="75"/>
  <c r="I9" i="76"/>
  <c r="I26" i="90"/>
  <c r="H9" i="76"/>
  <c r="H26" i="90"/>
  <c r="G9" i="76"/>
  <c r="G26" i="90"/>
  <c r="F9" i="76"/>
  <c r="F26" i="90"/>
  <c r="E9" i="76"/>
  <c r="E26" i="90"/>
  <c r="M9" i="75"/>
  <c r="K14" i="75"/>
  <c r="D142" i="75"/>
  <c r="I3" i="77"/>
  <c r="D9" i="76"/>
  <c r="D26" i="90"/>
  <c r="Y102" i="75"/>
  <c r="K7" i="76"/>
  <c r="Y7" i="76" s="1"/>
  <c r="V102" i="75"/>
  <c r="G7" i="76"/>
  <c r="V7" i="76" s="1"/>
  <c r="AD98" i="75"/>
  <c r="N3" i="76"/>
  <c r="AD3" i="76" s="1"/>
  <c r="L9" i="36"/>
  <c r="N8" i="36"/>
  <c r="O8" i="36" s="1"/>
  <c r="P8" i="36" s="1"/>
  <c r="J32" i="36"/>
  <c r="J33" i="36" s="1"/>
  <c r="E36" i="39"/>
  <c r="E45" i="39" s="1"/>
  <c r="E12" i="91"/>
  <c r="J143" i="22"/>
  <c r="D4" i="36"/>
  <c r="G31" i="39"/>
  <c r="G7" i="91"/>
  <c r="K52" i="22"/>
  <c r="M47" i="22"/>
  <c r="G131" i="22"/>
  <c r="G12" i="91" s="1"/>
  <c r="J142" i="22"/>
  <c r="D3" i="36"/>
  <c r="G30" i="39"/>
  <c r="G6" i="91"/>
  <c r="Z13" i="39"/>
  <c r="I20" i="94"/>
  <c r="I28" i="94" s="1"/>
  <c r="Z13" i="90"/>
  <c r="Z13" i="79"/>
  <c r="L108" i="79"/>
  <c r="Q30" i="95"/>
  <c r="S30" i="95" s="1"/>
  <c r="L13" i="39"/>
  <c r="L27" i="93"/>
  <c r="L36" i="93" s="1"/>
  <c r="L13" i="90"/>
  <c r="Z12" i="79"/>
  <c r="L107" i="79"/>
  <c r="Z12" i="39"/>
  <c r="I19" i="94"/>
  <c r="I27" i="94" s="1"/>
  <c r="Z12" i="90"/>
  <c r="Q29" i="95"/>
  <c r="S29" i="95" s="1"/>
  <c r="L12" i="39"/>
  <c r="L26" i="93"/>
  <c r="L35" i="93" s="1"/>
  <c r="L12" i="90"/>
  <c r="Q28" i="95"/>
  <c r="S28" i="95" s="1"/>
  <c r="L11" i="39"/>
  <c r="L25" i="93"/>
  <c r="L34" i="93" s="1"/>
  <c r="L11" i="90"/>
  <c r="Z11" i="79"/>
  <c r="L106" i="79"/>
  <c r="Z10" i="79"/>
  <c r="L105" i="79"/>
  <c r="Q27" i="95"/>
  <c r="S27" i="95" s="1"/>
  <c r="L10" i="39"/>
  <c r="L24" i="93"/>
  <c r="L33" i="93" s="1"/>
  <c r="L10" i="90"/>
  <c r="L109" i="22"/>
  <c r="Q26" i="95"/>
  <c r="S26" i="95" s="1"/>
  <c r="L9" i="39"/>
  <c r="L14" i="39" s="1"/>
  <c r="L44" i="39" s="1"/>
  <c r="L23" i="93"/>
  <c r="L32" i="93" s="1"/>
  <c r="L9" i="90"/>
  <c r="Z104" i="22"/>
  <c r="Z14" i="22"/>
  <c r="Z9" i="79"/>
  <c r="L14" i="79"/>
  <c r="L104" i="79"/>
  <c r="M9" i="22"/>
  <c r="V12" i="89"/>
  <c r="J17" i="89"/>
  <c r="J20" i="89" s="1"/>
  <c r="J107" i="75"/>
  <c r="J105" i="75"/>
  <c r="K85" i="75"/>
  <c r="AD85" i="75"/>
  <c r="J90" i="75"/>
  <c r="J104" i="75"/>
  <c r="K104" i="75" s="1"/>
  <c r="J90" i="22"/>
  <c r="AE50" i="69"/>
  <c r="U88" i="22"/>
  <c r="U88" i="75"/>
  <c r="N88" i="75"/>
  <c r="N88" i="22"/>
  <c r="AB88" i="22" s="1"/>
  <c r="K50" i="69"/>
  <c r="M50" i="69" s="1"/>
  <c r="O50" i="69" s="1"/>
  <c r="D88" i="22"/>
  <c r="D88" i="75"/>
  <c r="AE87" i="22"/>
  <c r="AE87" i="79"/>
  <c r="AE106" i="79" s="1"/>
  <c r="AA106" i="97"/>
  <c r="AA90" i="97"/>
  <c r="AE49" i="69"/>
  <c r="U87" i="22"/>
  <c r="U87" i="79"/>
  <c r="N87" i="22"/>
  <c r="N87" i="79"/>
  <c r="N106" i="79" s="1"/>
  <c r="N87" i="97"/>
  <c r="D87" i="22"/>
  <c r="D87" i="79"/>
  <c r="K49" i="69"/>
  <c r="M49" i="69" s="1"/>
  <c r="O49" i="69" s="1"/>
  <c r="AE86" i="22"/>
  <c r="AD86" i="22" s="1"/>
  <c r="AE86" i="75"/>
  <c r="AD86" i="75" s="1"/>
  <c r="AA105" i="75"/>
  <c r="AA109" i="75" s="1"/>
  <c r="AA31" i="90" s="1"/>
  <c r="AA90" i="75"/>
  <c r="Y105" i="75"/>
  <c r="Y109" i="75" s="1"/>
  <c r="Y31" i="90" s="1"/>
  <c r="Y90" i="75"/>
  <c r="X105" i="75"/>
  <c r="X109" i="75" s="1"/>
  <c r="X31" i="90" s="1"/>
  <c r="X90" i="75"/>
  <c r="W105" i="75"/>
  <c r="W109" i="75" s="1"/>
  <c r="W31" i="90" s="1"/>
  <c r="W90" i="75"/>
  <c r="V105" i="75"/>
  <c r="V109" i="75" s="1"/>
  <c r="V31" i="90" s="1"/>
  <c r="V90" i="75"/>
  <c r="U86" i="22"/>
  <c r="AE48" i="69"/>
  <c r="U86" i="75"/>
  <c r="N86" i="22"/>
  <c r="AB86" i="22" s="1"/>
  <c r="N86" i="75"/>
  <c r="I105" i="75"/>
  <c r="I109" i="75" s="1"/>
  <c r="I31" i="90" s="1"/>
  <c r="I90" i="75"/>
  <c r="I10" i="90"/>
  <c r="I24" i="93"/>
  <c r="I33" i="93" s="1"/>
  <c r="I10" i="39"/>
  <c r="H10" i="90"/>
  <c r="H24" i="93"/>
  <c r="H33" i="93" s="1"/>
  <c r="H10" i="39"/>
  <c r="H105" i="75"/>
  <c r="H109" i="75" s="1"/>
  <c r="H31" i="90" s="1"/>
  <c r="H90" i="75"/>
  <c r="G10" i="90"/>
  <c r="G24" i="93"/>
  <c r="G33" i="93" s="1"/>
  <c r="G10" i="39"/>
  <c r="G105" i="75"/>
  <c r="G109" i="75" s="1"/>
  <c r="G31" i="90" s="1"/>
  <c r="G90" i="75"/>
  <c r="F105" i="75"/>
  <c r="F109" i="75" s="1"/>
  <c r="F31" i="90" s="1"/>
  <c r="F90" i="75"/>
  <c r="F10" i="90"/>
  <c r="F24" i="93"/>
  <c r="F33" i="93" s="1"/>
  <c r="F10" i="39"/>
  <c r="E10" i="90"/>
  <c r="E24" i="93"/>
  <c r="E33" i="93" s="1"/>
  <c r="E10" i="39"/>
  <c r="E105" i="75"/>
  <c r="E109" i="75" s="1"/>
  <c r="E31" i="90" s="1"/>
  <c r="E90" i="75"/>
  <c r="K48" i="69"/>
  <c r="M48" i="69" s="1"/>
  <c r="O48" i="69" s="1"/>
  <c r="D86" i="75"/>
  <c r="D86" i="22"/>
  <c r="AD52" i="69"/>
  <c r="AE85" i="22"/>
  <c r="AD85" i="22" s="1"/>
  <c r="AE85" i="79"/>
  <c r="AC14" i="69"/>
  <c r="AC47" i="69"/>
  <c r="AA52" i="69"/>
  <c r="AA85" i="22"/>
  <c r="AA90" i="22" s="1"/>
  <c r="AA85" i="79"/>
  <c r="Y52" i="69"/>
  <c r="Y85" i="22"/>
  <c r="Y90" i="22" s="1"/>
  <c r="Y85" i="79"/>
  <c r="X52" i="69"/>
  <c r="X85" i="22"/>
  <c r="X90" i="22" s="1"/>
  <c r="X85" i="79"/>
  <c r="W52" i="69"/>
  <c r="W85" i="22"/>
  <c r="W90" i="22" s="1"/>
  <c r="W85" i="79"/>
  <c r="V85" i="22"/>
  <c r="V90" i="22" s="1"/>
  <c r="V52" i="69"/>
  <c r="V85" i="79"/>
  <c r="AE14" i="69"/>
  <c r="U52" i="69"/>
  <c r="Y54" i="69" s="1"/>
  <c r="U85" i="22"/>
  <c r="U85" i="79"/>
  <c r="AB14" i="69"/>
  <c r="AB47" i="69"/>
  <c r="AE47" i="69" s="1"/>
  <c r="N52" i="69"/>
  <c r="N85" i="22"/>
  <c r="N85" i="79"/>
  <c r="N85" i="97"/>
  <c r="I52" i="69"/>
  <c r="I85" i="22"/>
  <c r="I85" i="79"/>
  <c r="H52" i="69"/>
  <c r="H85" i="22"/>
  <c r="H85" i="79"/>
  <c r="G52" i="69"/>
  <c r="G85" i="22"/>
  <c r="G85" i="79"/>
  <c r="F52" i="69"/>
  <c r="F85" i="22"/>
  <c r="F85" i="79"/>
  <c r="E52" i="69"/>
  <c r="E85" i="79"/>
  <c r="E85" i="22"/>
  <c r="M9" i="69"/>
  <c r="K14" i="69"/>
  <c r="K47" i="69"/>
  <c r="D52" i="69"/>
  <c r="D85" i="22"/>
  <c r="D85" i="79"/>
  <c r="K33" i="69"/>
  <c r="M28" i="69"/>
  <c r="AD89" i="79"/>
  <c r="AD89" i="97"/>
  <c r="AD90" i="97" s="1"/>
  <c r="AE89" i="79"/>
  <c r="AE108" i="79" s="1"/>
  <c r="AE89" i="97"/>
  <c r="AE89" i="22"/>
  <c r="AE51" i="69"/>
  <c r="U89" i="79"/>
  <c r="U89" i="97"/>
  <c r="U89" i="22"/>
  <c r="N89" i="79"/>
  <c r="N108" i="79" s="1"/>
  <c r="N89" i="22"/>
  <c r="AB89" i="22" s="1"/>
  <c r="N89" i="97"/>
  <c r="N108" i="97" s="1"/>
  <c r="F108" i="97"/>
  <c r="F90" i="97"/>
  <c r="E108" i="97"/>
  <c r="E90" i="97"/>
  <c r="K51" i="69"/>
  <c r="M51" i="69" s="1"/>
  <c r="O51" i="69" s="1"/>
  <c r="D89" i="22"/>
  <c r="D89" i="79"/>
  <c r="D89" i="97"/>
  <c r="AE88" i="75"/>
  <c r="AE88" i="22"/>
  <c r="J34" i="81"/>
  <c r="J39" i="91"/>
  <c r="J34" i="39"/>
  <c r="J10" i="91"/>
  <c r="J38" i="91"/>
  <c r="J33" i="81"/>
  <c r="J33" i="76"/>
  <c r="J24" i="91"/>
  <c r="J33" i="39"/>
  <c r="J9" i="91"/>
  <c r="J95" i="91" s="1"/>
  <c r="J37" i="91"/>
  <c r="J32" i="81"/>
  <c r="J32" i="39"/>
  <c r="J8" i="91"/>
  <c r="J31" i="81"/>
  <c r="J36" i="91"/>
  <c r="J31" i="76"/>
  <c r="J22" i="91"/>
  <c r="J31" i="39"/>
  <c r="J7" i="91"/>
  <c r="J93" i="91" s="1"/>
  <c r="AF71" i="79"/>
  <c r="M66" i="79"/>
  <c r="K71" i="79"/>
  <c r="J131" i="79"/>
  <c r="J30" i="81"/>
  <c r="J36" i="81" s="1"/>
  <c r="J46" i="81" s="1"/>
  <c r="J35" i="91"/>
  <c r="AE71" i="22"/>
  <c r="AD66" i="22"/>
  <c r="AD71" i="22" s="1"/>
  <c r="AB66" i="22"/>
  <c r="N71" i="22"/>
  <c r="U71" i="22"/>
  <c r="Y73" i="22" s="1"/>
  <c r="AF66" i="22"/>
  <c r="K66" i="22"/>
  <c r="J125" i="22"/>
  <c r="G142" i="22"/>
  <c r="G147" i="22" s="1"/>
  <c r="M3" i="36"/>
  <c r="M9" i="36" s="1"/>
  <c r="N25" i="36" s="1"/>
  <c r="D71" i="22"/>
  <c r="K146" i="79"/>
  <c r="H34" i="81"/>
  <c r="H39" i="91"/>
  <c r="K146" i="22"/>
  <c r="H34" i="39"/>
  <c r="H10" i="91"/>
  <c r="H96" i="91" s="1"/>
  <c r="K145" i="79"/>
  <c r="H33" i="81"/>
  <c r="H38" i="91"/>
  <c r="K145" i="75"/>
  <c r="H33" i="76"/>
  <c r="H24" i="91"/>
  <c r="K145" i="22"/>
  <c r="H33" i="39"/>
  <c r="H9" i="91"/>
  <c r="H95" i="91" s="1"/>
  <c r="K144" i="79"/>
  <c r="H37" i="91"/>
  <c r="H32" i="81"/>
  <c r="K144" i="22"/>
  <c r="H32" i="39"/>
  <c r="H8" i="91"/>
  <c r="H94" i="91" s="1"/>
  <c r="K143" i="79"/>
  <c r="H31" i="81"/>
  <c r="H36" i="91"/>
  <c r="K143" i="75"/>
  <c r="H31" i="76"/>
  <c r="H22" i="91"/>
  <c r="AE105" i="22"/>
  <c r="AD29" i="22"/>
  <c r="AD33" i="22" s="1"/>
  <c r="AA105" i="22"/>
  <c r="AA33" i="22"/>
  <c r="Y105" i="22"/>
  <c r="Y33" i="22"/>
  <c r="X105" i="22"/>
  <c r="X33" i="22"/>
  <c r="W105" i="22"/>
  <c r="W33" i="22"/>
  <c r="V105" i="22"/>
  <c r="V33" i="22"/>
  <c r="Y35" i="22" s="1"/>
  <c r="H126" i="22"/>
  <c r="F143" i="22"/>
  <c r="F147" i="22" s="1"/>
  <c r="E4" i="36"/>
  <c r="E9" i="36" s="1"/>
  <c r="F25" i="36" s="1"/>
  <c r="K29" i="22"/>
  <c r="M29" i="22" s="1"/>
  <c r="O29" i="22" s="1"/>
  <c r="M28" i="79"/>
  <c r="K33" i="79"/>
  <c r="H131" i="79"/>
  <c r="K142" i="79"/>
  <c r="K147" i="79" s="1"/>
  <c r="H35" i="91"/>
  <c r="H30" i="81"/>
  <c r="H36" i="81" s="1"/>
  <c r="H46" i="81" s="1"/>
  <c r="H131" i="22"/>
  <c r="H12" i="91" s="1"/>
  <c r="K142" i="22"/>
  <c r="H30" i="39"/>
  <c r="H6" i="91"/>
  <c r="H92" i="91" s="1"/>
  <c r="M28" i="22"/>
  <c r="K33" i="22"/>
  <c r="J13" i="79"/>
  <c r="J108" i="22"/>
  <c r="AD13" i="22"/>
  <c r="J107" i="22"/>
  <c r="J12" i="79"/>
  <c r="AD12" i="22"/>
  <c r="AD11" i="22"/>
  <c r="AF11" i="22" s="1"/>
  <c r="AG11" i="22" s="1"/>
  <c r="AH11" i="22" s="1"/>
  <c r="J11" i="79"/>
  <c r="J106" i="22"/>
  <c r="AD10" i="22"/>
  <c r="AF10" i="22" s="1"/>
  <c r="AG10" i="22" s="1"/>
  <c r="AH10" i="22" s="1"/>
  <c r="J10" i="79"/>
  <c r="J105" i="22"/>
  <c r="J14" i="22"/>
  <c r="J104" i="22"/>
  <c r="AD9" i="22"/>
  <c r="J9" i="79"/>
  <c r="L30" i="88"/>
  <c r="L36" i="88" s="1"/>
  <c r="L77" i="91"/>
  <c r="L131" i="86"/>
  <c r="L83" i="91" s="1"/>
  <c r="L131" i="79"/>
  <c r="L41" i="91" s="1"/>
  <c r="L30" i="81"/>
  <c r="L36" i="81" s="1"/>
  <c r="L46" i="81" s="1"/>
  <c r="L35" i="91"/>
  <c r="L131" i="75"/>
  <c r="L27" i="91" s="1"/>
  <c r="L30" i="76"/>
  <c r="L36" i="76" s="1"/>
  <c r="L45" i="76" s="1"/>
  <c r="L21" i="91"/>
  <c r="K131" i="86"/>
  <c r="K83" i="91" s="1"/>
  <c r="K30" i="88"/>
  <c r="K36" i="88" s="1"/>
  <c r="K45" i="88" s="1"/>
  <c r="K77" i="91"/>
  <c r="K131" i="79"/>
  <c r="K41" i="91" s="1"/>
  <c r="K35" i="91"/>
  <c r="K30" i="81"/>
  <c r="K36" i="81" s="1"/>
  <c r="K46" i="81" s="1"/>
  <c r="K131" i="75"/>
  <c r="K27" i="91" s="1"/>
  <c r="K30" i="76"/>
  <c r="K36" i="76" s="1"/>
  <c r="K45" i="76" s="1"/>
  <c r="K21" i="91"/>
  <c r="D131" i="86"/>
  <c r="D83" i="91" s="1"/>
  <c r="K3" i="87"/>
  <c r="K9" i="87" s="1"/>
  <c r="D30" i="88"/>
  <c r="D36" i="88" s="1"/>
  <c r="D45" i="88" s="1"/>
  <c r="D77" i="91"/>
  <c r="D131" i="79"/>
  <c r="K3" i="80"/>
  <c r="K9" i="80" s="1"/>
  <c r="L21" i="36" s="1"/>
  <c r="D35" i="91"/>
  <c r="D30" i="81"/>
  <c r="D36" i="81" s="1"/>
  <c r="D46" i="81" s="1"/>
  <c r="D131" i="75"/>
  <c r="K3" i="77"/>
  <c r="K9" i="77" s="1"/>
  <c r="L20" i="36" s="1"/>
  <c r="L24" i="36" s="1"/>
  <c r="D30" i="76"/>
  <c r="D36" i="76" s="1"/>
  <c r="D45" i="76" s="1"/>
  <c r="D21" i="91"/>
  <c r="C26" i="56"/>
  <c r="C27" i="56" s="1"/>
  <c r="L125" i="22"/>
  <c r="C17" i="56"/>
  <c r="C18" i="56" s="1"/>
  <c r="K125" i="22"/>
  <c r="P3" i="70"/>
  <c r="N5" i="70"/>
  <c r="N6" i="70" s="1"/>
  <c r="I147" i="85"/>
  <c r="O32" i="36" s="1"/>
  <c r="F3" i="83"/>
  <c r="F9" i="83" s="1"/>
  <c r="G23" i="36" s="1"/>
  <c r="I146" i="22"/>
  <c r="F7" i="36" s="1"/>
  <c r="I146" i="79"/>
  <c r="F7" i="80" s="1"/>
  <c r="K7" i="36"/>
  <c r="D34" i="39"/>
  <c r="D10" i="91"/>
  <c r="D96" i="91" s="1"/>
  <c r="I145" i="22"/>
  <c r="F6" i="36" s="1"/>
  <c r="I145" i="75"/>
  <c r="F6" i="77" s="1"/>
  <c r="K6" i="36"/>
  <c r="D33" i="39"/>
  <c r="D9" i="91"/>
  <c r="D95" i="91" s="1"/>
  <c r="I144" i="22"/>
  <c r="F5" i="36" s="1"/>
  <c r="I144" i="79"/>
  <c r="F5" i="80" s="1"/>
  <c r="K5" i="36"/>
  <c r="D32" i="39"/>
  <c r="D8" i="91"/>
  <c r="D94" i="91" s="1"/>
  <c r="I143" i="22"/>
  <c r="F4" i="36" s="1"/>
  <c r="I143" i="75"/>
  <c r="K4" i="36"/>
  <c r="D31" i="39"/>
  <c r="D7" i="91"/>
  <c r="D93" i="91" s="1"/>
  <c r="F3" i="98"/>
  <c r="F9" i="98" s="1"/>
  <c r="G22" i="36" s="1"/>
  <c r="I147" i="97"/>
  <c r="I142" i="22"/>
  <c r="I142" i="79"/>
  <c r="C8" i="56"/>
  <c r="C9" i="56" s="1"/>
  <c r="D125" i="22"/>
  <c r="J146" i="79"/>
  <c r="D7" i="80"/>
  <c r="G39" i="91"/>
  <c r="G34" i="81"/>
  <c r="N47" i="90"/>
  <c r="J7" i="80"/>
  <c r="N13" i="81"/>
  <c r="J146" i="22"/>
  <c r="D7" i="36"/>
  <c r="G34" i="39"/>
  <c r="G10" i="91"/>
  <c r="G96" i="91" s="1"/>
  <c r="U108" i="22"/>
  <c r="N108" i="22"/>
  <c r="AB13" i="22"/>
  <c r="K13" i="22"/>
  <c r="M13" i="22" s="1"/>
  <c r="O13" i="22" s="1"/>
  <c r="D108" i="22"/>
  <c r="J145" i="85"/>
  <c r="G33" i="82"/>
  <c r="G66" i="91"/>
  <c r="D6" i="83"/>
  <c r="H6" i="83" s="1"/>
  <c r="O6" i="83" s="1"/>
  <c r="P6" i="83" s="1"/>
  <c r="J145" i="79"/>
  <c r="G38" i="91"/>
  <c r="D6" i="80"/>
  <c r="H6" i="80" s="1"/>
  <c r="G33" i="81"/>
  <c r="U46" i="90"/>
  <c r="U12" i="81"/>
  <c r="AB46" i="90"/>
  <c r="AB12" i="81"/>
  <c r="N46" i="90"/>
  <c r="J6" i="80"/>
  <c r="N12" i="81"/>
  <c r="D145" i="79"/>
  <c r="L145" i="79" s="1"/>
  <c r="M145" i="79" s="1"/>
  <c r="D46" i="90"/>
  <c r="I6" i="80"/>
  <c r="N6" i="80" s="1"/>
  <c r="D12" i="81"/>
  <c r="J145" i="75"/>
  <c r="D6" i="77"/>
  <c r="G33" i="76"/>
  <c r="G24" i="91"/>
  <c r="AE12" i="76"/>
  <c r="AE29" i="90"/>
  <c r="J145" i="22"/>
  <c r="D6" i="36"/>
  <c r="G33" i="39"/>
  <c r="G9" i="91"/>
  <c r="G95" i="91" s="1"/>
  <c r="U107" i="22"/>
  <c r="AB12" i="22"/>
  <c r="N107" i="22"/>
  <c r="K12" i="22"/>
  <c r="D107" i="22"/>
  <c r="J144" i="85"/>
  <c r="D5" i="83"/>
  <c r="H5" i="83" s="1"/>
  <c r="G32" i="82"/>
  <c r="G65" i="91"/>
  <c r="AE11" i="82"/>
  <c r="AE78" i="90"/>
  <c r="AF106" i="85"/>
  <c r="U11" i="82"/>
  <c r="U78" i="90"/>
  <c r="N11" i="82"/>
  <c r="J5" i="83"/>
  <c r="N78" i="90"/>
  <c r="K106" i="85"/>
  <c r="D144" i="85"/>
  <c r="L144" i="85" s="1"/>
  <c r="M144" i="85" s="1"/>
  <c r="D11" i="82"/>
  <c r="K11" i="82" s="1"/>
  <c r="M11" i="82" s="1"/>
  <c r="O11" i="82" s="1"/>
  <c r="I5" i="83"/>
  <c r="N5" i="83" s="1"/>
  <c r="D78" i="90"/>
  <c r="J144" i="79"/>
  <c r="D5" i="80"/>
  <c r="G32" i="81"/>
  <c r="G37" i="91"/>
  <c r="J5" i="80"/>
  <c r="N45" i="90"/>
  <c r="N11" i="81"/>
  <c r="Y52" i="22"/>
  <c r="Y106" i="22"/>
  <c r="X106" i="22"/>
  <c r="X52" i="22"/>
  <c r="W106" i="22"/>
  <c r="W52" i="22"/>
  <c r="V106" i="22"/>
  <c r="V52" i="22"/>
  <c r="I106" i="22"/>
  <c r="I52" i="22"/>
  <c r="H106" i="22"/>
  <c r="H52" i="22"/>
  <c r="G52" i="22"/>
  <c r="G106" i="22"/>
  <c r="F106" i="22"/>
  <c r="F52" i="22"/>
  <c r="E106" i="22"/>
  <c r="E52" i="22"/>
  <c r="K49" i="22"/>
  <c r="M49" i="22" s="1"/>
  <c r="O49" i="22" s="1"/>
  <c r="G127" i="22"/>
  <c r="J143" i="79"/>
  <c r="D4" i="80"/>
  <c r="H4" i="80" s="1"/>
  <c r="G36" i="91"/>
  <c r="G31" i="81"/>
  <c r="U44" i="90"/>
  <c r="U10" i="81"/>
  <c r="AB44" i="90"/>
  <c r="AB10" i="81"/>
  <c r="J4" i="80"/>
  <c r="N10" i="81"/>
  <c r="N44" i="90"/>
  <c r="D143" i="79"/>
  <c r="L143" i="79" s="1"/>
  <c r="M143" i="79" s="1"/>
  <c r="I4" i="80"/>
  <c r="N4" i="80" s="1"/>
  <c r="D10" i="81"/>
  <c r="D44" i="90"/>
  <c r="M47" i="79"/>
  <c r="K52" i="79"/>
  <c r="G131" i="79"/>
  <c r="J142" i="79"/>
  <c r="D3" i="80"/>
  <c r="G30" i="81"/>
  <c r="G35" i="91"/>
  <c r="AC109" i="79"/>
  <c r="AC48" i="90" s="1"/>
  <c r="AC43" i="90"/>
  <c r="AC9" i="81"/>
  <c r="AB14" i="79"/>
  <c r="AA89" i="22"/>
  <c r="AA108" i="22" s="1"/>
  <c r="AA89" i="97"/>
  <c r="AA108" i="97" s="1"/>
  <c r="AA89" i="79"/>
  <c r="AA108" i="79" s="1"/>
  <c r="Y89" i="22"/>
  <c r="Y108" i="22" s="1"/>
  <c r="Y89" i="97"/>
  <c r="Y89" i="79"/>
  <c r="Y108" i="79" s="1"/>
  <c r="X89" i="22"/>
  <c r="X108" i="22" s="1"/>
  <c r="X89" i="97"/>
  <c r="X89" i="79"/>
  <c r="X108" i="79" s="1"/>
  <c r="W89" i="97"/>
  <c r="W89" i="79"/>
  <c r="W108" i="79" s="1"/>
  <c r="W89" i="22"/>
  <c r="W108" i="22" s="1"/>
  <c r="V89" i="22"/>
  <c r="V108" i="22" s="1"/>
  <c r="V89" i="97"/>
  <c r="V89" i="79"/>
  <c r="V108" i="79" s="1"/>
  <c r="I89" i="97"/>
  <c r="I89" i="79"/>
  <c r="I108" i="79" s="1"/>
  <c r="I89" i="22"/>
  <c r="I108" i="22" s="1"/>
  <c r="H89" i="79"/>
  <c r="H108" i="79" s="1"/>
  <c r="H89" i="97"/>
  <c r="H89" i="22"/>
  <c r="H108" i="22" s="1"/>
  <c r="G89" i="22"/>
  <c r="G108" i="22" s="1"/>
  <c r="G89" i="97"/>
  <c r="G89" i="79"/>
  <c r="G108" i="79" s="1"/>
  <c r="AA13" i="81"/>
  <c r="AA47" i="90"/>
  <c r="W13" i="81"/>
  <c r="W47" i="90"/>
  <c r="I13" i="81"/>
  <c r="I47" i="90"/>
  <c r="G47" i="90"/>
  <c r="G13" i="81"/>
  <c r="E13" i="81"/>
  <c r="E47" i="90"/>
  <c r="AC13" i="81"/>
  <c r="AC47" i="90"/>
  <c r="Y13" i="81"/>
  <c r="Y47" i="90"/>
  <c r="X13" i="81"/>
  <c r="X47" i="90"/>
  <c r="V13" i="81"/>
  <c r="V47" i="90"/>
  <c r="H47" i="90"/>
  <c r="H13" i="81"/>
  <c r="F13" i="81"/>
  <c r="F47" i="90"/>
  <c r="AC13" i="90"/>
  <c r="AC114" i="90" s="1"/>
  <c r="AC13" i="39"/>
  <c r="AC111" i="90"/>
  <c r="K96" i="91"/>
  <c r="K95" i="91"/>
  <c r="L94" i="91"/>
  <c r="AC113" i="90"/>
  <c r="L96" i="91"/>
  <c r="L95" i="91"/>
  <c r="K94" i="91"/>
  <c r="L93" i="91"/>
  <c r="K93" i="91"/>
  <c r="AG10" i="75"/>
  <c r="AH10" i="75" s="1"/>
  <c r="AF49" i="22"/>
  <c r="AG49" i="22" s="1"/>
  <c r="AH49" i="22" s="1"/>
  <c r="AC112" i="90"/>
  <c r="AG49" i="85"/>
  <c r="AH49" i="85" s="1"/>
  <c r="AG32" i="86"/>
  <c r="AH32" i="86" s="1"/>
  <c r="AG67" i="85"/>
  <c r="AH67" i="85" s="1"/>
  <c r="AG31" i="85"/>
  <c r="AH31" i="85" s="1"/>
  <c r="AG31" i="22"/>
  <c r="AH31" i="22" s="1"/>
  <c r="AG50" i="79"/>
  <c r="AH50" i="79" s="1"/>
  <c r="AG69" i="86"/>
  <c r="AH69" i="86" s="1"/>
  <c r="AG68" i="86"/>
  <c r="AH68" i="86" s="1"/>
  <c r="AG31" i="86"/>
  <c r="AH31" i="86" s="1"/>
  <c r="AG29" i="85"/>
  <c r="AH29" i="85" s="1"/>
  <c r="AG67" i="97"/>
  <c r="AH67" i="97" s="1"/>
  <c r="AG51" i="97"/>
  <c r="AH51" i="97" s="1"/>
  <c r="AG49" i="97"/>
  <c r="AH49" i="97" s="1"/>
  <c r="AG32" i="97"/>
  <c r="AH32" i="97" s="1"/>
  <c r="AG32" i="22"/>
  <c r="AH32" i="22" s="1"/>
  <c r="AG31" i="75"/>
  <c r="AH31" i="75" s="1"/>
  <c r="AG30" i="22"/>
  <c r="AH30" i="22" s="1"/>
  <c r="AG51" i="79"/>
  <c r="AH51" i="79" s="1"/>
  <c r="AG51" i="22"/>
  <c r="AH51" i="22" s="1"/>
  <c r="AG70" i="85"/>
  <c r="AH70" i="85" s="1"/>
  <c r="AG51" i="85"/>
  <c r="AH51" i="85" s="1"/>
  <c r="AG32" i="85"/>
  <c r="AH32" i="85" s="1"/>
  <c r="AG49" i="75"/>
  <c r="AH49" i="75" s="1"/>
  <c r="AG30" i="75"/>
  <c r="AH30" i="75" s="1"/>
  <c r="AG29" i="97"/>
  <c r="AH29" i="97" s="1"/>
  <c r="AG68" i="75"/>
  <c r="AH68" i="75" s="1"/>
  <c r="AG51" i="75"/>
  <c r="AH51" i="75" s="1"/>
  <c r="AD14" i="85"/>
  <c r="AG29" i="86"/>
  <c r="AH29" i="86" s="1"/>
  <c r="AG69" i="85"/>
  <c r="AH69" i="85" s="1"/>
  <c r="AG70" i="22"/>
  <c r="AH70" i="22" s="1"/>
  <c r="AG50" i="75"/>
  <c r="AH50" i="75" s="1"/>
  <c r="AG67" i="86"/>
  <c r="AH67" i="86" s="1"/>
  <c r="AG30" i="86"/>
  <c r="AH30" i="86" s="1"/>
  <c r="AG30" i="85"/>
  <c r="AH30" i="85" s="1"/>
  <c r="AG69" i="97"/>
  <c r="AH69" i="97" s="1"/>
  <c r="AG68" i="97"/>
  <c r="AH68" i="97" s="1"/>
  <c r="AG50" i="97"/>
  <c r="AH50" i="97" s="1"/>
  <c r="AG48" i="97"/>
  <c r="AH48" i="97" s="1"/>
  <c r="AG31" i="97"/>
  <c r="AH31" i="97" s="1"/>
  <c r="AG67" i="22"/>
  <c r="AH67" i="22" s="1"/>
  <c r="AG32" i="79"/>
  <c r="AH32" i="79" s="1"/>
  <c r="AG31" i="79"/>
  <c r="AH31" i="79" s="1"/>
  <c r="AG30" i="79"/>
  <c r="AH30" i="79" s="1"/>
  <c r="AG29" i="75"/>
  <c r="AH29" i="75" s="1"/>
  <c r="AG49" i="86"/>
  <c r="AH49" i="86" s="1"/>
  <c r="AG48" i="86"/>
  <c r="AH48" i="86" s="1"/>
  <c r="AG68" i="85"/>
  <c r="AH68" i="85" s="1"/>
  <c r="AG48" i="85"/>
  <c r="AH48" i="85" s="1"/>
  <c r="AG32" i="75"/>
  <c r="AH32" i="75" s="1"/>
  <c r="AG30" i="97"/>
  <c r="AH30" i="97" s="1"/>
  <c r="AG70" i="75"/>
  <c r="AH70" i="75" s="1"/>
  <c r="D45" i="82"/>
  <c r="AG10" i="97"/>
  <c r="AH10" i="97" s="1"/>
  <c r="AB71" i="86"/>
  <c r="AF66" i="86"/>
  <c r="AB52" i="86"/>
  <c r="AF47" i="86"/>
  <c r="AB33" i="86"/>
  <c r="AF28" i="86"/>
  <c r="AB108" i="86"/>
  <c r="AF13" i="86"/>
  <c r="AG13" i="86" s="1"/>
  <c r="AH13" i="86" s="1"/>
  <c r="AB107" i="86"/>
  <c r="AF12" i="86"/>
  <c r="AG12" i="86" s="1"/>
  <c r="AH12" i="86" s="1"/>
  <c r="AB106" i="86"/>
  <c r="AF11" i="86"/>
  <c r="AG11" i="86" s="1"/>
  <c r="AH11" i="86" s="1"/>
  <c r="AB105" i="86"/>
  <c r="AF10" i="86"/>
  <c r="AG10" i="86" s="1"/>
  <c r="AH10" i="86" s="1"/>
  <c r="AB71" i="85"/>
  <c r="AF66" i="85"/>
  <c r="AB52" i="85"/>
  <c r="AF47" i="85"/>
  <c r="AB33" i="85"/>
  <c r="AF28" i="85"/>
  <c r="AB108" i="85"/>
  <c r="AF13" i="85"/>
  <c r="AG13" i="85" s="1"/>
  <c r="AH13" i="85" s="1"/>
  <c r="AB107" i="85"/>
  <c r="AF12" i="85"/>
  <c r="AG12" i="85" s="1"/>
  <c r="AH12" i="85" s="1"/>
  <c r="AB105" i="85"/>
  <c r="AF10" i="85"/>
  <c r="AG10" i="85" s="1"/>
  <c r="AH10" i="85" s="1"/>
  <c r="AB71" i="97"/>
  <c r="AF66" i="97"/>
  <c r="AB52" i="97"/>
  <c r="AF47" i="97"/>
  <c r="AB33" i="97"/>
  <c r="AF28" i="97"/>
  <c r="AB107" i="97"/>
  <c r="AF12" i="97"/>
  <c r="AG12" i="97" s="1"/>
  <c r="AH12" i="97" s="1"/>
  <c r="AB71" i="75"/>
  <c r="AF66" i="75"/>
  <c r="AB52" i="75"/>
  <c r="AF47" i="75"/>
  <c r="AB33" i="75"/>
  <c r="AF28" i="75"/>
  <c r="AB108" i="75"/>
  <c r="AF13" i="75"/>
  <c r="AG13" i="75" s="1"/>
  <c r="AH13" i="75" s="1"/>
  <c r="AB106" i="75"/>
  <c r="AF11" i="75"/>
  <c r="AB52" i="22"/>
  <c r="AF47" i="22"/>
  <c r="Z106" i="22"/>
  <c r="Z105" i="22"/>
  <c r="AB50" i="69"/>
  <c r="AE12" i="69"/>
  <c r="AF12" i="69" s="1"/>
  <c r="AG12" i="69" s="1"/>
  <c r="AA11" i="39"/>
  <c r="AA11" i="90"/>
  <c r="J18" i="94"/>
  <c r="J26" i="94" s="1"/>
  <c r="AA11" i="81"/>
  <c r="AA45" i="90"/>
  <c r="Y11" i="81"/>
  <c r="Y45" i="90"/>
  <c r="X45" i="90"/>
  <c r="X11" i="81"/>
  <c r="W11" i="81"/>
  <c r="W45" i="90"/>
  <c r="V11" i="81"/>
  <c r="V45" i="90"/>
  <c r="AB49" i="69"/>
  <c r="AE11" i="69"/>
  <c r="AF11" i="69" s="1"/>
  <c r="AG11" i="69" s="1"/>
  <c r="I11" i="81"/>
  <c r="I45" i="90"/>
  <c r="H11" i="81"/>
  <c r="H45" i="90"/>
  <c r="G11" i="81"/>
  <c r="G45" i="90"/>
  <c r="F45" i="90"/>
  <c r="F11" i="81"/>
  <c r="E45" i="90"/>
  <c r="E11" i="81"/>
  <c r="AB48" i="69"/>
  <c r="AE10" i="69"/>
  <c r="AF10" i="69" s="1"/>
  <c r="AG10" i="69" s="1"/>
  <c r="AB33" i="69"/>
  <c r="AE28" i="69"/>
  <c r="AB51" i="69"/>
  <c r="AE13" i="69"/>
  <c r="AF13" i="69" s="1"/>
  <c r="AG13" i="69" s="1"/>
  <c r="AC71" i="22"/>
  <c r="AC104" i="22"/>
  <c r="AA71" i="22"/>
  <c r="AA104" i="22"/>
  <c r="Y71" i="22"/>
  <c r="Y104" i="22"/>
  <c r="X71" i="22"/>
  <c r="X104" i="22"/>
  <c r="W71" i="22"/>
  <c r="W104" i="22"/>
  <c r="V71" i="22"/>
  <c r="V104" i="22"/>
  <c r="I71" i="22"/>
  <c r="H71" i="22"/>
  <c r="G71" i="22"/>
  <c r="F71" i="22"/>
  <c r="E71" i="22"/>
  <c r="AB29" i="22"/>
  <c r="N105" i="22"/>
  <c r="AB33" i="79"/>
  <c r="AF28" i="79"/>
  <c r="AB33" i="22"/>
  <c r="AF28" i="22"/>
  <c r="AA107" i="22"/>
  <c r="AA14" i="22"/>
  <c r="Y107" i="22"/>
  <c r="Y14" i="22"/>
  <c r="X107" i="22"/>
  <c r="X14" i="22"/>
  <c r="W107" i="22"/>
  <c r="W14" i="22"/>
  <c r="V107" i="22"/>
  <c r="V14" i="22"/>
  <c r="I107" i="22"/>
  <c r="I14" i="22"/>
  <c r="H107" i="22"/>
  <c r="H14" i="22"/>
  <c r="G107" i="22"/>
  <c r="G14" i="22"/>
  <c r="F107" i="22"/>
  <c r="F14" i="22"/>
  <c r="E107" i="22"/>
  <c r="E14" i="22"/>
  <c r="AB106" i="85"/>
  <c r="AF11" i="85"/>
  <c r="AB52" i="79"/>
  <c r="AF47" i="79"/>
  <c r="M71" i="86" l="1"/>
  <c r="O66" i="86"/>
  <c r="H3" i="87"/>
  <c r="D9" i="87"/>
  <c r="O47" i="86"/>
  <c r="M52" i="86"/>
  <c r="O28" i="86"/>
  <c r="M33" i="86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AF93" i="90"/>
  <c r="AF109" i="86"/>
  <c r="AF98" i="90" s="1"/>
  <c r="U98" i="90"/>
  <c r="Y111" i="86"/>
  <c r="U14" i="88"/>
  <c r="Y16" i="88" s="1"/>
  <c r="AB109" i="86"/>
  <c r="AB98" i="90" s="1"/>
  <c r="AB9" i="88"/>
  <c r="AB93" i="90"/>
  <c r="O9" i="86"/>
  <c r="M14" i="86"/>
  <c r="N3" i="87"/>
  <c r="N9" i="87" s="1"/>
  <c r="I9" i="87"/>
  <c r="M104" i="86"/>
  <c r="K93" i="90"/>
  <c r="K109" i="86"/>
  <c r="K98" i="90" s="1"/>
  <c r="D147" i="86"/>
  <c r="L142" i="86"/>
  <c r="K9" i="88"/>
  <c r="D14" i="88"/>
  <c r="D44" i="88" s="1"/>
  <c r="AG85" i="85"/>
  <c r="O90" i="85"/>
  <c r="J69" i="91"/>
  <c r="N32" i="36"/>
  <c r="M71" i="85"/>
  <c r="O66" i="85"/>
  <c r="M52" i="85"/>
  <c r="O47" i="85"/>
  <c r="G69" i="91"/>
  <c r="K32" i="36"/>
  <c r="H3" i="83"/>
  <c r="D9" i="83"/>
  <c r="E23" i="36" s="1"/>
  <c r="O28" i="85"/>
  <c r="M33" i="85"/>
  <c r="L32" i="36"/>
  <c r="H69" i="91"/>
  <c r="AF80" i="90"/>
  <c r="M108" i="85"/>
  <c r="K80" i="90"/>
  <c r="AF79" i="90"/>
  <c r="M107" i="85"/>
  <c r="K79" i="90"/>
  <c r="AF77" i="90"/>
  <c r="M105" i="85"/>
  <c r="K77" i="90"/>
  <c r="AF109" i="85"/>
  <c r="AF81" i="90" s="1"/>
  <c r="AF76" i="90"/>
  <c r="U14" i="82"/>
  <c r="Y16" i="82" s="1"/>
  <c r="Y111" i="85"/>
  <c r="U81" i="90"/>
  <c r="N81" i="90"/>
  <c r="E32" i="36"/>
  <c r="AB9" i="82"/>
  <c r="AB76" i="90"/>
  <c r="AB109" i="85"/>
  <c r="AB81" i="90" s="1"/>
  <c r="O9" i="85"/>
  <c r="M14" i="85"/>
  <c r="D147" i="85"/>
  <c r="L142" i="85"/>
  <c r="N3" i="83"/>
  <c r="N9" i="83" s="1"/>
  <c r="O23" i="36" s="1"/>
  <c r="I9" i="83"/>
  <c r="J23" i="36" s="1"/>
  <c r="D14" i="82"/>
  <c r="D44" i="82" s="1"/>
  <c r="K9" i="82"/>
  <c r="M104" i="85"/>
  <c r="K76" i="90"/>
  <c r="K109" i="85"/>
  <c r="K81" i="90" s="1"/>
  <c r="D81" i="90"/>
  <c r="D32" i="36"/>
  <c r="F32" i="36" s="1"/>
  <c r="G32" i="36" s="1"/>
  <c r="AD11" i="99"/>
  <c r="AD62" i="90"/>
  <c r="AD9" i="99"/>
  <c r="AD60" i="90"/>
  <c r="O85" i="97"/>
  <c r="N31" i="36"/>
  <c r="J55" i="91"/>
  <c r="M52" i="97"/>
  <c r="O47" i="97"/>
  <c r="K31" i="36"/>
  <c r="G55" i="91"/>
  <c r="D9" i="98"/>
  <c r="E22" i="36" s="1"/>
  <c r="O28" i="97"/>
  <c r="M33" i="97"/>
  <c r="L31" i="36"/>
  <c r="H55" i="91"/>
  <c r="M107" i="97"/>
  <c r="K63" i="90"/>
  <c r="M106" i="97"/>
  <c r="K62" i="90"/>
  <c r="AF61" i="90"/>
  <c r="M105" i="97"/>
  <c r="K61" i="90"/>
  <c r="M104" i="97"/>
  <c r="K60" i="90"/>
  <c r="K9" i="99"/>
  <c r="O9" i="97"/>
  <c r="M14" i="97"/>
  <c r="D24" i="36"/>
  <c r="J27" i="91"/>
  <c r="N29" i="36"/>
  <c r="N33" i="36" s="1"/>
  <c r="O66" i="75"/>
  <c r="M71" i="75"/>
  <c r="O47" i="75"/>
  <c r="M52" i="75"/>
  <c r="G27" i="91"/>
  <c r="G98" i="91" s="1"/>
  <c r="K29" i="36"/>
  <c r="K33" i="36" s="1"/>
  <c r="H3" i="77"/>
  <c r="D9" i="77"/>
  <c r="E20" i="36" s="1"/>
  <c r="E24" i="36" s="1"/>
  <c r="O28" i="75"/>
  <c r="M33" i="75"/>
  <c r="H27" i="91"/>
  <c r="H98" i="91" s="1"/>
  <c r="L29" i="36"/>
  <c r="L33" i="36" s="1"/>
  <c r="AF30" i="90"/>
  <c r="M108" i="75"/>
  <c r="K30" i="90"/>
  <c r="AF28" i="90"/>
  <c r="M106" i="75"/>
  <c r="K28" i="90"/>
  <c r="AB9" i="76"/>
  <c r="AB26" i="90"/>
  <c r="O9" i="75"/>
  <c r="M14" i="75"/>
  <c r="M104" i="75"/>
  <c r="K26" i="90"/>
  <c r="L142" i="75"/>
  <c r="N3" i="77"/>
  <c r="O47" i="22"/>
  <c r="M52" i="22"/>
  <c r="D9" i="36"/>
  <c r="AF13" i="79"/>
  <c r="AG13" i="79" s="1"/>
  <c r="AH13" i="79" s="1"/>
  <c r="Z108" i="79"/>
  <c r="L13" i="81"/>
  <c r="L47" i="90"/>
  <c r="L114" i="90" s="1"/>
  <c r="AF12" i="79"/>
  <c r="AG12" i="79" s="1"/>
  <c r="AH12" i="79" s="1"/>
  <c r="Z107" i="79"/>
  <c r="L46" i="90"/>
  <c r="L113" i="90" s="1"/>
  <c r="L12" i="81"/>
  <c r="AF11" i="79"/>
  <c r="AG11" i="79" s="1"/>
  <c r="AH11" i="79" s="1"/>
  <c r="Z106" i="79"/>
  <c r="L11" i="81"/>
  <c r="L45" i="90"/>
  <c r="L112" i="90" s="1"/>
  <c r="AF10" i="79"/>
  <c r="AG10" i="79" s="1"/>
  <c r="AH10" i="79" s="1"/>
  <c r="Z105" i="79"/>
  <c r="L44" i="90"/>
  <c r="L111" i="90" s="1"/>
  <c r="L10" i="81"/>
  <c r="Q31" i="95"/>
  <c r="S31" i="95" s="1"/>
  <c r="L28" i="93"/>
  <c r="L14" i="90"/>
  <c r="Z109" i="22"/>
  <c r="Z9" i="39"/>
  <c r="Z14" i="39" s="1"/>
  <c r="I16" i="94"/>
  <c r="I24" i="94" s="1"/>
  <c r="Z9" i="90"/>
  <c r="AF9" i="79"/>
  <c r="Z14" i="79"/>
  <c r="Z104" i="79"/>
  <c r="L109" i="79"/>
  <c r="L48" i="90" s="1"/>
  <c r="L43" i="90"/>
  <c r="L110" i="90" s="1"/>
  <c r="L9" i="81"/>
  <c r="L14" i="81" s="1"/>
  <c r="L45" i="81" s="1"/>
  <c r="M14" i="22"/>
  <c r="O9" i="22"/>
  <c r="O14" i="22" s="1"/>
  <c r="W12" i="89"/>
  <c r="V17" i="89"/>
  <c r="W17" i="89" s="1"/>
  <c r="AD107" i="75"/>
  <c r="J12" i="76"/>
  <c r="J29" i="90"/>
  <c r="J10" i="76"/>
  <c r="J27" i="90"/>
  <c r="M85" i="75"/>
  <c r="AF85" i="75"/>
  <c r="AD90" i="75"/>
  <c r="AD104" i="75"/>
  <c r="J109" i="75"/>
  <c r="J31" i="90" s="1"/>
  <c r="J9" i="76"/>
  <c r="J26" i="90"/>
  <c r="U107" i="75"/>
  <c r="N107" i="75"/>
  <c r="AB88" i="75"/>
  <c r="K88" i="22"/>
  <c r="M88" i="22" s="1"/>
  <c r="O88" i="22" s="1"/>
  <c r="I128" i="22"/>
  <c r="H145" i="22"/>
  <c r="G6" i="36" s="1"/>
  <c r="H6" i="36" s="1"/>
  <c r="O6" i="36" s="1"/>
  <c r="P6" i="36" s="1"/>
  <c r="D107" i="75"/>
  <c r="K88" i="75"/>
  <c r="M88" i="75" s="1"/>
  <c r="O88" i="75" s="1"/>
  <c r="I128" i="75"/>
  <c r="H145" i="75"/>
  <c r="G6" i="77" s="1"/>
  <c r="H6" i="77" s="1"/>
  <c r="AE106" i="22"/>
  <c r="AD106" i="22" s="1"/>
  <c r="AD87" i="22"/>
  <c r="AD90" i="22" s="1"/>
  <c r="AE45" i="90"/>
  <c r="AE11" i="81"/>
  <c r="AA11" i="99"/>
  <c r="AA62" i="90"/>
  <c r="AA112" i="90" s="1"/>
  <c r="U106" i="22"/>
  <c r="U106" i="79"/>
  <c r="AF87" i="79"/>
  <c r="N106" i="22"/>
  <c r="AB87" i="22"/>
  <c r="O87" i="97"/>
  <c r="N106" i="97"/>
  <c r="I127" i="97"/>
  <c r="H144" i="97"/>
  <c r="G5" i="98" s="1"/>
  <c r="H5" i="98" s="1"/>
  <c r="D106" i="22"/>
  <c r="K87" i="22"/>
  <c r="M87" i="22" s="1"/>
  <c r="O87" i="22" s="1"/>
  <c r="I127" i="22"/>
  <c r="H144" i="22"/>
  <c r="G5" i="36" s="1"/>
  <c r="D106" i="79"/>
  <c r="K87" i="79"/>
  <c r="M87" i="79" s="1"/>
  <c r="O87" i="79" s="1"/>
  <c r="I127" i="79"/>
  <c r="H144" i="79"/>
  <c r="G5" i="80" s="1"/>
  <c r="H5" i="80" s="1"/>
  <c r="AE105" i="75"/>
  <c r="AD105" i="75" s="1"/>
  <c r="AE90" i="75"/>
  <c r="AA27" i="90"/>
  <c r="AA10" i="76"/>
  <c r="AA14" i="76" s="1"/>
  <c r="Y27" i="90"/>
  <c r="Y10" i="76"/>
  <c r="Y14" i="76" s="1"/>
  <c r="X27" i="90"/>
  <c r="X10" i="76"/>
  <c r="X14" i="76" s="1"/>
  <c r="W27" i="90"/>
  <c r="W10" i="76"/>
  <c r="W14" i="76" s="1"/>
  <c r="V27" i="90"/>
  <c r="V10" i="76"/>
  <c r="V14" i="76" s="1"/>
  <c r="U105" i="22"/>
  <c r="AF86" i="22"/>
  <c r="U105" i="75"/>
  <c r="U90" i="75"/>
  <c r="Y92" i="75" s="1"/>
  <c r="N105" i="75"/>
  <c r="AB86" i="75"/>
  <c r="AF86" i="75" s="1"/>
  <c r="AG86" i="75" s="1"/>
  <c r="AH86" i="75" s="1"/>
  <c r="N90" i="75"/>
  <c r="I27" i="90"/>
  <c r="I111" i="90" s="1"/>
  <c r="I10" i="76"/>
  <c r="I14" i="76" s="1"/>
  <c r="I44" i="76" s="1"/>
  <c r="H27" i="90"/>
  <c r="H111" i="90" s="1"/>
  <c r="H10" i="76"/>
  <c r="H14" i="76" s="1"/>
  <c r="H44" i="76" s="1"/>
  <c r="G27" i="90"/>
  <c r="G111" i="90" s="1"/>
  <c r="G10" i="76"/>
  <c r="G14" i="76" s="1"/>
  <c r="G44" i="76" s="1"/>
  <c r="F27" i="90"/>
  <c r="F111" i="90" s="1"/>
  <c r="F10" i="76"/>
  <c r="F14" i="76" s="1"/>
  <c r="F44" i="76" s="1"/>
  <c r="E27" i="90"/>
  <c r="E111" i="90" s="1"/>
  <c r="E10" i="76"/>
  <c r="E14" i="76" s="1"/>
  <c r="E44" i="76" s="1"/>
  <c r="D105" i="75"/>
  <c r="K86" i="75"/>
  <c r="D90" i="75"/>
  <c r="I126" i="75"/>
  <c r="H143" i="75"/>
  <c r="D105" i="22"/>
  <c r="K86" i="22"/>
  <c r="M86" i="22" s="1"/>
  <c r="O86" i="22" s="1"/>
  <c r="I126" i="22"/>
  <c r="H143" i="22"/>
  <c r="G4" i="36" s="1"/>
  <c r="H4" i="36" s="1"/>
  <c r="AE104" i="22"/>
  <c r="AD104" i="22" s="1"/>
  <c r="AE90" i="22"/>
  <c r="AE104" i="79"/>
  <c r="AE90" i="79"/>
  <c r="AC52" i="69"/>
  <c r="AD85" i="79"/>
  <c r="AD90" i="79" s="1"/>
  <c r="AA104" i="79"/>
  <c r="AA90" i="79"/>
  <c r="Y104" i="79"/>
  <c r="Y90" i="79"/>
  <c r="X104" i="79"/>
  <c r="X90" i="79"/>
  <c r="W104" i="79"/>
  <c r="W90" i="79"/>
  <c r="V104" i="79"/>
  <c r="V90" i="79"/>
  <c r="AE52" i="69"/>
  <c r="U104" i="22"/>
  <c r="U90" i="22"/>
  <c r="Y92" i="22" s="1"/>
  <c r="U104" i="79"/>
  <c r="U90" i="79"/>
  <c r="Y92" i="79" s="1"/>
  <c r="AB52" i="69"/>
  <c r="AB85" i="79"/>
  <c r="AF85" i="79" s="1"/>
  <c r="AB85" i="97"/>
  <c r="N104" i="22"/>
  <c r="AB85" i="22"/>
  <c r="N90" i="22"/>
  <c r="N104" i="79"/>
  <c r="N90" i="79"/>
  <c r="N104" i="97"/>
  <c r="N90" i="97"/>
  <c r="H142" i="97"/>
  <c r="I125" i="97"/>
  <c r="I104" i="79"/>
  <c r="I90" i="79"/>
  <c r="H104" i="79"/>
  <c r="H90" i="79"/>
  <c r="G104" i="79"/>
  <c r="G90" i="79"/>
  <c r="F104" i="79"/>
  <c r="F90" i="79"/>
  <c r="E104" i="79"/>
  <c r="E90" i="79"/>
  <c r="O9" i="69"/>
  <c r="M14" i="69"/>
  <c r="M47" i="69"/>
  <c r="K52" i="69"/>
  <c r="D104" i="22"/>
  <c r="K85" i="22"/>
  <c r="D90" i="22"/>
  <c r="I125" i="22"/>
  <c r="H142" i="22"/>
  <c r="D104" i="79"/>
  <c r="K85" i="79"/>
  <c r="D90" i="79"/>
  <c r="I125" i="79"/>
  <c r="H142" i="79"/>
  <c r="M33" i="69"/>
  <c r="O28" i="69"/>
  <c r="AE108" i="97"/>
  <c r="AE90" i="97"/>
  <c r="AE108" i="22"/>
  <c r="AD89" i="22"/>
  <c r="U108" i="79"/>
  <c r="U108" i="97"/>
  <c r="U90" i="97"/>
  <c r="N64" i="90"/>
  <c r="N13" i="99"/>
  <c r="J7" i="98"/>
  <c r="F64" i="90"/>
  <c r="F114" i="90" s="1"/>
  <c r="F13" i="99"/>
  <c r="F14" i="99" s="1"/>
  <c r="F45" i="99" s="1"/>
  <c r="E64" i="90"/>
  <c r="E114" i="90" s="1"/>
  <c r="E13" i="99"/>
  <c r="E14" i="99" s="1"/>
  <c r="E45" i="99" s="1"/>
  <c r="K89" i="22"/>
  <c r="M89" i="22" s="1"/>
  <c r="O89" i="22" s="1"/>
  <c r="I129" i="22"/>
  <c r="H146" i="22"/>
  <c r="G7" i="36" s="1"/>
  <c r="H7" i="36" s="1"/>
  <c r="D108" i="79"/>
  <c r="K89" i="79"/>
  <c r="M89" i="79" s="1"/>
  <c r="O89" i="79" s="1"/>
  <c r="I129" i="79"/>
  <c r="H146" i="79"/>
  <c r="G7" i="80" s="1"/>
  <c r="H7" i="80" s="1"/>
  <c r="D108" i="97"/>
  <c r="D90" i="97"/>
  <c r="K89" i="97"/>
  <c r="I129" i="97"/>
  <c r="H146" i="97"/>
  <c r="G7" i="98" s="1"/>
  <c r="H7" i="98" s="1"/>
  <c r="AE107" i="22"/>
  <c r="AD88" i="22"/>
  <c r="O66" i="79"/>
  <c r="M71" i="79"/>
  <c r="J41" i="91"/>
  <c r="N30" i="36"/>
  <c r="AF71" i="22"/>
  <c r="M66" i="22"/>
  <c r="K71" i="22"/>
  <c r="J131" i="22"/>
  <c r="J12" i="91" s="1"/>
  <c r="J30" i="39"/>
  <c r="J36" i="39" s="1"/>
  <c r="J6" i="91"/>
  <c r="J92" i="91" s="1"/>
  <c r="AE10" i="90"/>
  <c r="L17" i="94"/>
  <c r="AE10" i="39"/>
  <c r="AA10" i="90"/>
  <c r="J17" i="94"/>
  <c r="J25" i="94" s="1"/>
  <c r="AA10" i="39"/>
  <c r="Y10" i="90"/>
  <c r="H17" i="94"/>
  <c r="H25" i="94" s="1"/>
  <c r="Y10" i="39"/>
  <c r="X10" i="90"/>
  <c r="G17" i="94"/>
  <c r="G25" i="94" s="1"/>
  <c r="X10" i="39"/>
  <c r="W10" i="90"/>
  <c r="F17" i="94"/>
  <c r="F25" i="94" s="1"/>
  <c r="W10" i="39"/>
  <c r="V10" i="90"/>
  <c r="E17" i="94"/>
  <c r="E25" i="94" s="1"/>
  <c r="V10" i="39"/>
  <c r="K143" i="22"/>
  <c r="K147" i="22" s="1"/>
  <c r="H31" i="39"/>
  <c r="H36" i="39" s="1"/>
  <c r="H45" i="39" s="1"/>
  <c r="H7" i="91"/>
  <c r="H93" i="91" s="1"/>
  <c r="O28" i="79"/>
  <c r="O33" i="79" s="1"/>
  <c r="M33" i="79"/>
  <c r="H41" i="91"/>
  <c r="L30" i="36"/>
  <c r="O28" i="22"/>
  <c r="O33" i="22" s="1"/>
  <c r="M33" i="22"/>
  <c r="K13" i="79"/>
  <c r="M13" i="79" s="1"/>
  <c r="O13" i="79" s="1"/>
  <c r="AD13" i="79"/>
  <c r="J108" i="79"/>
  <c r="AD108" i="22"/>
  <c r="J13" i="39"/>
  <c r="J27" i="93"/>
  <c r="J36" i="93" s="1"/>
  <c r="J13" i="90"/>
  <c r="E23" i="64"/>
  <c r="AD107" i="22"/>
  <c r="J12" i="39"/>
  <c r="J26" i="93"/>
  <c r="J35" i="93" s="1"/>
  <c r="J12" i="90"/>
  <c r="E22" i="64"/>
  <c r="K12" i="79"/>
  <c r="M12" i="79" s="1"/>
  <c r="O12" i="79" s="1"/>
  <c r="AD12" i="79"/>
  <c r="J107" i="79"/>
  <c r="K11" i="79"/>
  <c r="M11" i="79" s="1"/>
  <c r="O11" i="79" s="1"/>
  <c r="AD11" i="79"/>
  <c r="J106" i="79"/>
  <c r="J11" i="39"/>
  <c r="J25" i="93"/>
  <c r="J34" i="93" s="1"/>
  <c r="J11" i="90"/>
  <c r="E21" i="64"/>
  <c r="K10" i="79"/>
  <c r="M10" i="79" s="1"/>
  <c r="O10" i="79" s="1"/>
  <c r="AD10" i="79"/>
  <c r="J105" i="79"/>
  <c r="AD105" i="22"/>
  <c r="J10" i="39"/>
  <c r="J24" i="93"/>
  <c r="J33" i="93" s="1"/>
  <c r="J10" i="90"/>
  <c r="E20" i="64"/>
  <c r="J109" i="22"/>
  <c r="J9" i="39"/>
  <c r="J14" i="39" s="1"/>
  <c r="J44" i="39" s="1"/>
  <c r="J23" i="93"/>
  <c r="J32" i="93" s="1"/>
  <c r="J9" i="90"/>
  <c r="E19" i="64"/>
  <c r="AF9" i="22"/>
  <c r="AD14" i="22"/>
  <c r="K9" i="79"/>
  <c r="AD9" i="79"/>
  <c r="AD14" i="79" s="1"/>
  <c r="J14" i="79"/>
  <c r="J104" i="79"/>
  <c r="D41" i="91"/>
  <c r="I30" i="36"/>
  <c r="D27" i="91"/>
  <c r="I29" i="36"/>
  <c r="L131" i="22"/>
  <c r="L30" i="39"/>
  <c r="L36" i="39" s="1"/>
  <c r="L6" i="91"/>
  <c r="L92" i="91" s="1"/>
  <c r="K131" i="22"/>
  <c r="K12" i="91" s="1"/>
  <c r="K98" i="91" s="1"/>
  <c r="K30" i="39"/>
  <c r="K36" i="39" s="1"/>
  <c r="K6" i="91"/>
  <c r="K92" i="91" s="1"/>
  <c r="I147" i="75"/>
  <c r="O29" i="36" s="1"/>
  <c r="F4" i="77"/>
  <c r="I147" i="22"/>
  <c r="F3" i="36"/>
  <c r="F9" i="36" s="1"/>
  <c r="I147" i="79"/>
  <c r="O30" i="36" s="1"/>
  <c r="F3" i="80"/>
  <c r="F9" i="80" s="1"/>
  <c r="G21" i="36" s="1"/>
  <c r="D131" i="22"/>
  <c r="D12" i="91" s="1"/>
  <c r="D98" i="91" s="1"/>
  <c r="K3" i="36"/>
  <c r="K9" i="36" s="1"/>
  <c r="L25" i="36" s="1"/>
  <c r="D30" i="39"/>
  <c r="D36" i="39" s="1"/>
  <c r="D45" i="39" s="1"/>
  <c r="D6" i="91"/>
  <c r="D92" i="91" s="1"/>
  <c r="AF108" i="22"/>
  <c r="U13" i="39"/>
  <c r="D20" i="94"/>
  <c r="D28" i="94" s="1"/>
  <c r="U13" i="90"/>
  <c r="J7" i="36"/>
  <c r="N13" i="39"/>
  <c r="N27" i="93"/>
  <c r="N36" i="93" s="1"/>
  <c r="K28" i="94" s="1"/>
  <c r="N13" i="90"/>
  <c r="N114" i="90" s="1"/>
  <c r="K108" i="22"/>
  <c r="D146" i="22"/>
  <c r="L146" i="22" s="1"/>
  <c r="M146" i="22" s="1"/>
  <c r="I7" i="36"/>
  <c r="N7" i="36" s="1"/>
  <c r="D13" i="39"/>
  <c r="D27" i="93"/>
  <c r="D36" i="93" s="1"/>
  <c r="D13" i="90"/>
  <c r="AF107" i="22"/>
  <c r="U12" i="39"/>
  <c r="D19" i="94"/>
  <c r="D27" i="94" s="1"/>
  <c r="U12" i="90"/>
  <c r="J6" i="36"/>
  <c r="N12" i="39"/>
  <c r="N26" i="93"/>
  <c r="N35" i="93" s="1"/>
  <c r="K27" i="94" s="1"/>
  <c r="N12" i="90"/>
  <c r="K107" i="22"/>
  <c r="D145" i="22"/>
  <c r="I6" i="36"/>
  <c r="N6" i="36" s="1"/>
  <c r="D12" i="39"/>
  <c r="K12" i="39" s="1"/>
  <c r="M12" i="39" s="1"/>
  <c r="O12" i="39" s="1"/>
  <c r="D26" i="93"/>
  <c r="D35" i="93" s="1"/>
  <c r="D12" i="90"/>
  <c r="AF78" i="90"/>
  <c r="M106" i="85"/>
  <c r="K78" i="90"/>
  <c r="Y11" i="90"/>
  <c r="Y112" i="90" s="1"/>
  <c r="H18" i="94"/>
  <c r="H26" i="94" s="1"/>
  <c r="Y11" i="39"/>
  <c r="X11" i="90"/>
  <c r="X112" i="90" s="1"/>
  <c r="G18" i="94"/>
  <c r="G26" i="94" s="1"/>
  <c r="X11" i="39"/>
  <c r="W11" i="90"/>
  <c r="W112" i="90" s="1"/>
  <c r="F18" i="94"/>
  <c r="F26" i="94" s="1"/>
  <c r="W11" i="39"/>
  <c r="V11" i="90"/>
  <c r="V112" i="90" s="1"/>
  <c r="E18" i="94"/>
  <c r="E26" i="94" s="1"/>
  <c r="V11" i="39"/>
  <c r="I11" i="90"/>
  <c r="I112" i="90" s="1"/>
  <c r="I25" i="93"/>
  <c r="I34" i="93" s="1"/>
  <c r="I11" i="39"/>
  <c r="H11" i="90"/>
  <c r="H112" i="90" s="1"/>
  <c r="H25" i="93"/>
  <c r="H34" i="93" s="1"/>
  <c r="H11" i="39"/>
  <c r="G11" i="90"/>
  <c r="G112" i="90" s="1"/>
  <c r="G25" i="93"/>
  <c r="G34" i="93" s="1"/>
  <c r="G11" i="39"/>
  <c r="F11" i="90"/>
  <c r="F112" i="90" s="1"/>
  <c r="F25" i="93"/>
  <c r="F34" i="93" s="1"/>
  <c r="F11" i="39"/>
  <c r="E11" i="90"/>
  <c r="E112" i="90" s="1"/>
  <c r="E25" i="93"/>
  <c r="E34" i="93" s="1"/>
  <c r="E11" i="39"/>
  <c r="J144" i="22"/>
  <c r="J147" i="22" s="1"/>
  <c r="D5" i="36"/>
  <c r="G32" i="39"/>
  <c r="G36" i="39" s="1"/>
  <c r="G45" i="39" s="1"/>
  <c r="G8" i="91"/>
  <c r="G94" i="91" s="1"/>
  <c r="O47" i="79"/>
  <c r="M52" i="79"/>
  <c r="G41" i="91"/>
  <c r="K30" i="36"/>
  <c r="D9" i="80"/>
  <c r="E21" i="36" s="1"/>
  <c r="AA13" i="90"/>
  <c r="J20" i="94"/>
  <c r="J28" i="94" s="1"/>
  <c r="AA13" i="39"/>
  <c r="AA13" i="99"/>
  <c r="AA64" i="90"/>
  <c r="Y13" i="90"/>
  <c r="H20" i="94"/>
  <c r="H28" i="94" s="1"/>
  <c r="Y13" i="39"/>
  <c r="Y108" i="97"/>
  <c r="Y90" i="97"/>
  <c r="X13" i="90"/>
  <c r="G20" i="94"/>
  <c r="G28" i="94" s="1"/>
  <c r="X13" i="39"/>
  <c r="X108" i="97"/>
  <c r="X90" i="97"/>
  <c r="W108" i="97"/>
  <c r="W90" i="97"/>
  <c r="W13" i="90"/>
  <c r="F20" i="94"/>
  <c r="F28" i="94" s="1"/>
  <c r="W13" i="39"/>
  <c r="V13" i="90"/>
  <c r="E20" i="94"/>
  <c r="E28" i="94" s="1"/>
  <c r="V13" i="39"/>
  <c r="V108" i="97"/>
  <c r="V90" i="97"/>
  <c r="I108" i="97"/>
  <c r="I90" i="97"/>
  <c r="I13" i="90"/>
  <c r="I27" i="93"/>
  <c r="I36" i="93" s="1"/>
  <c r="I13" i="39"/>
  <c r="H108" i="97"/>
  <c r="H90" i="97"/>
  <c r="H13" i="90"/>
  <c r="H27" i="93"/>
  <c r="H36" i="93" s="1"/>
  <c r="H13" i="39"/>
  <c r="G13" i="90"/>
  <c r="G27" i="93"/>
  <c r="G36" i="93" s="1"/>
  <c r="G13" i="39"/>
  <c r="G108" i="97"/>
  <c r="G90" i="97"/>
  <c r="AF71" i="86"/>
  <c r="AF52" i="86"/>
  <c r="AF33" i="86"/>
  <c r="AB97" i="90"/>
  <c r="AB13" i="88"/>
  <c r="AF13" i="88" s="1"/>
  <c r="AG13" i="88" s="1"/>
  <c r="AH13" i="88" s="1"/>
  <c r="AB96" i="90"/>
  <c r="AB12" i="88"/>
  <c r="AF12" i="88" s="1"/>
  <c r="AG12" i="88" s="1"/>
  <c r="AH12" i="88" s="1"/>
  <c r="AB95" i="90"/>
  <c r="AB11" i="88"/>
  <c r="AF11" i="88" s="1"/>
  <c r="AG11" i="88" s="1"/>
  <c r="AH11" i="88" s="1"/>
  <c r="AB94" i="90"/>
  <c r="AB10" i="88"/>
  <c r="AF10" i="88" s="1"/>
  <c r="AG10" i="88" s="1"/>
  <c r="AH10" i="88" s="1"/>
  <c r="AF71" i="85"/>
  <c r="AF52" i="85"/>
  <c r="AF33" i="85"/>
  <c r="AB80" i="90"/>
  <c r="AB13" i="82"/>
  <c r="AF13" i="82" s="1"/>
  <c r="AG13" i="82" s="1"/>
  <c r="AH13" i="82" s="1"/>
  <c r="AB79" i="90"/>
  <c r="AB12" i="82"/>
  <c r="AF12" i="82" s="1"/>
  <c r="AG12" i="82" s="1"/>
  <c r="AH12" i="82" s="1"/>
  <c r="AB77" i="90"/>
  <c r="AB10" i="82"/>
  <c r="AF10" i="82" s="1"/>
  <c r="AG10" i="82" s="1"/>
  <c r="AH10" i="82" s="1"/>
  <c r="AG66" i="97"/>
  <c r="AF71" i="97"/>
  <c r="AF52" i="97"/>
  <c r="AF33" i="97"/>
  <c r="AB63" i="90"/>
  <c r="AB12" i="99"/>
  <c r="AF12" i="99" s="1"/>
  <c r="AG12" i="99" s="1"/>
  <c r="AH12" i="99" s="1"/>
  <c r="AF71" i="75"/>
  <c r="AF52" i="75"/>
  <c r="AF33" i="75"/>
  <c r="AB30" i="90"/>
  <c r="AB13" i="76"/>
  <c r="AF13" i="76" s="1"/>
  <c r="AG13" i="76" s="1"/>
  <c r="AH13" i="76" s="1"/>
  <c r="AB28" i="90"/>
  <c r="AB11" i="76"/>
  <c r="AF11" i="76" s="1"/>
  <c r="AG11" i="76" s="1"/>
  <c r="AH11" i="76" s="1"/>
  <c r="AF52" i="22"/>
  <c r="Z11" i="90"/>
  <c r="I18" i="94"/>
  <c r="I26" i="94" s="1"/>
  <c r="Z11" i="39"/>
  <c r="Z10" i="90"/>
  <c r="I17" i="94"/>
  <c r="I25" i="94" s="1"/>
  <c r="Z10" i="39"/>
  <c r="AB87" i="97"/>
  <c r="AB87" i="79"/>
  <c r="AB106" i="79" s="1"/>
  <c r="AE33" i="69"/>
  <c r="AF28" i="69"/>
  <c r="AB89" i="97"/>
  <c r="AB89" i="79"/>
  <c r="AC9" i="90"/>
  <c r="AC110" i="90" s="1"/>
  <c r="AC9" i="39"/>
  <c r="AC14" i="39" s="1"/>
  <c r="AC109" i="22"/>
  <c r="AC14" i="90" s="1"/>
  <c r="AC115" i="90" s="1"/>
  <c r="AA9" i="90"/>
  <c r="J16" i="94"/>
  <c r="J24" i="94" s="1"/>
  <c r="AA9" i="39"/>
  <c r="AA109" i="22"/>
  <c r="Y9" i="90"/>
  <c r="H16" i="94"/>
  <c r="H24" i="94" s="1"/>
  <c r="Y9" i="39"/>
  <c r="Y109" i="22"/>
  <c r="X9" i="90"/>
  <c r="G16" i="94"/>
  <c r="G24" i="94" s="1"/>
  <c r="X9" i="39"/>
  <c r="X109" i="22"/>
  <c r="W9" i="90"/>
  <c r="F16" i="94"/>
  <c r="F24" i="94" s="1"/>
  <c r="W9" i="39"/>
  <c r="W109" i="22"/>
  <c r="V9" i="90"/>
  <c r="E16" i="94"/>
  <c r="E24" i="94" s="1"/>
  <c r="V9" i="39"/>
  <c r="V109" i="22"/>
  <c r="AF29" i="22"/>
  <c r="AG29" i="22" s="1"/>
  <c r="AH29" i="22" s="1"/>
  <c r="AB105" i="22"/>
  <c r="N10" i="90"/>
  <c r="N24" i="93"/>
  <c r="N33" i="93" s="1"/>
  <c r="K25" i="94" s="1"/>
  <c r="N10" i="39"/>
  <c r="J4" i="36"/>
  <c r="AF33" i="79"/>
  <c r="AG28" i="79"/>
  <c r="AG28" i="22"/>
  <c r="AF33" i="22"/>
  <c r="AA12" i="90"/>
  <c r="AA113" i="90" s="1"/>
  <c r="J19" i="94"/>
  <c r="J27" i="94" s="1"/>
  <c r="AA12" i="39"/>
  <c r="Y12" i="90"/>
  <c r="Y113" i="90" s="1"/>
  <c r="H19" i="94"/>
  <c r="H27" i="94" s="1"/>
  <c r="Y12" i="39"/>
  <c r="X12" i="90"/>
  <c r="X113" i="90" s="1"/>
  <c r="G19" i="94"/>
  <c r="G27" i="94" s="1"/>
  <c r="X12" i="39"/>
  <c r="W12" i="90"/>
  <c r="W113" i="90" s="1"/>
  <c r="F19" i="94"/>
  <c r="F27" i="94" s="1"/>
  <c r="W12" i="39"/>
  <c r="V12" i="90"/>
  <c r="V113" i="90" s="1"/>
  <c r="E19" i="94"/>
  <c r="E27" i="94" s="1"/>
  <c r="V12" i="39"/>
  <c r="I12" i="90"/>
  <c r="I113" i="90" s="1"/>
  <c r="I26" i="93"/>
  <c r="I35" i="93" s="1"/>
  <c r="I12" i="39"/>
  <c r="H12" i="90"/>
  <c r="H113" i="90" s="1"/>
  <c r="H26" i="93"/>
  <c r="H35" i="93" s="1"/>
  <c r="H12" i="39"/>
  <c r="G12" i="90"/>
  <c r="G113" i="90" s="1"/>
  <c r="G26" i="93"/>
  <c r="G35" i="93" s="1"/>
  <c r="G12" i="39"/>
  <c r="F12" i="90"/>
  <c r="F113" i="90" s="1"/>
  <c r="F26" i="93"/>
  <c r="F35" i="93" s="1"/>
  <c r="F12" i="39"/>
  <c r="E12" i="90"/>
  <c r="E113" i="90" s="1"/>
  <c r="E26" i="93"/>
  <c r="E35" i="93" s="1"/>
  <c r="E12" i="39"/>
  <c r="AB11" i="82"/>
  <c r="AF11" i="82" s="1"/>
  <c r="AG11" i="82" s="1"/>
  <c r="AH11" i="82" s="1"/>
  <c r="AB78" i="90"/>
  <c r="AF52" i="79"/>
  <c r="L146" i="86"/>
  <c r="M146" i="86" s="1"/>
  <c r="L145" i="86"/>
  <c r="M145" i="86" s="1"/>
  <c r="L144" i="86"/>
  <c r="M144" i="86" s="1"/>
  <c r="L143" i="86"/>
  <c r="M143" i="86" s="1"/>
  <c r="J45" i="82"/>
  <c r="O7" i="83"/>
  <c r="P7" i="83" s="1"/>
  <c r="O4" i="83"/>
  <c r="P4" i="83" s="1"/>
  <c r="J147" i="85"/>
  <c r="G36" i="82"/>
  <c r="G45" i="82" s="1"/>
  <c r="L145" i="85"/>
  <c r="M145" i="85" s="1"/>
  <c r="AE14" i="82"/>
  <c r="J9" i="83"/>
  <c r="K23" i="36" s="1"/>
  <c r="N14" i="82"/>
  <c r="N44" i="82" s="1"/>
  <c r="H44" i="82"/>
  <c r="J46" i="99"/>
  <c r="O6" i="98"/>
  <c r="P6" i="98" s="1"/>
  <c r="O4" i="98"/>
  <c r="P4" i="98" s="1"/>
  <c r="AF10" i="99"/>
  <c r="AG10" i="99" s="1"/>
  <c r="AH10" i="99" s="1"/>
  <c r="G36" i="76"/>
  <c r="G45" i="76" s="1"/>
  <c r="K147" i="75"/>
  <c r="H36" i="76"/>
  <c r="H45" i="76" s="1"/>
  <c r="L146" i="75"/>
  <c r="M146" i="75" s="1"/>
  <c r="L144" i="75"/>
  <c r="M144" i="75" s="1"/>
  <c r="E98" i="91"/>
  <c r="G93" i="91"/>
  <c r="G92" i="91"/>
  <c r="AF50" i="69"/>
  <c r="AG50" i="69" s="1"/>
  <c r="AF88" i="22"/>
  <c r="AF49" i="69"/>
  <c r="AG49" i="69" s="1"/>
  <c r="AF48" i="69"/>
  <c r="AG48" i="69" s="1"/>
  <c r="AF51" i="69"/>
  <c r="AG51" i="69" s="1"/>
  <c r="AF89" i="22"/>
  <c r="AG89" i="22" s="1"/>
  <c r="AH89" i="22" s="1"/>
  <c r="J96" i="91"/>
  <c r="J94" i="91"/>
  <c r="L45" i="88"/>
  <c r="O5" i="83"/>
  <c r="P5" i="83" s="1"/>
  <c r="O4" i="80"/>
  <c r="P4" i="80" s="1"/>
  <c r="J147" i="79"/>
  <c r="G36" i="81"/>
  <c r="G46" i="81" s="1"/>
  <c r="AC14" i="81"/>
  <c r="Y16" i="22"/>
  <c r="H7" i="87"/>
  <c r="O7" i="87" s="1"/>
  <c r="P7" i="87" s="1"/>
  <c r="H6" i="87"/>
  <c r="O6" i="87" s="1"/>
  <c r="P6" i="87" s="1"/>
  <c r="H4" i="87"/>
  <c r="O4" i="87" s="1"/>
  <c r="P4" i="87" s="1"/>
  <c r="O6" i="80"/>
  <c r="P6" i="80" s="1"/>
  <c r="Y54" i="22"/>
  <c r="H5" i="87"/>
  <c r="O5" i="87" s="1"/>
  <c r="P5" i="87" s="1"/>
  <c r="J147" i="75"/>
  <c r="O90" i="86"/>
  <c r="AG85" i="86"/>
  <c r="I90" i="22"/>
  <c r="I104" i="22"/>
  <c r="H90" i="22"/>
  <c r="H104" i="22"/>
  <c r="G90" i="22"/>
  <c r="G104" i="22"/>
  <c r="F90" i="22"/>
  <c r="F104" i="22"/>
  <c r="E90" i="22"/>
  <c r="E104" i="22"/>
  <c r="AE47" i="90"/>
  <c r="AE13" i="81"/>
  <c r="AE107" i="75"/>
  <c r="AD88" i="75"/>
  <c r="AB71" i="22"/>
  <c r="AB108" i="22"/>
  <c r="AF13" i="22"/>
  <c r="AG13" i="22" s="1"/>
  <c r="AH13" i="22" s="1"/>
  <c r="AB107" i="22"/>
  <c r="AF12" i="22"/>
  <c r="AG12" i="22" s="1"/>
  <c r="AH12" i="22" s="1"/>
  <c r="AB14" i="22"/>
  <c r="M12" i="22"/>
  <c r="O12" i="22" s="1"/>
  <c r="K14" i="22"/>
  <c r="AG11" i="75"/>
  <c r="AH11" i="75" s="1"/>
  <c r="AF14" i="75"/>
  <c r="AG11" i="85"/>
  <c r="AH11" i="85" s="1"/>
  <c r="AF14" i="85"/>
  <c r="H9" i="87" l="1"/>
  <c r="O3" i="87"/>
  <c r="O108" i="86"/>
  <c r="M97" i="90"/>
  <c r="O107" i="86"/>
  <c r="M96" i="90"/>
  <c r="M95" i="90"/>
  <c r="O106" i="86"/>
  <c r="O105" i="86"/>
  <c r="M94" i="90"/>
  <c r="AG9" i="86"/>
  <c r="O14" i="86"/>
  <c r="O104" i="86"/>
  <c r="M109" i="86"/>
  <c r="M98" i="90" s="1"/>
  <c r="M93" i="90"/>
  <c r="M142" i="86"/>
  <c r="L147" i="86"/>
  <c r="M147" i="86" s="1"/>
  <c r="M9" i="88"/>
  <c r="K14" i="88"/>
  <c r="K44" i="88" s="1"/>
  <c r="AG90" i="85"/>
  <c r="AH90" i="85" s="1"/>
  <c r="AH85" i="85"/>
  <c r="H9" i="83"/>
  <c r="I23" i="36" s="1"/>
  <c r="O3" i="83"/>
  <c r="O108" i="85"/>
  <c r="M80" i="90"/>
  <c r="O107" i="85"/>
  <c r="M79" i="90"/>
  <c r="O105" i="85"/>
  <c r="M77" i="90"/>
  <c r="AG9" i="85"/>
  <c r="O14" i="85"/>
  <c r="L147" i="85"/>
  <c r="M147" i="85" s="1"/>
  <c r="M142" i="85"/>
  <c r="M9" i="82"/>
  <c r="K14" i="82"/>
  <c r="K44" i="82" s="1"/>
  <c r="O104" i="85"/>
  <c r="M76" i="90"/>
  <c r="M109" i="85"/>
  <c r="M81" i="90" s="1"/>
  <c r="M63" i="90"/>
  <c r="O107" i="97"/>
  <c r="O63" i="90" s="1"/>
  <c r="M62" i="90"/>
  <c r="O106" i="97"/>
  <c r="O62" i="90" s="1"/>
  <c r="M61" i="90"/>
  <c r="O105" i="97"/>
  <c r="O104" i="97"/>
  <c r="M60" i="90"/>
  <c r="M9" i="99"/>
  <c r="AG9" i="97"/>
  <c r="O14" i="97"/>
  <c r="D25" i="36"/>
  <c r="O3" i="77"/>
  <c r="O108" i="75"/>
  <c r="M30" i="90"/>
  <c r="O106" i="75"/>
  <c r="M28" i="90"/>
  <c r="AG9" i="75"/>
  <c r="O14" i="75"/>
  <c r="O104" i="75"/>
  <c r="M26" i="90"/>
  <c r="M142" i="75"/>
  <c r="Z13" i="81"/>
  <c r="Z47" i="90"/>
  <c r="Z114" i="90" s="1"/>
  <c r="Z46" i="90"/>
  <c r="Z113" i="90" s="1"/>
  <c r="Z12" i="81"/>
  <c r="Z45" i="90"/>
  <c r="Z112" i="90" s="1"/>
  <c r="Z11" i="81"/>
  <c r="Z44" i="90"/>
  <c r="Z111" i="90" s="1"/>
  <c r="Z10" i="81"/>
  <c r="I21" i="94"/>
  <c r="I29" i="94" s="1"/>
  <c r="Z14" i="90"/>
  <c r="AF14" i="79"/>
  <c r="Z109" i="79"/>
  <c r="Z48" i="90" s="1"/>
  <c r="Z43" i="90"/>
  <c r="Z110" i="90" s="1"/>
  <c r="Z9" i="81"/>
  <c r="Z14" i="81" s="1"/>
  <c r="AD12" i="76"/>
  <c r="AD29" i="90"/>
  <c r="AD10" i="76"/>
  <c r="AD27" i="90"/>
  <c r="O85" i="75"/>
  <c r="O90" i="75" s="1"/>
  <c r="M90" i="75"/>
  <c r="AF90" i="75"/>
  <c r="AG85" i="75"/>
  <c r="AF104" i="75"/>
  <c r="AD109" i="75"/>
  <c r="AD31" i="90" s="1"/>
  <c r="AD9" i="76"/>
  <c r="AD26" i="90"/>
  <c r="U29" i="90"/>
  <c r="U113" i="90" s="1"/>
  <c r="U12" i="76"/>
  <c r="AF107" i="75"/>
  <c r="N29" i="90"/>
  <c r="N113" i="90" s="1"/>
  <c r="N12" i="76"/>
  <c r="J6" i="77"/>
  <c r="I33" i="39"/>
  <c r="I9" i="91"/>
  <c r="D29" i="90"/>
  <c r="D113" i="90" s="1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AE11" i="90"/>
  <c r="AE112" i="90" s="1"/>
  <c r="L18" i="94"/>
  <c r="AE11" i="39"/>
  <c r="AA14" i="99"/>
  <c r="U11" i="90"/>
  <c r="D18" i="94"/>
  <c r="D26" i="94" s="1"/>
  <c r="U11" i="39"/>
  <c r="AF106" i="22"/>
  <c r="U45" i="90"/>
  <c r="U11" i="81"/>
  <c r="N11" i="90"/>
  <c r="N25" i="93"/>
  <c r="N34" i="93" s="1"/>
  <c r="K26" i="94" s="1"/>
  <c r="N11" i="39"/>
  <c r="J5" i="36"/>
  <c r="D144" i="97"/>
  <c r="L144" i="97" s="1"/>
  <c r="M144" i="97" s="1"/>
  <c r="N62" i="90"/>
  <c r="N11" i="99"/>
  <c r="O11" i="99" s="1"/>
  <c r="J5" i="98"/>
  <c r="N5" i="98" s="1"/>
  <c r="O5" i="98" s="1"/>
  <c r="P5" i="98" s="1"/>
  <c r="I32" i="99"/>
  <c r="I51" i="91"/>
  <c r="D11" i="90"/>
  <c r="D112" i="90" s="1"/>
  <c r="D25" i="93"/>
  <c r="D34" i="93" s="1"/>
  <c r="D11" i="39"/>
  <c r="K11" i="39" s="1"/>
  <c r="M11" i="39" s="1"/>
  <c r="O11" i="39" s="1"/>
  <c r="I5" i="36"/>
  <c r="N5" i="36" s="1"/>
  <c r="D144" i="22"/>
  <c r="L144" i="22" s="1"/>
  <c r="M144" i="22" s="1"/>
  <c r="K106" i="22"/>
  <c r="I32" i="39"/>
  <c r="I8" i="91"/>
  <c r="I94" i="91" s="1"/>
  <c r="D11" i="81"/>
  <c r="D45" i="90"/>
  <c r="I5" i="80"/>
  <c r="N5" i="80" s="1"/>
  <c r="O5" i="80" s="1"/>
  <c r="P5" i="80" s="1"/>
  <c r="D144" i="79"/>
  <c r="L144" i="79" s="1"/>
  <c r="M144" i="79" s="1"/>
  <c r="K106" i="79"/>
  <c r="I32" i="81"/>
  <c r="I37" i="91"/>
  <c r="AE109" i="75"/>
  <c r="AE31" i="90" s="1"/>
  <c r="AE27" i="90"/>
  <c r="AE111" i="90" s="1"/>
  <c r="AE10" i="76"/>
  <c r="AE14" i="76" s="1"/>
  <c r="U10" i="90"/>
  <c r="D17" i="94"/>
  <c r="D25" i="94" s="1"/>
  <c r="U10" i="39"/>
  <c r="AF105" i="22"/>
  <c r="U109" i="75"/>
  <c r="U27" i="90"/>
  <c r="U10" i="76"/>
  <c r="N109" i="75"/>
  <c r="N27" i="90"/>
  <c r="N111" i="90" s="1"/>
  <c r="N10" i="76"/>
  <c r="J4" i="77"/>
  <c r="AB105" i="75"/>
  <c r="AF105" i="75" s="1"/>
  <c r="AB90" i="75"/>
  <c r="D109" i="75"/>
  <c r="D27" i="90"/>
  <c r="D10" i="76"/>
  <c r="I4" i="77"/>
  <c r="D143" i="75"/>
  <c r="K105" i="75"/>
  <c r="I131" i="75"/>
  <c r="I31" i="76"/>
  <c r="I22" i="91"/>
  <c r="H147" i="75"/>
  <c r="G4" i="77"/>
  <c r="G9" i="77" s="1"/>
  <c r="H20" i="36" s="1"/>
  <c r="D10" i="90"/>
  <c r="D111" i="90" s="1"/>
  <c r="D24" i="93"/>
  <c r="D33" i="93" s="1"/>
  <c r="D10" i="39"/>
  <c r="K10" i="39" s="1"/>
  <c r="M10" i="39" s="1"/>
  <c r="O10" i="39" s="1"/>
  <c r="I4" i="36"/>
  <c r="N4" i="36" s="1"/>
  <c r="O4" i="36" s="1"/>
  <c r="P4" i="36" s="1"/>
  <c r="D143" i="22"/>
  <c r="L143" i="22" s="1"/>
  <c r="M143" i="22" s="1"/>
  <c r="K105" i="22"/>
  <c r="I31" i="39"/>
  <c r="I7" i="91"/>
  <c r="I93" i="91" s="1"/>
  <c r="AE9" i="90"/>
  <c r="L16" i="94"/>
  <c r="AE9" i="39"/>
  <c r="AE109" i="22"/>
  <c r="AE9" i="81"/>
  <c r="AE14" i="81" s="1"/>
  <c r="AE43" i="90"/>
  <c r="AE109" i="79"/>
  <c r="AE48" i="90" s="1"/>
  <c r="AA43" i="90"/>
  <c r="AA110" i="90" s="1"/>
  <c r="AA9" i="81"/>
  <c r="AA14" i="81" s="1"/>
  <c r="AA109" i="79"/>
  <c r="AA48" i="90" s="1"/>
  <c r="Y9" i="81"/>
  <c r="Y14" i="81" s="1"/>
  <c r="Y43" i="90"/>
  <c r="Y110" i="90" s="1"/>
  <c r="Y109" i="79"/>
  <c r="Y48" i="90" s="1"/>
  <c r="X9" i="81"/>
  <c r="X14" i="81" s="1"/>
  <c r="X43" i="90"/>
  <c r="X110" i="90" s="1"/>
  <c r="X109" i="79"/>
  <c r="X48" i="90" s="1"/>
  <c r="W43" i="90"/>
  <c r="W110" i="90" s="1"/>
  <c r="W9" i="81"/>
  <c r="W14" i="81" s="1"/>
  <c r="W109" i="79"/>
  <c r="W48" i="90" s="1"/>
  <c r="V9" i="81"/>
  <c r="V14" i="81" s="1"/>
  <c r="V43" i="90"/>
  <c r="V110" i="90" s="1"/>
  <c r="V109" i="79"/>
  <c r="V48" i="90" s="1"/>
  <c r="U9" i="90"/>
  <c r="D16" i="94"/>
  <c r="D24" i="94" s="1"/>
  <c r="U9" i="39"/>
  <c r="U109" i="22"/>
  <c r="U9" i="81"/>
  <c r="U43" i="90"/>
  <c r="U109" i="79"/>
  <c r="AB104" i="79"/>
  <c r="AF104" i="79" s="1"/>
  <c r="AB90" i="79"/>
  <c r="AB104" i="97"/>
  <c r="AF85" i="97"/>
  <c r="AB90" i="97"/>
  <c r="N9" i="90"/>
  <c r="N23" i="93"/>
  <c r="N32" i="93" s="1"/>
  <c r="K24" i="94" s="1"/>
  <c r="N9" i="39"/>
  <c r="J3" i="36"/>
  <c r="N109" i="22"/>
  <c r="N43" i="90"/>
  <c r="N9" i="81"/>
  <c r="N14" i="81" s="1"/>
  <c r="J3" i="80"/>
  <c r="J9" i="80" s="1"/>
  <c r="K21" i="36" s="1"/>
  <c r="N109" i="79"/>
  <c r="D142" i="97"/>
  <c r="N109" i="97"/>
  <c r="N60" i="90"/>
  <c r="J3" i="98"/>
  <c r="N9" i="99"/>
  <c r="G3" i="98"/>
  <c r="H147" i="97"/>
  <c r="I131" i="97"/>
  <c r="I30" i="99"/>
  <c r="I49" i="91"/>
  <c r="I43" i="90"/>
  <c r="I9" i="81"/>
  <c r="I14" i="81" s="1"/>
  <c r="I109" i="79"/>
  <c r="I48" i="90" s="1"/>
  <c r="H43" i="90"/>
  <c r="H9" i="81"/>
  <c r="H14" i="81" s="1"/>
  <c r="H109" i="79"/>
  <c r="H48" i="90" s="1"/>
  <c r="G43" i="90"/>
  <c r="G9" i="81"/>
  <c r="G14" i="81" s="1"/>
  <c r="G109" i="79"/>
  <c r="G48" i="90" s="1"/>
  <c r="F43" i="90"/>
  <c r="F9" i="81"/>
  <c r="F14" i="81" s="1"/>
  <c r="F109" i="79"/>
  <c r="F48" i="90" s="1"/>
  <c r="E9" i="81"/>
  <c r="E14" i="81" s="1"/>
  <c r="E43" i="90"/>
  <c r="E109" i="79"/>
  <c r="E48" i="90" s="1"/>
  <c r="AF9" i="69"/>
  <c r="O14" i="69"/>
  <c r="M52" i="69"/>
  <c r="O47" i="69"/>
  <c r="D9" i="90"/>
  <c r="D23" i="93"/>
  <c r="D32" i="93" s="1"/>
  <c r="D9" i="39"/>
  <c r="I3" i="36"/>
  <c r="D142" i="22"/>
  <c r="D109" i="22"/>
  <c r="K104" i="22"/>
  <c r="K90" i="22"/>
  <c r="M85" i="22"/>
  <c r="I131" i="22"/>
  <c r="I12" i="91" s="1"/>
  <c r="I30" i="39"/>
  <c r="I6" i="91"/>
  <c r="I92" i="91" s="1"/>
  <c r="H147" i="22"/>
  <c r="G3" i="36"/>
  <c r="D43" i="90"/>
  <c r="D9" i="81"/>
  <c r="I3" i="80"/>
  <c r="D142" i="79"/>
  <c r="D109" i="79"/>
  <c r="K104" i="79"/>
  <c r="M85" i="79"/>
  <c r="K90" i="79"/>
  <c r="I131" i="79"/>
  <c r="I35" i="91"/>
  <c r="I30" i="81"/>
  <c r="H147" i="79"/>
  <c r="G3" i="80"/>
  <c r="AE109" i="97"/>
  <c r="AE65" i="90" s="1"/>
  <c r="AD108" i="97"/>
  <c r="AE13" i="99"/>
  <c r="AE14" i="99" s="1"/>
  <c r="AE64" i="90"/>
  <c r="AE13" i="90"/>
  <c r="AE114" i="90" s="1"/>
  <c r="L20" i="94"/>
  <c r="AE13" i="39"/>
  <c r="U13" i="81"/>
  <c r="U47" i="90"/>
  <c r="U109" i="97"/>
  <c r="AF108" i="97"/>
  <c r="U64" i="90"/>
  <c r="U13" i="99"/>
  <c r="I34" i="39"/>
  <c r="I10" i="91"/>
  <c r="D13" i="81"/>
  <c r="D47" i="90"/>
  <c r="I7" i="80"/>
  <c r="N7" i="80" s="1"/>
  <c r="O7" i="80" s="1"/>
  <c r="P7" i="80" s="1"/>
  <c r="D146" i="79"/>
  <c r="L146" i="79" s="1"/>
  <c r="M146" i="79" s="1"/>
  <c r="K108" i="79"/>
  <c r="I39" i="91"/>
  <c r="I34" i="81"/>
  <c r="D109" i="97"/>
  <c r="I7" i="98"/>
  <c r="D146" i="97"/>
  <c r="L146" i="97" s="1"/>
  <c r="M146" i="97" s="1"/>
  <c r="D64" i="90"/>
  <c r="D114" i="90" s="1"/>
  <c r="D13" i="99"/>
  <c r="K108" i="97"/>
  <c r="K90" i="97"/>
  <c r="M89" i="97"/>
  <c r="I53" i="91"/>
  <c r="I34" i="99"/>
  <c r="AE12" i="90"/>
  <c r="AE113" i="90" s="1"/>
  <c r="L19" i="94"/>
  <c r="AE12" i="39"/>
  <c r="AG66" i="79"/>
  <c r="O71" i="79"/>
  <c r="M71" i="22"/>
  <c r="O66" i="22"/>
  <c r="N25" i="94"/>
  <c r="L25" i="94"/>
  <c r="AD108" i="79"/>
  <c r="AF108" i="79" s="1"/>
  <c r="J13" i="81"/>
  <c r="J47" i="90"/>
  <c r="J114" i="90" s="1"/>
  <c r="AD13" i="39"/>
  <c r="AF13" i="39" s="1"/>
  <c r="AG13" i="39" s="1"/>
  <c r="AH13" i="39" s="1"/>
  <c r="M20" i="94"/>
  <c r="M28" i="94" s="1"/>
  <c r="AD13" i="90"/>
  <c r="F23" i="64"/>
  <c r="G23" i="64"/>
  <c r="H23" i="64"/>
  <c r="AD12" i="39"/>
  <c r="M19" i="94"/>
  <c r="M27" i="94" s="1"/>
  <c r="AD12" i="90"/>
  <c r="F22" i="64"/>
  <c r="G22" i="64"/>
  <c r="H22" i="64"/>
  <c r="K107" i="79"/>
  <c r="AD107" i="79"/>
  <c r="AF107" i="79" s="1"/>
  <c r="AF46" i="90" s="1"/>
  <c r="J12" i="81"/>
  <c r="K12" i="81" s="1"/>
  <c r="M12" i="81" s="1"/>
  <c r="O12" i="81" s="1"/>
  <c r="J46" i="90"/>
  <c r="J113" i="90" s="1"/>
  <c r="AD106" i="79"/>
  <c r="AF106" i="79" s="1"/>
  <c r="J45" i="90"/>
  <c r="J112" i="90" s="1"/>
  <c r="J11" i="81"/>
  <c r="AD11" i="39"/>
  <c r="M18" i="94"/>
  <c r="M26" i="94" s="1"/>
  <c r="AD11" i="90"/>
  <c r="F21" i="64"/>
  <c r="G21" i="64"/>
  <c r="H21" i="64"/>
  <c r="K105" i="79"/>
  <c r="AD105" i="79"/>
  <c r="AF105" i="79" s="1"/>
  <c r="J10" i="81"/>
  <c r="K10" i="81" s="1"/>
  <c r="M10" i="81" s="1"/>
  <c r="O10" i="81" s="1"/>
  <c r="J44" i="90"/>
  <c r="J111" i="90" s="1"/>
  <c r="AD10" i="39"/>
  <c r="M17" i="94"/>
  <c r="M25" i="94" s="1"/>
  <c r="AD10" i="90"/>
  <c r="F20" i="64"/>
  <c r="G20" i="64"/>
  <c r="H20" i="64"/>
  <c r="AD109" i="22"/>
  <c r="AD9" i="39"/>
  <c r="AD14" i="39" s="1"/>
  <c r="M16" i="94"/>
  <c r="M24" i="94" s="1"/>
  <c r="AD9" i="90"/>
  <c r="J28" i="93"/>
  <c r="J14" i="90"/>
  <c r="F19" i="64"/>
  <c r="G19" i="64"/>
  <c r="H19" i="64"/>
  <c r="E24" i="64"/>
  <c r="AF14" i="22"/>
  <c r="AG9" i="22"/>
  <c r="K14" i="79"/>
  <c r="M9" i="79"/>
  <c r="AD104" i="79"/>
  <c r="J109" i="79"/>
  <c r="J48" i="90" s="1"/>
  <c r="J9" i="81"/>
  <c r="J14" i="81" s="1"/>
  <c r="J45" i="81" s="1"/>
  <c r="J43" i="90"/>
  <c r="J110" i="90" s="1"/>
  <c r="I33" i="36"/>
  <c r="P4" i="70"/>
  <c r="L12" i="91"/>
  <c r="L98" i="91" s="1"/>
  <c r="K45" i="39"/>
  <c r="J45" i="39"/>
  <c r="H4" i="77"/>
  <c r="H9" i="77" s="1"/>
  <c r="I20" i="36" s="1"/>
  <c r="F9" i="77"/>
  <c r="G20" i="36" s="1"/>
  <c r="G24" i="36" s="1"/>
  <c r="G25" i="36" s="1"/>
  <c r="N20" i="94"/>
  <c r="O28" i="94" s="1"/>
  <c r="AF13" i="90"/>
  <c r="M108" i="22"/>
  <c r="K27" i="93"/>
  <c r="K36" i="93" s="1"/>
  <c r="K13" i="90"/>
  <c r="N19" i="94"/>
  <c r="O27" i="94" s="1"/>
  <c r="AF12" i="90"/>
  <c r="M107" i="22"/>
  <c r="K26" i="93"/>
  <c r="K35" i="93" s="1"/>
  <c r="K12" i="90"/>
  <c r="O106" i="85"/>
  <c r="M78" i="90"/>
  <c r="Y109" i="97"/>
  <c r="Y65" i="90" s="1"/>
  <c r="Y64" i="90"/>
  <c r="Y114" i="90" s="1"/>
  <c r="Y13" i="99"/>
  <c r="Y14" i="99" s="1"/>
  <c r="X109" i="97"/>
  <c r="X65" i="90" s="1"/>
  <c r="X64" i="90"/>
  <c r="X114" i="90" s="1"/>
  <c r="X13" i="99"/>
  <c r="X14" i="99" s="1"/>
  <c r="W109" i="97"/>
  <c r="W65" i="90" s="1"/>
  <c r="W64" i="90"/>
  <c r="W114" i="90" s="1"/>
  <c r="W13" i="99"/>
  <c r="W14" i="99" s="1"/>
  <c r="V109" i="97"/>
  <c r="V65" i="90" s="1"/>
  <c r="V13" i="99"/>
  <c r="V14" i="99" s="1"/>
  <c r="V64" i="90"/>
  <c r="V114" i="90" s="1"/>
  <c r="I109" i="97"/>
  <c r="I65" i="90" s="1"/>
  <c r="I64" i="90"/>
  <c r="I114" i="90" s="1"/>
  <c r="I13" i="99"/>
  <c r="I14" i="99" s="1"/>
  <c r="I45" i="99" s="1"/>
  <c r="H109" i="97"/>
  <c r="H65" i="90" s="1"/>
  <c r="H13" i="99"/>
  <c r="H14" i="99" s="1"/>
  <c r="H45" i="99" s="1"/>
  <c r="H64" i="90"/>
  <c r="H114" i="90" s="1"/>
  <c r="G109" i="97"/>
  <c r="G65" i="90" s="1"/>
  <c r="G64" i="90"/>
  <c r="G114" i="90" s="1"/>
  <c r="G13" i="99"/>
  <c r="G14" i="99" s="1"/>
  <c r="G45" i="99" s="1"/>
  <c r="AG71" i="97"/>
  <c r="AH71" i="97" s="1"/>
  <c r="AH66" i="97"/>
  <c r="AF87" i="97"/>
  <c r="AG87" i="97" s="1"/>
  <c r="AH87" i="97" s="1"/>
  <c r="AB106" i="97"/>
  <c r="AB11" i="81"/>
  <c r="AB45" i="90"/>
  <c r="AG28" i="69"/>
  <c r="AF33" i="69"/>
  <c r="AG33" i="69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F21" i="94"/>
  <c r="F29" i="94" s="1"/>
  <c r="W14" i="90"/>
  <c r="E21" i="94"/>
  <c r="E29" i="94" s="1"/>
  <c r="V14" i="90"/>
  <c r="AB10" i="90"/>
  <c r="K17" i="94"/>
  <c r="AB10" i="39"/>
  <c r="AH28" i="79"/>
  <c r="AG33" i="79"/>
  <c r="AH33" i="79" s="1"/>
  <c r="AG33" i="22"/>
  <c r="AH33" i="22" s="1"/>
  <c r="AH28" i="22"/>
  <c r="AH85" i="86"/>
  <c r="AG90" i="86"/>
  <c r="AH90" i="86" s="1"/>
  <c r="I109" i="22"/>
  <c r="I9" i="39"/>
  <c r="I14" i="39" s="1"/>
  <c r="I44" i="39" s="1"/>
  <c r="I23" i="93"/>
  <c r="I32" i="93" s="1"/>
  <c r="I9" i="90"/>
  <c r="H109" i="22"/>
  <c r="H9" i="39"/>
  <c r="H14" i="39" s="1"/>
  <c r="H44" i="39" s="1"/>
  <c r="H23" i="93"/>
  <c r="H32" i="93" s="1"/>
  <c r="H9" i="90"/>
  <c r="G109" i="22"/>
  <c r="G9" i="39"/>
  <c r="G14" i="39" s="1"/>
  <c r="G44" i="39" s="1"/>
  <c r="G23" i="93"/>
  <c r="G32" i="93" s="1"/>
  <c r="G9" i="90"/>
  <c r="F109" i="22"/>
  <c r="F9" i="39"/>
  <c r="F14" i="39" s="1"/>
  <c r="F44" i="39" s="1"/>
  <c r="F23" i="93"/>
  <c r="F32" i="93" s="1"/>
  <c r="F9" i="90"/>
  <c r="E109" i="22"/>
  <c r="E9" i="39"/>
  <c r="E14" i="39" s="1"/>
  <c r="E44" i="39" s="1"/>
  <c r="E23" i="93"/>
  <c r="E32" i="93" s="1"/>
  <c r="E9" i="90"/>
  <c r="AB13" i="90"/>
  <c r="K20" i="94"/>
  <c r="AB13" i="39"/>
  <c r="AB12" i="90"/>
  <c r="K19" i="94"/>
  <c r="AB12" i="39"/>
  <c r="Y92" i="97"/>
  <c r="O7" i="36"/>
  <c r="P7" i="36" s="1"/>
  <c r="J98" i="91"/>
  <c r="AA111" i="90"/>
  <c r="Y111" i="90"/>
  <c r="X111" i="90"/>
  <c r="W111" i="90"/>
  <c r="V111" i="90"/>
  <c r="L45" i="39"/>
  <c r="O33" i="36"/>
  <c r="L145" i="22"/>
  <c r="M145" i="22" s="1"/>
  <c r="H5" i="36"/>
  <c r="P32" i="36"/>
  <c r="Q32" i="36" s="1"/>
  <c r="E25" i="36"/>
  <c r="K13" i="39"/>
  <c r="M13" i="39" s="1"/>
  <c r="O13" i="39" s="1"/>
  <c r="AA114" i="90"/>
  <c r="AG87" i="79"/>
  <c r="AH87" i="79" s="1"/>
  <c r="AA14" i="39"/>
  <c r="Y14" i="39"/>
  <c r="X14" i="39"/>
  <c r="W14" i="39"/>
  <c r="V14" i="39"/>
  <c r="AG88" i="22"/>
  <c r="AH88" i="22" s="1"/>
  <c r="L115" i="90"/>
  <c r="AG86" i="22"/>
  <c r="AH86" i="22" s="1"/>
  <c r="O71" i="86"/>
  <c r="AG66" i="86"/>
  <c r="O52" i="86"/>
  <c r="AG47" i="86"/>
  <c r="O33" i="86"/>
  <c r="AG28" i="86"/>
  <c r="AB14" i="88"/>
  <c r="AF9" i="88"/>
  <c r="O71" i="85"/>
  <c r="AG66" i="85"/>
  <c r="O52" i="85"/>
  <c r="AG47" i="85"/>
  <c r="O33" i="85"/>
  <c r="AG28" i="85"/>
  <c r="AB14" i="82"/>
  <c r="AF9" i="82"/>
  <c r="O52" i="97"/>
  <c r="AG47" i="97"/>
  <c r="O33" i="97"/>
  <c r="AG28" i="97"/>
  <c r="O71" i="75"/>
  <c r="AG66" i="75"/>
  <c r="O52" i="75"/>
  <c r="AG47" i="75"/>
  <c r="O33" i="75"/>
  <c r="AG28" i="75"/>
  <c r="O52" i="22"/>
  <c r="AG47" i="22"/>
  <c r="J14" i="76"/>
  <c r="J44" i="76" s="1"/>
  <c r="K9" i="76"/>
  <c r="AB107" i="75"/>
  <c r="AF88" i="75"/>
  <c r="AG88" i="75" s="1"/>
  <c r="AH88" i="75" s="1"/>
  <c r="AB106" i="22"/>
  <c r="AF87" i="22"/>
  <c r="AG87" i="22" s="1"/>
  <c r="AH87" i="22" s="1"/>
  <c r="M86" i="75"/>
  <c r="O86" i="75" s="1"/>
  <c r="K90" i="75"/>
  <c r="AB90" i="22"/>
  <c r="AF85" i="22"/>
  <c r="AB104" i="22"/>
  <c r="AF104" i="22" s="1"/>
  <c r="O33" i="69"/>
  <c r="M35" i="69"/>
  <c r="O52" i="79"/>
  <c r="AG47" i="79"/>
  <c r="AB108" i="97"/>
  <c r="AF89" i="97"/>
  <c r="AB108" i="79"/>
  <c r="AF89" i="79"/>
  <c r="O9" i="87" l="1"/>
  <c r="P9" i="87" s="1"/>
  <c r="P3" i="87"/>
  <c r="AG108" i="86"/>
  <c r="O97" i="90"/>
  <c r="AG107" i="86"/>
  <c r="O96" i="90"/>
  <c r="AG106" i="86"/>
  <c r="O95" i="90"/>
  <c r="AG105" i="86"/>
  <c r="O94" i="90"/>
  <c r="AH9" i="86"/>
  <c r="AG14" i="86"/>
  <c r="AH14" i="86" s="1"/>
  <c r="AG104" i="86"/>
  <c r="O109" i="86"/>
  <c r="O98" i="90" s="1"/>
  <c r="O93" i="90"/>
  <c r="O9" i="88"/>
  <c r="O14" i="88" s="1"/>
  <c r="O44" i="88" s="1"/>
  <c r="M14" i="88"/>
  <c r="M44" i="88" s="1"/>
  <c r="P3" i="83"/>
  <c r="O9" i="83"/>
  <c r="P9" i="83" s="1"/>
  <c r="AG108" i="85"/>
  <c r="O80" i="90"/>
  <c r="AG107" i="85"/>
  <c r="O79" i="90"/>
  <c r="AG105" i="85"/>
  <c r="O77" i="90"/>
  <c r="AG14" i="85"/>
  <c r="AH14" i="85" s="1"/>
  <c r="AH9" i="85"/>
  <c r="M14" i="82"/>
  <c r="M44" i="82" s="1"/>
  <c r="O9" i="82"/>
  <c r="O14" i="82" s="1"/>
  <c r="AG104" i="85"/>
  <c r="O109" i="85"/>
  <c r="O81" i="90" s="1"/>
  <c r="O76" i="90"/>
  <c r="AG105" i="97"/>
  <c r="AH105" i="97" s="1"/>
  <c r="O61" i="90"/>
  <c r="O60" i="90"/>
  <c r="O9" i="99"/>
  <c r="AG14" i="97"/>
  <c r="AH14" i="97" s="1"/>
  <c r="AH9" i="97"/>
  <c r="P3" i="77"/>
  <c r="AG108" i="75"/>
  <c r="O30" i="90"/>
  <c r="AG106" i="75"/>
  <c r="O28" i="90"/>
  <c r="AG14" i="75"/>
  <c r="AH14" i="75" s="1"/>
  <c r="AH9" i="75"/>
  <c r="O26" i="90"/>
  <c r="AF44" i="90"/>
  <c r="AH85" i="75"/>
  <c r="AG90" i="75"/>
  <c r="AH90" i="75" s="1"/>
  <c r="AF26" i="90"/>
  <c r="AF109" i="75"/>
  <c r="AF31" i="90" s="1"/>
  <c r="AG104" i="75"/>
  <c r="AF9" i="76"/>
  <c r="AD14" i="76"/>
  <c r="AF29" i="90"/>
  <c r="AF113" i="90" s="1"/>
  <c r="M107" i="75"/>
  <c r="K29" i="90"/>
  <c r="L26" i="94"/>
  <c r="N26" i="94"/>
  <c r="N18" i="94"/>
  <c r="O26" i="94" s="1"/>
  <c r="AF11" i="90"/>
  <c r="AF45" i="90"/>
  <c r="M106" i="22"/>
  <c r="K25" i="93"/>
  <c r="K34" i="93" s="1"/>
  <c r="K11" i="90"/>
  <c r="M106" i="79"/>
  <c r="K45" i="90"/>
  <c r="N17" i="94"/>
  <c r="O25" i="94" s="1"/>
  <c r="AF10" i="90"/>
  <c r="U31" i="90"/>
  <c r="Y111" i="75"/>
  <c r="U14" i="76"/>
  <c r="Y16" i="76" s="1"/>
  <c r="AF27" i="90"/>
  <c r="E29" i="36"/>
  <c r="N31" i="90"/>
  <c r="AB109" i="75"/>
  <c r="AB31" i="90" s="1"/>
  <c r="AB27" i="90"/>
  <c r="AB111" i="90" s="1"/>
  <c r="AB10" i="76"/>
  <c r="AF10" i="76" s="1"/>
  <c r="AG10" i="76" s="1"/>
  <c r="AH10" i="76" s="1"/>
  <c r="D29" i="36"/>
  <c r="D31" i="90"/>
  <c r="D14" i="76"/>
  <c r="D44" i="76" s="1"/>
  <c r="K10" i="76"/>
  <c r="M10" i="76" s="1"/>
  <c r="O10" i="76" s="1"/>
  <c r="I9" i="77"/>
  <c r="J20" i="36" s="1"/>
  <c r="N4" i="77"/>
  <c r="D147" i="75"/>
  <c r="L143" i="75"/>
  <c r="K109" i="75"/>
  <c r="K31" i="90" s="1"/>
  <c r="M105" i="75"/>
  <c r="K27" i="90"/>
  <c r="M29" i="36"/>
  <c r="I27" i="91"/>
  <c r="M105" i="22"/>
  <c r="K24" i="93"/>
  <c r="K33" i="93" s="1"/>
  <c r="K10" i="90"/>
  <c r="L24" i="94"/>
  <c r="N24" i="94"/>
  <c r="L21" i="94"/>
  <c r="AE14" i="90"/>
  <c r="AE115" i="90" s="1"/>
  <c r="U14" i="39"/>
  <c r="Y16" i="39" s="1"/>
  <c r="Y111" i="22"/>
  <c r="D21" i="94"/>
  <c r="D29" i="94" s="1"/>
  <c r="U14" i="90"/>
  <c r="AF109" i="22"/>
  <c r="N16" i="94"/>
  <c r="O24" i="94" s="1"/>
  <c r="AF9" i="90"/>
  <c r="U14" i="81"/>
  <c r="Y16" i="81" s="1"/>
  <c r="Y111" i="79"/>
  <c r="U48" i="90"/>
  <c r="AF109" i="79"/>
  <c r="AF48" i="90" s="1"/>
  <c r="AF43" i="90"/>
  <c r="AB9" i="81"/>
  <c r="AF9" i="81" s="1"/>
  <c r="AB43" i="90"/>
  <c r="AB109" i="79"/>
  <c r="AB48" i="90" s="1"/>
  <c r="AB9" i="99"/>
  <c r="AB60" i="90"/>
  <c r="AB109" i="97"/>
  <c r="AB65" i="90" s="1"/>
  <c r="AF104" i="97"/>
  <c r="AG85" i="97"/>
  <c r="AF90" i="97"/>
  <c r="N28" i="93"/>
  <c r="N14" i="90"/>
  <c r="N48" i="90"/>
  <c r="E30" i="36"/>
  <c r="L142" i="97"/>
  <c r="D147" i="97"/>
  <c r="E31" i="36"/>
  <c r="N65" i="90"/>
  <c r="N3" i="98"/>
  <c r="J9" i="98"/>
  <c r="K22" i="36" s="1"/>
  <c r="H3" i="98"/>
  <c r="G9" i="98"/>
  <c r="H22" i="36" s="1"/>
  <c r="M31" i="36"/>
  <c r="P31" i="36" s="1"/>
  <c r="I55" i="91"/>
  <c r="AF14" i="69"/>
  <c r="AG14" i="69" s="1"/>
  <c r="AG9" i="69"/>
  <c r="AF47" i="69"/>
  <c r="O52" i="69"/>
  <c r="D14" i="39"/>
  <c r="D44" i="39" s="1"/>
  <c r="K9" i="39"/>
  <c r="N3" i="36"/>
  <c r="N9" i="36" s="1"/>
  <c r="I9" i="36"/>
  <c r="L142" i="22"/>
  <c r="M142" i="22" s="1"/>
  <c r="D147" i="22"/>
  <c r="L147" i="22" s="1"/>
  <c r="M147" i="22" s="1"/>
  <c r="D28" i="93"/>
  <c r="D14" i="90"/>
  <c r="M104" i="22"/>
  <c r="K109" i="22"/>
  <c r="K23" i="93"/>
  <c r="K32" i="93" s="1"/>
  <c r="K9" i="90"/>
  <c r="O85" i="22"/>
  <c r="O90" i="22" s="1"/>
  <c r="M90" i="22"/>
  <c r="H3" i="36"/>
  <c r="G9" i="36"/>
  <c r="D14" i="81"/>
  <c r="D45" i="81" s="1"/>
  <c r="K9" i="81"/>
  <c r="N3" i="80"/>
  <c r="N9" i="80" s="1"/>
  <c r="O21" i="36" s="1"/>
  <c r="I9" i="80"/>
  <c r="J21" i="36" s="1"/>
  <c r="L142" i="79"/>
  <c r="D147" i="79"/>
  <c r="D48" i="90"/>
  <c r="D30" i="36"/>
  <c r="M104" i="79"/>
  <c r="K109" i="79"/>
  <c r="K48" i="90" s="1"/>
  <c r="K43" i="90"/>
  <c r="O85" i="79"/>
  <c r="M90" i="79"/>
  <c r="I41" i="91"/>
  <c r="M30" i="36"/>
  <c r="P30" i="36" s="1"/>
  <c r="H3" i="80"/>
  <c r="G9" i="80"/>
  <c r="H21" i="36" s="1"/>
  <c r="H24" i="36" s="1"/>
  <c r="H25" i="36" s="1"/>
  <c r="AD109" i="97"/>
  <c r="AD65" i="90" s="1"/>
  <c r="AD64" i="90"/>
  <c r="AD13" i="99"/>
  <c r="AD14" i="99" s="1"/>
  <c r="L28" i="94"/>
  <c r="N28" i="94"/>
  <c r="AF47" i="90"/>
  <c r="Y111" i="97"/>
  <c r="U65" i="90"/>
  <c r="AF64" i="90"/>
  <c r="U14" i="99"/>
  <c r="Y16" i="99" s="1"/>
  <c r="M108" i="79"/>
  <c r="K47" i="90"/>
  <c r="D31" i="36"/>
  <c r="F31" i="36" s="1"/>
  <c r="G31" i="36" s="1"/>
  <c r="Q31" i="36" s="1"/>
  <c r="D65" i="90"/>
  <c r="I9" i="98"/>
  <c r="J22" i="36" s="1"/>
  <c r="N7" i="98"/>
  <c r="O7" i="98" s="1"/>
  <c r="P7" i="98" s="1"/>
  <c r="D14" i="99"/>
  <c r="D45" i="99" s="1"/>
  <c r="K13" i="99"/>
  <c r="K109" i="97"/>
  <c r="K65" i="90" s="1"/>
  <c r="K64" i="90"/>
  <c r="K114" i="90" s="1"/>
  <c r="M108" i="97"/>
  <c r="M90" i="97"/>
  <c r="O89" i="97"/>
  <c r="L27" i="94"/>
  <c r="N27" i="94"/>
  <c r="AG71" i="79"/>
  <c r="AH71" i="79" s="1"/>
  <c r="AH66" i="79"/>
  <c r="AG66" i="22"/>
  <c r="O71" i="22"/>
  <c r="AD13" i="81"/>
  <c r="AD47" i="90"/>
  <c r="AD114" i="90" s="1"/>
  <c r="K46" i="90"/>
  <c r="M107" i="79"/>
  <c r="AD46" i="90"/>
  <c r="AD113" i="90" s="1"/>
  <c r="AD12" i="81"/>
  <c r="AF12" i="81" s="1"/>
  <c r="AG12" i="81" s="1"/>
  <c r="AH12" i="81" s="1"/>
  <c r="AD11" i="81"/>
  <c r="AF11" i="81" s="1"/>
  <c r="AG11" i="81" s="1"/>
  <c r="AH11" i="81" s="1"/>
  <c r="AD45" i="90"/>
  <c r="AD112" i="90" s="1"/>
  <c r="K44" i="90"/>
  <c r="M105" i="79"/>
  <c r="AD44" i="90"/>
  <c r="AD111" i="90" s="1"/>
  <c r="AD10" i="81"/>
  <c r="AF10" i="81" s="1"/>
  <c r="AG10" i="81" s="1"/>
  <c r="AH10" i="81" s="1"/>
  <c r="M21" i="94"/>
  <c r="M29" i="94" s="1"/>
  <c r="AD14" i="90"/>
  <c r="F24" i="64"/>
  <c r="G24" i="64"/>
  <c r="H24" i="64"/>
  <c r="AH9" i="22"/>
  <c r="AG14" i="22"/>
  <c r="AH14" i="22" s="1"/>
  <c r="O9" i="79"/>
  <c r="M14" i="79"/>
  <c r="AD109" i="79"/>
  <c r="AD48" i="90" s="1"/>
  <c r="AD9" i="81"/>
  <c r="AD14" i="81" s="1"/>
  <c r="AD43" i="90"/>
  <c r="AD110" i="90" s="1"/>
  <c r="O108" i="22"/>
  <c r="M27" i="93"/>
  <c r="M36" i="93" s="1"/>
  <c r="M13" i="90"/>
  <c r="O107" i="22"/>
  <c r="M26" i="93"/>
  <c r="M35" i="93" s="1"/>
  <c r="M12" i="90"/>
  <c r="AG106" i="85"/>
  <c r="O78" i="90"/>
  <c r="AF106" i="97"/>
  <c r="AB62" i="90"/>
  <c r="AB11" i="99"/>
  <c r="AF11" i="99" s="1"/>
  <c r="AG11" i="99" s="1"/>
  <c r="AH11" i="99" s="1"/>
  <c r="I28" i="93"/>
  <c r="I14" i="90"/>
  <c r="I115" i="90" s="1"/>
  <c r="H28" i="93"/>
  <c r="H14" i="90"/>
  <c r="H115" i="90" s="1"/>
  <c r="G28" i="93"/>
  <c r="G14" i="90"/>
  <c r="G115" i="90" s="1"/>
  <c r="F28" i="93"/>
  <c r="F14" i="90"/>
  <c r="F115" i="90" s="1"/>
  <c r="E28" i="93"/>
  <c r="E14" i="90"/>
  <c r="E115" i="90" s="1"/>
  <c r="AG71" i="86"/>
  <c r="AH71" i="86" s="1"/>
  <c r="AH66" i="86"/>
  <c r="AG52" i="86"/>
  <c r="AH52" i="86" s="1"/>
  <c r="AH47" i="86"/>
  <c r="AH28" i="86"/>
  <c r="AG33" i="86"/>
  <c r="AH33" i="86" s="1"/>
  <c r="AF14" i="88"/>
  <c r="AG9" i="88"/>
  <c r="AH66" i="85"/>
  <c r="AG71" i="85"/>
  <c r="AH71" i="85" s="1"/>
  <c r="AH47" i="85"/>
  <c r="AG52" i="85"/>
  <c r="AH52" i="85" s="1"/>
  <c r="AG33" i="85"/>
  <c r="AH33" i="85" s="1"/>
  <c r="AH28" i="85"/>
  <c r="AF14" i="82"/>
  <c r="AG9" i="82"/>
  <c r="AG52" i="97"/>
  <c r="AH52" i="97" s="1"/>
  <c r="AH47" i="97"/>
  <c r="AG33" i="97"/>
  <c r="AH33" i="97" s="1"/>
  <c r="AH28" i="97"/>
  <c r="AG71" i="75"/>
  <c r="AH71" i="75" s="1"/>
  <c r="AH66" i="75"/>
  <c r="AG52" i="75"/>
  <c r="AH52" i="75" s="1"/>
  <c r="AH47" i="75"/>
  <c r="AH28" i="75"/>
  <c r="AG33" i="75"/>
  <c r="AH33" i="75" s="1"/>
  <c r="AH47" i="22"/>
  <c r="AG52" i="22"/>
  <c r="AH52" i="22" s="1"/>
  <c r="K14" i="76"/>
  <c r="K44" i="76" s="1"/>
  <c r="M9" i="76"/>
  <c r="AB12" i="76"/>
  <c r="AF12" i="76" s="1"/>
  <c r="AG12" i="76" s="1"/>
  <c r="AH12" i="76" s="1"/>
  <c r="AB29" i="90"/>
  <c r="AB113" i="90" s="1"/>
  <c r="AB11" i="39"/>
  <c r="AF11" i="39" s="1"/>
  <c r="AG11" i="39" s="1"/>
  <c r="AH11" i="39" s="1"/>
  <c r="K18" i="94"/>
  <c r="AB11" i="90"/>
  <c r="AB112" i="90" s="1"/>
  <c r="AF90" i="22"/>
  <c r="AG85" i="22"/>
  <c r="AB109" i="22"/>
  <c r="AB9" i="39"/>
  <c r="K16" i="94"/>
  <c r="AB9" i="90"/>
  <c r="AB110" i="90" s="1"/>
  <c r="AG52" i="79"/>
  <c r="AH52" i="79" s="1"/>
  <c r="AH47" i="79"/>
  <c r="AB13" i="99"/>
  <c r="AF13" i="99" s="1"/>
  <c r="AB64" i="90"/>
  <c r="AB47" i="90"/>
  <c r="AB114" i="90" s="1"/>
  <c r="AB13" i="81"/>
  <c r="AF13" i="81" s="1"/>
  <c r="AG13" i="81" s="1"/>
  <c r="AH13" i="81" s="1"/>
  <c r="Z115" i="90"/>
  <c r="N112" i="90"/>
  <c r="U111" i="90"/>
  <c r="AF10" i="39"/>
  <c r="AG10" i="39" s="1"/>
  <c r="AH10" i="39" s="1"/>
  <c r="N14" i="76"/>
  <c r="N44" i="76" s="1"/>
  <c r="J9" i="77"/>
  <c r="K20" i="36" s="1"/>
  <c r="K24" i="36" s="1"/>
  <c r="K25" i="36" s="1"/>
  <c r="I36" i="76"/>
  <c r="I45" i="76" s="1"/>
  <c r="AE110" i="90"/>
  <c r="AE14" i="39"/>
  <c r="U110" i="90"/>
  <c r="N110" i="90"/>
  <c r="N14" i="39"/>
  <c r="N44" i="39" s="1"/>
  <c r="J9" i="36"/>
  <c r="N45" i="81"/>
  <c r="N14" i="99"/>
  <c r="N45" i="99" s="1"/>
  <c r="I36" i="99"/>
  <c r="I46" i="99" s="1"/>
  <c r="I45" i="81"/>
  <c r="H45" i="81"/>
  <c r="G45" i="81"/>
  <c r="F45" i="81"/>
  <c r="E45" i="81"/>
  <c r="D110" i="90"/>
  <c r="I36" i="39"/>
  <c r="I45" i="39" s="1"/>
  <c r="I36" i="81"/>
  <c r="I46" i="81" s="1"/>
  <c r="U114" i="90"/>
  <c r="I96" i="91"/>
  <c r="K13" i="81"/>
  <c r="M13" i="81" s="1"/>
  <c r="O13" i="81" s="1"/>
  <c r="X115" i="90"/>
  <c r="W115" i="90"/>
  <c r="V115" i="90"/>
  <c r="I110" i="90"/>
  <c r="H110" i="90"/>
  <c r="G110" i="90"/>
  <c r="F110" i="90"/>
  <c r="E110" i="90"/>
  <c r="AF12" i="39"/>
  <c r="AG12" i="39" s="1"/>
  <c r="AH12" i="39" s="1"/>
  <c r="O5" i="36"/>
  <c r="P5" i="36" s="1"/>
  <c r="I95" i="91"/>
  <c r="U112" i="90"/>
  <c r="K11" i="81"/>
  <c r="M11" i="81" s="1"/>
  <c r="O11" i="81" s="1"/>
  <c r="J115" i="90"/>
  <c r="AG89" i="79"/>
  <c r="AH89" i="79" s="1"/>
  <c r="AF90" i="79"/>
  <c r="AG97" i="90" l="1"/>
  <c r="AH108" i="86"/>
  <c r="AG96" i="90"/>
  <c r="AH107" i="86"/>
  <c r="AH106" i="86"/>
  <c r="AG95" i="90"/>
  <c r="AG94" i="90"/>
  <c r="AH105" i="86"/>
  <c r="AG93" i="90"/>
  <c r="AG109" i="86"/>
  <c r="AH104" i="86"/>
  <c r="AH108" i="85"/>
  <c r="AG80" i="90"/>
  <c r="AG79" i="90"/>
  <c r="AH107" i="85"/>
  <c r="AG77" i="90"/>
  <c r="AH105" i="85"/>
  <c r="AG76" i="90"/>
  <c r="AH104" i="85"/>
  <c r="AG109" i="85"/>
  <c r="AG30" i="90"/>
  <c r="AH108" i="75"/>
  <c r="AG28" i="90"/>
  <c r="AH106" i="75"/>
  <c r="AH104" i="75"/>
  <c r="AG26" i="90"/>
  <c r="AF14" i="76"/>
  <c r="AG9" i="76"/>
  <c r="O107" i="75"/>
  <c r="M29" i="90"/>
  <c r="M113" i="90" s="1"/>
  <c r="O106" i="22"/>
  <c r="M25" i="93"/>
  <c r="M34" i="93" s="1"/>
  <c r="M11" i="90"/>
  <c r="O106" i="79"/>
  <c r="M45" i="90"/>
  <c r="F29" i="36"/>
  <c r="D33" i="36"/>
  <c r="D34" i="36" s="1"/>
  <c r="O4" i="77"/>
  <c r="N9" i="77"/>
  <c r="O20" i="36" s="1"/>
  <c r="O24" i="36" s="1"/>
  <c r="O25" i="36" s="1"/>
  <c r="L147" i="75"/>
  <c r="M147" i="75" s="1"/>
  <c r="M143" i="75"/>
  <c r="M109" i="75"/>
  <c r="M31" i="90" s="1"/>
  <c r="O105" i="75"/>
  <c r="M27" i="90"/>
  <c r="P29" i="36"/>
  <c r="P33" i="36" s="1"/>
  <c r="M33" i="36"/>
  <c r="O105" i="22"/>
  <c r="M24" i="93"/>
  <c r="M33" i="93" s="1"/>
  <c r="M10" i="90"/>
  <c r="M111" i="90" s="1"/>
  <c r="L29" i="94"/>
  <c r="N29" i="94"/>
  <c r="N21" i="94"/>
  <c r="O29" i="94" s="1"/>
  <c r="AF14" i="90"/>
  <c r="AF14" i="81"/>
  <c r="AF9" i="99"/>
  <c r="AB14" i="99"/>
  <c r="AF109" i="97"/>
  <c r="AF65" i="90" s="1"/>
  <c r="AG104" i="97"/>
  <c r="AF60" i="90"/>
  <c r="AF110" i="90" s="1"/>
  <c r="AH85" i="97"/>
  <c r="AG90" i="97"/>
  <c r="AH90" i="97" s="1"/>
  <c r="M142" i="97"/>
  <c r="L147" i="97"/>
  <c r="M147" i="97" s="1"/>
  <c r="H9" i="98"/>
  <c r="I22" i="36" s="1"/>
  <c r="O3" i="98"/>
  <c r="AF52" i="69"/>
  <c r="AG52" i="69" s="1"/>
  <c r="AG47" i="69"/>
  <c r="K14" i="39"/>
  <c r="K44" i="39" s="1"/>
  <c r="M9" i="39"/>
  <c r="O104" i="22"/>
  <c r="M109" i="22"/>
  <c r="M23" i="93"/>
  <c r="M32" i="93" s="1"/>
  <c r="M9" i="90"/>
  <c r="K28" i="93"/>
  <c r="K14" i="90"/>
  <c r="K115" i="90" s="1"/>
  <c r="O3" i="36"/>
  <c r="H9" i="36"/>
  <c r="K14" i="81"/>
  <c r="K45" i="81" s="1"/>
  <c r="M9" i="81"/>
  <c r="M142" i="79"/>
  <c r="L147" i="79"/>
  <c r="M147" i="79" s="1"/>
  <c r="O104" i="79"/>
  <c r="M109" i="79"/>
  <c r="M48" i="90" s="1"/>
  <c r="M43" i="90"/>
  <c r="AG85" i="79"/>
  <c r="O90" i="79"/>
  <c r="O3" i="80"/>
  <c r="H9" i="80"/>
  <c r="I21" i="36" s="1"/>
  <c r="I24" i="36" s="1"/>
  <c r="I25" i="36" s="1"/>
  <c r="O108" i="79"/>
  <c r="M47" i="90"/>
  <c r="K14" i="99"/>
  <c r="K45" i="99" s="1"/>
  <c r="M13" i="99"/>
  <c r="M109" i="97"/>
  <c r="M65" i="90" s="1"/>
  <c r="O108" i="97"/>
  <c r="M64" i="90"/>
  <c r="M114" i="90" s="1"/>
  <c r="AG89" i="97"/>
  <c r="AH89" i="97" s="1"/>
  <c r="O90" i="97"/>
  <c r="AH66" i="22"/>
  <c r="AG71" i="22"/>
  <c r="AH71" i="22" s="1"/>
  <c r="O107" i="79"/>
  <c r="O46" i="90" s="1"/>
  <c r="M46" i="90"/>
  <c r="O105" i="79"/>
  <c r="M44" i="90"/>
  <c r="AG9" i="79"/>
  <c r="O14" i="79"/>
  <c r="AG108" i="22"/>
  <c r="O27" i="93"/>
  <c r="O36" i="93" s="1"/>
  <c r="O13" i="90"/>
  <c r="AG107" i="22"/>
  <c r="O26" i="93"/>
  <c r="O35" i="93" s="1"/>
  <c r="O12" i="90"/>
  <c r="AG78" i="90"/>
  <c r="AH106" i="85"/>
  <c r="AF62" i="90"/>
  <c r="AG106" i="97"/>
  <c r="AH106" i="97" s="1"/>
  <c r="AG14" i="88"/>
  <c r="AH14" i="88" s="1"/>
  <c r="AH9" i="88"/>
  <c r="AG14" i="82"/>
  <c r="AH14" i="82" s="1"/>
  <c r="AH9" i="82"/>
  <c r="O9" i="76"/>
  <c r="O14" i="76" s="1"/>
  <c r="M14" i="76"/>
  <c r="AG90" i="22"/>
  <c r="AH90" i="22" s="1"/>
  <c r="AH85" i="22"/>
  <c r="K21" i="94"/>
  <c r="K29" i="94" s="1"/>
  <c r="AB14" i="90"/>
  <c r="AB115" i="90" s="1"/>
  <c r="O44" i="82"/>
  <c r="K113" i="90"/>
  <c r="AF112" i="90"/>
  <c r="K112" i="90"/>
  <c r="AF111" i="90"/>
  <c r="E33" i="36"/>
  <c r="E34" i="36" s="1"/>
  <c r="AB14" i="76"/>
  <c r="J24" i="36"/>
  <c r="J25" i="36" s="1"/>
  <c r="AB14" i="81"/>
  <c r="D115" i="90"/>
  <c r="K110" i="90"/>
  <c r="F30" i="36"/>
  <c r="G30" i="36" s="1"/>
  <c r="Q30" i="36" s="1"/>
  <c r="AD115" i="90"/>
  <c r="I98" i="91"/>
  <c r="K111" i="90"/>
  <c r="U115" i="90"/>
  <c r="N115" i="90"/>
  <c r="N9" i="98"/>
  <c r="O22" i="36" s="1"/>
  <c r="AF114" i="90"/>
  <c r="AB14" i="39"/>
  <c r="AF9" i="39"/>
  <c r="AH109" i="86" l="1"/>
  <c r="AG98" i="90"/>
  <c r="AH109" i="85"/>
  <c r="AG81" i="90"/>
  <c r="AH9" i="76"/>
  <c r="AG14" i="76"/>
  <c r="AH14" i="76" s="1"/>
  <c r="AG107" i="75"/>
  <c r="O29" i="90"/>
  <c r="O113" i="90" s="1"/>
  <c r="AG106" i="22"/>
  <c r="O25" i="93"/>
  <c r="O34" i="93" s="1"/>
  <c r="O11" i="90"/>
  <c r="AG106" i="79"/>
  <c r="O45" i="90"/>
  <c r="G29" i="36"/>
  <c r="Q29" i="36" s="1"/>
  <c r="Q33" i="36" s="1"/>
  <c r="F33" i="36"/>
  <c r="O9" i="77"/>
  <c r="P9" i="77" s="1"/>
  <c r="P4" i="77"/>
  <c r="AG105" i="75"/>
  <c r="O109" i="75"/>
  <c r="O27" i="90"/>
  <c r="AG105" i="22"/>
  <c r="O24" i="93"/>
  <c r="O33" i="93" s="1"/>
  <c r="O10" i="90"/>
  <c r="AF14" i="99"/>
  <c r="AG9" i="99"/>
  <c r="AH104" i="97"/>
  <c r="P3" i="98"/>
  <c r="O9" i="98"/>
  <c r="P9" i="98" s="1"/>
  <c r="O9" i="39"/>
  <c r="O14" i="39" s="1"/>
  <c r="M14" i="39"/>
  <c r="M44" i="39" s="1"/>
  <c r="AG104" i="22"/>
  <c r="O109" i="22"/>
  <c r="O23" i="93"/>
  <c r="O32" i="93" s="1"/>
  <c r="O9" i="90"/>
  <c r="M28" i="93"/>
  <c r="M14" i="90"/>
  <c r="M115" i="90" s="1"/>
  <c r="P3" i="36"/>
  <c r="O9" i="36"/>
  <c r="P9" i="36" s="1"/>
  <c r="O9" i="81"/>
  <c r="M14" i="81"/>
  <c r="M45" i="81" s="1"/>
  <c r="AG104" i="79"/>
  <c r="O109" i="79"/>
  <c r="O48" i="90" s="1"/>
  <c r="O43" i="90"/>
  <c r="AG90" i="79"/>
  <c r="AH90" i="79" s="1"/>
  <c r="AH85" i="79"/>
  <c r="P3" i="80"/>
  <c r="O9" i="80"/>
  <c r="P9" i="80" s="1"/>
  <c r="AG108" i="79"/>
  <c r="O47" i="90"/>
  <c r="M14" i="99"/>
  <c r="M45" i="99" s="1"/>
  <c r="O13" i="99"/>
  <c r="AG108" i="97"/>
  <c r="O109" i="97"/>
  <c r="O65" i="90" s="1"/>
  <c r="O64" i="90"/>
  <c r="O114" i="90" s="1"/>
  <c r="AG105" i="79"/>
  <c r="O44" i="90"/>
  <c r="AG14" i="79"/>
  <c r="AH14" i="79" s="1"/>
  <c r="AH9" i="79"/>
  <c r="AG13" i="90"/>
  <c r="O20" i="94"/>
  <c r="AH108" i="22"/>
  <c r="AG12" i="90"/>
  <c r="O19" i="94"/>
  <c r="AH107" i="22"/>
  <c r="AF14" i="39"/>
  <c r="AG9" i="39"/>
  <c r="M110" i="90"/>
  <c r="M44" i="76"/>
  <c r="M112" i="90"/>
  <c r="AF115" i="90"/>
  <c r="AG29" i="90" l="1"/>
  <c r="AG113" i="90" s="1"/>
  <c r="AH107" i="75"/>
  <c r="AG11" i="90"/>
  <c r="O18" i="94"/>
  <c r="AH106" i="22"/>
  <c r="AG45" i="90"/>
  <c r="AH106" i="79"/>
  <c r="G33" i="36"/>
  <c r="P35" i="36" s="1"/>
  <c r="F34" i="36"/>
  <c r="AG109" i="75"/>
  <c r="AG27" i="90"/>
  <c r="AH105" i="75"/>
  <c r="O44" i="76"/>
  <c r="O31" i="90"/>
  <c r="AG10" i="90"/>
  <c r="AG111" i="90" s="1"/>
  <c r="O17" i="94"/>
  <c r="AH105" i="22"/>
  <c r="AH9" i="99"/>
  <c r="AG9" i="90"/>
  <c r="O16" i="94"/>
  <c r="AG109" i="22"/>
  <c r="AH104" i="22"/>
  <c r="O28" i="93"/>
  <c r="O14" i="90"/>
  <c r="AG9" i="81"/>
  <c r="O14" i="81"/>
  <c r="O45" i="81" s="1"/>
  <c r="AG43" i="90"/>
  <c r="AG109" i="79"/>
  <c r="AH104" i="79"/>
  <c r="AG47" i="90"/>
  <c r="AG114" i="90" s="1"/>
  <c r="AH108" i="79"/>
  <c r="AG13" i="99"/>
  <c r="O14" i="99"/>
  <c r="O45" i="99" s="1"/>
  <c r="AG44" i="90"/>
  <c r="AH105" i="79"/>
  <c r="AG14" i="39"/>
  <c r="AH14" i="39" s="1"/>
  <c r="AH9" i="39"/>
  <c r="O44" i="39"/>
  <c r="O110" i="90"/>
  <c r="O111" i="90"/>
  <c r="O112" i="90"/>
  <c r="AH108" i="97"/>
  <c r="AG109" i="97"/>
  <c r="AH109" i="97" s="1"/>
  <c r="AG31" i="90" l="1"/>
  <c r="AH109" i="75"/>
  <c r="AH109" i="22"/>
  <c r="O21" i="94"/>
  <c r="AG14" i="90"/>
  <c r="AH9" i="81"/>
  <c r="AG14" i="81"/>
  <c r="AH14" i="81" s="1"/>
  <c r="AH109" i="79"/>
  <c r="AG48" i="90"/>
  <c r="AG110" i="90"/>
  <c r="O115" i="90"/>
  <c r="AG112" i="90"/>
  <c r="AH13" i="99"/>
  <c r="AG14" i="99"/>
  <c r="AH14" i="99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<sst xmlns="http://schemas.openxmlformats.org/spreadsheetml/2006/main" count="7999" uniqueCount="345">
  <si>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</si>
  <si>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</si>
  <si>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</si>
  <si>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</si>
  <si>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</si>
  <si>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</si>
  <si>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</si>
  <si>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</si>
  <si>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</si>
  <si>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</si>
  <si>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</si>
  <si>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</si>
  <si>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</si>
  <si>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</si>
  <si>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</si>
  <si>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</si>
  <si>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</si>
  <si>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</si>
  <si>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</si>
  <si>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</si>
  <si>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</si>
  <si>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</si>
  <si>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</si>
  <si>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</si>
  <si>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</si>
  <si>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</si>
  <si>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</si>
  <si>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</si>
  <si>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</si>
  <si>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</si>
  <si>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</si>
  <si>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</si>
  <si>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</si>
  <si>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</si>
  <si>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</si>
  <si>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</si>
  <si>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</si>
  <si>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</si>
  <si>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</si>
  <si>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</si>
  <si>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</si>
  <si>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</si>
  <si>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</si>
  <si>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</si>
  <si>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</si>
  <si>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</si>
  <si>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</si>
  <si>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</si>
  <si>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</si>
  <si>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</si>
  <si>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</si>
  <si>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</si>
  <si>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</si>
  <si>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</si>
  <si>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</si>
  <si>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</si>
  <si>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</si>
  <si>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</si>
  <si>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</si>
  <si>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</si>
  <si>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</si>
  <si>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</si>
  <si>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</si>
  <si>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</si>
  <si>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</si>
  <si>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</si>
  <si>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</si>
  <si>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</si>
  <si>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</si>
  <si>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</si>
  <si>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</si>
  <si>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</si>
  <si>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</si>
  <si>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</si>
  <si>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</si>
  <si>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</si>
  <si>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</si>
  <si>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</si>
  <si>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</si>
  <si>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</si>
  <si>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</si>
  <si>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</si>
  <si>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</si>
  <si>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</si>
  <si>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</si>
  <si>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</si>
  <si>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</si>
  <si>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</si>
  <si>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</si>
  <si>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</si>
  <si>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</si>
  <si>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</si>
  <si>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</si>
  <si>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</si>
  <si>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</si>
  <si>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</si>
  <si>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</si>
  <si>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</si>
  <si>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</si>
  <si>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</si>
  <si>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</si>
  <si>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</si>
  <si>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</si>
  <si>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</si>
  <si>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</si>
  <si>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</si>
  <si>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</si>
  <si>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</si>
  <si>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</si>
  <si>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</si>
  <si>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</si>
  <si>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</si>
  <si>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</si>
  <si>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</si>
  <si>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</si>
  <si>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</si>
  <si>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</si>
  <si>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</si>
  <si>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</si>
  <si>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</si>
  <si>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</si>
  <si>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</si>
  <si>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</si>
  <si>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</si>
  <si>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</si>
  <si>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</si>
  <si>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</si>
  <si>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</si>
  <si>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</si>
  <si>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</si>
  <si>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</si>
  <si>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</si>
  <si>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</si>
  <si>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</si>
  <si>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</si>
  <si>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</si>
  <si>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</si>
  <si>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</si>
  <si>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</si>
  <si>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</si>
  <si>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</si>
  <si>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</si>
  <si>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</si>
  <si>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</si>
  <si>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</si>
  <si>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</si>
  <si>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</si>
  <si>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</si>
  <si>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</si>
  <si>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</si>
  <si>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</si>
  <si>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</si>
  <si>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</si>
  <si>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</si>
  <si>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</si>
  <si>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</si>
  <si>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</si>
  <si>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</si>
  <si>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</si>
  <si>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</si>
  <si>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</si>
  <si>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</si>
  <si>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</si>
  <si>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</si>
  <si>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</si>
  <si>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</si>
  <si>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</si>
  <si>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</si>
  <si>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</si>
  <si>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</si>
  <si>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</si>
  <si>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</si>
  <si>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</si>
  <si>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</si>
  <si>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</si>
  <si>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</si>
  <si>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</si>
  <si>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</si>
  <si>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</si>
  <si>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</si>
  <si>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</si>
  <si>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</si>
  <si>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</si>
  <si>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</si>
  <si>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</si>
  <si>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</si>
  <si>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</si>
  <si>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</si>
  <si>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</si>
  <si>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</si>
  <si>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</si>
  <si>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</si>
  <si>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</si>
  <si>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</si>
  <si>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</si>
  <si>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</si>
  <si>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</si>
  <si>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</si>
  <si>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</si>
  <si>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</si>
  <si>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</si>
  <si>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</si>
  <si>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</si>
  <si>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</si>
  <si>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</si>
  <si>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</si>
  <si>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</si>
  <si>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</si>
  <si>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</si>
  <si>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</si>
  <si>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</si>
  <si>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</si>
  <si>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</si>
  <si>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</si>
  <si>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</si>
  <si>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</si>
  <si>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</si>
  <si>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</si>
  <si>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</si>
  <si>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</si>
  <si>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</si>
  <si>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</si>
  <si>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</si>
  <si>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</si>
  <si>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</si>
  <si>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</si>
  <si>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</si>
  <si>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</si>
  <si>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</si>
  <si>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</si>
  <si>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</si>
  <si>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</si>
  <si>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</si>
  <si>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</si>
  <si>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</si>
  <si>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</si>
  <si>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</si>
  <si>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</si>
  <si>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</si>
  <si>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</si>
  <si>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</si>
  <si>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</si>
  <si>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</si>
  <si>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</si>
  <si>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</si>
  <si>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</si>
  <si>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</si>
  <si>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</si>
  <si>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</si>
  <si>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</si>
  <si>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</si>
  <si>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</si>
  <si>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</si>
  <si>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</si>
  <si>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</si>
  <si>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</si>
  <si>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</si>
  <si>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</si>
  <si>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</si>
  <si>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</si>
  <si>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</si>
  <si>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</si>
  <si>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</si>
  <si>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</si>
  <si>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</si>
  <si>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</si>
  <si>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</si>
  <si>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</si>
  <si>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</si>
  <si>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</si>
  <si>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</si>
  <si>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</si>
  <si>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</si>
  <si>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</si>
  <si>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</si>
  <si>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</si>
  <si>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</si>
  <si>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</si>
  <si>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</si>
  <si>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</si>
  <si>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</si>
  <si>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</si>
  <si>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</si>
  <si>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</si>
  <si>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</si>
  <si>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</si>
  <si>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</si>
  <si>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</si>
  <si>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</si>
  <si>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</si>
  <si>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</si>
  <si>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</si>
  <si>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</si>
  <si>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</si>
  <si>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</si>
  <si>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</si>
  <si>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</si>
  <si>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</si>
  <si>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</si>
  <si>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</si>
  <si>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</si>
  <si>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</si>
  <si>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</si>
  <si>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</si>
  <si>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</si>
  <si>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</si>
  <si>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</si>
  <si>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</si>
  <si>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</si>
  <si>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</si>
  <si>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</si>
  <si>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</si>
  <si>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</si>
  <si>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</si>
  <si>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</si>
  <si>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</si>
  <si>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</si>
  <si>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</si>
  <si>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</si>
  <si>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</si>
  <si>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</si>
  <si>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</si>
  <si>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</si>
  <si>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</si>
  <si>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</si>
  <si>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</si>
  <si>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</si>
  <si>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</si>
  <si>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</si>
  <si>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</si>
  <si>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</si>
  <si>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</si>
  <si>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</si>
  <si>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</si>
  <si>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</si>
  <si>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</si>
  <si>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</si>
  <si>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</si>
  <si>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</si>
  <si>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</si>
  <si>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2026101</t>
  </si>
  <si>
    <t>16/09/2026</t>
  </si>
  <si>
    <t>30/09/2026</t>
  </si>
  <si>
    <t>18/10/2026</t>
  </si>
  <si>
    <t>04:03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</si>
</sst>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14382259562</v>
      </c>
      <c r="E3" s="176">
        <v>305702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10247752463</v>
      </c>
      <c r="E4" s="180">
        <v>198695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8348318512</v>
      </c>
      <c r="E5" s="180">
        <v>195122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9859647946</v>
      </c>
      <c r="E6" s="180">
        <v>172571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7125653520</v>
      </c>
      <c r="E7" s="180">
        <v>137028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49963632003</v>
      </c>
      <c r="E9" s="186">
        <v>1009118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128684600</v>
      </c>
      <c r="E12" s="176">
        <v>2090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60162560</v>
      </c>
      <c r="E13" s="180">
        <v>1233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58639078</v>
      </c>
      <c r="E14" s="180">
        <v>1146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72782190</v>
      </c>
      <c r="E15" s="180">
        <v>1190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122557965</v>
      </c>
      <c r="E16" s="180">
        <v>2207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442826393</v>
      </c>
      <c r="E18" s="186">
        <v>7866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14510944162</v>
      </c>
      <c r="E21" s="176">
        <v>307792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10307915023</v>
      </c>
      <c r="E22" s="180">
        <v>199928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8406957590</v>
      </c>
      <c r="E23" s="180">
        <v>196268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9932430136</v>
      </c>
      <c r="E24" s="180">
        <v>173761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7248211485</v>
      </c>
      <c r="E25" s="180">
        <v>139235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50406458396</v>
      </c>
      <c r="E27" s="186">
        <v>1016984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140424760</v>
      </c>
      <c r="E7" s="180">
        <v>2998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140424760</v>
      </c>
      <c r="E9" s="186">
        <v>2998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140424760</v>
      </c>
      <c r="E25" s="180">
        <v>2998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140424760</v>
      </c>
      <c r="E27" s="186">
        <v>2998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322739090</v>
      </c>
      <c r="E3" s="176">
        <v>1616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839789795</v>
      </c>
      <c r="E4" s="180">
        <v>3964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417500887</v>
      </c>
      <c r="E5" s="180">
        <v>1376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481464262</v>
      </c>
      <c r="E6" s="180">
        <v>2591</v>
      </c>
      <c r="F6" s="180">
        <v>0</v>
      </c>
      <c r="G6" s="181">
        <v>0</v>
      </c>
    </row>
    <row r="7" spans="2:13" x14ac:dyDescent="0.25">
      <c r="C7" s="178">
        <v>5</v>
      </c>
      <c r="D7" s="278">
        <v>168793421</v>
      </c>
      <c r="E7" s="180">
        <v>1160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2230287455</v>
      </c>
      <c r="E9" s="186">
        <v>10707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48127653</v>
      </c>
      <c r="E12" s="191">
        <v>73</v>
      </c>
      <c r="F12" s="191">
        <v>0</v>
      </c>
      <c r="G12" s="192">
        <v>0</v>
      </c>
    </row>
    <row r="13" spans="2:13" x14ac:dyDescent="0.25">
      <c r="C13" s="193">
        <v>2</v>
      </c>
      <c r="D13" s="278">
        <v>132160935</v>
      </c>
      <c r="E13" s="180">
        <v>54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19609348</v>
      </c>
      <c r="E14" s="180">
        <v>11</v>
      </c>
      <c r="F14" s="180">
        <v>0</v>
      </c>
      <c r="G14" s="181">
        <v>0</v>
      </c>
    </row>
    <row r="15" spans="2:13" x14ac:dyDescent="0.25">
      <c r="C15" s="193">
        <v>4</v>
      </c>
      <c r="D15" s="278">
        <v>118198907</v>
      </c>
      <c r="E15" s="180">
        <v>9</v>
      </c>
      <c r="F15" s="180">
        <v>0</v>
      </c>
      <c r="G15" s="181">
        <v>0</v>
      </c>
    </row>
    <row r="16" spans="2:13" x14ac:dyDescent="0.25">
      <c r="C16" s="193">
        <v>5</v>
      </c>
      <c r="D16" s="278">
        <v>7112332</v>
      </c>
      <c r="E16" s="180">
        <v>27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325209175</v>
      </c>
      <c r="E18" s="198">
        <v>174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370866743</v>
      </c>
      <c r="E21" s="282">
        <v>1689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971950730</v>
      </c>
      <c r="E22" s="283">
        <v>4018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437110235</v>
      </c>
      <c r="E23" s="283">
        <v>1387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599663169</v>
      </c>
      <c r="E24" s="283">
        <v>2600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175905753</v>
      </c>
      <c r="E25" s="283">
        <v>1187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2555496630</v>
      </c>
      <c r="E27" s="186">
        <v>10881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50300863011.870003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139510580</v>
      </c>
      <c r="H2" s="249">
        <f t="shared" si="0"/>
        <v>2448056228.5500002</v>
      </c>
      <c r="I2" s="250">
        <f>SUM(C2:H2)</f>
        <v>52888429820.420006</v>
      </c>
    </row>
    <row r="3" spans="1:10" x14ac:dyDescent="0.25">
      <c r="B3" t="s">
        <v>98</v>
      </c>
      <c r="C3" s="249">
        <f>C14+C24+C33+C42+C52</f>
        <v>108311160.13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914180</v>
      </c>
      <c r="H3" s="249">
        <f t="shared" si="1"/>
        <v>61958868.189999998</v>
      </c>
      <c r="I3" s="250">
        <f>SUM(C3:H3)</f>
        <v>171184208.31999999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45481533.259999998</v>
      </c>
      <c r="I4" s="250">
        <f>SUM(C4:H4)</f>
        <v>45481533.259999998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50409174172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140424760</v>
      </c>
      <c r="H6" s="250">
        <f t="shared" si="5"/>
        <v>2555496630.0000005</v>
      </c>
      <c r="I6" s="250">
        <f>SUM(I2:I5)</f>
        <v>53105095562.000008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14481337615</v>
      </c>
      <c r="D13" s="244">
        <v>0</v>
      </c>
      <c r="E13" s="244">
        <v>0</v>
      </c>
      <c r="F13" s="244">
        <v>0</v>
      </c>
      <c r="G13" s="244">
        <v>0</v>
      </c>
      <c r="H13" s="244">
        <v>351466052.77999997</v>
      </c>
      <c r="I13" s="246">
        <f>SUM(C13:H13)</f>
        <v>14832803667.780001</v>
      </c>
      <c r="J13" s="251" t="b">
        <f>SUM(C13:H13)=I13</f>
        <v>1</v>
      </c>
    </row>
    <row r="14" spans="1:10" x14ac:dyDescent="0.25">
      <c r="B14" s="89" t="s">
        <v>98</v>
      </c>
      <c r="C14" s="244">
        <v>29606547</v>
      </c>
      <c r="D14" s="244">
        <v>0</v>
      </c>
      <c r="E14" s="244">
        <v>0</v>
      </c>
      <c r="F14" s="244">
        <v>0</v>
      </c>
      <c r="G14" s="244">
        <v>0</v>
      </c>
      <c r="H14" s="244">
        <v>17250690.219999999</v>
      </c>
      <c r="I14" s="246">
        <f t="shared" ref="I14:I16" si="7">SUM(C14:H14)</f>
        <v>46857237.219999999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2150000</v>
      </c>
      <c r="I15" s="246">
        <f t="shared" si="7"/>
        <v>2150000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14510944162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370866743</v>
      </c>
      <c r="I17" s="247">
        <f t="shared" si="9"/>
        <v>14881810905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10286935425.870001</v>
      </c>
      <c r="D23" s="244">
        <v>0</v>
      </c>
      <c r="E23" s="244">
        <v>0</v>
      </c>
      <c r="F23" s="244">
        <v>0</v>
      </c>
      <c r="G23" s="244">
        <v>0</v>
      </c>
      <c r="H23" s="244">
        <v>924037603.38999999</v>
      </c>
      <c r="I23" s="246">
        <f>SUM(C23:H23)</f>
        <v>11210973029.26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22325147.129999999</v>
      </c>
      <c r="D24" s="244">
        <v>0</v>
      </c>
      <c r="E24" s="244">
        <v>0</v>
      </c>
      <c r="F24" s="244">
        <v>0</v>
      </c>
      <c r="G24" s="244">
        <v>0</v>
      </c>
      <c r="H24" s="244">
        <v>29950514.969999999</v>
      </c>
      <c r="I24" s="246">
        <f t="shared" ref="I24:I26" si="11">SUM(C24:H24)</f>
        <v>52275662.099999994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17962611.640000001</v>
      </c>
      <c r="I25" s="246">
        <f t="shared" si="11"/>
        <v>17962611.640000001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10309260573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971950730</v>
      </c>
      <c r="I27" s="247">
        <f>SUM(I23:I26)</f>
        <v>11281211303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8398576932</v>
      </c>
      <c r="D32" s="244">
        <v>0</v>
      </c>
      <c r="E32" s="244">
        <v>0</v>
      </c>
      <c r="F32" s="244">
        <v>0</v>
      </c>
      <c r="G32" s="244">
        <v>0</v>
      </c>
      <c r="H32" s="244">
        <v>431521625.29000002</v>
      </c>
      <c r="I32" s="246">
        <f>SUM(C32:H32)</f>
        <v>8830098557.2900009</v>
      </c>
      <c r="J32" s="251" t="b">
        <f>SUM(C32:H32)=I32</f>
        <v>1</v>
      </c>
    </row>
    <row r="33" spans="2:10" x14ac:dyDescent="0.25">
      <c r="B33" s="89" t="s">
        <v>98</v>
      </c>
      <c r="C33" s="244">
        <v>8845080</v>
      </c>
      <c r="D33" s="244">
        <v>0</v>
      </c>
      <c r="E33" s="244">
        <v>0</v>
      </c>
      <c r="F33" s="244">
        <v>0</v>
      </c>
      <c r="G33" s="244">
        <v>0</v>
      </c>
      <c r="H33" s="244">
        <v>4909289</v>
      </c>
      <c r="I33" s="246">
        <f>SUM(C33:H33)</f>
        <v>13754369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679320.71</v>
      </c>
      <c r="I34" s="246">
        <f t="shared" ref="I34:I35" si="14">SUM(C34:H34)</f>
        <v>679320.71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8407422012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437110235</v>
      </c>
      <c r="I36" s="247">
        <f>SUM(I32:I35)</f>
        <v>8844532247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9890363914</v>
      </c>
      <c r="D41" s="244">
        <v>0</v>
      </c>
      <c r="E41" s="244">
        <v>0</v>
      </c>
      <c r="F41" s="244">
        <v>0</v>
      </c>
      <c r="G41" s="244">
        <v>0</v>
      </c>
      <c r="H41" s="244">
        <v>567677879.85000002</v>
      </c>
      <c r="I41" s="246">
        <f t="shared" ref="I41:I44" si="16">SUM(C41:H41)</f>
        <v>10458041793.85</v>
      </c>
      <c r="J41" s="251" t="b">
        <f>SUM(C41:H41)=I41</f>
        <v>1</v>
      </c>
    </row>
    <row r="42" spans="2:10" x14ac:dyDescent="0.25">
      <c r="B42" s="89" t="s">
        <v>98</v>
      </c>
      <c r="C42" s="244">
        <v>42284806</v>
      </c>
      <c r="D42" s="244">
        <v>0</v>
      </c>
      <c r="E42" s="244">
        <v>0</v>
      </c>
      <c r="F42" s="244">
        <v>0</v>
      </c>
      <c r="G42" s="244">
        <v>0</v>
      </c>
      <c r="H42" s="244">
        <v>7416134</v>
      </c>
      <c r="I42" s="246">
        <f t="shared" si="16"/>
        <v>49700940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24569155.149999999</v>
      </c>
      <c r="I43" s="246">
        <f t="shared" si="16"/>
        <v>24569155.149999999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9932648720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599663169</v>
      </c>
      <c r="I45" s="247">
        <f>SUM(I41:I44)</f>
        <v>10532311889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7243649125</v>
      </c>
      <c r="D51" s="244">
        <v>0</v>
      </c>
      <c r="E51" s="244">
        <v>0</v>
      </c>
      <c r="F51" s="244">
        <v>0</v>
      </c>
      <c r="G51" s="244">
        <v>139510580</v>
      </c>
      <c r="H51" s="590">
        <v>173353067.24000001</v>
      </c>
      <c r="I51" s="246">
        <f t="shared" ref="I51:I54" si="19">SUM(C51:H51)</f>
        <v>7556512772.2399998</v>
      </c>
      <c r="J51" s="251" t="b">
        <f>SUM(C51:H51)=I51</f>
        <v>1</v>
      </c>
    </row>
    <row r="52" spans="2:10" x14ac:dyDescent="0.25">
      <c r="B52" s="89" t="s">
        <v>98</v>
      </c>
      <c r="C52" s="590">
        <v>5249580</v>
      </c>
      <c r="D52" s="244">
        <v>0</v>
      </c>
      <c r="E52" s="244">
        <v>0</v>
      </c>
      <c r="F52" s="244">
        <v>0</v>
      </c>
      <c r="G52" s="244">
        <v>914180</v>
      </c>
      <c r="H52" s="590">
        <v>2432240</v>
      </c>
      <c r="I52" s="246">
        <f>SUM(C52:H52)</f>
        <v>8596000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120445.75999999999</v>
      </c>
      <c r="I53" s="246">
        <f t="shared" si="19"/>
        <v>120445.75999999999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7248898705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140424760</v>
      </c>
      <c r="H55" s="244">
        <f>SUM(H51:H54)</f>
        <v>175905753</v>
      </c>
      <c r="I55" s="247">
        <f>SUM(I51:I54)</f>
        <v>7565229218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1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14510944162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10307915023</v>
      </c>
      <c r="D65" s="748" t="b">
        <f>C27=C65</f>
        <v>0</v>
      </c>
      <c r="E65" s="750">
        <f>C27-C65</f>
        <v>1345550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8406957590</v>
      </c>
      <c r="D67" s="745" t="b">
        <f>C36=C67</f>
        <v>0</v>
      </c>
      <c r="E67" s="747">
        <f>C36-C67</f>
        <v>464422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9932430136</v>
      </c>
      <c r="D70" s="748" t="b">
        <f>C45=C70</f>
        <v>0</v>
      </c>
      <c r="E70" s="750">
        <f>C45-C70</f>
        <v>218584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7248211485</v>
      </c>
      <c r="D72" s="745" t="b">
        <f>C55=C72</f>
        <v>0</v>
      </c>
      <c r="E72" s="747">
        <f>C55-C72</f>
        <v>687220</v>
      </c>
      <c r="F72" s="142"/>
    </row>
    <row r="73" spans="2:7" x14ac:dyDescent="0.25">
      <c r="B73" s="745" t="s">
        <v>327</v>
      </c>
      <c r="C73" s="746">
        <f>IF($C$59=1,'Recaudo ENERBIT'!D25,'Recaudo ENERBIT'!F25)</f>
        <v>140424760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370866743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971950730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437110235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599663169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175905753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9" t="s">
        <v>99</v>
      </c>
      <c r="D1" s="779"/>
      <c r="E1" s="779" t="s">
        <v>100</v>
      </c>
      <c r="F1" s="779"/>
      <c r="G1" s="779" t="s">
        <v>101</v>
      </c>
      <c r="H1" s="779"/>
      <c r="I1" s="779" t="s">
        <v>102</v>
      </c>
      <c r="J1" s="779"/>
      <c r="K1" s="779" t="s">
        <v>103</v>
      </c>
      <c r="L1" s="779"/>
      <c r="M1" s="779" t="s">
        <v>2</v>
      </c>
      <c r="N1" s="779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9" t="s">
        <v>99</v>
      </c>
      <c r="D9" s="779"/>
      <c r="E9" s="779" t="s">
        <v>100</v>
      </c>
      <c r="F9" s="779"/>
      <c r="G9" s="779" t="s">
        <v>101</v>
      </c>
      <c r="H9" s="779"/>
      <c r="I9" s="779" t="s">
        <v>102</v>
      </c>
      <c r="J9" s="779"/>
      <c r="K9" s="779" t="s">
        <v>103</v>
      </c>
      <c r="L9" s="779"/>
      <c r="M9" s="779" t="s">
        <v>2</v>
      </c>
      <c r="N9" s="779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9" t="s">
        <v>99</v>
      </c>
      <c r="D17" s="779"/>
      <c r="E17" s="779" t="s">
        <v>100</v>
      </c>
      <c r="F17" s="779"/>
      <c r="G17" s="779" t="s">
        <v>101</v>
      </c>
      <c r="H17" s="779"/>
      <c r="I17" s="779" t="s">
        <v>102</v>
      </c>
      <c r="J17" s="779"/>
      <c r="K17" s="779" t="s">
        <v>103</v>
      </c>
      <c r="L17" s="779"/>
      <c r="M17" s="779" t="s">
        <v>2</v>
      </c>
      <c r="N17" s="779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9" t="s">
        <v>99</v>
      </c>
      <c r="D25" s="779"/>
      <c r="E25" s="779" t="s">
        <v>100</v>
      </c>
      <c r="F25" s="779"/>
      <c r="G25" s="779" t="s">
        <v>101</v>
      </c>
      <c r="H25" s="779"/>
      <c r="I25" s="779" t="s">
        <v>102</v>
      </c>
      <c r="J25" s="779"/>
      <c r="K25" s="779" t="s">
        <v>103</v>
      </c>
      <c r="L25" s="779"/>
      <c r="M25" s="779" t="s">
        <v>2</v>
      </c>
      <c r="N25" s="779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9" t="s">
        <v>99</v>
      </c>
      <c r="D33" s="779"/>
      <c r="E33" s="779" t="s">
        <v>100</v>
      </c>
      <c r="F33" s="779"/>
      <c r="G33" s="779" t="s">
        <v>101</v>
      </c>
      <c r="H33" s="779"/>
      <c r="I33" s="779" t="s">
        <v>102</v>
      </c>
      <c r="J33" s="779"/>
      <c r="K33" s="779" t="s">
        <v>103</v>
      </c>
      <c r="L33" s="779"/>
      <c r="M33" s="779" t="s">
        <v>2</v>
      </c>
      <c r="N33" s="779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9" t="s">
        <v>99</v>
      </c>
      <c r="D41" s="779"/>
      <c r="E41" s="779" t="s">
        <v>100</v>
      </c>
      <c r="F41" s="779"/>
      <c r="G41" s="779" t="s">
        <v>101</v>
      </c>
      <c r="H41" s="779"/>
      <c r="I41" s="779" t="s">
        <v>102</v>
      </c>
      <c r="J41" s="779"/>
      <c r="K41" s="779" t="s">
        <v>103</v>
      </c>
      <c r="L41" s="779"/>
      <c r="M41" s="779" t="s">
        <v>2</v>
      </c>
      <c r="N41" s="779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46857237.219999999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29606547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17250690.219999999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52275662.099999994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22325147.129999999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29950514.969999999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13754369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8845080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4909289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49700940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42284806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7416134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8596000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5249580</v>
      </c>
      <c r="K7" s="19">
        <v>5</v>
      </c>
      <c r="L7" s="15">
        <f>'REPORTE RECAUDO x BANCO'!G52</f>
        <v>914180</v>
      </c>
      <c r="N7" s="19">
        <v>5</v>
      </c>
      <c r="O7" s="15">
        <f>'REPORTE RECAUDO x BANCO'!H52</f>
        <v>2432240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171184208.31999999</v>
      </c>
      <c r="E8" s="21"/>
      <c r="F8" s="47">
        <f>SUM(F3:F7)</f>
        <v>0</v>
      </c>
      <c r="H8" s="21"/>
      <c r="I8" s="47">
        <f>SUM(I3:I7)</f>
        <v>108311160.13</v>
      </c>
      <c r="K8" s="21"/>
      <c r="L8" s="47">
        <f>SUM(L3:L7)</f>
        <v>914180</v>
      </c>
      <c r="N8" s="21"/>
      <c r="O8" s="47">
        <f>SUM(O3:O7)</f>
        <v>61958868.189999998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-1328072948.0999999</v>
      </c>
      <c r="E3" s="592">
        <v>3482023776.2600002</v>
      </c>
      <c r="F3" s="593">
        <f>D3+E3</f>
        <v>2153950828.1600003</v>
      </c>
      <c r="G3" s="499"/>
      <c r="H3" s="612">
        <f>DetRetri2026101!J9</f>
        <v>0</v>
      </c>
      <c r="I3" s="276">
        <f>F3-H3</f>
        <v>2153950828.1600003</v>
      </c>
    </row>
    <row r="4" spans="1:17" x14ac:dyDescent="0.25">
      <c r="C4" s="124">
        <v>2</v>
      </c>
      <c r="D4" s="602">
        <v>-6051831964.4499998</v>
      </c>
      <c r="E4" s="602">
        <v>1834686437.54</v>
      </c>
      <c r="F4" s="593">
        <f>D4+E4</f>
        <v>-4217145526.9099998</v>
      </c>
      <c r="G4" s="499"/>
      <c r="H4" s="613">
        <f>DetRetri2026101!J10</f>
        <v>0</v>
      </c>
      <c r="I4" s="276">
        <f t="shared" ref="I4:I7" si="0">F4-H4</f>
        <v>-4217145526.9099998</v>
      </c>
    </row>
    <row r="5" spans="1:17" x14ac:dyDescent="0.25">
      <c r="C5" s="124">
        <v>3</v>
      </c>
      <c r="D5" s="602">
        <v>-3105003372.71</v>
      </c>
      <c r="E5" s="602">
        <v>1816197035.6199999</v>
      </c>
      <c r="F5" s="593">
        <f>D5+E5</f>
        <v>-1288806337.0900002</v>
      </c>
      <c r="G5" s="499"/>
      <c r="H5" s="613">
        <f>DetRetri2026101!J11</f>
        <v>0</v>
      </c>
      <c r="I5" s="276">
        <f t="shared" si="0"/>
        <v>-1288806337.0900002</v>
      </c>
    </row>
    <row r="6" spans="1:17" x14ac:dyDescent="0.25">
      <c r="C6" s="124">
        <v>4</v>
      </c>
      <c r="D6" s="602">
        <v>-369325603.57999998</v>
      </c>
      <c r="E6" s="602">
        <v>430857557.26999998</v>
      </c>
      <c r="F6" s="593">
        <f>D6+E6</f>
        <v>61531953.689999998</v>
      </c>
      <c r="G6" s="499"/>
      <c r="H6" s="613">
        <f>DetRetri2026101!J12</f>
        <v>0</v>
      </c>
      <c r="I6" s="276">
        <f t="shared" si="0"/>
        <v>61531953.689999998</v>
      </c>
    </row>
    <row r="7" spans="1:17" ht="13.8" thickBot="1" x14ac:dyDescent="0.3">
      <c r="C7" s="125">
        <v>5</v>
      </c>
      <c r="D7" s="603">
        <v>-2387606939.3099999</v>
      </c>
      <c r="E7" s="603">
        <v>1141133844.9000001</v>
      </c>
      <c r="F7" s="594">
        <f>D7+E7</f>
        <v>-1246473094.4099998</v>
      </c>
      <c r="G7" s="499"/>
      <c r="H7" s="614">
        <f>DetRetri2026101!J13</f>
        <v>0</v>
      </c>
      <c r="I7" s="276">
        <f t="shared" si="0"/>
        <v>-1246473094.4099998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-4536942176.5599995</v>
      </c>
      <c r="G9" s="499"/>
      <c r="H9" s="615">
        <f>SUM(H3:H7)</f>
        <v>0</v>
      </c>
      <c r="I9" s="276">
        <f>F9-H9</f>
        <v>-4536942176.5599995</v>
      </c>
    </row>
    <row r="10" spans="1:17" ht="13.8" thickBot="1" x14ac:dyDescent="0.3">
      <c r="D10" s="144"/>
      <c r="E10" s="144"/>
      <c r="F10" s="144"/>
      <c r="G10" s="500"/>
      <c r="H10" s="265" t="b">
        <f>H9=DetRetri2026101!J14</f>
        <v>1</v>
      </c>
    </row>
    <row r="11" spans="1:17" ht="13.8" thickBot="1" x14ac:dyDescent="0.3">
      <c r="D11" s="264">
        <f>SUM(D3:D7)</f>
        <v>-13241840828.149998</v>
      </c>
      <c r="E11" s="264">
        <f t="shared" ref="E11" si="1">SUM(E3:E7)</f>
        <v>8704898651.5900002</v>
      </c>
      <c r="F11" s="264">
        <f>SUM(D3:E7)</f>
        <v>-4536942176.5599995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2153950828.1600003</v>
      </c>
      <c r="F19" s="514" t="b">
        <f>E19=F3</f>
        <v>1</v>
      </c>
      <c r="G19" s="514" t="b">
        <f>E19=H3</f>
        <v>0</v>
      </c>
      <c r="H19" s="515">
        <f>E19-H3</f>
        <v>2153950828.1600003</v>
      </c>
      <c r="I19" s="137"/>
    </row>
    <row r="20" spans="4:9" x14ac:dyDescent="0.25">
      <c r="D20" s="511">
        <v>2</v>
      </c>
      <c r="E20" s="516">
        <f>'CONSOLIDADO_TOTAL RECAUDO'!J105</f>
        <v>-4217145526.9099998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-4217145526.9099998</v>
      </c>
      <c r="I20" s="137"/>
    </row>
    <row r="21" spans="4:9" x14ac:dyDescent="0.25">
      <c r="D21" s="511">
        <v>3</v>
      </c>
      <c r="E21" s="516">
        <f>'CONSOLIDADO_TOTAL RECAUDO'!J106</f>
        <v>-1288806337.0900002</v>
      </c>
      <c r="F21" s="505" t="b">
        <f t="shared" si="2"/>
        <v>1</v>
      </c>
      <c r="G21" s="505" t="b">
        <f t="shared" si="3"/>
        <v>0</v>
      </c>
      <c r="H21" s="261">
        <f t="shared" si="4"/>
        <v>-1288806337.0900002</v>
      </c>
    </row>
    <row r="22" spans="4:9" x14ac:dyDescent="0.25">
      <c r="D22" s="511">
        <v>4</v>
      </c>
      <c r="E22" s="516">
        <f>'CONSOLIDADO_TOTAL RECAUDO'!J107</f>
        <v>61531953.689999998</v>
      </c>
      <c r="F22" s="505" t="b">
        <f t="shared" si="2"/>
        <v>1</v>
      </c>
      <c r="G22" s="505" t="b">
        <f t="shared" si="3"/>
        <v>0</v>
      </c>
      <c r="H22" s="261">
        <f t="shared" si="4"/>
        <v>61531953.689999998</v>
      </c>
    </row>
    <row r="23" spans="4:9" ht="13.8" thickBot="1" x14ac:dyDescent="0.3">
      <c r="D23" s="512">
        <v>5</v>
      </c>
      <c r="E23" s="517">
        <f>'CONSOLIDADO_TOTAL RECAUDO'!J108</f>
        <v>-1246473094.4099998</v>
      </c>
      <c r="F23" s="518" t="b">
        <f t="shared" si="2"/>
        <v>1</v>
      </c>
      <c r="G23" s="518" t="b">
        <f t="shared" si="3"/>
        <v>0</v>
      </c>
      <c r="H23" s="262">
        <f t="shared" si="4"/>
        <v>-1246473094.4099998</v>
      </c>
    </row>
    <row r="24" spans="4:9" ht="13.8" thickBot="1" x14ac:dyDescent="0.3">
      <c r="E24" s="264">
        <f>SUM(E19:E23)</f>
        <v>-4536942176.5599995</v>
      </c>
      <c r="F24" s="506" t="b">
        <f>E24=F9</f>
        <v>1</v>
      </c>
      <c r="G24" s="507" t="b">
        <f>E24=H9</f>
        <v>0</v>
      </c>
      <c r="H24" s="263">
        <f>E24-H9</f>
        <v>-4536942176.5599995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tabSelected="1" zoomScale="90" zoomScaleNormal="90" workbookViewId="0">
      <pane ySplit="5" topLeftCell="A23" activePane="bottomLeft" state="frozen"/>
      <selection activeCell="D22" sqref="D22"/>
      <selection pane="bottomLeft" activeCell="D23" sqref="D23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-2015.07</v>
      </c>
      <c r="G6" s="90">
        <v>-122.1</v>
      </c>
      <c r="H6" s="90">
        <v>-51.87</v>
      </c>
      <c r="I6" s="90">
        <v>-22.65</v>
      </c>
      <c r="J6" s="90">
        <v>-369.44</v>
      </c>
      <c r="K6" s="90">
        <v>-23.88</v>
      </c>
      <c r="L6" s="90">
        <v>0</v>
      </c>
      <c r="M6" s="90">
        <v>-209.4</v>
      </c>
      <c r="N6" s="90">
        <v>-175.25</v>
      </c>
      <c r="O6" s="90">
        <v>-699.55</v>
      </c>
      <c r="P6" s="90">
        <v>-301.98</v>
      </c>
      <c r="Q6" s="90">
        <v>-38.950000000000003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-2015.07</v>
      </c>
      <c r="G7" s="90">
        <v>-122.1</v>
      </c>
      <c r="H7" s="90">
        <v>-51.87</v>
      </c>
      <c r="I7" s="90">
        <v>-22.65</v>
      </c>
      <c r="J7" s="90">
        <v>-369.44</v>
      </c>
      <c r="K7" s="90">
        <v>-23.88</v>
      </c>
      <c r="L7" s="90">
        <v>0</v>
      </c>
      <c r="M7" s="90">
        <v>-209.4</v>
      </c>
      <c r="N7" s="90">
        <v>-175.25</v>
      </c>
      <c r="O7" s="90">
        <v>-699.55</v>
      </c>
      <c r="P7" s="90">
        <v>-301.98</v>
      </c>
      <c r="Q7" s="90">
        <v>-38.950000000000003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-2015.07</v>
      </c>
      <c r="G8" s="230">
        <v>-122.1</v>
      </c>
      <c r="H8" s="230">
        <v>-51.87</v>
      </c>
      <c r="I8" s="230">
        <v>-22.65</v>
      </c>
      <c r="J8" s="230">
        <v>-369.44</v>
      </c>
      <c r="K8" s="230">
        <v>-23.88</v>
      </c>
      <c r="L8" s="230">
        <v>0</v>
      </c>
      <c r="M8" s="230">
        <v>-209.4</v>
      </c>
      <c r="N8" s="230">
        <v>-175.25</v>
      </c>
      <c r="O8" s="230">
        <v>-699.55</v>
      </c>
      <c r="P8" s="230">
        <v>-301.98</v>
      </c>
      <c r="Q8" s="230">
        <v>-38.950000000000003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-2015.07</v>
      </c>
      <c r="G16" s="90">
        <v>-122.1</v>
      </c>
      <c r="H16" s="90">
        <v>-51.87</v>
      </c>
      <c r="I16" s="90">
        <v>-22.65</v>
      </c>
      <c r="J16" s="90">
        <v>-369.44</v>
      </c>
      <c r="K16" s="90">
        <v>-23.88</v>
      </c>
      <c r="L16" s="90">
        <v>0</v>
      </c>
      <c r="M16" s="90">
        <v>-209.4</v>
      </c>
      <c r="N16" s="90">
        <v>-175.25</v>
      </c>
      <c r="O16" s="90">
        <v>-699.55</v>
      </c>
      <c r="P16" s="90">
        <v>-301.98</v>
      </c>
      <c r="Q16" s="90">
        <v>-38.950000000000003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-2015.07</v>
      </c>
      <c r="G17" s="458">
        <v>-122.1</v>
      </c>
      <c r="H17" s="458">
        <v>-51.87</v>
      </c>
      <c r="I17" s="458">
        <v>-22.65</v>
      </c>
      <c r="J17" s="458">
        <v>-369.44</v>
      </c>
      <c r="K17" s="458">
        <v>-23.88</v>
      </c>
      <c r="L17" s="458">
        <v>0</v>
      </c>
      <c r="M17" s="458">
        <v>-209.4</v>
      </c>
      <c r="N17" s="458">
        <v>-175.25</v>
      </c>
      <c r="O17" s="458">
        <v>-699.55</v>
      </c>
      <c r="P17" s="458">
        <v>-301.98</v>
      </c>
      <c r="Q17" s="458">
        <v>-38.950000000000003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543996.54</v>
      </c>
      <c r="G18" s="90">
        <v>23503.13</v>
      </c>
      <c r="H18" s="90">
        <v>13266.51</v>
      </c>
      <c r="I18" s="90">
        <v>6965.01</v>
      </c>
      <c r="J18" s="90">
        <v>119922.22</v>
      </c>
      <c r="K18" s="90">
        <v>5285.43</v>
      </c>
      <c r="L18" s="90">
        <v>0</v>
      </c>
      <c r="M18" s="90">
        <v>46363.01</v>
      </c>
      <c r="N18" s="90">
        <v>44625.42</v>
      </c>
      <c r="O18" s="90">
        <v>211250.82</v>
      </c>
      <c r="P18" s="90">
        <v>64191.45</v>
      </c>
      <c r="Q18" s="90">
        <v>8623.4599999999991</v>
      </c>
      <c r="R18" s="90">
        <v>0.08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2063.1</v>
      </c>
      <c r="G19" s="90">
        <v>86.78</v>
      </c>
      <c r="H19" s="90">
        <v>48.91</v>
      </c>
      <c r="I19" s="90">
        <v>25.71</v>
      </c>
      <c r="J19" s="90">
        <v>441.75</v>
      </c>
      <c r="K19" s="90">
        <v>20.420000000000002</v>
      </c>
      <c r="L19" s="90">
        <v>0</v>
      </c>
      <c r="M19" s="90">
        <v>179.53</v>
      </c>
      <c r="N19" s="90">
        <v>172.72</v>
      </c>
      <c r="O19" s="90">
        <v>816.93</v>
      </c>
      <c r="P19" s="90">
        <v>236.94</v>
      </c>
      <c r="Q19" s="90">
        <v>33.409999999999997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546059.64</v>
      </c>
      <c r="G20" s="90">
        <v>23589.91</v>
      </c>
      <c r="H20" s="90">
        <v>13315.42</v>
      </c>
      <c r="I20" s="90">
        <v>6990.72</v>
      </c>
      <c r="J20" s="90">
        <v>120363.97</v>
      </c>
      <c r="K20" s="90">
        <v>5305.85</v>
      </c>
      <c r="L20" s="90">
        <v>0</v>
      </c>
      <c r="M20" s="90">
        <v>46542.54</v>
      </c>
      <c r="N20" s="90">
        <v>44798.14</v>
      </c>
      <c r="O20" s="90">
        <v>212067.75</v>
      </c>
      <c r="P20" s="90">
        <v>64428.39</v>
      </c>
      <c r="Q20" s="90">
        <v>8656.8700000000008</v>
      </c>
      <c r="R20" s="90">
        <v>0.08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546059.64</v>
      </c>
      <c r="G21" s="230">
        <v>23589.91</v>
      </c>
      <c r="H21" s="230">
        <v>13315.42</v>
      </c>
      <c r="I21" s="230">
        <v>6990.72</v>
      </c>
      <c r="J21" s="230">
        <v>120363.97</v>
      </c>
      <c r="K21" s="230">
        <v>5305.85</v>
      </c>
      <c r="L21" s="230">
        <v>0</v>
      </c>
      <c r="M21" s="230">
        <v>46542.54</v>
      </c>
      <c r="N21" s="230">
        <v>44798.14</v>
      </c>
      <c r="O21" s="230">
        <v>212067.75</v>
      </c>
      <c r="P21" s="230">
        <v>64428.39</v>
      </c>
      <c r="Q21" s="230">
        <v>8656.8700000000008</v>
      </c>
      <c r="R21" s="230">
        <v>0.08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326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89870.51</v>
      </c>
      <c r="G32" s="90">
        <v>5626.37</v>
      </c>
      <c r="H32" s="90">
        <v>3138.96</v>
      </c>
      <c r="I32" s="90">
        <v>1667.33</v>
      </c>
      <c r="J32" s="90">
        <v>21034.12</v>
      </c>
      <c r="K32" s="90">
        <v>519.02</v>
      </c>
      <c r="L32" s="90">
        <v>0</v>
      </c>
      <c r="M32" s="90">
        <v>4552.92</v>
      </c>
      <c r="N32" s="90">
        <v>6472.07</v>
      </c>
      <c r="O32" s="90">
        <v>30640.84</v>
      </c>
      <c r="P32" s="90">
        <v>15366.98</v>
      </c>
      <c r="Q32" s="90">
        <v>846.86</v>
      </c>
      <c r="R32" s="90">
        <v>5.04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116.92</v>
      </c>
      <c r="G33" s="90">
        <v>7.31</v>
      </c>
      <c r="H33" s="90">
        <v>4.09</v>
      </c>
      <c r="I33" s="90">
        <v>2.17</v>
      </c>
      <c r="J33" s="90">
        <v>27.38</v>
      </c>
      <c r="K33" s="90">
        <v>0.67</v>
      </c>
      <c r="L33" s="90">
        <v>0</v>
      </c>
      <c r="M33" s="90">
        <v>5.91</v>
      </c>
      <c r="N33" s="90">
        <v>8.4700000000000006</v>
      </c>
      <c r="O33" s="90">
        <v>39.840000000000003</v>
      </c>
      <c r="P33" s="90">
        <v>19.98</v>
      </c>
      <c r="Q33" s="90">
        <v>1.1000000000000001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89987.43</v>
      </c>
      <c r="G34" s="90">
        <v>5633.68</v>
      </c>
      <c r="H34" s="90">
        <v>3143.05</v>
      </c>
      <c r="I34" s="90">
        <v>1669.5</v>
      </c>
      <c r="J34" s="90">
        <v>21061.5</v>
      </c>
      <c r="K34" s="90">
        <v>519.69000000000005</v>
      </c>
      <c r="L34" s="90">
        <v>0</v>
      </c>
      <c r="M34" s="90">
        <v>4558.83</v>
      </c>
      <c r="N34" s="90">
        <v>6480.54</v>
      </c>
      <c r="O34" s="90">
        <v>30680.68</v>
      </c>
      <c r="P34" s="90">
        <v>15386.96</v>
      </c>
      <c r="Q34" s="90">
        <v>847.96</v>
      </c>
      <c r="R34" s="90">
        <v>5.04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89987.43</v>
      </c>
      <c r="G35" s="93">
        <v>5633.68</v>
      </c>
      <c r="H35" s="93">
        <v>3143.05</v>
      </c>
      <c r="I35" s="93">
        <v>1669.5</v>
      </c>
      <c r="J35" s="93">
        <v>21061.5</v>
      </c>
      <c r="K35" s="93">
        <v>519.69000000000005</v>
      </c>
      <c r="L35" s="93">
        <v>0</v>
      </c>
      <c r="M35" s="93">
        <v>4558.83</v>
      </c>
      <c r="N35" s="93">
        <v>6480.54</v>
      </c>
      <c r="O35" s="93">
        <v>30680.68</v>
      </c>
      <c r="P35" s="93">
        <v>15386.96</v>
      </c>
      <c r="Q35" s="93">
        <v>847.96</v>
      </c>
      <c r="R35" s="93">
        <v>5.04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636047.06999999995</v>
      </c>
      <c r="G36" s="377">
        <v>29223.59</v>
      </c>
      <c r="H36" s="377">
        <v>16458.47</v>
      </c>
      <c r="I36" s="377">
        <v>8660.2199999999993</v>
      </c>
      <c r="J36" s="377">
        <v>141425.47</v>
      </c>
      <c r="K36" s="377">
        <v>5825.54</v>
      </c>
      <c r="L36" s="377">
        <v>0</v>
      </c>
      <c r="M36" s="377">
        <v>51101.37</v>
      </c>
      <c r="N36" s="377">
        <v>51278.68</v>
      </c>
      <c r="O36" s="377">
        <v>242748.43</v>
      </c>
      <c r="P36" s="377">
        <v>79815.350000000006</v>
      </c>
      <c r="Q36" s="377">
        <v>9504.83</v>
      </c>
      <c r="R36" s="377">
        <v>5.12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17732826240.02</v>
      </c>
      <c r="G37" s="90">
        <v>808116076.44000006</v>
      </c>
      <c r="H37" s="90">
        <v>450181450.91000003</v>
      </c>
      <c r="I37" s="90">
        <v>239639703.56</v>
      </c>
      <c r="J37" s="90">
        <v>4717289422.5</v>
      </c>
      <c r="K37" s="90">
        <v>157316530.83000001</v>
      </c>
      <c r="L37" s="90">
        <v>9937432.2400000002</v>
      </c>
      <c r="M37" s="90">
        <v>1381411069.8</v>
      </c>
      <c r="N37" s="90">
        <v>1302863540.5899999</v>
      </c>
      <c r="O37" s="90">
        <v>6210343115.9099998</v>
      </c>
      <c r="P37" s="90">
        <v>2198936535.1700001</v>
      </c>
      <c r="Q37" s="90">
        <v>256815605.87</v>
      </c>
      <c r="R37" s="90">
        <v>-24243.8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2121030.59</v>
      </c>
      <c r="G38" s="90">
        <v>114429.04</v>
      </c>
      <c r="H38" s="90">
        <v>59031.07</v>
      </c>
      <c r="I38" s="90">
        <v>30884.79</v>
      </c>
      <c r="J38" s="90">
        <v>467332.66</v>
      </c>
      <c r="K38" s="90">
        <v>20333.36</v>
      </c>
      <c r="L38" s="90">
        <v>491.86</v>
      </c>
      <c r="M38" s="90">
        <v>178752.52</v>
      </c>
      <c r="N38" s="90">
        <v>163509.31</v>
      </c>
      <c r="O38" s="90">
        <v>744605.58</v>
      </c>
      <c r="P38" s="90">
        <v>308414.05</v>
      </c>
      <c r="Q38" s="90">
        <v>33078.85</v>
      </c>
      <c r="R38" s="90">
        <v>18.46</v>
      </c>
      <c r="S38" s="90">
        <v>19.47</v>
      </c>
      <c r="T38" s="90">
        <v>236.47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-106.9</v>
      </c>
    </row>
    <row r="39" spans="2:26" ht="12.75" customHeight="1" x14ac:dyDescent="0.25">
      <c r="D39" t="s">
        <v>156</v>
      </c>
      <c r="E39" s="89" t="s">
        <v>70</v>
      </c>
      <c r="F39" s="89">
        <v>17734947270.610001</v>
      </c>
      <c r="G39" s="90">
        <v>808230505.48000002</v>
      </c>
      <c r="H39" s="90">
        <v>450240481.98000002</v>
      </c>
      <c r="I39" s="90">
        <v>239670588.34999999</v>
      </c>
      <c r="J39" s="90">
        <v>4717756755.1599998</v>
      </c>
      <c r="K39" s="90">
        <v>157336864.19</v>
      </c>
      <c r="L39" s="90">
        <v>9937924.0999999996</v>
      </c>
      <c r="M39" s="90">
        <v>1381589822.3199999</v>
      </c>
      <c r="N39" s="90">
        <v>1303027049.9000001</v>
      </c>
      <c r="O39" s="90">
        <v>6211087721.4899998</v>
      </c>
      <c r="P39" s="90">
        <v>2199244949.2199998</v>
      </c>
      <c r="Q39" s="90">
        <v>256848684.72</v>
      </c>
      <c r="R39" s="90">
        <v>-24225.34</v>
      </c>
      <c r="S39" s="90">
        <v>19.47</v>
      </c>
      <c r="T39" s="90">
        <v>236.47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-106.9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17734947270.610001</v>
      </c>
      <c r="G40" s="230">
        <v>808230505.48000002</v>
      </c>
      <c r="H40" s="230">
        <v>450240481.98000002</v>
      </c>
      <c r="I40" s="230">
        <v>239670588.34999999</v>
      </c>
      <c r="J40" s="230">
        <v>4717756755.1599998</v>
      </c>
      <c r="K40" s="230">
        <v>157336864.19</v>
      </c>
      <c r="L40" s="230">
        <v>9937924.0999999996</v>
      </c>
      <c r="M40" s="230">
        <v>1381589822.3199999</v>
      </c>
      <c r="N40" s="230">
        <v>1303027049.9000001</v>
      </c>
      <c r="O40" s="230">
        <v>6211087721.4899998</v>
      </c>
      <c r="P40" s="230">
        <v>2199244949.2199998</v>
      </c>
      <c r="Q40" s="230">
        <v>256848684.72</v>
      </c>
      <c r="R40" s="230">
        <v>-24225.34</v>
      </c>
      <c r="S40" s="230">
        <v>19.47</v>
      </c>
      <c r="T40" s="230">
        <v>236.47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-106.9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326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27812533.989999998</v>
      </c>
      <c r="G45" s="90">
        <v>3127682.62</v>
      </c>
      <c r="H45" s="90">
        <v>1787750.62</v>
      </c>
      <c r="I45" s="90">
        <v>994482.9</v>
      </c>
      <c r="J45" s="90">
        <v>3900132.39</v>
      </c>
      <c r="K45" s="90">
        <v>128394.64</v>
      </c>
      <c r="L45" s="90">
        <v>65261.43</v>
      </c>
      <c r="M45" s="90">
        <v>1108739.27</v>
      </c>
      <c r="N45" s="90">
        <v>1377785.37</v>
      </c>
      <c r="O45" s="90">
        <v>6585392.25</v>
      </c>
      <c r="P45" s="90">
        <v>8526230.0600000005</v>
      </c>
      <c r="Q45" s="90">
        <v>210777.87</v>
      </c>
      <c r="R45" s="90">
        <v>-95.43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52627</v>
      </c>
      <c r="G46" s="90">
        <v>3905.72</v>
      </c>
      <c r="H46" s="90">
        <v>2108.89</v>
      </c>
      <c r="I46" s="90">
        <v>1129.02</v>
      </c>
      <c r="J46" s="90">
        <v>9194.6</v>
      </c>
      <c r="K46" s="90">
        <v>397.89</v>
      </c>
      <c r="L46" s="90">
        <v>0</v>
      </c>
      <c r="M46" s="90">
        <v>3497.21</v>
      </c>
      <c r="N46" s="90">
        <v>3710.89</v>
      </c>
      <c r="O46" s="90">
        <v>17365.580000000002</v>
      </c>
      <c r="P46" s="90">
        <v>10667.02</v>
      </c>
      <c r="Q46" s="90">
        <v>649.71</v>
      </c>
      <c r="R46" s="90">
        <v>0.42</v>
      </c>
      <c r="S46" s="90">
        <v>-0.01</v>
      </c>
      <c r="T46" s="90">
        <v>0.06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27865160.989999998</v>
      </c>
      <c r="G47" s="90">
        <v>3131588.34</v>
      </c>
      <c r="H47" s="90">
        <v>1789859.51</v>
      </c>
      <c r="I47" s="90">
        <v>995611.92</v>
      </c>
      <c r="J47" s="90">
        <v>3909326.99</v>
      </c>
      <c r="K47" s="90">
        <v>128792.53</v>
      </c>
      <c r="L47" s="90">
        <v>65261.43</v>
      </c>
      <c r="M47" s="90">
        <v>1112236.48</v>
      </c>
      <c r="N47" s="90">
        <v>1381496.26</v>
      </c>
      <c r="O47" s="90">
        <v>6602757.8300000001</v>
      </c>
      <c r="P47" s="90">
        <v>8536897.0800000001</v>
      </c>
      <c r="Q47" s="90">
        <v>211427.58</v>
      </c>
      <c r="R47" s="90">
        <v>-95.01</v>
      </c>
      <c r="S47" s="90">
        <v>-0.01</v>
      </c>
      <c r="T47" s="90">
        <v>0.06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38733807.130000003</v>
      </c>
      <c r="G48" s="90">
        <v>3039800.25</v>
      </c>
      <c r="H48" s="90">
        <v>1655044.15</v>
      </c>
      <c r="I48" s="90">
        <v>884056.68</v>
      </c>
      <c r="J48" s="90">
        <v>6291646.5300000003</v>
      </c>
      <c r="K48" s="90">
        <v>298351.07</v>
      </c>
      <c r="L48" s="90">
        <v>43507.62</v>
      </c>
      <c r="M48" s="90">
        <v>2623588.83</v>
      </c>
      <c r="N48" s="90">
        <v>2661210.63</v>
      </c>
      <c r="O48" s="90">
        <v>12473941.439999999</v>
      </c>
      <c r="P48" s="90">
        <v>8276273.9800000004</v>
      </c>
      <c r="Q48" s="90">
        <v>486783.55</v>
      </c>
      <c r="R48" s="90">
        <v>-397.6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103423.02</v>
      </c>
      <c r="G49" s="90">
        <v>5231.83</v>
      </c>
      <c r="H49" s="90">
        <v>2620.7800000000002</v>
      </c>
      <c r="I49" s="90">
        <v>1432.53</v>
      </c>
      <c r="J49" s="90">
        <v>22089.08</v>
      </c>
      <c r="K49" s="90">
        <v>1012.15</v>
      </c>
      <c r="L49" s="90">
        <v>0</v>
      </c>
      <c r="M49" s="90">
        <v>8840.42</v>
      </c>
      <c r="N49" s="90">
        <v>8284.39</v>
      </c>
      <c r="O49" s="90">
        <v>37991.279999999999</v>
      </c>
      <c r="P49" s="90">
        <v>14270.12</v>
      </c>
      <c r="Q49" s="90">
        <v>1651.75</v>
      </c>
      <c r="R49" s="90">
        <v>-1.34</v>
      </c>
      <c r="S49" s="90">
        <v>0</v>
      </c>
      <c r="T49" s="90">
        <v>0.03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38837230.149999999</v>
      </c>
      <c r="G50" s="90">
        <v>3045032.08</v>
      </c>
      <c r="H50" s="90">
        <v>1657664.93</v>
      </c>
      <c r="I50" s="90">
        <v>885489.21</v>
      </c>
      <c r="J50" s="90">
        <v>6313735.6100000003</v>
      </c>
      <c r="K50" s="90">
        <v>299363.21999999997</v>
      </c>
      <c r="L50" s="90">
        <v>43507.62</v>
      </c>
      <c r="M50" s="90">
        <v>2632429.25</v>
      </c>
      <c r="N50" s="90">
        <v>2669495.02</v>
      </c>
      <c r="O50" s="90">
        <v>12511932.720000001</v>
      </c>
      <c r="P50" s="90">
        <v>8290544.0999999996</v>
      </c>
      <c r="Q50" s="90">
        <v>488435.3</v>
      </c>
      <c r="R50" s="90">
        <v>-398.94</v>
      </c>
      <c r="S50" s="90">
        <v>0</v>
      </c>
      <c r="T50" s="90">
        <v>0.03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222891664.53999999</v>
      </c>
      <c r="G51" s="90">
        <v>27345006.719999999</v>
      </c>
      <c r="H51" s="90">
        <v>15201201.24</v>
      </c>
      <c r="I51" s="90">
        <v>8089797.8899999997</v>
      </c>
      <c r="J51" s="90">
        <v>28735245.640000001</v>
      </c>
      <c r="K51" s="90">
        <v>729515.15</v>
      </c>
      <c r="L51" s="90">
        <v>9878361.2400000002</v>
      </c>
      <c r="M51" s="90">
        <v>6370953.3399999999</v>
      </c>
      <c r="N51" s="90">
        <v>8839869.5800000001</v>
      </c>
      <c r="O51" s="90">
        <v>41844064.079999998</v>
      </c>
      <c r="P51" s="90">
        <v>74669973.010000005</v>
      </c>
      <c r="Q51" s="90">
        <v>1190722.6200000001</v>
      </c>
      <c r="R51" s="90">
        <v>-3045.97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650065.1</v>
      </c>
      <c r="G52" s="90">
        <v>54025.13</v>
      </c>
      <c r="H52" s="90">
        <v>28815.72</v>
      </c>
      <c r="I52" s="90">
        <v>15452.4</v>
      </c>
      <c r="J52" s="90">
        <v>131416.37</v>
      </c>
      <c r="K52" s="90">
        <v>3462.06</v>
      </c>
      <c r="L52" s="90">
        <v>6638.64</v>
      </c>
      <c r="M52" s="90">
        <v>30369.24</v>
      </c>
      <c r="N52" s="90">
        <v>40871.660000000003</v>
      </c>
      <c r="O52" s="90">
        <v>186410.2</v>
      </c>
      <c r="P52" s="90">
        <v>147007.48000000001</v>
      </c>
      <c r="Q52" s="90">
        <v>5632.59</v>
      </c>
      <c r="R52" s="90">
        <v>-36.4</v>
      </c>
      <c r="S52" s="90">
        <v>0.01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223541729.63999999</v>
      </c>
      <c r="G53" s="90">
        <v>27399031.850000001</v>
      </c>
      <c r="H53" s="90">
        <v>15230016.960000001</v>
      </c>
      <c r="I53" s="90">
        <v>8105250.29</v>
      </c>
      <c r="J53" s="90">
        <v>28866662.010000002</v>
      </c>
      <c r="K53" s="90">
        <v>732977.21</v>
      </c>
      <c r="L53" s="90">
        <v>9884999.8800000008</v>
      </c>
      <c r="M53" s="90">
        <v>6401322.5800000001</v>
      </c>
      <c r="N53" s="90">
        <v>8880741.2400000002</v>
      </c>
      <c r="O53" s="90">
        <v>42030474.280000001</v>
      </c>
      <c r="P53" s="90">
        <v>74816980.489999995</v>
      </c>
      <c r="Q53" s="90">
        <v>1196355.21</v>
      </c>
      <c r="R53" s="90">
        <v>-3082.37</v>
      </c>
      <c r="S53" s="90">
        <v>0.01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290244120.77999997</v>
      </c>
      <c r="G54" s="93">
        <v>33575652.270000003</v>
      </c>
      <c r="H54" s="93">
        <v>18677541.399999999</v>
      </c>
      <c r="I54" s="93">
        <v>9986351.4199999999</v>
      </c>
      <c r="J54" s="93">
        <v>39089724.609999999</v>
      </c>
      <c r="K54" s="93">
        <v>1161132.96</v>
      </c>
      <c r="L54" s="93">
        <v>9993768.9299999997</v>
      </c>
      <c r="M54" s="93">
        <v>10145988.310000001</v>
      </c>
      <c r="N54" s="93">
        <v>12931732.52</v>
      </c>
      <c r="O54" s="93">
        <v>61145164.829999998</v>
      </c>
      <c r="P54" s="93">
        <v>91644421.670000002</v>
      </c>
      <c r="Q54" s="93">
        <v>1896218.09</v>
      </c>
      <c r="R54" s="93">
        <v>-3576.32</v>
      </c>
      <c r="S54" s="93">
        <v>0</v>
      </c>
      <c r="T54" s="93">
        <v>0.09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18025191391.389999</v>
      </c>
      <c r="G55" s="100">
        <v>841806157.75</v>
      </c>
      <c r="H55" s="100">
        <v>468918023.38</v>
      </c>
      <c r="I55" s="100">
        <v>249656939.77000001</v>
      </c>
      <c r="J55" s="100">
        <v>4756846479.7700005</v>
      </c>
      <c r="K55" s="100">
        <v>158497997.15000001</v>
      </c>
      <c r="L55" s="100">
        <v>19931693.030000001</v>
      </c>
      <c r="M55" s="100">
        <v>1391735810.6300001</v>
      </c>
      <c r="N55" s="100">
        <v>1315958782.4200001</v>
      </c>
      <c r="O55" s="100">
        <v>6272232886.3199997</v>
      </c>
      <c r="P55" s="100">
        <v>2290889370.8899999</v>
      </c>
      <c r="Q55" s="100">
        <v>258744902.81</v>
      </c>
      <c r="R55" s="100">
        <v>-27801.66</v>
      </c>
      <c r="S55" s="100">
        <v>19.47</v>
      </c>
      <c r="T55" s="100">
        <v>236.56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-106.9</v>
      </c>
    </row>
    <row r="56" spans="1:26" ht="12.6" customHeight="1" x14ac:dyDescent="0.25">
      <c r="A56" t="s">
        <v>78</v>
      </c>
      <c r="B56" t="s">
        <v>70</v>
      </c>
      <c r="E56" s="89"/>
      <c r="F56" s="89">
        <v>18025827438.459999</v>
      </c>
      <c r="G56" s="90">
        <v>841835381.34000003</v>
      </c>
      <c r="H56" s="90">
        <v>468934481.85000002</v>
      </c>
      <c r="I56" s="90">
        <v>249665599.99000001</v>
      </c>
      <c r="J56" s="90">
        <v>4756987905.2399998</v>
      </c>
      <c r="K56" s="90">
        <v>158503822.69</v>
      </c>
      <c r="L56" s="90">
        <v>19931693.030000001</v>
      </c>
      <c r="M56" s="90">
        <v>1391786912</v>
      </c>
      <c r="N56" s="90">
        <v>1316010061.0999999</v>
      </c>
      <c r="O56" s="90">
        <v>6272475634.75</v>
      </c>
      <c r="P56" s="90">
        <v>2290969186.2399998</v>
      </c>
      <c r="Q56" s="90">
        <v>258754407.63999999</v>
      </c>
      <c r="R56" s="90">
        <v>-27796.54</v>
      </c>
      <c r="S56" s="90">
        <v>19.47</v>
      </c>
      <c r="T56" s="90">
        <v>236.56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-106.9</v>
      </c>
    </row>
    <row r="57" spans="1:26" x14ac:dyDescent="0.25">
      <c r="E57" t="s">
        <v>73</v>
      </c>
      <c r="F57" s="90">
        <v>-32099.64</v>
      </c>
      <c r="G57" s="90">
        <v>-1182.8</v>
      </c>
      <c r="H57" s="90">
        <v>-661.02</v>
      </c>
      <c r="I57" s="90">
        <v>-350.52</v>
      </c>
      <c r="J57" s="90">
        <v>-6245.62</v>
      </c>
      <c r="K57" s="90">
        <v>-344.7</v>
      </c>
      <c r="L57" s="90">
        <v>0</v>
      </c>
      <c r="M57" s="90">
        <v>-3023.82</v>
      </c>
      <c r="N57" s="90">
        <v>-2892.68</v>
      </c>
      <c r="O57" s="90">
        <v>-13605.48</v>
      </c>
      <c r="P57" s="90">
        <v>-3230.56</v>
      </c>
      <c r="Q57" s="90">
        <v>-562.44000000000005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-32099.64</v>
      </c>
      <c r="G58" s="90">
        <v>-1182.8</v>
      </c>
      <c r="H58" s="90">
        <v>-661.02</v>
      </c>
      <c r="I58" s="90">
        <v>-350.52</v>
      </c>
      <c r="J58" s="90">
        <v>-6245.62</v>
      </c>
      <c r="K58" s="90">
        <v>-344.7</v>
      </c>
      <c r="L58" s="90">
        <v>0</v>
      </c>
      <c r="M58" s="90">
        <v>-3023.82</v>
      </c>
      <c r="N58" s="90">
        <v>-2892.68</v>
      </c>
      <c r="O58" s="90">
        <v>-13605.48</v>
      </c>
      <c r="P58" s="90">
        <v>-3230.56</v>
      </c>
      <c r="Q58" s="90">
        <v>-562.44000000000005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-32099.64</v>
      </c>
      <c r="G59" s="230">
        <v>-1182.8</v>
      </c>
      <c r="H59" s="230">
        <v>-661.02</v>
      </c>
      <c r="I59" s="230">
        <v>-350.52</v>
      </c>
      <c r="J59" s="230">
        <v>-6245.62</v>
      </c>
      <c r="K59" s="230">
        <v>-344.7</v>
      </c>
      <c r="L59" s="230">
        <v>0</v>
      </c>
      <c r="M59" s="230">
        <v>-3023.82</v>
      </c>
      <c r="N59" s="230">
        <v>-2892.68</v>
      </c>
      <c r="O59" s="230">
        <v>-13605.48</v>
      </c>
      <c r="P59" s="230">
        <v>-3230.56</v>
      </c>
      <c r="Q59" s="230">
        <v>-562.44000000000005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326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44922.57</v>
      </c>
      <c r="G67" s="90">
        <v>2812.56</v>
      </c>
      <c r="H67" s="90">
        <v>1569.13</v>
      </c>
      <c r="I67" s="90">
        <v>833.5</v>
      </c>
      <c r="J67" s="90">
        <v>10514.48</v>
      </c>
      <c r="K67" s="90">
        <v>259.45999999999998</v>
      </c>
      <c r="L67" s="90">
        <v>0</v>
      </c>
      <c r="M67" s="90">
        <v>2275.96</v>
      </c>
      <c r="N67" s="90">
        <v>3235.33</v>
      </c>
      <c r="O67" s="90">
        <v>15317.02</v>
      </c>
      <c r="P67" s="90">
        <v>7681.79</v>
      </c>
      <c r="Q67" s="90">
        <v>423.34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44922.57</v>
      </c>
      <c r="G68" s="90">
        <v>2812.56</v>
      </c>
      <c r="H68" s="90">
        <v>1569.13</v>
      </c>
      <c r="I68" s="90">
        <v>833.5</v>
      </c>
      <c r="J68" s="90">
        <v>10514.48</v>
      </c>
      <c r="K68" s="90">
        <v>259.45999999999998</v>
      </c>
      <c r="L68" s="90">
        <v>0</v>
      </c>
      <c r="M68" s="90">
        <v>2275.96</v>
      </c>
      <c r="N68" s="90">
        <v>3235.33</v>
      </c>
      <c r="O68" s="90">
        <v>15317.02</v>
      </c>
      <c r="P68" s="90">
        <v>7681.79</v>
      </c>
      <c r="Q68" s="90">
        <v>423.34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44922.57</v>
      </c>
      <c r="G69" s="93">
        <v>2812.56</v>
      </c>
      <c r="H69" s="93">
        <v>1569.13</v>
      </c>
      <c r="I69" s="93">
        <v>833.5</v>
      </c>
      <c r="J69" s="93">
        <v>10514.48</v>
      </c>
      <c r="K69" s="93">
        <v>259.45999999999998</v>
      </c>
      <c r="L69" s="93">
        <v>0</v>
      </c>
      <c r="M69" s="93">
        <v>2275.96</v>
      </c>
      <c r="N69" s="93">
        <v>3235.33</v>
      </c>
      <c r="O69" s="93">
        <v>15317.02</v>
      </c>
      <c r="P69" s="93">
        <v>7681.79</v>
      </c>
      <c r="Q69" s="93">
        <v>423.34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12822.93</v>
      </c>
      <c r="G70" s="377">
        <v>1629.76</v>
      </c>
      <c r="H70" s="377">
        <v>908.11</v>
      </c>
      <c r="I70" s="377">
        <v>482.98</v>
      </c>
      <c r="J70" s="377">
        <v>4268.8599999999997</v>
      </c>
      <c r="K70" s="377">
        <v>-85.24</v>
      </c>
      <c r="L70" s="377">
        <v>0</v>
      </c>
      <c r="M70" s="377">
        <v>-747.86</v>
      </c>
      <c r="N70" s="377">
        <v>342.65</v>
      </c>
      <c r="O70" s="377">
        <v>1711.54</v>
      </c>
      <c r="P70" s="377">
        <v>4451.2299999999996</v>
      </c>
      <c r="Q70" s="377">
        <v>-139.1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-3253607640.54</v>
      </c>
      <c r="G71" s="90">
        <v>-91345711.129999995</v>
      </c>
      <c r="H71" s="90">
        <v>-50905404.25</v>
      </c>
      <c r="I71" s="90">
        <v>-27078428.510000002</v>
      </c>
      <c r="J71" s="90">
        <v>-964341301.80999994</v>
      </c>
      <c r="K71" s="90">
        <v>-31681532.859999999</v>
      </c>
      <c r="L71" s="90">
        <v>0</v>
      </c>
      <c r="M71" s="90">
        <v>-278071694.94999999</v>
      </c>
      <c r="N71" s="90">
        <v>-261997794.74000001</v>
      </c>
      <c r="O71" s="90">
        <v>-1250263678.55</v>
      </c>
      <c r="P71" s="90">
        <v>-246232158.99000001</v>
      </c>
      <c r="Q71" s="90">
        <v>-51689934.75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-3253607640.54</v>
      </c>
      <c r="G72" s="90">
        <v>-91345711.129999995</v>
      </c>
      <c r="H72" s="90">
        <v>-50905404.25</v>
      </c>
      <c r="I72" s="90">
        <v>-27078428.510000002</v>
      </c>
      <c r="J72" s="90">
        <v>-964341301.80999994</v>
      </c>
      <c r="K72" s="90">
        <v>-31681532.859999999</v>
      </c>
      <c r="L72" s="90">
        <v>0</v>
      </c>
      <c r="M72" s="90">
        <v>-278071694.94999999</v>
      </c>
      <c r="N72" s="90">
        <v>-261997794.74000001</v>
      </c>
      <c r="O72" s="90">
        <v>-1250263678.55</v>
      </c>
      <c r="P72" s="90">
        <v>-246232158.99000001</v>
      </c>
      <c r="Q72" s="90">
        <v>-51689934.75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-3253607640.54</v>
      </c>
      <c r="G73" s="230">
        <v>-91345711.129999995</v>
      </c>
      <c r="H73" s="230">
        <v>-50905404.25</v>
      </c>
      <c r="I73" s="230">
        <v>-27078428.510000002</v>
      </c>
      <c r="J73" s="230">
        <v>-964341301.80999994</v>
      </c>
      <c r="K73" s="230">
        <v>-31681532.859999999</v>
      </c>
      <c r="L73" s="230">
        <v>0</v>
      </c>
      <c r="M73" s="230">
        <v>-278071694.94999999</v>
      </c>
      <c r="N73" s="230">
        <v>-261997794.74000001</v>
      </c>
      <c r="O73" s="230">
        <v>-1250263678.55</v>
      </c>
      <c r="P73" s="230">
        <v>-246232158.99000001</v>
      </c>
      <c r="Q73" s="230">
        <v>-51689934.75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326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13423599.01</v>
      </c>
      <c r="G77" s="90">
        <v>2490552.75</v>
      </c>
      <c r="H77" s="90">
        <v>1387405.41</v>
      </c>
      <c r="I77" s="90">
        <v>737634.79</v>
      </c>
      <c r="J77" s="90">
        <v>631013.34</v>
      </c>
      <c r="K77" s="90">
        <v>16984.560000000001</v>
      </c>
      <c r="L77" s="90">
        <v>0</v>
      </c>
      <c r="M77" s="90">
        <v>150899.5</v>
      </c>
      <c r="N77" s="90">
        <v>207661.14</v>
      </c>
      <c r="O77" s="90">
        <v>966790.95</v>
      </c>
      <c r="P77" s="90">
        <v>6806944.5599999996</v>
      </c>
      <c r="Q77" s="90">
        <v>27712.01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13423599.01</v>
      </c>
      <c r="G78" s="90">
        <v>2490552.75</v>
      </c>
      <c r="H78" s="90">
        <v>1387405.41</v>
      </c>
      <c r="I78" s="90">
        <v>737634.79</v>
      </c>
      <c r="J78" s="90">
        <v>631013.34</v>
      </c>
      <c r="K78" s="90">
        <v>16984.560000000001</v>
      </c>
      <c r="L78" s="90">
        <v>0</v>
      </c>
      <c r="M78" s="90">
        <v>150899.5</v>
      </c>
      <c r="N78" s="90">
        <v>207661.14</v>
      </c>
      <c r="O78" s="90">
        <v>966790.95</v>
      </c>
      <c r="P78" s="90">
        <v>6806944.5599999996</v>
      </c>
      <c r="Q78" s="90">
        <v>27712.01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-325150.37</v>
      </c>
      <c r="G79" s="90">
        <v>488590.2</v>
      </c>
      <c r="H79" s="90">
        <v>270618.03999999998</v>
      </c>
      <c r="I79" s="90">
        <v>137804.15</v>
      </c>
      <c r="J79" s="90">
        <v>-905950.9</v>
      </c>
      <c r="K79" s="90">
        <v>-31107.48</v>
      </c>
      <c r="L79" s="90">
        <v>0</v>
      </c>
      <c r="M79" s="90">
        <v>-273355.90999999997</v>
      </c>
      <c r="N79" s="90">
        <v>-212055.38</v>
      </c>
      <c r="O79" s="90">
        <v>-1075613.98</v>
      </c>
      <c r="P79" s="90">
        <v>1326676.22</v>
      </c>
      <c r="Q79" s="90">
        <v>-50755.33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-325150.37</v>
      </c>
      <c r="G80" s="90">
        <v>488590.2</v>
      </c>
      <c r="H80" s="90">
        <v>270618.03999999998</v>
      </c>
      <c r="I80" s="90">
        <v>137804.15</v>
      </c>
      <c r="J80" s="90">
        <v>-905950.9</v>
      </c>
      <c r="K80" s="90">
        <v>-31107.48</v>
      </c>
      <c r="L80" s="90">
        <v>0</v>
      </c>
      <c r="M80" s="90">
        <v>-273355.90999999997</v>
      </c>
      <c r="N80" s="90">
        <v>-212055.38</v>
      </c>
      <c r="O80" s="90">
        <v>-1075613.98</v>
      </c>
      <c r="P80" s="90">
        <v>1326676.22</v>
      </c>
      <c r="Q80" s="90">
        <v>-50755.33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50273483.359999999</v>
      </c>
      <c r="G81" s="90">
        <v>8795896.6199999992</v>
      </c>
      <c r="H81" s="90">
        <v>4922970.59</v>
      </c>
      <c r="I81" s="90">
        <v>2633606.2200000002</v>
      </c>
      <c r="J81" s="90">
        <v>2971274.25</v>
      </c>
      <c r="K81" s="90">
        <v>89779.5</v>
      </c>
      <c r="L81" s="90">
        <v>0</v>
      </c>
      <c r="M81" s="90">
        <v>777804.41</v>
      </c>
      <c r="N81" s="90">
        <v>1027778.27</v>
      </c>
      <c r="O81" s="90">
        <v>4888775.6500000004</v>
      </c>
      <c r="P81" s="90">
        <v>24019519.449999999</v>
      </c>
      <c r="Q81" s="90">
        <v>146078.39999999999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50273483.359999999</v>
      </c>
      <c r="G82" s="90">
        <v>8795896.6199999992</v>
      </c>
      <c r="H82" s="90">
        <v>4922970.59</v>
      </c>
      <c r="I82" s="90">
        <v>2633606.2200000002</v>
      </c>
      <c r="J82" s="90">
        <v>2971274.25</v>
      </c>
      <c r="K82" s="90">
        <v>89779.5</v>
      </c>
      <c r="L82" s="90">
        <v>0</v>
      </c>
      <c r="M82" s="90">
        <v>777804.41</v>
      </c>
      <c r="N82" s="90">
        <v>1027778.27</v>
      </c>
      <c r="O82" s="90">
        <v>4888775.6500000004</v>
      </c>
      <c r="P82" s="90">
        <v>24019519.449999999</v>
      </c>
      <c r="Q82" s="90">
        <v>146078.39999999999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63371932</v>
      </c>
      <c r="G83" s="93">
        <v>11775039.57</v>
      </c>
      <c r="H83" s="93">
        <v>6580994.04</v>
      </c>
      <c r="I83" s="93">
        <v>3509045.16</v>
      </c>
      <c r="J83" s="93">
        <v>2696336.69</v>
      </c>
      <c r="K83" s="93">
        <v>75656.58</v>
      </c>
      <c r="L83" s="93">
        <v>0</v>
      </c>
      <c r="M83" s="93">
        <v>655348</v>
      </c>
      <c r="N83" s="93">
        <v>1023384.03</v>
      </c>
      <c r="O83" s="93">
        <v>4779952.62</v>
      </c>
      <c r="P83" s="93">
        <v>32153140.23</v>
      </c>
      <c r="Q83" s="93">
        <v>123035.08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-3190235708.54</v>
      </c>
      <c r="G84" s="100">
        <v>-79570671.560000002</v>
      </c>
      <c r="H84" s="100">
        <v>-44324410.210000001</v>
      </c>
      <c r="I84" s="100">
        <v>-23569383.350000001</v>
      </c>
      <c r="J84" s="100">
        <v>-961644965.12</v>
      </c>
      <c r="K84" s="100">
        <v>-31605876.280000001</v>
      </c>
      <c r="L84" s="100">
        <v>0</v>
      </c>
      <c r="M84" s="100">
        <v>-277416346.94999999</v>
      </c>
      <c r="N84" s="100">
        <v>-260974410.71000001</v>
      </c>
      <c r="O84" s="100">
        <v>-1245483725.9300001</v>
      </c>
      <c r="P84" s="100">
        <v>-214079018.75999999</v>
      </c>
      <c r="Q84" s="100">
        <v>-51566899.670000002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-3190222885.6100001</v>
      </c>
      <c r="G85" s="90">
        <v>-79569041.799999997</v>
      </c>
      <c r="H85" s="90">
        <v>-44323502.100000001</v>
      </c>
      <c r="I85" s="90">
        <v>-23568900.370000001</v>
      </c>
      <c r="J85" s="90">
        <v>-961640696.25999999</v>
      </c>
      <c r="K85" s="90">
        <v>-31605961.52</v>
      </c>
      <c r="L85" s="90">
        <v>0</v>
      </c>
      <c r="M85" s="90">
        <v>-277417094.81</v>
      </c>
      <c r="N85" s="90">
        <v>-260974068.06</v>
      </c>
      <c r="O85" s="90">
        <v>-1245482014.3900001</v>
      </c>
      <c r="P85" s="90">
        <v>-214074567.53</v>
      </c>
      <c r="Q85" s="90">
        <v>-51567038.770000003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14835602537.780001</v>
      </c>
      <c r="G86" s="90">
        <v>762266217.44000006</v>
      </c>
      <c r="H86" s="90">
        <v>424610927.88</v>
      </c>
      <c r="I86" s="90">
        <v>226096676.97</v>
      </c>
      <c r="J86" s="90">
        <v>3795346839.54</v>
      </c>
      <c r="K86" s="90">
        <v>126897837.29000001</v>
      </c>
      <c r="L86" s="90">
        <v>19931693.030000001</v>
      </c>
      <c r="M86" s="90">
        <v>1114369607.79</v>
      </c>
      <c r="N86" s="90">
        <v>1055035817.79</v>
      </c>
      <c r="O86" s="90">
        <v>5026992920.8100004</v>
      </c>
      <c r="P86" s="90">
        <v>2076894316.73</v>
      </c>
      <c r="Q86" s="90">
        <v>207187329.91999999</v>
      </c>
      <c r="R86" s="90">
        <v>-27796.54</v>
      </c>
      <c r="S86" s="90">
        <v>19.47</v>
      </c>
      <c r="T86">
        <v>236.56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-106.9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8" t="s">
        <v>2</v>
      </c>
      <c r="D89" s="775" t="s">
        <v>132</v>
      </c>
      <c r="E89" s="98" t="s">
        <v>70</v>
      </c>
      <c r="F89" s="100">
        <f>F55+F84+F16-L16-L55</f>
        <v>14815021974.749998</v>
      </c>
      <c r="G89" s="100">
        <f t="shared" ref="G89:AP89" si="0">G55+G16</f>
        <v>841806035.64999998</v>
      </c>
      <c r="H89" s="100">
        <f t="shared" si="0"/>
        <v>468917971.50999999</v>
      </c>
      <c r="I89" s="100">
        <f t="shared" si="0"/>
        <v>249656917.12</v>
      </c>
      <c r="J89" s="100">
        <f t="shared" si="0"/>
        <v>4756846110.3300009</v>
      </c>
      <c r="K89" s="100">
        <f t="shared" si="0"/>
        <v>158497973.27000001</v>
      </c>
      <c r="L89" s="100">
        <f t="shared" si="0"/>
        <v>19931693.030000001</v>
      </c>
      <c r="M89" s="100">
        <f t="shared" si="0"/>
        <v>1391735601.23</v>
      </c>
      <c r="N89" s="100">
        <f t="shared" si="0"/>
        <v>1315958607.1700001</v>
      </c>
      <c r="O89" s="100">
        <f t="shared" si="0"/>
        <v>6272232186.7699995</v>
      </c>
      <c r="P89" s="100">
        <f t="shared" si="0"/>
        <v>2290889068.9099998</v>
      </c>
      <c r="Q89" s="100">
        <f t="shared" si="0"/>
        <v>258744863.86000001</v>
      </c>
      <c r="R89" s="100">
        <f t="shared" si="0"/>
        <v>-27801.66</v>
      </c>
      <c r="S89" s="100">
        <f t="shared" si="0"/>
        <v>19.47</v>
      </c>
      <c r="T89" s="100">
        <f t="shared" si="0"/>
        <v>236.56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-106.9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8"/>
      <c r="D90" s="775"/>
      <c r="E90" s="98" t="s">
        <v>73</v>
      </c>
      <c r="F90" s="100">
        <f>F84</f>
        <v>-3190235708.54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8"/>
      <c r="D91" s="775" t="s">
        <v>133</v>
      </c>
      <c r="E91" s="233" t="s">
        <v>70</v>
      </c>
      <c r="F91" s="234">
        <f>F70+F36-L36</f>
        <v>648870</v>
      </c>
      <c r="G91" s="234">
        <f t="shared" ref="G91:AP91" si="1">G36</f>
        <v>29223.59</v>
      </c>
      <c r="H91" s="234">
        <f t="shared" si="1"/>
        <v>16458.47</v>
      </c>
      <c r="I91" s="234">
        <f t="shared" si="1"/>
        <v>8660.2199999999993</v>
      </c>
      <c r="J91" s="234">
        <f t="shared" si="1"/>
        <v>141425.47</v>
      </c>
      <c r="K91" s="234">
        <f t="shared" si="1"/>
        <v>5825.54</v>
      </c>
      <c r="L91" s="234">
        <f t="shared" si="1"/>
        <v>0</v>
      </c>
      <c r="M91" s="234">
        <f t="shared" si="1"/>
        <v>51101.37</v>
      </c>
      <c r="N91" s="234">
        <f t="shared" si="1"/>
        <v>51278.68</v>
      </c>
      <c r="O91" s="234">
        <f t="shared" si="1"/>
        <v>242748.43</v>
      </c>
      <c r="P91" s="234">
        <f t="shared" si="1"/>
        <v>79815.350000000006</v>
      </c>
      <c r="Q91" s="234">
        <f t="shared" si="1"/>
        <v>9504.83</v>
      </c>
      <c r="R91" s="234">
        <f t="shared" si="1"/>
        <v>5.12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8"/>
      <c r="D92" s="775"/>
      <c r="E92" s="233" t="s">
        <v>73</v>
      </c>
      <c r="F92" s="234">
        <f>F70</f>
        <v>12822.93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8" t="s">
        <v>160</v>
      </c>
      <c r="D94" s="775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8"/>
      <c r="D95" s="775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8"/>
      <c r="D96" s="775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8"/>
      <c r="D97" s="775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8" t="s">
        <v>155</v>
      </c>
      <c r="D99" s="775" t="s">
        <v>132</v>
      </c>
      <c r="E99" s="221" t="s">
        <v>70</v>
      </c>
      <c r="F99" s="222">
        <f>F73+F40+F8-L8-L40</f>
        <v>14471399690.9</v>
      </c>
      <c r="G99" s="222">
        <f t="shared" ref="G99:AP99" si="2">G40+G8</f>
        <v>808230383.38</v>
      </c>
      <c r="H99" s="222">
        <f t="shared" si="2"/>
        <v>450240430.11000001</v>
      </c>
      <c r="I99" s="222">
        <f t="shared" si="2"/>
        <v>239670565.69999999</v>
      </c>
      <c r="J99" s="222">
        <f t="shared" si="2"/>
        <v>4717756385.7200003</v>
      </c>
      <c r="K99" s="222">
        <f t="shared" si="2"/>
        <v>157336840.31</v>
      </c>
      <c r="L99" s="222">
        <f t="shared" si="2"/>
        <v>9937924.0999999996</v>
      </c>
      <c r="M99" s="222">
        <f t="shared" si="2"/>
        <v>1381589612.9199998</v>
      </c>
      <c r="N99" s="222">
        <f t="shared" si="2"/>
        <v>1303026874.6500001</v>
      </c>
      <c r="O99" s="222">
        <f t="shared" si="2"/>
        <v>6211087021.9399996</v>
      </c>
      <c r="P99" s="222">
        <f t="shared" si="2"/>
        <v>2199244647.2399998</v>
      </c>
      <c r="Q99" s="222">
        <f t="shared" si="2"/>
        <v>256848645.77000001</v>
      </c>
      <c r="R99" s="222">
        <f t="shared" si="2"/>
        <v>-24225.34</v>
      </c>
      <c r="S99" s="222">
        <f t="shared" si="2"/>
        <v>19.47</v>
      </c>
      <c r="T99" s="222">
        <f t="shared" si="2"/>
        <v>236.47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-106.9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8"/>
      <c r="D100" s="775"/>
      <c r="E100" s="221" t="s">
        <v>73</v>
      </c>
      <c r="F100" s="222">
        <f>F73</f>
        <v>-3253607640.54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8"/>
      <c r="D101" s="775" t="s">
        <v>133</v>
      </c>
      <c r="E101" s="229" t="s">
        <v>70</v>
      </c>
      <c r="F101" s="230">
        <f>F59+F21-L21</f>
        <v>513960</v>
      </c>
      <c r="G101" s="230">
        <f>G21</f>
        <v>23589.91</v>
      </c>
      <c r="H101" s="230">
        <f t="shared" ref="H101:AP101" si="3">H21</f>
        <v>13315.42</v>
      </c>
      <c r="I101" s="230">
        <f t="shared" si="3"/>
        <v>6990.72</v>
      </c>
      <c r="J101" s="230">
        <f t="shared" si="3"/>
        <v>120363.97</v>
      </c>
      <c r="K101" s="230">
        <f t="shared" si="3"/>
        <v>5305.85</v>
      </c>
      <c r="L101" s="230">
        <f t="shared" si="3"/>
        <v>0</v>
      </c>
      <c r="M101" s="230">
        <f t="shared" si="3"/>
        <v>46542.54</v>
      </c>
      <c r="N101" s="230">
        <f t="shared" si="3"/>
        <v>44798.14</v>
      </c>
      <c r="O101" s="230">
        <f t="shared" si="3"/>
        <v>212067.75</v>
      </c>
      <c r="P101" s="230">
        <f t="shared" si="3"/>
        <v>64428.39</v>
      </c>
      <c r="Q101" s="230">
        <f t="shared" si="3"/>
        <v>8656.8700000000008</v>
      </c>
      <c r="R101" s="230">
        <f t="shared" si="3"/>
        <v>0.08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8"/>
      <c r="D102" s="775"/>
      <c r="E102" s="229" t="s">
        <v>73</v>
      </c>
      <c r="F102" s="230">
        <f>F59</f>
        <v>-32099.64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6" t="s">
        <v>326</v>
      </c>
      <c r="D104" s="775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6"/>
      <c r="D105" s="775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6"/>
      <c r="D106" s="775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6"/>
      <c r="D107" s="775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8" t="s">
        <v>119</v>
      </c>
      <c r="D109" s="775" t="s">
        <v>132</v>
      </c>
      <c r="E109" s="101" t="s">
        <v>70</v>
      </c>
      <c r="F109" s="93">
        <f>F83+F54+F15-L15-L54</f>
        <v>343622283.84999996</v>
      </c>
      <c r="G109" s="93">
        <f t="shared" ref="G109:AP109" si="6">G54+G15</f>
        <v>33575652.270000003</v>
      </c>
      <c r="H109" s="93">
        <f t="shared" si="6"/>
        <v>18677541.399999999</v>
      </c>
      <c r="I109" s="93">
        <f t="shared" si="6"/>
        <v>9986351.4199999999</v>
      </c>
      <c r="J109" s="93">
        <f t="shared" si="6"/>
        <v>39089724.609999999</v>
      </c>
      <c r="K109" s="93">
        <f t="shared" si="6"/>
        <v>1161132.96</v>
      </c>
      <c r="L109" s="93">
        <f t="shared" si="6"/>
        <v>9993768.9299999997</v>
      </c>
      <c r="M109" s="93">
        <f t="shared" si="6"/>
        <v>10145988.310000001</v>
      </c>
      <c r="N109" s="93">
        <f t="shared" si="6"/>
        <v>12931732.52</v>
      </c>
      <c r="O109" s="93">
        <f t="shared" si="6"/>
        <v>61145164.829999998</v>
      </c>
      <c r="P109" s="93">
        <f t="shared" si="6"/>
        <v>91644421.670000002</v>
      </c>
      <c r="Q109" s="93">
        <f t="shared" si="6"/>
        <v>1896218.09</v>
      </c>
      <c r="R109" s="93">
        <f t="shared" si="6"/>
        <v>-3576.32</v>
      </c>
      <c r="S109" s="93">
        <f t="shared" si="6"/>
        <v>0</v>
      </c>
      <c r="T109" s="93">
        <f t="shared" si="6"/>
        <v>0.09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8"/>
      <c r="D110" s="775"/>
      <c r="E110" s="101" t="s">
        <v>73</v>
      </c>
      <c r="F110" s="93">
        <f>F83</f>
        <v>63371932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8"/>
      <c r="D111" s="775" t="s">
        <v>133</v>
      </c>
      <c r="E111" s="235" t="s">
        <v>70</v>
      </c>
      <c r="F111" s="236">
        <f>F69+F35-L35</f>
        <v>134910</v>
      </c>
      <c r="G111" s="236">
        <f t="shared" ref="G111:AP111" si="7">G35</f>
        <v>5633.68</v>
      </c>
      <c r="H111" s="236">
        <f t="shared" si="7"/>
        <v>3143.05</v>
      </c>
      <c r="I111" s="236">
        <f t="shared" si="7"/>
        <v>1669.5</v>
      </c>
      <c r="J111" s="236">
        <f t="shared" si="7"/>
        <v>21061.5</v>
      </c>
      <c r="K111" s="236">
        <f t="shared" si="7"/>
        <v>519.69000000000005</v>
      </c>
      <c r="L111" s="236">
        <f t="shared" si="7"/>
        <v>0</v>
      </c>
      <c r="M111" s="236">
        <f t="shared" si="7"/>
        <v>4558.83</v>
      </c>
      <c r="N111" s="236">
        <f t="shared" si="7"/>
        <v>6480.54</v>
      </c>
      <c r="O111" s="236">
        <f t="shared" si="7"/>
        <v>30680.68</v>
      </c>
      <c r="P111" s="236">
        <f t="shared" si="7"/>
        <v>15386.96</v>
      </c>
      <c r="Q111" s="236">
        <f t="shared" si="7"/>
        <v>847.96</v>
      </c>
      <c r="R111" s="236">
        <f t="shared" si="7"/>
        <v>5.04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8"/>
      <c r="D112" s="775"/>
      <c r="E112" s="235" t="s">
        <v>73</v>
      </c>
      <c r="F112" s="236">
        <f>F69</f>
        <v>44922.57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7" t="s">
        <v>161</v>
      </c>
      <c r="D114" s="775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7"/>
      <c r="D115" s="775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7"/>
      <c r="D116" s="775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7"/>
      <c r="D117" s="775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-2015.07</v>
      </c>
      <c r="G119" s="460">
        <f t="shared" ref="G119:AP119" si="8">G16</f>
        <v>-122.1</v>
      </c>
      <c r="H119" s="460">
        <f t="shared" si="8"/>
        <v>-51.87</v>
      </c>
      <c r="I119" s="460">
        <f t="shared" si="8"/>
        <v>-22.65</v>
      </c>
      <c r="J119" s="460">
        <f t="shared" si="8"/>
        <v>-369.44</v>
      </c>
      <c r="K119" s="460">
        <f t="shared" si="8"/>
        <v>-23.88</v>
      </c>
      <c r="L119" s="460">
        <f t="shared" si="8"/>
        <v>0</v>
      </c>
      <c r="M119" s="460">
        <f t="shared" si="8"/>
        <v>-209.4</v>
      </c>
      <c r="N119" s="460">
        <f t="shared" si="8"/>
        <v>-175.25</v>
      </c>
      <c r="O119" s="460">
        <f t="shared" si="8"/>
        <v>-699.55</v>
      </c>
      <c r="P119" s="460">
        <f t="shared" si="8"/>
        <v>-301.98</v>
      </c>
      <c r="Q119" s="460">
        <f t="shared" si="8"/>
        <v>-38.950000000000003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-221284.53</v>
      </c>
      <c r="G124" s="89">
        <v>-19000.060000000001</v>
      </c>
      <c r="H124" s="89">
        <v>-8071.66</v>
      </c>
      <c r="I124" s="664">
        <v>-3524.84</v>
      </c>
      <c r="J124" s="89">
        <v>-43884.29</v>
      </c>
      <c r="K124" s="89">
        <v>-1875.37</v>
      </c>
      <c r="L124" s="89">
        <v>0</v>
      </c>
      <c r="M124" s="89">
        <v>-16450.29</v>
      </c>
      <c r="N124" s="89">
        <v>-20625.78</v>
      </c>
      <c r="O124" s="89">
        <v>-69263.490000000005</v>
      </c>
      <c r="P124" s="89">
        <v>-35528.629999999997</v>
      </c>
      <c r="Q124" s="89">
        <v>-3060.12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-221284.53</v>
      </c>
      <c r="G125" s="89">
        <v>-19000.060000000001</v>
      </c>
      <c r="H125" s="89">
        <v>-8071.66</v>
      </c>
      <c r="I125" s="664">
        <v>-3524.84</v>
      </c>
      <c r="J125" s="89">
        <v>-43884.29</v>
      </c>
      <c r="K125" s="89">
        <v>-1875.37</v>
      </c>
      <c r="L125" s="89">
        <v>0</v>
      </c>
      <c r="M125" s="89">
        <v>-16450.29</v>
      </c>
      <c r="N125" s="89">
        <v>-20625.78</v>
      </c>
      <c r="O125" s="89">
        <v>-69263.490000000005</v>
      </c>
      <c r="P125" s="89">
        <v>-35528.629999999997</v>
      </c>
      <c r="Q125" s="89">
        <v>-3060.12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-221284.53</v>
      </c>
      <c r="G126" s="657">
        <v>-19000.060000000001</v>
      </c>
      <c r="H126" s="657">
        <v>-8071.66</v>
      </c>
      <c r="I126" s="737">
        <v>-3524.84</v>
      </c>
      <c r="J126" s="657">
        <v>-43884.29</v>
      </c>
      <c r="K126" s="657">
        <v>-1875.37</v>
      </c>
      <c r="L126" s="657">
        <v>0</v>
      </c>
      <c r="M126" s="657">
        <v>-16450.29</v>
      </c>
      <c r="N126" s="657">
        <v>-20625.78</v>
      </c>
      <c r="O126" s="657">
        <v>-69263.490000000005</v>
      </c>
      <c r="P126" s="657">
        <v>-35528.629999999997</v>
      </c>
      <c r="Q126" s="657">
        <v>-3060.12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-22430.12</v>
      </c>
      <c r="G144" s="90">
        <v>-1950.96</v>
      </c>
      <c r="H144" s="90">
        <v>-828.84</v>
      </c>
      <c r="I144" s="90">
        <v>-361.97</v>
      </c>
      <c r="J144" s="90">
        <v>-4553.51</v>
      </c>
      <c r="K144" s="90">
        <v>-187.61</v>
      </c>
      <c r="L144" s="90">
        <v>0</v>
      </c>
      <c r="M144" s="90">
        <v>-1645.8</v>
      </c>
      <c r="N144" s="90">
        <v>-2063.04</v>
      </c>
      <c r="O144" s="90">
        <v>-6929.61</v>
      </c>
      <c r="P144" s="90">
        <v>-3602.61</v>
      </c>
      <c r="Q144" s="90">
        <v>-306.17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-22430.12</v>
      </c>
      <c r="G145" s="90">
        <v>-1950.96</v>
      </c>
      <c r="H145" s="90">
        <v>-828.84</v>
      </c>
      <c r="I145" s="90">
        <v>-361.97</v>
      </c>
      <c r="J145" s="90">
        <v>-4553.51</v>
      </c>
      <c r="K145" s="90">
        <v>-187.61</v>
      </c>
      <c r="L145" s="90">
        <v>0</v>
      </c>
      <c r="M145" s="90">
        <v>-1645.8</v>
      </c>
      <c r="N145" s="90">
        <v>-2063.04</v>
      </c>
      <c r="O145" s="90">
        <v>-6929.61</v>
      </c>
      <c r="P145" s="90">
        <v>-3602.61</v>
      </c>
      <c r="Q145" s="90">
        <v>-306.17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-22430.12</v>
      </c>
      <c r="G148" s="93">
        <v>-1950.96</v>
      </c>
      <c r="H148" s="93">
        <v>-828.84</v>
      </c>
      <c r="I148" s="93">
        <v>-361.97</v>
      </c>
      <c r="J148" s="93">
        <v>-4553.51</v>
      </c>
      <c r="K148" s="93">
        <v>-187.61</v>
      </c>
      <c r="L148" s="93">
        <v>0</v>
      </c>
      <c r="M148" s="93">
        <v>-1645.8</v>
      </c>
      <c r="N148" s="93">
        <v>-2063.04</v>
      </c>
      <c r="O148" s="93">
        <v>-6929.61</v>
      </c>
      <c r="P148" s="93">
        <v>-3602.61</v>
      </c>
      <c r="Q148" s="93">
        <v>-306.17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-243714.65</v>
      </c>
      <c r="G149" s="90">
        <v>-20951.02</v>
      </c>
      <c r="H149" s="90">
        <v>-8900.5</v>
      </c>
      <c r="I149" s="90">
        <v>-3886.81</v>
      </c>
      <c r="J149" s="90">
        <v>-48437.8</v>
      </c>
      <c r="K149" s="90">
        <v>-2062.98</v>
      </c>
      <c r="L149" s="90">
        <v>0</v>
      </c>
      <c r="M149" s="90">
        <v>-18096.09</v>
      </c>
      <c r="N149" s="90">
        <v>-22688.82</v>
      </c>
      <c r="O149" s="90">
        <v>-76193.100000000006</v>
      </c>
      <c r="P149" s="90">
        <v>-39131.24</v>
      </c>
      <c r="Q149" s="90">
        <v>-3366.29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-243714.65</v>
      </c>
      <c r="G150" s="460">
        <v>-20951.02</v>
      </c>
      <c r="H150" s="460">
        <v>-8900.5</v>
      </c>
      <c r="I150" s="460">
        <v>-3886.81</v>
      </c>
      <c r="J150" s="460">
        <v>-48437.8</v>
      </c>
      <c r="K150" s="460">
        <v>-2062.98</v>
      </c>
      <c r="L150" s="460">
        <v>0</v>
      </c>
      <c r="M150" s="460">
        <v>-18096.09</v>
      </c>
      <c r="N150" s="460">
        <v>-22688.82</v>
      </c>
      <c r="O150" s="460">
        <v>-76193.100000000006</v>
      </c>
      <c r="P150" s="460">
        <v>-39131.24</v>
      </c>
      <c r="Q150" s="460">
        <v>-3366.29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10824948.140000001</v>
      </c>
      <c r="G151" s="90">
        <v>599182.03</v>
      </c>
      <c r="H151" s="90">
        <v>337540.82</v>
      </c>
      <c r="I151" s="90">
        <v>180499.34</v>
      </c>
      <c r="J151" s="90">
        <v>2716624.41</v>
      </c>
      <c r="K151" s="90">
        <v>72704.94</v>
      </c>
      <c r="L151" s="90">
        <v>0</v>
      </c>
      <c r="M151" s="90">
        <v>637761.97</v>
      </c>
      <c r="N151" s="90">
        <v>850902.17</v>
      </c>
      <c r="O151" s="90">
        <v>4118632.15</v>
      </c>
      <c r="P151" s="90">
        <v>1191361.2</v>
      </c>
      <c r="Q151" s="90">
        <v>119849.06</v>
      </c>
      <c r="R151" s="90">
        <v>-109.95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262991.94</v>
      </c>
      <c r="G152" s="90">
        <v>20187.32</v>
      </c>
      <c r="H152" s="90">
        <v>11399.94</v>
      </c>
      <c r="I152" s="90">
        <v>6057.06</v>
      </c>
      <c r="J152" s="90">
        <v>60641.69</v>
      </c>
      <c r="K152" s="90">
        <v>1509.5</v>
      </c>
      <c r="L152" s="90">
        <v>0</v>
      </c>
      <c r="M152" s="90">
        <v>13242.77</v>
      </c>
      <c r="N152" s="90">
        <v>18648.2</v>
      </c>
      <c r="O152" s="90">
        <v>88493.41</v>
      </c>
      <c r="P152" s="90">
        <v>40335.120000000003</v>
      </c>
      <c r="Q152" s="90">
        <v>2478.59</v>
      </c>
      <c r="R152" s="90">
        <v>-1.7</v>
      </c>
      <c r="S152" s="90">
        <v>0.04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11087940.08</v>
      </c>
      <c r="G153" s="89">
        <v>619369.35</v>
      </c>
      <c r="H153" s="89">
        <v>348940.76</v>
      </c>
      <c r="I153" s="664">
        <v>186556.4</v>
      </c>
      <c r="J153" s="89">
        <v>2777266.1</v>
      </c>
      <c r="K153" s="89">
        <v>74214.44</v>
      </c>
      <c r="L153" s="89">
        <v>0</v>
      </c>
      <c r="M153" s="89">
        <v>651004.74</v>
      </c>
      <c r="N153" s="89">
        <v>869550.37</v>
      </c>
      <c r="O153" s="89">
        <v>4207125.5599999996</v>
      </c>
      <c r="P153" s="89">
        <v>1231696.32</v>
      </c>
      <c r="Q153" s="89">
        <v>122327.65</v>
      </c>
      <c r="R153" s="89">
        <v>-111.65</v>
      </c>
      <c r="S153" s="89">
        <v>0.04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11087940.08</v>
      </c>
      <c r="G154" s="657">
        <v>619369.35</v>
      </c>
      <c r="H154" s="657">
        <v>348940.76</v>
      </c>
      <c r="I154" s="737">
        <v>186556.4</v>
      </c>
      <c r="J154" s="657">
        <v>2777266.1</v>
      </c>
      <c r="K154" s="657">
        <v>74214.44</v>
      </c>
      <c r="L154" s="657">
        <v>0</v>
      </c>
      <c r="M154" s="657">
        <v>651004.74</v>
      </c>
      <c r="N154" s="657">
        <v>869550.37</v>
      </c>
      <c r="O154" s="657">
        <v>4207125.5599999996</v>
      </c>
      <c r="P154" s="657">
        <v>1231696.32</v>
      </c>
      <c r="Q154" s="657">
        <v>122327.65</v>
      </c>
      <c r="R154" s="657">
        <v>-111.65</v>
      </c>
      <c r="S154" s="657">
        <v>0.04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21770</v>
      </c>
      <c r="G177" s="90">
        <v>1004.16</v>
      </c>
      <c r="H177" s="90">
        <v>566.95000000000005</v>
      </c>
      <c r="I177" s="90">
        <v>297.5</v>
      </c>
      <c r="J177" s="90">
        <v>6117.42</v>
      </c>
      <c r="K177" s="90">
        <v>195.92</v>
      </c>
      <c r="L177" s="90">
        <v>0</v>
      </c>
      <c r="M177" s="90">
        <v>1718.59</v>
      </c>
      <c r="N177" s="90">
        <v>1666.39</v>
      </c>
      <c r="O177" s="90">
        <v>7890.73</v>
      </c>
      <c r="P177" s="90">
        <v>1993.69</v>
      </c>
      <c r="Q177" s="90">
        <v>319.64999999999998</v>
      </c>
      <c r="R177" s="90">
        <v>-1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21770</v>
      </c>
      <c r="G179" s="90">
        <v>1004.16</v>
      </c>
      <c r="H179" s="90">
        <v>566.95000000000005</v>
      </c>
      <c r="I179" s="90">
        <v>297.5</v>
      </c>
      <c r="J179" s="90">
        <v>6117.42</v>
      </c>
      <c r="K179" s="90">
        <v>195.92</v>
      </c>
      <c r="L179" s="90">
        <v>0</v>
      </c>
      <c r="M179" s="90">
        <v>1718.59</v>
      </c>
      <c r="N179" s="90">
        <v>1666.39</v>
      </c>
      <c r="O179" s="90">
        <v>7890.73</v>
      </c>
      <c r="P179" s="90">
        <v>1993.69</v>
      </c>
      <c r="Q179" s="90">
        <v>319.64999999999998</v>
      </c>
      <c r="R179" s="90">
        <v>-1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642782.27</v>
      </c>
      <c r="G180" s="90">
        <v>31379.48</v>
      </c>
      <c r="H180" s="90">
        <v>17705.740000000002</v>
      </c>
      <c r="I180" s="90">
        <v>9385.9500000000007</v>
      </c>
      <c r="J180" s="90">
        <v>152267.07999999999</v>
      </c>
      <c r="K180" s="90">
        <v>4852.1499999999996</v>
      </c>
      <c r="L180" s="90">
        <v>0</v>
      </c>
      <c r="M180" s="90">
        <v>42562.720000000001</v>
      </c>
      <c r="N180" s="90">
        <v>54528.92</v>
      </c>
      <c r="O180" s="90">
        <v>260815.06</v>
      </c>
      <c r="P180" s="90">
        <v>61357.46</v>
      </c>
      <c r="Q180" s="90">
        <v>7916.7</v>
      </c>
      <c r="R180" s="90">
        <v>11.01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1590.27</v>
      </c>
      <c r="G181" s="90">
        <v>84.26</v>
      </c>
      <c r="H181" s="90">
        <v>47.65</v>
      </c>
      <c r="I181" s="90">
        <v>25.29</v>
      </c>
      <c r="J181" s="90">
        <v>415.91</v>
      </c>
      <c r="K181" s="90">
        <v>10.199999999999999</v>
      </c>
      <c r="L181" s="90">
        <v>0</v>
      </c>
      <c r="M181" s="90">
        <v>89.36</v>
      </c>
      <c r="N181" s="90">
        <v>128.29</v>
      </c>
      <c r="O181" s="90">
        <v>603.23</v>
      </c>
      <c r="P181" s="90">
        <v>169.46</v>
      </c>
      <c r="Q181" s="90">
        <v>16.61</v>
      </c>
      <c r="R181" s="90">
        <v>0.01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644372.54</v>
      </c>
      <c r="G182" s="90">
        <v>31463.74</v>
      </c>
      <c r="H182" s="90">
        <v>17753.39</v>
      </c>
      <c r="I182" s="90">
        <v>9411.24</v>
      </c>
      <c r="J182" s="90">
        <v>152682.99</v>
      </c>
      <c r="K182" s="90">
        <v>4862.3500000000004</v>
      </c>
      <c r="L182" s="90">
        <v>0</v>
      </c>
      <c r="M182" s="90">
        <v>42652.08</v>
      </c>
      <c r="N182" s="90">
        <v>54657.21</v>
      </c>
      <c r="O182" s="90">
        <v>261418.29</v>
      </c>
      <c r="P182" s="90">
        <v>61526.92</v>
      </c>
      <c r="Q182" s="90">
        <v>7933.31</v>
      </c>
      <c r="R182" s="90">
        <v>11.02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666142.54</v>
      </c>
      <c r="G186" s="93">
        <v>32467.9</v>
      </c>
      <c r="H186" s="93">
        <v>18320.34</v>
      </c>
      <c r="I186" s="93">
        <v>9708.74</v>
      </c>
      <c r="J186" s="93">
        <v>158800.41</v>
      </c>
      <c r="K186" s="93">
        <v>5058.2700000000004</v>
      </c>
      <c r="L186" s="93">
        <v>0</v>
      </c>
      <c r="M186" s="93">
        <v>44370.67</v>
      </c>
      <c r="N186" s="93">
        <v>56323.6</v>
      </c>
      <c r="O186" s="93">
        <v>269309.02</v>
      </c>
      <c r="P186" s="93">
        <v>63520.61</v>
      </c>
      <c r="Q186" s="93">
        <v>8252.9599999999991</v>
      </c>
      <c r="R186" s="93">
        <v>10.02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11754082.619999999</v>
      </c>
      <c r="G187" s="377">
        <v>651837.25</v>
      </c>
      <c r="H187" s="377">
        <v>367261.1</v>
      </c>
      <c r="I187" s="377">
        <v>196265.14</v>
      </c>
      <c r="J187" s="377">
        <v>2936066.51</v>
      </c>
      <c r="K187" s="377">
        <v>79272.710000000006</v>
      </c>
      <c r="L187" s="377">
        <v>0</v>
      </c>
      <c r="M187" s="377">
        <v>695375.41</v>
      </c>
      <c r="N187" s="377">
        <v>925873.97</v>
      </c>
      <c r="O187" s="377">
        <v>4476434.58</v>
      </c>
      <c r="P187" s="377">
        <v>1295216.93</v>
      </c>
      <c r="Q187" s="377">
        <v>130580.61</v>
      </c>
      <c r="R187" s="377">
        <v>-101.63</v>
      </c>
      <c r="S187" s="377">
        <v>0.04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13661750351.16</v>
      </c>
      <c r="G188" s="90">
        <v>755832638.63</v>
      </c>
      <c r="H188" s="90">
        <v>419095291.18000001</v>
      </c>
      <c r="I188" s="90">
        <v>222514274.02000001</v>
      </c>
      <c r="J188" s="90">
        <v>3449879902.6599998</v>
      </c>
      <c r="K188" s="90">
        <v>123342297.84999999</v>
      </c>
      <c r="L188" s="90">
        <v>6720393.9500000002</v>
      </c>
      <c r="M188" s="90">
        <v>1081480634.25</v>
      </c>
      <c r="N188" s="90">
        <v>1028957638.3200001</v>
      </c>
      <c r="O188" s="90">
        <v>4892762286.4499998</v>
      </c>
      <c r="P188" s="90">
        <v>1479803087.01</v>
      </c>
      <c r="Q188" s="90">
        <v>201381222.78999999</v>
      </c>
      <c r="R188" s="90">
        <v>-19315.95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43503310.090000004</v>
      </c>
      <c r="G189" s="90">
        <v>5204775.18</v>
      </c>
      <c r="H189" s="90">
        <v>2452189.2599999998</v>
      </c>
      <c r="I189" s="90">
        <v>1088195.3899999999</v>
      </c>
      <c r="J189" s="90">
        <v>7935008.8600000003</v>
      </c>
      <c r="K189" s="90">
        <v>278098.06</v>
      </c>
      <c r="L189" s="90">
        <v>1669.26</v>
      </c>
      <c r="M189" s="90">
        <v>2439581.44</v>
      </c>
      <c r="N189" s="90">
        <v>2815332.62</v>
      </c>
      <c r="O189" s="90">
        <v>10614690.380000001</v>
      </c>
      <c r="P189" s="90">
        <v>10213915.619999999</v>
      </c>
      <c r="Q189" s="90">
        <v>453845.12</v>
      </c>
      <c r="R189" s="90">
        <v>6057.83</v>
      </c>
      <c r="S189" s="90">
        <v>-48.93</v>
      </c>
      <c r="T189" s="90">
        <v>0.4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-0.4</v>
      </c>
    </row>
    <row r="190" spans="2:26" ht="12.75" customHeight="1" x14ac:dyDescent="0.25">
      <c r="D190" t="s">
        <v>156</v>
      </c>
      <c r="E190" s="89" t="s">
        <v>70</v>
      </c>
      <c r="F190" s="90">
        <v>13705253661.25</v>
      </c>
      <c r="G190" s="90">
        <v>761037413.80999994</v>
      </c>
      <c r="H190" s="90">
        <v>421547480.44</v>
      </c>
      <c r="I190" s="90">
        <v>223602469.41</v>
      </c>
      <c r="J190" s="90">
        <v>3457814911.52</v>
      </c>
      <c r="K190" s="90">
        <v>123620395.91</v>
      </c>
      <c r="L190" s="90">
        <v>6722063.21</v>
      </c>
      <c r="M190" s="90">
        <v>1083920215.6900001</v>
      </c>
      <c r="N190" s="90">
        <v>1031772970.9400001</v>
      </c>
      <c r="O190" s="90">
        <v>4903376976.8299999</v>
      </c>
      <c r="P190" s="90">
        <v>1490017002.6300001</v>
      </c>
      <c r="Q190" s="90">
        <v>201835067.91</v>
      </c>
      <c r="R190" s="90">
        <v>-13258.12</v>
      </c>
      <c r="S190" s="90">
        <v>-48.93</v>
      </c>
      <c r="T190" s="90">
        <v>0.4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-0.4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13705253661.25</v>
      </c>
      <c r="G191" s="658">
        <v>761037413.80999994</v>
      </c>
      <c r="H191" s="658">
        <v>421547480.44</v>
      </c>
      <c r="I191" s="658">
        <v>223602469.41</v>
      </c>
      <c r="J191" s="658">
        <v>3457814911.52</v>
      </c>
      <c r="K191" s="658">
        <v>123620395.91</v>
      </c>
      <c r="L191" s="658">
        <v>6722063.21</v>
      </c>
      <c r="M191" s="658">
        <v>1083920215.6900001</v>
      </c>
      <c r="N191" s="658">
        <v>1031772970.9400001</v>
      </c>
      <c r="O191" s="658">
        <v>4903376976.8299999</v>
      </c>
      <c r="P191" s="658">
        <v>1490017002.6300001</v>
      </c>
      <c r="Q191" s="658">
        <v>201835067.91</v>
      </c>
      <c r="R191" s="658">
        <v>-13258.12</v>
      </c>
      <c r="S191" s="658">
        <v>-48.93</v>
      </c>
      <c r="T191" s="658">
        <v>0.4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-0.4</v>
      </c>
    </row>
    <row r="192" spans="2:26" ht="12.75" customHeight="1" x14ac:dyDescent="0.25">
      <c r="D192" s="89"/>
      <c r="E192" s="89" t="s">
        <v>72</v>
      </c>
      <c r="F192" s="371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0</v>
      </c>
      <c r="G193" s="90">
        <v>0</v>
      </c>
      <c r="H193" s="90">
        <v>0</v>
      </c>
      <c r="I193" s="90">
        <v>0</v>
      </c>
      <c r="J193" s="90">
        <v>0</v>
      </c>
      <c r="K193" s="90">
        <v>0</v>
      </c>
      <c r="L193" s="90">
        <v>0</v>
      </c>
      <c r="M193" s="90">
        <v>0</v>
      </c>
      <c r="N193" s="90">
        <v>0</v>
      </c>
      <c r="O193" s="90">
        <v>0</v>
      </c>
      <c r="P193" s="90">
        <v>0</v>
      </c>
      <c r="Q193" s="90">
        <v>0</v>
      </c>
      <c r="R193" s="90">
        <v>0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4:26" ht="12.75" customHeight="1" x14ac:dyDescent="0.25">
      <c r="D206" t="s">
        <v>118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0</v>
      </c>
      <c r="G213" s="225">
        <v>0</v>
      </c>
      <c r="H213" s="225">
        <v>0</v>
      </c>
      <c r="I213" s="225">
        <v>0</v>
      </c>
      <c r="J213" s="225">
        <v>0</v>
      </c>
      <c r="K213" s="225">
        <v>0</v>
      </c>
      <c r="L213" s="225">
        <v>0</v>
      </c>
      <c r="M213" s="225">
        <v>0</v>
      </c>
      <c r="N213" s="225">
        <v>0</v>
      </c>
      <c r="O213" s="225">
        <v>0</v>
      </c>
      <c r="P213" s="225">
        <v>0</v>
      </c>
      <c r="Q213" s="225">
        <v>0</v>
      </c>
      <c r="R213" s="225">
        <v>0</v>
      </c>
      <c r="S213" s="225">
        <v>0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0</v>
      </c>
    </row>
    <row r="214" spans="2:26" ht="12.75" customHeight="1" x14ac:dyDescent="0.25">
      <c r="E214" s="89" t="s">
        <v>72</v>
      </c>
      <c r="F214" s="90">
        <v>181427435.33000001</v>
      </c>
      <c r="G214" s="90">
        <v>10584510.26</v>
      </c>
      <c r="H214" s="90">
        <v>5916459.9100000001</v>
      </c>
      <c r="I214" s="90">
        <v>3152733.94</v>
      </c>
      <c r="J214" s="90">
        <v>46302519.359999999</v>
      </c>
      <c r="K214" s="90">
        <v>1141535.98</v>
      </c>
      <c r="L214" s="90">
        <v>0</v>
      </c>
      <c r="M214" s="90">
        <v>10044923.300000001</v>
      </c>
      <c r="N214" s="90">
        <v>14090686.25</v>
      </c>
      <c r="O214" s="90">
        <v>67406988.810000002</v>
      </c>
      <c r="P214" s="90">
        <v>20914641.48</v>
      </c>
      <c r="Q214" s="90">
        <v>1872781.11</v>
      </c>
      <c r="R214" s="90">
        <v>-345.07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1706030.45</v>
      </c>
      <c r="G215" s="90">
        <v>137098.35999999999</v>
      </c>
      <c r="H215" s="90">
        <v>75640.070000000007</v>
      </c>
      <c r="I215" s="90">
        <v>40699.370000000003</v>
      </c>
      <c r="J215" s="90">
        <v>376089.2</v>
      </c>
      <c r="K215" s="90">
        <v>9777.2900000000009</v>
      </c>
      <c r="L215" s="90">
        <v>0</v>
      </c>
      <c r="M215" s="90">
        <v>85995.13</v>
      </c>
      <c r="N215" s="90">
        <v>119953.19</v>
      </c>
      <c r="O215" s="90">
        <v>571427.47</v>
      </c>
      <c r="P215" s="90">
        <v>273296.95</v>
      </c>
      <c r="Q215" s="90">
        <v>16055.78</v>
      </c>
      <c r="R215" s="90">
        <v>-2.36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0</v>
      </c>
    </row>
    <row r="216" spans="2:26" ht="12.75" customHeight="1" x14ac:dyDescent="0.25">
      <c r="D216" t="s">
        <v>82</v>
      </c>
      <c r="E216" s="89" t="s">
        <v>70</v>
      </c>
      <c r="F216" s="90">
        <v>183133465.78</v>
      </c>
      <c r="G216" s="90">
        <v>10721608.619999999</v>
      </c>
      <c r="H216" s="90">
        <v>5992099.9800000004</v>
      </c>
      <c r="I216" s="90">
        <v>3193433.31</v>
      </c>
      <c r="J216" s="90">
        <v>46678608.560000002</v>
      </c>
      <c r="K216" s="90">
        <v>1151313.27</v>
      </c>
      <c r="L216" s="90">
        <v>0</v>
      </c>
      <c r="M216" s="90">
        <v>10130918.43</v>
      </c>
      <c r="N216" s="90">
        <v>14210639.439999999</v>
      </c>
      <c r="O216" s="90">
        <v>67978416.280000001</v>
      </c>
      <c r="P216" s="90">
        <v>21187938.43</v>
      </c>
      <c r="Q216" s="90">
        <v>1888836.89</v>
      </c>
      <c r="R216" s="90">
        <v>-347.43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0</v>
      </c>
    </row>
    <row r="217" spans="2:26" ht="12.75" customHeight="1" x14ac:dyDescent="0.25">
      <c r="E217" s="89" t="s">
        <v>72</v>
      </c>
      <c r="F217" s="90">
        <v>142761958.62</v>
      </c>
      <c r="G217" s="90">
        <v>12211948.939999999</v>
      </c>
      <c r="H217" s="90">
        <v>6104267.8399999999</v>
      </c>
      <c r="I217" s="90">
        <v>3105854.09</v>
      </c>
      <c r="J217" s="90">
        <v>29450189.600000001</v>
      </c>
      <c r="K217" s="90">
        <v>882623.55</v>
      </c>
      <c r="L217" s="90">
        <v>153000</v>
      </c>
      <c r="M217" s="90">
        <v>8402166.1199999992</v>
      </c>
      <c r="N217" s="90">
        <v>10201837.970000001</v>
      </c>
      <c r="O217" s="90">
        <v>46509870.380000003</v>
      </c>
      <c r="P217" s="90">
        <v>24294699.300000001</v>
      </c>
      <c r="Q217" s="90">
        <v>1445692.59</v>
      </c>
      <c r="R217" s="90">
        <v>-191.76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10391426.359999999</v>
      </c>
      <c r="G218" s="90">
        <v>1454368.35</v>
      </c>
      <c r="H218" s="90">
        <v>688820.37</v>
      </c>
      <c r="I218" s="90">
        <v>324516.98</v>
      </c>
      <c r="J218" s="90">
        <v>1671330.74</v>
      </c>
      <c r="K218" s="90">
        <v>52566.14</v>
      </c>
      <c r="L218" s="90">
        <v>3749.78</v>
      </c>
      <c r="M218" s="90">
        <v>453600.98</v>
      </c>
      <c r="N218" s="90">
        <v>558588.54</v>
      </c>
      <c r="O218" s="90">
        <v>2214574.42</v>
      </c>
      <c r="P218" s="90">
        <v>2883484.82</v>
      </c>
      <c r="Q218" s="90">
        <v>85817.21</v>
      </c>
      <c r="R218" s="90">
        <v>7.31</v>
      </c>
      <c r="S218" s="90">
        <v>0.93</v>
      </c>
      <c r="T218" s="90">
        <v>0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-0.21</v>
      </c>
    </row>
    <row r="219" spans="2:26" ht="12.75" customHeight="1" x14ac:dyDescent="0.25">
      <c r="D219" t="s">
        <v>86</v>
      </c>
      <c r="E219" s="89" t="s">
        <v>70</v>
      </c>
      <c r="F219" s="90">
        <v>153153384.97999999</v>
      </c>
      <c r="G219" s="90">
        <v>13666317.289999999</v>
      </c>
      <c r="H219" s="90">
        <v>6793088.21</v>
      </c>
      <c r="I219" s="90">
        <v>3430371.07</v>
      </c>
      <c r="J219" s="90">
        <v>31121520.34</v>
      </c>
      <c r="K219" s="90">
        <v>935189.69</v>
      </c>
      <c r="L219" s="90">
        <v>156749.78</v>
      </c>
      <c r="M219" s="90">
        <v>8855767.0999999996</v>
      </c>
      <c r="N219" s="90">
        <v>10760426.51</v>
      </c>
      <c r="O219" s="90">
        <v>48724444.799999997</v>
      </c>
      <c r="P219" s="90">
        <v>27178184.120000001</v>
      </c>
      <c r="Q219" s="90">
        <v>1531509.8</v>
      </c>
      <c r="R219" s="90">
        <v>-184.45</v>
      </c>
      <c r="S219" s="90">
        <v>0.93</v>
      </c>
      <c r="T219" s="90">
        <v>0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-0.21</v>
      </c>
    </row>
    <row r="220" spans="2:26" ht="12.75" customHeight="1" x14ac:dyDescent="0.25">
      <c r="E220" s="89" t="s">
        <v>72</v>
      </c>
      <c r="F220" s="90">
        <v>431976797.81999999</v>
      </c>
      <c r="G220" s="90">
        <v>82660193.609999999</v>
      </c>
      <c r="H220" s="90">
        <v>46275318.25</v>
      </c>
      <c r="I220" s="90">
        <v>24557510.260000002</v>
      </c>
      <c r="J220" s="90">
        <v>36957419.270000003</v>
      </c>
      <c r="K220" s="90">
        <v>895809.73</v>
      </c>
      <c r="L220" s="90">
        <v>2914000</v>
      </c>
      <c r="M220" s="90">
        <v>7873505.9100000001</v>
      </c>
      <c r="N220" s="90">
        <v>11116337.92</v>
      </c>
      <c r="O220" s="90">
        <v>53167553.159999996</v>
      </c>
      <c r="P220" s="90">
        <v>164093920.88</v>
      </c>
      <c r="Q220" s="90">
        <v>1465643.88</v>
      </c>
      <c r="R220" s="90">
        <v>-415.05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23157610.32</v>
      </c>
      <c r="G221" s="90">
        <v>5189724.5199999996</v>
      </c>
      <c r="H221" s="90">
        <v>2863845.82</v>
      </c>
      <c r="I221" s="90">
        <v>1529755.86</v>
      </c>
      <c r="J221" s="90">
        <v>1096539.75</v>
      </c>
      <c r="K221" s="90">
        <v>27121.51</v>
      </c>
      <c r="L221" s="90">
        <v>41522.82</v>
      </c>
      <c r="M221" s="90">
        <v>236988.67</v>
      </c>
      <c r="N221" s="90">
        <v>318251.21000000002</v>
      </c>
      <c r="O221" s="90">
        <v>1500767.57</v>
      </c>
      <c r="P221" s="90">
        <v>10365083.59</v>
      </c>
      <c r="Q221" s="90">
        <v>44268.21</v>
      </c>
      <c r="R221" s="90">
        <v>0.39</v>
      </c>
      <c r="S221" s="90">
        <v>-56259.6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0</v>
      </c>
    </row>
    <row r="222" spans="2:26" ht="12.75" customHeight="1" x14ac:dyDescent="0.25">
      <c r="D222" t="s">
        <v>87</v>
      </c>
      <c r="E222" s="89" t="s">
        <v>70</v>
      </c>
      <c r="F222" s="90">
        <v>455134408.13999999</v>
      </c>
      <c r="G222" s="90">
        <v>87849918.129999995</v>
      </c>
      <c r="H222" s="90">
        <v>49139164.07</v>
      </c>
      <c r="I222" s="90">
        <v>26087266.120000001</v>
      </c>
      <c r="J222" s="90">
        <v>38053959.020000003</v>
      </c>
      <c r="K222" s="90">
        <v>922931.24</v>
      </c>
      <c r="L222" s="90">
        <v>2955522.82</v>
      </c>
      <c r="M222" s="90">
        <v>8110494.5800000001</v>
      </c>
      <c r="N222" s="90">
        <v>11434589.130000001</v>
      </c>
      <c r="O222" s="90">
        <v>54668320.729999997</v>
      </c>
      <c r="P222" s="90">
        <v>174459004.47</v>
      </c>
      <c r="Q222" s="90">
        <v>1509912.09</v>
      </c>
      <c r="R222" s="90">
        <v>-414.66</v>
      </c>
      <c r="S222" s="90">
        <v>-56259.6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0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791421258.89999998</v>
      </c>
      <c r="G223" s="93">
        <v>112237844.04000001</v>
      </c>
      <c r="H223" s="93">
        <v>61924352.259999998</v>
      </c>
      <c r="I223" s="93">
        <v>32711070.5</v>
      </c>
      <c r="J223" s="93">
        <v>115854087.92</v>
      </c>
      <c r="K223" s="93">
        <v>3009434.2</v>
      </c>
      <c r="L223" s="93">
        <v>3112272.6</v>
      </c>
      <c r="M223" s="93">
        <v>27097180.109999999</v>
      </c>
      <c r="N223" s="93">
        <v>36405655.079999998</v>
      </c>
      <c r="O223" s="93">
        <v>171371181.81</v>
      </c>
      <c r="P223" s="93">
        <v>222825127.02000001</v>
      </c>
      <c r="Q223" s="93">
        <v>4930258.78</v>
      </c>
      <c r="R223" s="93">
        <v>-946.54</v>
      </c>
      <c r="S223" s="93">
        <v>-56258.67</v>
      </c>
      <c r="T223" s="93">
        <v>0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-0.21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14496674920.15</v>
      </c>
      <c r="G224" s="100">
        <v>873275257.85000002</v>
      </c>
      <c r="H224" s="100">
        <v>483471832.69999999</v>
      </c>
      <c r="I224" s="100">
        <v>256313539.91</v>
      </c>
      <c r="J224" s="100">
        <v>3573668999.4400001</v>
      </c>
      <c r="K224" s="100">
        <v>126629830.11</v>
      </c>
      <c r="L224" s="100">
        <v>9834335.8100000005</v>
      </c>
      <c r="M224" s="100">
        <v>1111017395.8</v>
      </c>
      <c r="N224" s="100">
        <v>1068178626.02</v>
      </c>
      <c r="O224" s="100">
        <v>5074748158.6400003</v>
      </c>
      <c r="P224" s="100">
        <v>1712842129.6500001</v>
      </c>
      <c r="Q224" s="100">
        <v>206765326.69</v>
      </c>
      <c r="R224" s="100">
        <v>-14204.66</v>
      </c>
      <c r="S224" s="100">
        <v>-56307.6</v>
      </c>
      <c r="T224" s="100">
        <v>0.4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-0.61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14508429002.77</v>
      </c>
      <c r="G225" s="90">
        <v>873927095.10000002</v>
      </c>
      <c r="H225" s="90">
        <v>483839093.80000001</v>
      </c>
      <c r="I225" s="90">
        <v>256509805.05000001</v>
      </c>
      <c r="J225" s="90">
        <v>3576605065.9499998</v>
      </c>
      <c r="K225" s="90">
        <v>126709102.81999999</v>
      </c>
      <c r="L225" s="90">
        <v>9834335.8100000005</v>
      </c>
      <c r="M225" s="90">
        <v>1111712771.21</v>
      </c>
      <c r="N225" s="90">
        <v>1069104499.99</v>
      </c>
      <c r="O225" s="90">
        <v>5079224593.2200003</v>
      </c>
      <c r="P225" s="90">
        <v>1714137346.5799999</v>
      </c>
      <c r="Q225" s="90">
        <v>206895907.30000001</v>
      </c>
      <c r="R225" s="90">
        <v>-14306.29</v>
      </c>
      <c r="S225" s="90">
        <v>-56307.56</v>
      </c>
      <c r="T225" s="90">
        <v>0.4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-0.61</v>
      </c>
    </row>
    <row r="226" spans="1:26" ht="12.75" customHeight="1" x14ac:dyDescent="0.25">
      <c r="B226" s="89"/>
      <c r="C226" s="89"/>
      <c r="E226" t="s">
        <v>73</v>
      </c>
      <c r="F226" s="90">
        <v>-1847120.08</v>
      </c>
      <c r="G226" s="90">
        <v>-41622.42</v>
      </c>
      <c r="H226" s="90">
        <v>-23430.87</v>
      </c>
      <c r="I226" s="90">
        <v>-12462.7</v>
      </c>
      <c r="J226" s="90">
        <v>-536355.47</v>
      </c>
      <c r="K226" s="90">
        <v>-14426.8</v>
      </c>
      <c r="L226" s="90">
        <v>0</v>
      </c>
      <c r="M226" s="90">
        <v>-126553.75</v>
      </c>
      <c r="N226" s="90">
        <v>-170997.82</v>
      </c>
      <c r="O226" s="90">
        <v>-815702.14</v>
      </c>
      <c r="P226" s="90">
        <v>-82029.149999999994</v>
      </c>
      <c r="Q226" s="90">
        <v>-23538.959999999999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-1847120.08</v>
      </c>
      <c r="G227" s="90">
        <v>-41622.42</v>
      </c>
      <c r="H227" s="90">
        <v>-23430.87</v>
      </c>
      <c r="I227" s="90">
        <v>-12462.7</v>
      </c>
      <c r="J227" s="90">
        <v>-536355.47</v>
      </c>
      <c r="K227" s="90">
        <v>-14426.8</v>
      </c>
      <c r="L227" s="90">
        <v>0</v>
      </c>
      <c r="M227" s="90">
        <v>-126553.75</v>
      </c>
      <c r="N227" s="90">
        <v>-170997.82</v>
      </c>
      <c r="O227" s="90">
        <v>-815702.14</v>
      </c>
      <c r="P227" s="90">
        <v>-82029.149999999994</v>
      </c>
      <c r="Q227" s="90">
        <v>-23538.959999999999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-1847120.08</v>
      </c>
      <c r="G228" s="658">
        <v>-41622.42</v>
      </c>
      <c r="H228" s="658">
        <v>-23430.87</v>
      </c>
      <c r="I228" s="658">
        <v>-12462.7</v>
      </c>
      <c r="J228" s="658">
        <v>-536355.47</v>
      </c>
      <c r="K228" s="658">
        <v>-14426.8</v>
      </c>
      <c r="L228" s="658">
        <v>0</v>
      </c>
      <c r="M228" s="658">
        <v>-126553.75</v>
      </c>
      <c r="N228" s="658">
        <v>-170997.82</v>
      </c>
      <c r="O228" s="658">
        <v>-815702.14</v>
      </c>
      <c r="P228" s="658">
        <v>-82029.149999999994</v>
      </c>
      <c r="Q228" s="658">
        <v>-23538.959999999999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-201988.54</v>
      </c>
      <c r="G246" s="90">
        <v>-8468.4</v>
      </c>
      <c r="H246" s="90">
        <v>-4779.72</v>
      </c>
      <c r="I246" s="90">
        <v>-2537.71</v>
      </c>
      <c r="J246" s="90">
        <v>-48035.81</v>
      </c>
      <c r="K246" s="90">
        <v>-1399.98</v>
      </c>
      <c r="L246" s="90">
        <v>0</v>
      </c>
      <c r="M246" s="90">
        <v>-12280.41</v>
      </c>
      <c r="N246" s="90">
        <v>-18374.759999999998</v>
      </c>
      <c r="O246" s="90">
        <v>-88315.61</v>
      </c>
      <c r="P246" s="90">
        <v>-15511.98</v>
      </c>
      <c r="Q246" s="90">
        <v>-2284.16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-201988.54</v>
      </c>
      <c r="G247" s="90">
        <v>-8468.4</v>
      </c>
      <c r="H247" s="90">
        <v>-4779.72</v>
      </c>
      <c r="I247" s="90">
        <v>-2537.71</v>
      </c>
      <c r="J247" s="90">
        <v>-48035.81</v>
      </c>
      <c r="K247" s="90">
        <v>-1399.98</v>
      </c>
      <c r="L247" s="90">
        <v>0</v>
      </c>
      <c r="M247" s="90">
        <v>-12280.41</v>
      </c>
      <c r="N247" s="90">
        <v>-18374.759999999998</v>
      </c>
      <c r="O247" s="90">
        <v>-88315.61</v>
      </c>
      <c r="P247" s="90">
        <v>-15511.98</v>
      </c>
      <c r="Q247" s="90">
        <v>-2284.16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-201988.54</v>
      </c>
      <c r="G250" s="93">
        <v>-8468.4</v>
      </c>
      <c r="H250" s="93">
        <v>-4779.72</v>
      </c>
      <c r="I250" s="93">
        <v>-2537.71</v>
      </c>
      <c r="J250" s="93">
        <v>-48035.81</v>
      </c>
      <c r="K250" s="93">
        <v>-1399.98</v>
      </c>
      <c r="L250" s="93">
        <v>0</v>
      </c>
      <c r="M250" s="93">
        <v>-12280.41</v>
      </c>
      <c r="N250" s="93">
        <v>-18374.759999999998</v>
      </c>
      <c r="O250" s="93">
        <v>-88315.61</v>
      </c>
      <c r="P250" s="93">
        <v>-15511.98</v>
      </c>
      <c r="Q250" s="93">
        <v>-2284.16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-2049108.62</v>
      </c>
      <c r="G251" s="377">
        <v>-50090.82</v>
      </c>
      <c r="H251" s="377">
        <v>-28210.59</v>
      </c>
      <c r="I251" s="377">
        <v>-15000.41</v>
      </c>
      <c r="J251" s="377">
        <v>-584391.28</v>
      </c>
      <c r="K251" s="377">
        <v>-15826.78</v>
      </c>
      <c r="L251" s="377">
        <v>0</v>
      </c>
      <c r="M251" s="377">
        <v>-138834.16</v>
      </c>
      <c r="N251" s="377">
        <v>-189372.58</v>
      </c>
      <c r="O251" s="377">
        <v>-904017.75</v>
      </c>
      <c r="P251" s="377">
        <v>-97541.13</v>
      </c>
      <c r="Q251" s="377">
        <v>-25823.119999999999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-3418096950.8499999</v>
      </c>
      <c r="G252" s="90">
        <v>-80551589.049999997</v>
      </c>
      <c r="H252" s="90">
        <v>-44758246.609999999</v>
      </c>
      <c r="I252" s="90">
        <v>-23754776.07</v>
      </c>
      <c r="J252" s="90">
        <v>-998699664.63999999</v>
      </c>
      <c r="K252" s="90">
        <v>-35677156.359999999</v>
      </c>
      <c r="L252" s="90">
        <v>0</v>
      </c>
      <c r="M252" s="90">
        <v>-312988590.06999999</v>
      </c>
      <c r="N252" s="90">
        <v>-297678949.49000001</v>
      </c>
      <c r="O252" s="90">
        <v>-1416154010.96</v>
      </c>
      <c r="P252" s="90">
        <v>-149621658.44</v>
      </c>
      <c r="Q252" s="90">
        <v>-58212309.159999996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-3418096950.8499999</v>
      </c>
      <c r="G253" s="90">
        <v>-80551589.049999997</v>
      </c>
      <c r="H253" s="90">
        <v>-44758246.609999999</v>
      </c>
      <c r="I253" s="90">
        <v>-23754776.07</v>
      </c>
      <c r="J253" s="90">
        <v>-998699664.63999999</v>
      </c>
      <c r="K253" s="90">
        <v>-35677156.359999999</v>
      </c>
      <c r="L253" s="90">
        <v>0</v>
      </c>
      <c r="M253" s="90">
        <v>-312988590.06999999</v>
      </c>
      <c r="N253" s="90">
        <v>-297678949.49000001</v>
      </c>
      <c r="O253" s="90">
        <v>-1416154010.96</v>
      </c>
      <c r="P253" s="90">
        <v>-149621658.44</v>
      </c>
      <c r="Q253" s="90">
        <v>-58212309.159999996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-3418096950.8499999</v>
      </c>
      <c r="G254" s="658">
        <v>-80551589.049999997</v>
      </c>
      <c r="H254" s="658">
        <v>-44758246.609999999</v>
      </c>
      <c r="I254" s="658">
        <v>-23754776.07</v>
      </c>
      <c r="J254" s="658">
        <v>-998699664.63999999</v>
      </c>
      <c r="K254" s="658">
        <v>-35677156.359999999</v>
      </c>
      <c r="L254" s="658">
        <v>0</v>
      </c>
      <c r="M254" s="658">
        <v>-312988590.06999999</v>
      </c>
      <c r="N254" s="658">
        <v>-297678949.49000001</v>
      </c>
      <c r="O254" s="658">
        <v>-1416154010.96</v>
      </c>
      <c r="P254" s="658">
        <v>-149621658.44</v>
      </c>
      <c r="Q254" s="658">
        <v>-58212309.159999996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0</v>
      </c>
      <c r="G255" s="90">
        <v>0</v>
      </c>
      <c r="H255" s="90">
        <v>0</v>
      </c>
      <c r="I255" s="90">
        <v>0</v>
      </c>
      <c r="J255" s="90">
        <v>0</v>
      </c>
      <c r="K255" s="90">
        <v>0</v>
      </c>
      <c r="L255" s="90">
        <v>0</v>
      </c>
      <c r="M255" s="90">
        <v>0</v>
      </c>
      <c r="N255" s="90">
        <v>0</v>
      </c>
      <c r="O255" s="90">
        <v>0</v>
      </c>
      <c r="P255" s="90">
        <v>0</v>
      </c>
      <c r="Q255" s="90">
        <v>0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0</v>
      </c>
      <c r="O256" s="90">
        <v>0</v>
      </c>
      <c r="P256" s="90">
        <v>0</v>
      </c>
      <c r="Q256" s="90">
        <v>0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0</v>
      </c>
      <c r="G257" s="90">
        <v>0</v>
      </c>
      <c r="H257" s="90">
        <v>0</v>
      </c>
      <c r="I257" s="90">
        <v>0</v>
      </c>
      <c r="J257" s="90">
        <v>0</v>
      </c>
      <c r="K257" s="90">
        <v>0</v>
      </c>
      <c r="L257" s="90">
        <v>0</v>
      </c>
      <c r="M257" s="90">
        <v>0</v>
      </c>
      <c r="N257" s="90">
        <v>0</v>
      </c>
      <c r="O257" s="90">
        <v>0</v>
      </c>
      <c r="P257" s="90">
        <v>0</v>
      </c>
      <c r="Q257" s="90">
        <v>0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0</v>
      </c>
      <c r="G258" s="90">
        <v>0</v>
      </c>
      <c r="H258" s="90">
        <v>0</v>
      </c>
      <c r="I258" s="90">
        <v>0</v>
      </c>
      <c r="J258" s="90">
        <v>0</v>
      </c>
      <c r="K258" s="90">
        <v>0</v>
      </c>
      <c r="L258" s="90">
        <v>0</v>
      </c>
      <c r="M258" s="90">
        <v>0</v>
      </c>
      <c r="N258" s="90">
        <v>0</v>
      </c>
      <c r="O258" s="90">
        <v>0</v>
      </c>
      <c r="P258" s="90">
        <v>0</v>
      </c>
      <c r="Q258" s="90">
        <v>0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0</v>
      </c>
      <c r="G263" s="90">
        <v>0</v>
      </c>
      <c r="H263" s="90">
        <v>0</v>
      </c>
      <c r="I263" s="90">
        <v>0</v>
      </c>
      <c r="J263" s="90">
        <v>0</v>
      </c>
      <c r="K263" s="90">
        <v>0</v>
      </c>
      <c r="L263" s="90">
        <v>0</v>
      </c>
      <c r="M263" s="90">
        <v>0</v>
      </c>
      <c r="N263" s="90">
        <v>0</v>
      </c>
      <c r="O263" s="90">
        <v>0</v>
      </c>
      <c r="P263" s="90">
        <v>0</v>
      </c>
      <c r="Q263" s="90">
        <v>0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0</v>
      </c>
      <c r="G264" s="90">
        <v>0</v>
      </c>
      <c r="H264" s="90">
        <v>0</v>
      </c>
      <c r="I264" s="90">
        <v>0</v>
      </c>
      <c r="J264" s="90">
        <v>0</v>
      </c>
      <c r="K264" s="90">
        <v>0</v>
      </c>
      <c r="L264" s="90">
        <v>0</v>
      </c>
      <c r="M264" s="90">
        <v>0</v>
      </c>
      <c r="N264" s="90">
        <v>0</v>
      </c>
      <c r="O264" s="90">
        <v>0</v>
      </c>
      <c r="P264" s="90">
        <v>0</v>
      </c>
      <c r="Q264" s="90">
        <v>0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0</v>
      </c>
      <c r="G269" s="225">
        <v>0</v>
      </c>
      <c r="H269" s="225">
        <v>0</v>
      </c>
      <c r="I269" s="225">
        <v>0</v>
      </c>
      <c r="J269" s="225">
        <v>0</v>
      </c>
      <c r="K269" s="225">
        <v>0</v>
      </c>
      <c r="L269" s="225">
        <v>0</v>
      </c>
      <c r="M269" s="225">
        <v>0</v>
      </c>
      <c r="N269" s="225">
        <v>0</v>
      </c>
      <c r="O269" s="225">
        <v>0</v>
      </c>
      <c r="P269" s="225">
        <v>0</v>
      </c>
      <c r="Q269" s="225">
        <v>0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-31088475.780000001</v>
      </c>
      <c r="G270" s="90">
        <v>-571585.5</v>
      </c>
      <c r="H270" s="90">
        <v>-323201.34999999998</v>
      </c>
      <c r="I270" s="90">
        <v>-169745.15</v>
      </c>
      <c r="J270" s="90">
        <v>-9735003.8800000008</v>
      </c>
      <c r="K270" s="90">
        <v>-231454.24</v>
      </c>
      <c r="L270" s="90">
        <v>0</v>
      </c>
      <c r="M270" s="90">
        <v>-2030358.96</v>
      </c>
      <c r="N270" s="90">
        <v>-2877942.98</v>
      </c>
      <c r="O270" s="90">
        <v>-13713070.220000001</v>
      </c>
      <c r="P270" s="90">
        <v>-1058460.3500000001</v>
      </c>
      <c r="Q270" s="90">
        <v>-377653.15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-31088475.780000001</v>
      </c>
      <c r="G271" s="90">
        <v>-571585.5</v>
      </c>
      <c r="H271" s="90">
        <v>-323201.34999999998</v>
      </c>
      <c r="I271" s="90">
        <v>-169745.15</v>
      </c>
      <c r="J271" s="90">
        <v>-9735003.8800000008</v>
      </c>
      <c r="K271" s="90">
        <v>-231454.24</v>
      </c>
      <c r="L271" s="90">
        <v>0</v>
      </c>
      <c r="M271" s="90">
        <v>-2030358.96</v>
      </c>
      <c r="N271" s="90">
        <v>-2877942.98</v>
      </c>
      <c r="O271" s="90">
        <v>-13713070.220000001</v>
      </c>
      <c r="P271" s="90">
        <v>-1058460.3500000001</v>
      </c>
      <c r="Q271" s="90">
        <v>-377653.15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-14182098.83</v>
      </c>
      <c r="G272" s="90">
        <v>1047560.36</v>
      </c>
      <c r="H272" s="90">
        <v>426887.4</v>
      </c>
      <c r="I272" s="90">
        <v>174177.04</v>
      </c>
      <c r="J272" s="90">
        <v>-6027627.3300000001</v>
      </c>
      <c r="K272" s="90">
        <v>-184901.07</v>
      </c>
      <c r="L272" s="90">
        <v>0</v>
      </c>
      <c r="M272" s="90">
        <v>-1611487.73</v>
      </c>
      <c r="N272" s="90">
        <v>-1961629.86</v>
      </c>
      <c r="O272" s="90">
        <v>-8029657.6100000003</v>
      </c>
      <c r="P272" s="90">
        <v>2286263.23</v>
      </c>
      <c r="Q272" s="90">
        <v>-301683.26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-14182098.83</v>
      </c>
      <c r="G273" s="90">
        <v>1047560.36</v>
      </c>
      <c r="H273" s="90">
        <v>426887.4</v>
      </c>
      <c r="I273" s="90">
        <v>174177.04</v>
      </c>
      <c r="J273" s="90">
        <v>-6027627.3300000001</v>
      </c>
      <c r="K273" s="90">
        <v>-184901.07</v>
      </c>
      <c r="L273" s="90">
        <v>0</v>
      </c>
      <c r="M273" s="90">
        <v>-1611487.73</v>
      </c>
      <c r="N273" s="90">
        <v>-1961629.86</v>
      </c>
      <c r="O273" s="90">
        <v>-8029657.6100000003</v>
      </c>
      <c r="P273" s="90">
        <v>2286263.23</v>
      </c>
      <c r="Q273" s="90">
        <v>-301683.26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195871960.86000001</v>
      </c>
      <c r="G274" s="90">
        <v>49845911.240000002</v>
      </c>
      <c r="H274" s="90">
        <v>28086644.109999999</v>
      </c>
      <c r="I274" s="90">
        <v>14936846.68</v>
      </c>
      <c r="J274" s="90">
        <v>1502048.34</v>
      </c>
      <c r="K274" s="90">
        <v>29601.67</v>
      </c>
      <c r="L274" s="90">
        <v>0</v>
      </c>
      <c r="M274" s="90">
        <v>250884.17</v>
      </c>
      <c r="N274" s="90">
        <v>327364.28999999998</v>
      </c>
      <c r="O274" s="90">
        <v>1552212.7</v>
      </c>
      <c r="P274" s="90">
        <v>99292242.280000001</v>
      </c>
      <c r="Q274" s="90">
        <v>48205.38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195871960.86000001</v>
      </c>
      <c r="G275" s="90">
        <v>49845911.240000002</v>
      </c>
      <c r="H275" s="90">
        <v>28086644.109999999</v>
      </c>
      <c r="I275" s="90">
        <v>14936846.68</v>
      </c>
      <c r="J275" s="90">
        <v>1502048.34</v>
      </c>
      <c r="K275" s="90">
        <v>29601.67</v>
      </c>
      <c r="L275" s="90">
        <v>0</v>
      </c>
      <c r="M275" s="90">
        <v>250884.17</v>
      </c>
      <c r="N275" s="90">
        <v>327364.28999999998</v>
      </c>
      <c r="O275" s="90">
        <v>1552212.7</v>
      </c>
      <c r="P275" s="90">
        <v>99292242.280000001</v>
      </c>
      <c r="Q275" s="90">
        <v>48205.38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150601386.25</v>
      </c>
      <c r="G276" s="93">
        <v>50321886.100000001</v>
      </c>
      <c r="H276" s="93">
        <v>28190330.16</v>
      </c>
      <c r="I276" s="93">
        <v>14941278.57</v>
      </c>
      <c r="J276" s="93">
        <v>-14260582.869999999</v>
      </c>
      <c r="K276" s="93">
        <v>-386753.64</v>
      </c>
      <c r="L276" s="93">
        <v>0</v>
      </c>
      <c r="M276" s="93">
        <v>-3390962.52</v>
      </c>
      <c r="N276" s="93">
        <v>-4512208.55</v>
      </c>
      <c r="O276" s="93">
        <v>-20190515.129999999</v>
      </c>
      <c r="P276" s="93">
        <v>100520045.16</v>
      </c>
      <c r="Q276" s="93">
        <v>-631131.03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-3267495564.5999999</v>
      </c>
      <c r="G277" s="100">
        <v>-30229702.949999999</v>
      </c>
      <c r="H277" s="100">
        <v>-16567916.449999999</v>
      </c>
      <c r="I277" s="100">
        <v>-8813497.5</v>
      </c>
      <c r="J277" s="100">
        <v>-1012960247.51</v>
      </c>
      <c r="K277" s="100">
        <v>-36063910</v>
      </c>
      <c r="L277" s="100">
        <v>0</v>
      </c>
      <c r="M277" s="100">
        <v>-316379552.58999997</v>
      </c>
      <c r="N277" s="100">
        <v>-302191158.04000002</v>
      </c>
      <c r="O277" s="100">
        <v>-1436344526.0899999</v>
      </c>
      <c r="P277" s="100">
        <v>-49101613.280000001</v>
      </c>
      <c r="Q277" s="100">
        <v>-58843440.189999998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-3269544673.2199998</v>
      </c>
      <c r="G278" s="90">
        <v>-30279793.77</v>
      </c>
      <c r="H278" s="90">
        <v>-16596127.039999999</v>
      </c>
      <c r="I278" s="90">
        <v>-8828497.9100000001</v>
      </c>
      <c r="J278" s="90">
        <v>-1013544638.79</v>
      </c>
      <c r="K278" s="90">
        <v>-36079736.780000001</v>
      </c>
      <c r="L278" s="90">
        <v>0</v>
      </c>
      <c r="M278" s="90">
        <v>-316518386.75</v>
      </c>
      <c r="N278" s="90">
        <v>-302380530.62</v>
      </c>
      <c r="O278" s="90">
        <v>-1437248543.8399999</v>
      </c>
      <c r="P278" s="90">
        <v>-49199154.409999996</v>
      </c>
      <c r="Q278" s="90">
        <v>-58869263.310000002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11238640614.9</v>
      </c>
      <c r="G279" s="90">
        <v>843626350.30999994</v>
      </c>
      <c r="H279" s="90">
        <v>467234066.25999999</v>
      </c>
      <c r="I279" s="90">
        <v>247677420.33000001</v>
      </c>
      <c r="J279" s="90">
        <v>2563011989.3600001</v>
      </c>
      <c r="K279" s="90">
        <v>90627303.060000002</v>
      </c>
      <c r="L279" s="90">
        <v>9834335.8100000005</v>
      </c>
      <c r="M279" s="90">
        <v>795176288.37</v>
      </c>
      <c r="N279" s="90">
        <v>766701280.54999995</v>
      </c>
      <c r="O279" s="90">
        <v>3641899856.2800002</v>
      </c>
      <c r="P279" s="90">
        <v>1664899060.9300001</v>
      </c>
      <c r="Q279" s="90">
        <v>148023277.69999999</v>
      </c>
      <c r="R279" s="90">
        <v>-14306.29</v>
      </c>
      <c r="S279" s="90">
        <v>-56307.56</v>
      </c>
      <c r="T279" s="90">
        <v>0.4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-0.61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8" t="s">
        <v>2</v>
      </c>
      <c r="D323" s="775" t="s">
        <v>132</v>
      </c>
      <c r="E323" s="98" t="s">
        <v>70</v>
      </c>
      <c r="F323" s="100">
        <f>F224+F277-L224+F149-L149</f>
        <v>11219101305.09</v>
      </c>
      <c r="G323" s="100">
        <f>G224+G149</f>
        <v>873254306.83000004</v>
      </c>
      <c r="H323" s="100">
        <f t="shared" ref="H323:AP323" si="9">H224+H149</f>
        <v>483462932.19999999</v>
      </c>
      <c r="I323" s="100">
        <f t="shared" si="9"/>
        <v>256309653.09999999</v>
      </c>
      <c r="J323" s="100">
        <f t="shared" si="9"/>
        <v>3573620561.6399999</v>
      </c>
      <c r="K323" s="100">
        <f t="shared" si="9"/>
        <v>126627767.13</v>
      </c>
      <c r="L323" s="100">
        <f t="shared" si="9"/>
        <v>9834335.8100000005</v>
      </c>
      <c r="M323" s="100">
        <f t="shared" si="9"/>
        <v>1110999299.71</v>
      </c>
      <c r="N323" s="100">
        <f t="shared" si="9"/>
        <v>1068155937.1999999</v>
      </c>
      <c r="O323" s="100">
        <f t="shared" si="9"/>
        <v>5074671965.54</v>
      </c>
      <c r="P323" s="100">
        <f t="shared" si="9"/>
        <v>1712802998.4100001</v>
      </c>
      <c r="Q323" s="100">
        <f t="shared" si="9"/>
        <v>206761960.40000001</v>
      </c>
      <c r="R323" s="100">
        <f t="shared" si="9"/>
        <v>-14204.66</v>
      </c>
      <c r="S323" s="100">
        <f t="shared" si="9"/>
        <v>-56307.6</v>
      </c>
      <c r="T323" s="100">
        <f t="shared" si="9"/>
        <v>0.4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-0.61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8"/>
      <c r="D324" s="775"/>
      <c r="E324" s="98" t="s">
        <v>73</v>
      </c>
      <c r="F324" s="100">
        <f>F277</f>
        <v>-3267495564.5999999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8"/>
      <c r="D325" s="775" t="s">
        <v>133</v>
      </c>
      <c r="E325" s="233" t="s">
        <v>70</v>
      </c>
      <c r="F325" s="234">
        <f>F251+F187-L187</f>
        <v>9704974</v>
      </c>
      <c r="G325" s="234">
        <f>G187</f>
        <v>651837.25</v>
      </c>
      <c r="H325" s="234">
        <f t="shared" ref="H325:AP325" si="10">H187</f>
        <v>367261.1</v>
      </c>
      <c r="I325" s="234">
        <f t="shared" si="10"/>
        <v>196265.14</v>
      </c>
      <c r="J325" s="234">
        <f t="shared" si="10"/>
        <v>2936066.51</v>
      </c>
      <c r="K325" s="234">
        <f t="shared" si="10"/>
        <v>79272.710000000006</v>
      </c>
      <c r="L325" s="234">
        <f t="shared" si="10"/>
        <v>0</v>
      </c>
      <c r="M325" s="234">
        <f t="shared" si="10"/>
        <v>695375.41</v>
      </c>
      <c r="N325" s="234">
        <f t="shared" si="10"/>
        <v>925873.97</v>
      </c>
      <c r="O325" s="234">
        <f t="shared" si="10"/>
        <v>4476434.58</v>
      </c>
      <c r="P325" s="234">
        <f t="shared" si="10"/>
        <v>1295216.93</v>
      </c>
      <c r="Q325" s="234">
        <f t="shared" si="10"/>
        <v>130580.61</v>
      </c>
      <c r="R325" s="234">
        <f t="shared" si="10"/>
        <v>-101.63</v>
      </c>
      <c r="S325" s="234">
        <f t="shared" si="10"/>
        <v>0.04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8"/>
      <c r="D326" s="775"/>
      <c r="E326" s="233" t="s">
        <v>73</v>
      </c>
      <c r="F326" s="234">
        <f>F251</f>
        <v>-2049108.62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8" t="s">
        <v>160</v>
      </c>
      <c r="D328" s="775" t="s">
        <v>132</v>
      </c>
      <c r="E328" s="223" t="s">
        <v>70</v>
      </c>
      <c r="F328" s="225">
        <f>F269+F213+F141-L141-M213</f>
        <v>0</v>
      </c>
      <c r="G328" s="225">
        <f>G213+G141</f>
        <v>0</v>
      </c>
      <c r="H328" s="225">
        <f t="shared" ref="H328:AP328" si="11">H213+H141</f>
        <v>0</v>
      </c>
      <c r="I328" s="225">
        <f t="shared" si="11"/>
        <v>0</v>
      </c>
      <c r="J328" s="225">
        <f t="shared" si="11"/>
        <v>0</v>
      </c>
      <c r="K328" s="225">
        <f t="shared" si="11"/>
        <v>0</v>
      </c>
      <c r="L328" s="225">
        <f t="shared" si="11"/>
        <v>0</v>
      </c>
      <c r="M328" s="225">
        <f t="shared" si="11"/>
        <v>0</v>
      </c>
      <c r="N328" s="225">
        <f t="shared" si="11"/>
        <v>0</v>
      </c>
      <c r="O328" s="225">
        <f t="shared" si="11"/>
        <v>0</v>
      </c>
      <c r="P328" s="225">
        <f t="shared" si="11"/>
        <v>0</v>
      </c>
      <c r="Q328" s="225">
        <f t="shared" si="11"/>
        <v>0</v>
      </c>
      <c r="R328" s="225">
        <f t="shared" si="11"/>
        <v>0</v>
      </c>
      <c r="S328" s="225">
        <f t="shared" si="11"/>
        <v>0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0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8"/>
      <c r="D329" s="775"/>
      <c r="E329" s="223" t="s">
        <v>73</v>
      </c>
      <c r="F329" s="225">
        <f>F269</f>
        <v>0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8"/>
      <c r="D330" s="775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8"/>
      <c r="D331" s="775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8" t="s">
        <v>155</v>
      </c>
      <c r="D333" s="775" t="s">
        <v>132</v>
      </c>
      <c r="E333" s="221" t="s">
        <v>70</v>
      </c>
      <c r="F333" s="222">
        <f>F254+F191+F126--L126-L191</f>
        <v>10280213362.66</v>
      </c>
      <c r="G333" s="222">
        <f t="shared" ref="G333:AA333" si="13">G191+G126</f>
        <v>761018413.75</v>
      </c>
      <c r="H333" s="222">
        <f t="shared" si="13"/>
        <v>421539408.77999997</v>
      </c>
      <c r="I333" s="222">
        <f t="shared" si="13"/>
        <v>223598944.56999999</v>
      </c>
      <c r="J333" s="222">
        <f t="shared" si="13"/>
        <v>3457771027.23</v>
      </c>
      <c r="K333" s="222">
        <f t="shared" si="13"/>
        <v>123618520.53999999</v>
      </c>
      <c r="L333" s="222">
        <f t="shared" si="13"/>
        <v>6722063.21</v>
      </c>
      <c r="M333" s="222">
        <f t="shared" si="13"/>
        <v>1083903765.4000001</v>
      </c>
      <c r="N333" s="222">
        <f t="shared" si="13"/>
        <v>1031752345.1600001</v>
      </c>
      <c r="O333" s="222">
        <f t="shared" si="13"/>
        <v>4903307713.3400002</v>
      </c>
      <c r="P333" s="222">
        <f t="shared" si="13"/>
        <v>1489981474</v>
      </c>
      <c r="Q333" s="222">
        <f t="shared" si="13"/>
        <v>201832007.78999999</v>
      </c>
      <c r="R333" s="222">
        <f t="shared" si="13"/>
        <v>-13258.12</v>
      </c>
      <c r="S333" s="222">
        <f t="shared" si="13"/>
        <v>-48.93</v>
      </c>
      <c r="T333" s="222">
        <f t="shared" si="13"/>
        <v>0.4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-0.4</v>
      </c>
      <c r="AA333" s="222">
        <f t="shared" si="13"/>
        <v>0</v>
      </c>
    </row>
    <row r="334" spans="1:42" ht="12.75" customHeight="1" x14ac:dyDescent="0.25">
      <c r="C334" s="778"/>
      <c r="D334" s="775"/>
      <c r="E334" s="221" t="s">
        <v>73</v>
      </c>
      <c r="F334" s="222">
        <f>F254</f>
        <v>-3418096950.8499999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8"/>
      <c r="D335" s="775" t="s">
        <v>133</v>
      </c>
      <c r="E335" s="229" t="s">
        <v>70</v>
      </c>
      <c r="F335" s="230">
        <f>F228+F154-L154</f>
        <v>9240820</v>
      </c>
      <c r="G335" s="230">
        <f>G154</f>
        <v>619369.35</v>
      </c>
      <c r="H335" s="230">
        <f t="shared" ref="H335:AP335" si="14">H154</f>
        <v>348940.76</v>
      </c>
      <c r="I335" s="230">
        <f t="shared" si="14"/>
        <v>186556.4</v>
      </c>
      <c r="J335" s="230">
        <f t="shared" si="14"/>
        <v>2777266.1</v>
      </c>
      <c r="K335" s="230">
        <f t="shared" si="14"/>
        <v>74214.44</v>
      </c>
      <c r="L335" s="230">
        <f t="shared" si="14"/>
        <v>0</v>
      </c>
      <c r="M335" s="230">
        <f t="shared" si="14"/>
        <v>651004.74</v>
      </c>
      <c r="N335" s="230">
        <f t="shared" si="14"/>
        <v>869550.37</v>
      </c>
      <c r="O335" s="230">
        <f t="shared" si="14"/>
        <v>4207125.5599999996</v>
      </c>
      <c r="P335" s="230">
        <f t="shared" si="14"/>
        <v>1231696.32</v>
      </c>
      <c r="Q335" s="230">
        <f t="shared" si="14"/>
        <v>122327.65</v>
      </c>
      <c r="R335" s="230">
        <f t="shared" si="14"/>
        <v>-111.65</v>
      </c>
      <c r="S335" s="230">
        <f t="shared" si="14"/>
        <v>0.04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8"/>
      <c r="D336" s="775"/>
      <c r="E336" s="229" t="s">
        <v>73</v>
      </c>
      <c r="F336" s="230">
        <f>F228</f>
        <v>-1847120.08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6" t="s">
        <v>326</v>
      </c>
      <c r="D338" s="775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6"/>
      <c r="D339" s="775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6"/>
      <c r="D340" s="775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6"/>
      <c r="D341" s="775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8" t="s">
        <v>119</v>
      </c>
      <c r="D343" s="775" t="s">
        <v>132</v>
      </c>
      <c r="E343" s="101" t="s">
        <v>70</v>
      </c>
      <c r="F343" s="93">
        <f>F276+F223+F148-L148-L223</f>
        <v>938887942.42999995</v>
      </c>
      <c r="G343" s="93">
        <f t="shared" ref="G343:AP343" si="15">G223+G148</f>
        <v>112235893.08000001</v>
      </c>
      <c r="H343" s="93">
        <f t="shared" si="15"/>
        <v>61923523.419999994</v>
      </c>
      <c r="I343" s="93">
        <f t="shared" si="15"/>
        <v>32710708.530000001</v>
      </c>
      <c r="J343" s="93">
        <f t="shared" si="15"/>
        <v>115849534.41</v>
      </c>
      <c r="K343" s="93">
        <f t="shared" si="15"/>
        <v>3009246.5900000003</v>
      </c>
      <c r="L343" s="93">
        <f t="shared" si="15"/>
        <v>3112272.6</v>
      </c>
      <c r="M343" s="93">
        <f t="shared" si="15"/>
        <v>27095534.309999999</v>
      </c>
      <c r="N343" s="93">
        <f t="shared" si="15"/>
        <v>36403592.039999999</v>
      </c>
      <c r="O343" s="93">
        <f t="shared" si="15"/>
        <v>171364252.19999999</v>
      </c>
      <c r="P343" s="93">
        <f t="shared" si="15"/>
        <v>222821524.41</v>
      </c>
      <c r="Q343" s="93">
        <f t="shared" si="15"/>
        <v>4929952.6100000003</v>
      </c>
      <c r="R343" s="93">
        <f t="shared" si="15"/>
        <v>-946.54</v>
      </c>
      <c r="S343" s="93">
        <f t="shared" si="15"/>
        <v>-56258.67</v>
      </c>
      <c r="T343" s="93">
        <f t="shared" si="15"/>
        <v>0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-0.21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8"/>
      <c r="D344" s="775"/>
      <c r="E344" s="101" t="s">
        <v>73</v>
      </c>
      <c r="F344" s="93">
        <f>F276</f>
        <v>150601386.25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8"/>
      <c r="D345" s="775" t="s">
        <v>133</v>
      </c>
      <c r="E345" s="235" t="s">
        <v>70</v>
      </c>
      <c r="F345" s="236">
        <f>F250+F186-L186</f>
        <v>464154</v>
      </c>
      <c r="G345" s="236">
        <f>G186</f>
        <v>32467.9</v>
      </c>
      <c r="H345" s="236">
        <f t="shared" ref="H345:AP345" si="16">H186</f>
        <v>18320.34</v>
      </c>
      <c r="I345" s="236">
        <f t="shared" si="16"/>
        <v>9708.74</v>
      </c>
      <c r="J345" s="236">
        <f t="shared" si="16"/>
        <v>158800.41</v>
      </c>
      <c r="K345" s="236">
        <f t="shared" si="16"/>
        <v>5058.2700000000004</v>
      </c>
      <c r="L345" s="236">
        <f t="shared" si="16"/>
        <v>0</v>
      </c>
      <c r="M345" s="236">
        <f t="shared" si="16"/>
        <v>44370.67</v>
      </c>
      <c r="N345" s="236">
        <f t="shared" si="16"/>
        <v>56323.6</v>
      </c>
      <c r="O345" s="236">
        <f t="shared" si="16"/>
        <v>269309.02</v>
      </c>
      <c r="P345" s="236">
        <f t="shared" si="16"/>
        <v>63520.61</v>
      </c>
      <c r="Q345" s="236">
        <f t="shared" si="16"/>
        <v>8252.9599999999991</v>
      </c>
      <c r="R345" s="236">
        <f t="shared" si="16"/>
        <v>10.02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8"/>
      <c r="D346" s="775"/>
      <c r="E346" s="235" t="s">
        <v>73</v>
      </c>
      <c r="F346" s="236">
        <f>F250</f>
        <v>-201988.54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7" t="s">
        <v>161</v>
      </c>
      <c r="D348" s="775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7"/>
      <c r="D349" s="775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7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7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-243714.65</v>
      </c>
      <c r="G353" s="460">
        <f t="shared" ref="G353:AA353" si="17">G149</f>
        <v>-20951.02</v>
      </c>
      <c r="H353" s="460">
        <f t="shared" si="17"/>
        <v>-8900.5</v>
      </c>
      <c r="I353" s="460">
        <f t="shared" si="17"/>
        <v>-3886.81</v>
      </c>
      <c r="J353" s="460">
        <f t="shared" si="17"/>
        <v>-48437.8</v>
      </c>
      <c r="K353" s="460">
        <f t="shared" si="17"/>
        <v>-2062.98</v>
      </c>
      <c r="L353" s="460">
        <f t="shared" si="17"/>
        <v>0</v>
      </c>
      <c r="M353" s="460">
        <f t="shared" si="17"/>
        <v>-18096.09</v>
      </c>
      <c r="N353" s="460">
        <f t="shared" si="17"/>
        <v>-22688.82</v>
      </c>
      <c r="O353" s="460">
        <f t="shared" si="17"/>
        <v>-76193.100000000006</v>
      </c>
      <c r="P353" s="460">
        <f t="shared" si="17"/>
        <v>-39131.24</v>
      </c>
      <c r="Q353" s="460">
        <f t="shared" si="17"/>
        <v>-3366.29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-558.04999999999995</v>
      </c>
      <c r="G358" s="90">
        <v>-36.43</v>
      </c>
      <c r="H358" s="90">
        <v>-15.48</v>
      </c>
      <c r="I358" s="90">
        <v>-6.76</v>
      </c>
      <c r="J358" s="90">
        <v>-123.14</v>
      </c>
      <c r="K358" s="90">
        <v>-4.99</v>
      </c>
      <c r="L358" s="90">
        <v>0</v>
      </c>
      <c r="M358" s="90">
        <v>-43.78</v>
      </c>
      <c r="N358" s="90">
        <v>-55.99</v>
      </c>
      <c r="O358" s="90">
        <v>-184.32</v>
      </c>
      <c r="P358" s="90">
        <v>-79.02</v>
      </c>
      <c r="Q358" s="90">
        <v>-8.14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-558.04999999999995</v>
      </c>
      <c r="G359" s="90">
        <v>-36.43</v>
      </c>
      <c r="H359" s="90">
        <v>-15.48</v>
      </c>
      <c r="I359" s="90">
        <v>-6.76</v>
      </c>
      <c r="J359" s="90">
        <v>-123.14</v>
      </c>
      <c r="K359" s="90">
        <v>-4.99</v>
      </c>
      <c r="L359" s="90">
        <v>0</v>
      </c>
      <c r="M359" s="90">
        <v>-43.78</v>
      </c>
      <c r="N359" s="90">
        <v>-55.99</v>
      </c>
      <c r="O359" s="90">
        <v>-184.32</v>
      </c>
      <c r="P359" s="90">
        <v>-79.02</v>
      </c>
      <c r="Q359" s="90">
        <v>-8.14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-558.04999999999995</v>
      </c>
      <c r="G360" s="230">
        <v>-36.43</v>
      </c>
      <c r="H360" s="230">
        <v>-15.48</v>
      </c>
      <c r="I360" s="230">
        <v>-6.76</v>
      </c>
      <c r="J360" s="230">
        <v>-123.14</v>
      </c>
      <c r="K360" s="230">
        <v>-4.99</v>
      </c>
      <c r="L360" s="230">
        <v>0</v>
      </c>
      <c r="M360" s="230">
        <v>-43.78</v>
      </c>
      <c r="N360" s="230">
        <v>-55.99</v>
      </c>
      <c r="O360" s="230">
        <v>-184.32</v>
      </c>
      <c r="P360" s="230">
        <v>-79.02</v>
      </c>
      <c r="Q360" s="230">
        <v>-8.14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0</v>
      </c>
      <c r="G367" s="93"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-558.04999999999995</v>
      </c>
      <c r="G368" s="90">
        <v>-36.43</v>
      </c>
      <c r="H368" s="90">
        <v>-15.48</v>
      </c>
      <c r="I368" s="90">
        <v>-6.76</v>
      </c>
      <c r="J368" s="90">
        <v>-123.14</v>
      </c>
      <c r="K368" s="90">
        <v>-4.99</v>
      </c>
      <c r="L368" s="90">
        <v>0</v>
      </c>
      <c r="M368" s="90">
        <v>-43.78</v>
      </c>
      <c r="N368" s="90">
        <v>-55.99</v>
      </c>
      <c r="O368" s="90">
        <v>-184.32</v>
      </c>
      <c r="P368" s="90">
        <v>-79.02</v>
      </c>
      <c r="Q368" s="90">
        <v>-8.14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-558.04999999999995</v>
      </c>
      <c r="G369" s="458">
        <v>-36.43</v>
      </c>
      <c r="H369" s="458">
        <v>-15.48</v>
      </c>
      <c r="I369" s="458">
        <v>-6.76</v>
      </c>
      <c r="J369" s="458">
        <v>-123.14</v>
      </c>
      <c r="K369" s="458">
        <v>-4.99</v>
      </c>
      <c r="L369" s="458">
        <v>0</v>
      </c>
      <c r="M369" s="458">
        <v>-43.78</v>
      </c>
      <c r="N369" s="458">
        <v>-55.99</v>
      </c>
      <c r="O369" s="458">
        <v>-184.32</v>
      </c>
      <c r="P369" s="458">
        <v>-79.02</v>
      </c>
      <c r="Q369" s="458">
        <v>-8.14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 s="90">
        <v>0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 s="90">
        <v>0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 s="90">
        <v>0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0</v>
      </c>
      <c r="G373" s="230">
        <v>0</v>
      </c>
      <c r="H373" s="230">
        <v>0</v>
      </c>
      <c r="I373" s="230">
        <v>0</v>
      </c>
      <c r="J373" s="230">
        <v>0</v>
      </c>
      <c r="K373" s="230">
        <v>0</v>
      </c>
      <c r="L373" s="230">
        <v>0</v>
      </c>
      <c r="M373" s="230">
        <v>0</v>
      </c>
      <c r="N373" s="230">
        <v>0</v>
      </c>
      <c r="O373" s="230">
        <v>0</v>
      </c>
      <c r="P373" s="230">
        <v>0</v>
      </c>
      <c r="Q373" s="230">
        <v>0</v>
      </c>
      <c r="R373" s="230">
        <v>0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370.08</v>
      </c>
      <c r="R374" s="90">
        <v>-1.95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7.0000000000000007E-2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370.15</v>
      </c>
      <c r="R376" s="90">
        <v>-1.95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0</v>
      </c>
      <c r="G383" s="93">
        <v>0</v>
      </c>
      <c r="H383" s="93">
        <v>0</v>
      </c>
      <c r="I383" s="93">
        <v>0</v>
      </c>
      <c r="J383" s="93">
        <v>0</v>
      </c>
      <c r="K383" s="93">
        <v>0</v>
      </c>
      <c r="L383" s="93">
        <v>0</v>
      </c>
      <c r="M383" s="93">
        <v>0</v>
      </c>
      <c r="N383" s="93">
        <v>0</v>
      </c>
      <c r="O383" s="93">
        <v>0</v>
      </c>
      <c r="P383" s="93">
        <v>0</v>
      </c>
      <c r="Q383" s="93">
        <v>0</v>
      </c>
      <c r="R383" s="93">
        <v>0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0</v>
      </c>
      <c r="G384" s="377">
        <v>0</v>
      </c>
      <c r="H384" s="377">
        <v>0</v>
      </c>
      <c r="I384" s="377">
        <v>0</v>
      </c>
      <c r="J384" s="377">
        <v>0</v>
      </c>
      <c r="K384" s="377">
        <v>0</v>
      </c>
      <c r="L384" s="377">
        <v>0</v>
      </c>
      <c r="M384" s="377">
        <v>0</v>
      </c>
      <c r="N384" s="377">
        <v>0</v>
      </c>
      <c r="O384" s="377">
        <v>0</v>
      </c>
      <c r="P384" s="377">
        <v>0</v>
      </c>
      <c r="Q384" s="377">
        <v>0</v>
      </c>
      <c r="R384" s="377">
        <v>0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9719750244.8199997</v>
      </c>
      <c r="G385" s="90">
        <v>518985297.01999998</v>
      </c>
      <c r="H385" s="90">
        <v>289013100.16000003</v>
      </c>
      <c r="I385" s="90">
        <v>153714080.84</v>
      </c>
      <c r="J385" s="90">
        <v>2405209535.5500002</v>
      </c>
      <c r="K385" s="90">
        <v>86280652.689999998</v>
      </c>
      <c r="L385" s="90">
        <v>14487413.710000001</v>
      </c>
      <c r="M385" s="90">
        <v>757500669.33000004</v>
      </c>
      <c r="N385" s="90">
        <v>717156253.16999996</v>
      </c>
      <c r="O385" s="90">
        <v>3407243450.5100002</v>
      </c>
      <c r="P385" s="90">
        <v>1229371624.98</v>
      </c>
      <c r="Q385" s="90">
        <v>140870667.74000001</v>
      </c>
      <c r="R385" s="90">
        <v>-82500.88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6460238.2999999998</v>
      </c>
      <c r="G386" s="90">
        <v>500475.93</v>
      </c>
      <c r="H386" s="90">
        <v>267595.03999999998</v>
      </c>
      <c r="I386" s="90">
        <v>141148.85</v>
      </c>
      <c r="J386" s="90">
        <v>1409060.29</v>
      </c>
      <c r="K386" s="90">
        <v>52892.7</v>
      </c>
      <c r="L386" s="90">
        <v>6692.14</v>
      </c>
      <c r="M386" s="90">
        <v>464137.12</v>
      </c>
      <c r="N386" s="90">
        <v>433080.35</v>
      </c>
      <c r="O386" s="90">
        <v>1921331.41</v>
      </c>
      <c r="P386" s="90">
        <v>1177481.7</v>
      </c>
      <c r="Q386" s="90">
        <v>86340.22</v>
      </c>
      <c r="R386" s="90">
        <v>1.44</v>
      </c>
      <c r="S386" s="90">
        <v>-0.43</v>
      </c>
      <c r="T386">
        <v>1.54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9726210483.1200008</v>
      </c>
      <c r="G387" s="90">
        <v>519485772.94999999</v>
      </c>
      <c r="H387" s="90">
        <v>289280695.19999999</v>
      </c>
      <c r="I387" s="90">
        <v>153855229.69</v>
      </c>
      <c r="J387" s="90">
        <v>2406618595.8400002</v>
      </c>
      <c r="K387" s="90">
        <v>86333545.390000001</v>
      </c>
      <c r="L387" s="90">
        <v>14494105.85</v>
      </c>
      <c r="M387" s="90">
        <v>757964806.45000005</v>
      </c>
      <c r="N387" s="90">
        <v>717589333.51999998</v>
      </c>
      <c r="O387" s="90">
        <v>3409164781.9200001</v>
      </c>
      <c r="P387" s="90">
        <v>1230549106.6800001</v>
      </c>
      <c r="Q387" s="90">
        <v>140957007.96000001</v>
      </c>
      <c r="R387" s="90">
        <v>-82499.44</v>
      </c>
      <c r="S387" s="90">
        <v>-0.43</v>
      </c>
      <c r="T387">
        <v>1.54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9726210483.1200008</v>
      </c>
      <c r="G388" s="230">
        <v>519485772.94999999</v>
      </c>
      <c r="H388" s="230">
        <v>289280695.19999999</v>
      </c>
      <c r="I388" s="230">
        <v>153855229.69</v>
      </c>
      <c r="J388" s="230">
        <v>2406618595.8400002</v>
      </c>
      <c r="K388" s="230">
        <v>86333545.390000001</v>
      </c>
      <c r="L388" s="230">
        <v>14494105.85</v>
      </c>
      <c r="M388" s="230">
        <v>757964806.45000005</v>
      </c>
      <c r="N388" s="230">
        <v>717589333.51999998</v>
      </c>
      <c r="O388" s="230">
        <v>3409164781.9200001</v>
      </c>
      <c r="P388" s="230">
        <v>1230549106.6800001</v>
      </c>
      <c r="Q388" s="230">
        <v>140957007.96000001</v>
      </c>
      <c r="R388" s="230">
        <v>-82499.44</v>
      </c>
      <c r="S388" s="230">
        <v>-0.43</v>
      </c>
      <c r="T388" s="230">
        <v>1.54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27893217.32</v>
      </c>
      <c r="G389" s="90">
        <v>2081012.49</v>
      </c>
      <c r="H389" s="90">
        <v>1155536.0900000001</v>
      </c>
      <c r="I389" s="90">
        <v>617410.02</v>
      </c>
      <c r="J389" s="90">
        <v>6000571.4100000001</v>
      </c>
      <c r="K389" s="90">
        <v>162410.15</v>
      </c>
      <c r="L389" s="90">
        <v>120000</v>
      </c>
      <c r="M389" s="90">
        <v>1429718.63</v>
      </c>
      <c r="N389" s="90">
        <v>1933171.8</v>
      </c>
      <c r="O389" s="90">
        <v>9206584.2100000009</v>
      </c>
      <c r="P389" s="90">
        <v>4919256.99</v>
      </c>
      <c r="Q389" s="90">
        <v>267301.82</v>
      </c>
      <c r="R389" s="90">
        <v>243.71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154599.57999999999</v>
      </c>
      <c r="G390" s="90">
        <v>10824.74</v>
      </c>
      <c r="H390" s="90">
        <v>6004.38</v>
      </c>
      <c r="I390" s="90">
        <v>3208.77</v>
      </c>
      <c r="J390" s="90">
        <v>34776.93</v>
      </c>
      <c r="K390" s="90">
        <v>950.03</v>
      </c>
      <c r="L390" s="90">
        <v>0</v>
      </c>
      <c r="M390" s="90">
        <v>8342.33</v>
      </c>
      <c r="N390" s="90">
        <v>11217.5</v>
      </c>
      <c r="O390" s="90">
        <v>52265.65</v>
      </c>
      <c r="P390" s="90">
        <v>25462.6</v>
      </c>
      <c r="Q390" s="90">
        <v>1550.04</v>
      </c>
      <c r="R390" s="90">
        <v>-3.48</v>
      </c>
      <c r="S390" s="90">
        <v>0.09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28047816.899999999</v>
      </c>
      <c r="G391" s="90">
        <v>2091837.23</v>
      </c>
      <c r="H391" s="90">
        <v>1161540.47</v>
      </c>
      <c r="I391" s="90">
        <v>620618.79</v>
      </c>
      <c r="J391" s="90">
        <v>6035348.3399999999</v>
      </c>
      <c r="K391" s="90">
        <v>163360.18</v>
      </c>
      <c r="L391" s="90">
        <v>120000</v>
      </c>
      <c r="M391" s="90">
        <v>1438060.96</v>
      </c>
      <c r="N391" s="90">
        <v>1944389.3</v>
      </c>
      <c r="O391" s="90">
        <v>9258849.8599999994</v>
      </c>
      <c r="P391" s="90">
        <v>4944719.59</v>
      </c>
      <c r="Q391" s="90">
        <v>268851.86</v>
      </c>
      <c r="R391" s="90">
        <v>240.23</v>
      </c>
      <c r="S391" s="90">
        <v>0.09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29974838.109999999</v>
      </c>
      <c r="G392" s="90">
        <v>4371957.34</v>
      </c>
      <c r="H392" s="90">
        <v>2385801.56</v>
      </c>
      <c r="I392" s="90">
        <v>1257846.1000000001</v>
      </c>
      <c r="J392" s="90">
        <v>3214417.44</v>
      </c>
      <c r="K392" s="90">
        <v>135193.76999999999</v>
      </c>
      <c r="L392" s="90">
        <v>535353.18999999994</v>
      </c>
      <c r="M392" s="90">
        <v>1184512.71</v>
      </c>
      <c r="N392" s="90">
        <v>1156651.8899999999</v>
      </c>
      <c r="O392" s="90">
        <v>5194600.59</v>
      </c>
      <c r="P392" s="90">
        <v>10318301.26</v>
      </c>
      <c r="Q392" s="90">
        <v>220225.91</v>
      </c>
      <c r="R392" s="90">
        <v>-23.65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753903.19</v>
      </c>
      <c r="G393" s="90">
        <v>75688.100000000006</v>
      </c>
      <c r="H393" s="90">
        <v>39256.080000000002</v>
      </c>
      <c r="I393" s="90">
        <v>17189.55</v>
      </c>
      <c r="J393" s="90">
        <v>111623.91</v>
      </c>
      <c r="K393" s="90">
        <v>7618.41</v>
      </c>
      <c r="L393" s="90">
        <v>0</v>
      </c>
      <c r="M393" s="90">
        <v>66787.320000000007</v>
      </c>
      <c r="N393" s="90">
        <v>57030.81</v>
      </c>
      <c r="O393" s="90">
        <v>195601.23</v>
      </c>
      <c r="P393" s="90">
        <v>170673.94</v>
      </c>
      <c r="Q393" s="90">
        <v>12428.53</v>
      </c>
      <c r="R393" s="90">
        <v>13.62</v>
      </c>
      <c r="S393" s="90">
        <v>-8.35</v>
      </c>
      <c r="T393">
        <v>0.04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30728741.300000001</v>
      </c>
      <c r="G394" s="90">
        <v>4447645.4400000004</v>
      </c>
      <c r="H394" s="90">
        <v>2425057.64</v>
      </c>
      <c r="I394" s="90">
        <v>1275035.6499999999</v>
      </c>
      <c r="J394" s="90">
        <v>3326041.35</v>
      </c>
      <c r="K394" s="90">
        <v>142812.18</v>
      </c>
      <c r="L394" s="90">
        <v>535353.18999999994</v>
      </c>
      <c r="M394" s="90">
        <v>1251300.03</v>
      </c>
      <c r="N394" s="90">
        <v>1213682.7</v>
      </c>
      <c r="O394" s="90">
        <v>5390201.8200000003</v>
      </c>
      <c r="P394" s="90">
        <v>10488975.199999999</v>
      </c>
      <c r="Q394" s="90">
        <v>232654.44</v>
      </c>
      <c r="R394" s="90">
        <v>-10.029999999999999</v>
      </c>
      <c r="S394" s="90">
        <v>-8.35</v>
      </c>
      <c r="T394">
        <v>0.04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226728731.69999999</v>
      </c>
      <c r="G395" s="90">
        <v>42828311.229999997</v>
      </c>
      <c r="H395" s="90">
        <v>24273629.100000001</v>
      </c>
      <c r="I395" s="90">
        <v>12708424.33</v>
      </c>
      <c r="J395" s="90">
        <v>12928902.76</v>
      </c>
      <c r="K395" s="90">
        <v>341568.52</v>
      </c>
      <c r="L395" s="90">
        <v>4088350.02</v>
      </c>
      <c r="M395" s="90">
        <v>3004870.82</v>
      </c>
      <c r="N395" s="90">
        <v>4237775.21</v>
      </c>
      <c r="O395" s="90">
        <v>20284611.449999999</v>
      </c>
      <c r="P395" s="90">
        <v>101468705.94</v>
      </c>
      <c r="Q395" s="90">
        <v>563016.39</v>
      </c>
      <c r="R395" s="90">
        <v>565.92999999999995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1206617.6299999999</v>
      </c>
      <c r="G396" s="90">
        <v>195527.8</v>
      </c>
      <c r="H396" s="90">
        <v>126581.95</v>
      </c>
      <c r="I396" s="90">
        <v>58497.16</v>
      </c>
      <c r="J396" s="90">
        <v>112774.52</v>
      </c>
      <c r="K396" s="90">
        <v>2729.26</v>
      </c>
      <c r="L396" s="90">
        <v>67908.600000000006</v>
      </c>
      <c r="M396" s="90">
        <v>23708.58</v>
      </c>
      <c r="N396" s="90">
        <v>33699.53</v>
      </c>
      <c r="O396" s="90">
        <v>157605.82</v>
      </c>
      <c r="P396" s="90">
        <v>464745.83</v>
      </c>
      <c r="Q396" s="90">
        <v>4452.93</v>
      </c>
      <c r="R396" s="90">
        <v>-1.56</v>
      </c>
      <c r="S396" s="90">
        <v>-41612.79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227935349.33000001</v>
      </c>
      <c r="G397" s="90">
        <v>43023839.030000001</v>
      </c>
      <c r="H397" s="90">
        <v>24400211.050000001</v>
      </c>
      <c r="I397" s="90">
        <v>12766921.49</v>
      </c>
      <c r="J397" s="90">
        <v>13041677.279999999</v>
      </c>
      <c r="K397" s="90">
        <v>344297.78</v>
      </c>
      <c r="L397" s="90">
        <v>4156258.62</v>
      </c>
      <c r="M397" s="90">
        <v>3028579.4</v>
      </c>
      <c r="N397" s="90">
        <v>4271474.74</v>
      </c>
      <c r="O397" s="90">
        <v>20442217.27</v>
      </c>
      <c r="P397" s="90">
        <v>101933451.77</v>
      </c>
      <c r="Q397" s="90">
        <v>567469.31999999995</v>
      </c>
      <c r="R397" s="90">
        <v>564.37</v>
      </c>
      <c r="S397" s="90">
        <v>-41612.79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286711907.52999997</v>
      </c>
      <c r="G398" s="93">
        <v>49563321.700000003</v>
      </c>
      <c r="H398" s="93">
        <v>27986809.16</v>
      </c>
      <c r="I398" s="93">
        <v>14662575.93</v>
      </c>
      <c r="J398" s="93">
        <v>22403066.969999999</v>
      </c>
      <c r="K398" s="93">
        <v>650470.14</v>
      </c>
      <c r="L398" s="93">
        <v>4811611.8099999996</v>
      </c>
      <c r="M398" s="93">
        <v>5717940.3899999997</v>
      </c>
      <c r="N398" s="93">
        <v>7429546.7400000002</v>
      </c>
      <c r="O398" s="93">
        <v>35091268.950000003</v>
      </c>
      <c r="P398" s="93">
        <v>117367146.56</v>
      </c>
      <c r="Q398" s="93">
        <v>1068975.6200000001</v>
      </c>
      <c r="R398" s="93">
        <v>794.57</v>
      </c>
      <c r="S398" s="93">
        <v>-41621.050000000003</v>
      </c>
      <c r="T398" s="94">
        <v>0.04</v>
      </c>
      <c r="U398" s="94">
        <v>0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10012922390.65</v>
      </c>
      <c r="G399" s="100">
        <v>569049094.64999998</v>
      </c>
      <c r="H399" s="100">
        <v>317267504.36000001</v>
      </c>
      <c r="I399" s="100">
        <v>168517805.62</v>
      </c>
      <c r="J399" s="100">
        <v>2429021662.8099999</v>
      </c>
      <c r="K399" s="100">
        <v>86984015.530000001</v>
      </c>
      <c r="L399" s="100">
        <v>19305717.66</v>
      </c>
      <c r="M399" s="100">
        <v>763682746.84000003</v>
      </c>
      <c r="N399" s="100">
        <v>725018880.25999999</v>
      </c>
      <c r="O399" s="100">
        <v>3444256050.8699999</v>
      </c>
      <c r="P399" s="100">
        <v>1347916253.24</v>
      </c>
      <c r="Q399" s="100">
        <v>142025983.58000001</v>
      </c>
      <c r="R399" s="100">
        <v>-81704.87</v>
      </c>
      <c r="S399" s="100">
        <v>-41621.480000000003</v>
      </c>
      <c r="T399" s="226">
        <v>1.58</v>
      </c>
      <c r="U399" s="226">
        <v>0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10012922390.65</v>
      </c>
      <c r="G400" s="90">
        <v>569049094.64999998</v>
      </c>
      <c r="H400" s="90">
        <v>317267504.36000001</v>
      </c>
      <c r="I400" s="90">
        <v>168517805.62</v>
      </c>
      <c r="J400" s="90">
        <v>2429021662.8099999</v>
      </c>
      <c r="K400" s="90">
        <v>86984015.530000001</v>
      </c>
      <c r="L400" s="90">
        <v>19305717.66</v>
      </c>
      <c r="M400" s="90">
        <v>763682746.84000003</v>
      </c>
      <c r="N400" s="90">
        <v>725018880.25999999</v>
      </c>
      <c r="O400" s="90">
        <v>3444256050.8699999</v>
      </c>
      <c r="P400" s="90">
        <v>1347916253.24</v>
      </c>
      <c r="Q400" s="90">
        <v>142025983.58000001</v>
      </c>
      <c r="R400" s="90">
        <v>-81704.87</v>
      </c>
      <c r="S400" s="90">
        <v>-41621.480000000003</v>
      </c>
      <c r="T400">
        <v>1.58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0</v>
      </c>
      <c r="G401" s="90">
        <v>0</v>
      </c>
      <c r="H401" s="90">
        <v>0</v>
      </c>
      <c r="I401" s="90">
        <v>0</v>
      </c>
      <c r="J401" s="90">
        <v>0</v>
      </c>
      <c r="K401" s="90">
        <v>0</v>
      </c>
      <c r="L401" s="90">
        <v>0</v>
      </c>
      <c r="M401" s="90">
        <v>0</v>
      </c>
      <c r="N401" s="90">
        <v>0</v>
      </c>
      <c r="O401" s="90">
        <v>0</v>
      </c>
      <c r="P401" s="90">
        <v>0</v>
      </c>
      <c r="Q401" s="90">
        <v>0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0</v>
      </c>
      <c r="G402" s="90">
        <v>0</v>
      </c>
      <c r="H402" s="90">
        <v>0</v>
      </c>
      <c r="I402" s="90">
        <v>0</v>
      </c>
      <c r="J402" s="90">
        <v>0</v>
      </c>
      <c r="K402" s="90">
        <v>0</v>
      </c>
      <c r="L402" s="90">
        <v>0</v>
      </c>
      <c r="M402" s="90">
        <v>0</v>
      </c>
      <c r="N402" s="90">
        <v>0</v>
      </c>
      <c r="O402" s="90">
        <v>0</v>
      </c>
      <c r="P402" s="90">
        <v>0</v>
      </c>
      <c r="Q402" s="90">
        <v>0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0</v>
      </c>
      <c r="G403" s="230">
        <v>0</v>
      </c>
      <c r="H403" s="230">
        <v>0</v>
      </c>
      <c r="I403" s="230">
        <v>0</v>
      </c>
      <c r="J403" s="230">
        <v>0</v>
      </c>
      <c r="K403" s="230">
        <v>0</v>
      </c>
      <c r="L403" s="230">
        <v>0</v>
      </c>
      <c r="M403" s="230">
        <v>0</v>
      </c>
      <c r="N403" s="230">
        <v>0</v>
      </c>
      <c r="O403" s="230">
        <v>0</v>
      </c>
      <c r="P403" s="230">
        <v>0</v>
      </c>
      <c r="Q403" s="230">
        <v>0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0</v>
      </c>
      <c r="G404" s="90">
        <v>0</v>
      </c>
      <c r="H404" s="90">
        <v>0</v>
      </c>
      <c r="I404" s="90">
        <v>0</v>
      </c>
      <c r="J404" s="90">
        <v>0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0</v>
      </c>
      <c r="G410" s="93">
        <v>0</v>
      </c>
      <c r="H410" s="93">
        <v>0</v>
      </c>
      <c r="I410" s="93">
        <v>0</v>
      </c>
      <c r="J410" s="93">
        <v>0</v>
      </c>
      <c r="K410" s="93">
        <v>0</v>
      </c>
      <c r="L410" s="93">
        <v>0</v>
      </c>
      <c r="M410" s="93">
        <v>0</v>
      </c>
      <c r="N410" s="93">
        <v>0</v>
      </c>
      <c r="O410" s="93">
        <v>0</v>
      </c>
      <c r="P410" s="93">
        <v>0</v>
      </c>
      <c r="Q410" s="93">
        <v>0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0</v>
      </c>
      <c r="G411" s="377">
        <v>0</v>
      </c>
      <c r="H411" s="377">
        <v>0</v>
      </c>
      <c r="I411" s="377">
        <v>0</v>
      </c>
      <c r="J411" s="377">
        <v>0</v>
      </c>
      <c r="K411" s="377">
        <v>0</v>
      </c>
      <c r="L411" s="377">
        <v>0</v>
      </c>
      <c r="M411" s="377">
        <v>0</v>
      </c>
      <c r="N411" s="377">
        <v>0</v>
      </c>
      <c r="O411" s="377">
        <v>0</v>
      </c>
      <c r="P411" s="377">
        <v>0</v>
      </c>
      <c r="Q411" s="377">
        <v>0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-1327632993.0699999</v>
      </c>
      <c r="G412" s="90">
        <v>-8564985.7699999996</v>
      </c>
      <c r="H412" s="90">
        <v>-4774987.63</v>
      </c>
      <c r="I412" s="90">
        <v>-2523218.8199999998</v>
      </c>
      <c r="J412" s="90">
        <v>-408268306.70999998</v>
      </c>
      <c r="K412" s="90">
        <v>-14887976.699999999</v>
      </c>
      <c r="L412" s="90">
        <v>0</v>
      </c>
      <c r="M412" s="90">
        <v>-130597681.34</v>
      </c>
      <c r="N412" s="90">
        <v>-124131146.83</v>
      </c>
      <c r="O412" s="90">
        <v>-589163703.41999996</v>
      </c>
      <c r="P412" s="90">
        <v>-20430834.859999999</v>
      </c>
      <c r="Q412" s="90">
        <v>-24290150.989999998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-1327632993.0699999</v>
      </c>
      <c r="G413" s="90">
        <v>-8564985.7699999996</v>
      </c>
      <c r="H413" s="90">
        <v>-4774987.63</v>
      </c>
      <c r="I413" s="90">
        <v>-2523218.8199999998</v>
      </c>
      <c r="J413" s="90">
        <v>-408268306.70999998</v>
      </c>
      <c r="K413" s="90">
        <v>-14887976.699999999</v>
      </c>
      <c r="L413" s="90">
        <v>0</v>
      </c>
      <c r="M413" s="90">
        <v>-130597681.34</v>
      </c>
      <c r="N413" s="90">
        <v>-124131146.83</v>
      </c>
      <c r="O413" s="90">
        <v>-589163703.41999996</v>
      </c>
      <c r="P413" s="90">
        <v>-20430834.859999999</v>
      </c>
      <c r="Q413" s="90">
        <v>-24290150.989999998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-1327632993.0699999</v>
      </c>
      <c r="G414" s="230">
        <v>-8564985.7699999996</v>
      </c>
      <c r="H414" s="230">
        <v>-4774987.63</v>
      </c>
      <c r="I414" s="230">
        <v>-2523218.8199999998</v>
      </c>
      <c r="J414" s="230">
        <v>-408268306.70999998</v>
      </c>
      <c r="K414" s="230">
        <v>-14887976.699999999</v>
      </c>
      <c r="L414" s="230">
        <v>0</v>
      </c>
      <c r="M414" s="230">
        <v>-130597681.34</v>
      </c>
      <c r="N414" s="230">
        <v>-124131146.83</v>
      </c>
      <c r="O414" s="230">
        <v>-589163703.41999996</v>
      </c>
      <c r="P414" s="230">
        <v>-20430834.859999999</v>
      </c>
      <c r="Q414" s="230">
        <v>-24290150.989999998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2828333.1</v>
      </c>
      <c r="G415" s="90">
        <v>743180.49</v>
      </c>
      <c r="H415" s="90">
        <v>414441.74</v>
      </c>
      <c r="I415" s="90">
        <v>221023.81</v>
      </c>
      <c r="J415" s="90">
        <v>-139031.15</v>
      </c>
      <c r="K415" s="90">
        <v>-2208.44</v>
      </c>
      <c r="L415" s="90">
        <v>0</v>
      </c>
      <c r="M415" s="90">
        <v>-20313.72</v>
      </c>
      <c r="N415" s="90">
        <v>-24977.48</v>
      </c>
      <c r="O415" s="90">
        <v>-121230.75</v>
      </c>
      <c r="P415" s="90">
        <v>1761052.74</v>
      </c>
      <c r="Q415" s="90">
        <v>-3604.14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2828333.1</v>
      </c>
      <c r="G416" s="90">
        <v>743180.49</v>
      </c>
      <c r="H416" s="90">
        <v>414441.74</v>
      </c>
      <c r="I416" s="90">
        <v>221023.81</v>
      </c>
      <c r="J416" s="90">
        <v>-139031.15</v>
      </c>
      <c r="K416" s="90">
        <v>-2208.44</v>
      </c>
      <c r="L416" s="90">
        <v>0</v>
      </c>
      <c r="M416" s="90">
        <v>-20313.72</v>
      </c>
      <c r="N416" s="90">
        <v>-24977.48</v>
      </c>
      <c r="O416" s="90">
        <v>-121230.75</v>
      </c>
      <c r="P416" s="90">
        <v>1761052.74</v>
      </c>
      <c r="Q416" s="90">
        <v>-3604.14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10204619.699999999</v>
      </c>
      <c r="G417" s="90">
        <v>2328991.14</v>
      </c>
      <c r="H417" s="90">
        <v>1287297.82</v>
      </c>
      <c r="I417" s="90">
        <v>679570.49</v>
      </c>
      <c r="J417" s="90">
        <v>102278.14</v>
      </c>
      <c r="K417" s="90">
        <v>4415.71</v>
      </c>
      <c r="L417" s="90">
        <v>0</v>
      </c>
      <c r="M417" s="90">
        <v>39056.980000000003</v>
      </c>
      <c r="N417" s="90">
        <v>58210.36</v>
      </c>
      <c r="O417" s="90">
        <v>188950.98</v>
      </c>
      <c r="P417" s="90">
        <v>5508643.75</v>
      </c>
      <c r="Q417" s="90">
        <v>7204.33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10204619.699999999</v>
      </c>
      <c r="G418" s="90">
        <v>2328991.14</v>
      </c>
      <c r="H418" s="90">
        <v>1287297.82</v>
      </c>
      <c r="I418" s="90">
        <v>679570.49</v>
      </c>
      <c r="J418" s="90">
        <v>102278.14</v>
      </c>
      <c r="K418" s="90">
        <v>4415.71</v>
      </c>
      <c r="L418" s="90">
        <v>0</v>
      </c>
      <c r="M418" s="90">
        <v>39056.980000000003</v>
      </c>
      <c r="N418" s="90">
        <v>58210.36</v>
      </c>
      <c r="O418" s="90">
        <v>188950.98</v>
      </c>
      <c r="P418" s="90">
        <v>5508643.75</v>
      </c>
      <c r="Q418" s="90">
        <v>7204.33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132456085.67</v>
      </c>
      <c r="G419" s="90">
        <v>30585428.239999998</v>
      </c>
      <c r="H419" s="90">
        <v>17048992.600000001</v>
      </c>
      <c r="I419" s="90">
        <v>9062837.0399999991</v>
      </c>
      <c r="J419" s="90">
        <v>1058444.68</v>
      </c>
      <c r="K419" s="90">
        <v>25732.85</v>
      </c>
      <c r="L419" s="90">
        <v>0</v>
      </c>
      <c r="M419" s="90">
        <v>227727.21</v>
      </c>
      <c r="N419" s="90">
        <v>319819.03999999998</v>
      </c>
      <c r="O419" s="90">
        <v>1520655.55</v>
      </c>
      <c r="P419" s="90">
        <v>72564464.719999999</v>
      </c>
      <c r="Q419" s="90">
        <v>41983.74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132456085.67</v>
      </c>
      <c r="G420" s="90">
        <v>30585428.239999998</v>
      </c>
      <c r="H420" s="90">
        <v>17048992.600000001</v>
      </c>
      <c r="I420" s="90">
        <v>9062837.0399999991</v>
      </c>
      <c r="J420" s="90">
        <v>1058444.68</v>
      </c>
      <c r="K420" s="90">
        <v>25732.85</v>
      </c>
      <c r="L420" s="90">
        <v>0</v>
      </c>
      <c r="M420" s="90">
        <v>227727.21</v>
      </c>
      <c r="N420" s="90">
        <v>319819.03999999998</v>
      </c>
      <c r="O420" s="90">
        <v>1520655.55</v>
      </c>
      <c r="P420" s="90">
        <v>72564464.719999999</v>
      </c>
      <c r="Q420" s="90">
        <v>41983.74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145489038.47</v>
      </c>
      <c r="G421" s="93">
        <v>33657599.869999997</v>
      </c>
      <c r="H421" s="93">
        <v>18750732.16</v>
      </c>
      <c r="I421" s="93">
        <v>9963431.3399999999</v>
      </c>
      <c r="J421" s="93">
        <v>1021691.67</v>
      </c>
      <c r="K421" s="93">
        <v>27940.12</v>
      </c>
      <c r="L421" s="93">
        <v>0</v>
      </c>
      <c r="M421" s="93">
        <v>246470.47</v>
      </c>
      <c r="N421" s="93">
        <v>353051.92</v>
      </c>
      <c r="O421" s="93">
        <v>1588375.78</v>
      </c>
      <c r="P421" s="93">
        <v>79834161.209999993</v>
      </c>
      <c r="Q421" s="93">
        <v>45583.93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-1182143954.5999999</v>
      </c>
      <c r="G422" s="100">
        <v>25092614.100000001</v>
      </c>
      <c r="H422" s="100">
        <v>13975744.529999999</v>
      </c>
      <c r="I422" s="100">
        <v>7440212.5199999996</v>
      </c>
      <c r="J422" s="100">
        <v>-407246615.04000002</v>
      </c>
      <c r="K422" s="100">
        <v>-14860036.58</v>
      </c>
      <c r="L422" s="100">
        <v>0</v>
      </c>
      <c r="M422" s="100">
        <v>-130351210.87</v>
      </c>
      <c r="N422" s="100">
        <v>-123778094.91</v>
      </c>
      <c r="O422" s="100">
        <v>-587575327.63999999</v>
      </c>
      <c r="P422" s="100">
        <v>59403326.350000001</v>
      </c>
      <c r="Q422" s="100">
        <v>-24244567.059999999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-1182143954.5999999</v>
      </c>
      <c r="G423" s="90">
        <v>25092614.100000001</v>
      </c>
      <c r="H423" s="90">
        <v>13975744.529999999</v>
      </c>
      <c r="I423" s="90">
        <v>7440212.5199999996</v>
      </c>
      <c r="J423" s="90">
        <v>-407246615.04000002</v>
      </c>
      <c r="K423" s="90">
        <v>-14860036.58</v>
      </c>
      <c r="L423" s="90">
        <v>0</v>
      </c>
      <c r="M423" s="90">
        <v>-130351210.87</v>
      </c>
      <c r="N423" s="90">
        <v>-123778094.91</v>
      </c>
      <c r="O423" s="90">
        <v>-587575327.63999999</v>
      </c>
      <c r="P423" s="90">
        <v>59403326.350000001</v>
      </c>
      <c r="Q423" s="90">
        <v>-24244567.059999999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8830777878</v>
      </c>
      <c r="G424" s="90">
        <v>594141672.32000005</v>
      </c>
      <c r="H424" s="90">
        <v>331243233.41000003</v>
      </c>
      <c r="I424" s="90">
        <v>175958011.38</v>
      </c>
      <c r="J424" s="90">
        <v>2021774924.6300001</v>
      </c>
      <c r="K424" s="90">
        <v>72123973.959999993</v>
      </c>
      <c r="L424" s="90">
        <v>19305717.66</v>
      </c>
      <c r="M424" s="90">
        <v>633331492.19000006</v>
      </c>
      <c r="N424" s="90">
        <v>601240729.36000001</v>
      </c>
      <c r="O424" s="90">
        <v>2856680538.9099998</v>
      </c>
      <c r="P424" s="90">
        <v>1407319500.5699999</v>
      </c>
      <c r="Q424" s="90">
        <v>117781408.38</v>
      </c>
      <c r="R424" s="90">
        <v>-81704.87</v>
      </c>
      <c r="S424" s="90">
        <v>-41621.480000000003</v>
      </c>
      <c r="T424" s="150">
        <v>1.58</v>
      </c>
      <c r="U424" s="150">
        <v>0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8" t="s">
        <v>2</v>
      </c>
      <c r="D484" s="775" t="s">
        <v>132</v>
      </c>
      <c r="E484" s="98" t="s">
        <v>70</v>
      </c>
      <c r="F484" s="100">
        <f>F399+F422+F368-L368-L399</f>
        <v>8811472160.3400002</v>
      </c>
      <c r="G484" s="100">
        <f t="shared" ref="G484:AO484" si="18">G399+G368</f>
        <v>569049058.22000003</v>
      </c>
      <c r="H484" s="100">
        <f t="shared" si="18"/>
        <v>317267488.88</v>
      </c>
      <c r="I484" s="100">
        <f t="shared" si="18"/>
        <v>168517798.86000001</v>
      </c>
      <c r="J484" s="100">
        <f t="shared" si="18"/>
        <v>2429021539.6700001</v>
      </c>
      <c r="K484" s="100">
        <f t="shared" si="18"/>
        <v>86984010.540000007</v>
      </c>
      <c r="L484" s="100">
        <f t="shared" si="18"/>
        <v>19305717.66</v>
      </c>
      <c r="M484" s="100">
        <f t="shared" si="18"/>
        <v>763682703.06000006</v>
      </c>
      <c r="N484" s="100">
        <f t="shared" si="18"/>
        <v>725018824.26999998</v>
      </c>
      <c r="O484" s="100">
        <f t="shared" si="18"/>
        <v>3444255866.5499997</v>
      </c>
      <c r="P484" s="100">
        <f t="shared" si="18"/>
        <v>1347916174.22</v>
      </c>
      <c r="Q484" s="100">
        <f t="shared" si="18"/>
        <v>142025975.44000003</v>
      </c>
      <c r="R484" s="100">
        <f t="shared" si="18"/>
        <v>-81704.87</v>
      </c>
      <c r="S484" s="100">
        <f t="shared" si="18"/>
        <v>-41621.480000000003</v>
      </c>
      <c r="T484" s="100">
        <f t="shared" si="18"/>
        <v>1.58</v>
      </c>
      <c r="U484" s="100">
        <f t="shared" si="18"/>
        <v>0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8"/>
      <c r="D485" s="775"/>
      <c r="E485" s="98" t="s">
        <v>73</v>
      </c>
      <c r="F485" s="100">
        <f>F422</f>
        <v>-1182143954.5999999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8"/>
      <c r="D486" s="775" t="s">
        <v>133</v>
      </c>
      <c r="E486" s="233" t="s">
        <v>70</v>
      </c>
      <c r="F486" s="234">
        <f>F411+F384-L384</f>
        <v>0</v>
      </c>
      <c r="G486" s="234">
        <f>G384</f>
        <v>0</v>
      </c>
      <c r="H486" s="234">
        <f t="shared" ref="H486:AO486" si="19">H384</f>
        <v>0</v>
      </c>
      <c r="I486" s="234">
        <f t="shared" si="19"/>
        <v>0</v>
      </c>
      <c r="J486" s="234">
        <f t="shared" si="19"/>
        <v>0</v>
      </c>
      <c r="K486" s="234">
        <f t="shared" si="19"/>
        <v>0</v>
      </c>
      <c r="L486" s="234">
        <f t="shared" si="19"/>
        <v>0</v>
      </c>
      <c r="M486" s="234">
        <f t="shared" si="19"/>
        <v>0</v>
      </c>
      <c r="N486" s="234">
        <f t="shared" si="19"/>
        <v>0</v>
      </c>
      <c r="O486" s="234">
        <f t="shared" si="19"/>
        <v>0</v>
      </c>
      <c r="P486" s="234">
        <f t="shared" si="19"/>
        <v>0</v>
      </c>
      <c r="Q486" s="234">
        <f t="shared" si="19"/>
        <v>0</v>
      </c>
      <c r="R486" s="234">
        <f t="shared" si="19"/>
        <v>0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8"/>
      <c r="D487" s="775"/>
      <c r="E487" s="233" t="s">
        <v>73</v>
      </c>
      <c r="F487" s="234">
        <f>F411</f>
        <v>0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8" t="s">
        <v>160</v>
      </c>
      <c r="D489" s="775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8"/>
      <c r="D490" s="775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8"/>
      <c r="D491" s="775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8"/>
      <c r="D492" s="775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8" t="s">
        <v>155</v>
      </c>
      <c r="D494" s="775" t="s">
        <v>132</v>
      </c>
      <c r="E494" s="221" t="s">
        <v>70</v>
      </c>
      <c r="F494" s="222">
        <f>F414+F388+F360-L360-L388</f>
        <v>8384082826.1500006</v>
      </c>
      <c r="G494" s="222">
        <f t="shared" ref="G494:AO494" si="20">G388+G360</f>
        <v>519485736.51999998</v>
      </c>
      <c r="H494" s="222">
        <f t="shared" si="20"/>
        <v>289280679.71999997</v>
      </c>
      <c r="I494" s="222">
        <f t="shared" si="20"/>
        <v>153855222.93000001</v>
      </c>
      <c r="J494" s="222">
        <f t="shared" si="20"/>
        <v>2406618472.7000003</v>
      </c>
      <c r="K494" s="222">
        <f t="shared" si="20"/>
        <v>86333540.400000006</v>
      </c>
      <c r="L494" s="222">
        <f t="shared" si="20"/>
        <v>14494105.85</v>
      </c>
      <c r="M494" s="222">
        <f t="shared" si="20"/>
        <v>757964762.67000008</v>
      </c>
      <c r="N494" s="222">
        <f t="shared" si="20"/>
        <v>717589277.52999997</v>
      </c>
      <c r="O494" s="222">
        <f t="shared" si="20"/>
        <v>3409164597.5999999</v>
      </c>
      <c r="P494" s="222">
        <f t="shared" si="20"/>
        <v>1230549027.6600001</v>
      </c>
      <c r="Q494" s="222">
        <f t="shared" si="20"/>
        <v>140956999.82000002</v>
      </c>
      <c r="R494" s="222">
        <f t="shared" si="20"/>
        <v>-82499.44</v>
      </c>
      <c r="S494" s="222">
        <f t="shared" si="20"/>
        <v>-0.43</v>
      </c>
      <c r="T494" s="222">
        <f t="shared" si="20"/>
        <v>1.54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8"/>
      <c r="D495" s="775"/>
      <c r="E495" s="221" t="s">
        <v>73</v>
      </c>
      <c r="F495" s="222">
        <f>F414</f>
        <v>-1327632993.0699999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8"/>
      <c r="D496" s="775" t="s">
        <v>133</v>
      </c>
      <c r="E496" s="229" t="s">
        <v>70</v>
      </c>
      <c r="F496" s="230">
        <f>F403+F373-L373</f>
        <v>0</v>
      </c>
      <c r="G496" s="230">
        <f>G373</f>
        <v>0</v>
      </c>
      <c r="H496" s="230">
        <f t="shared" ref="H496:AO496" si="21">H373</f>
        <v>0</v>
      </c>
      <c r="I496" s="230">
        <f t="shared" si="21"/>
        <v>0</v>
      </c>
      <c r="J496" s="230">
        <f t="shared" si="21"/>
        <v>0</v>
      </c>
      <c r="K496" s="230">
        <f t="shared" si="21"/>
        <v>0</v>
      </c>
      <c r="L496" s="230">
        <f t="shared" si="21"/>
        <v>0</v>
      </c>
      <c r="M496" s="230">
        <f t="shared" si="21"/>
        <v>0</v>
      </c>
      <c r="N496" s="230">
        <f t="shared" si="21"/>
        <v>0</v>
      </c>
      <c r="O496" s="230">
        <f t="shared" si="21"/>
        <v>0</v>
      </c>
      <c r="P496" s="230">
        <f t="shared" si="21"/>
        <v>0</v>
      </c>
      <c r="Q496" s="230">
        <f t="shared" si="21"/>
        <v>0</v>
      </c>
      <c r="R496" s="230">
        <f t="shared" si="21"/>
        <v>0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8"/>
      <c r="D497" s="775"/>
      <c r="E497" s="229" t="s">
        <v>73</v>
      </c>
      <c r="F497" s="230">
        <f>F403</f>
        <v>0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6" t="s">
        <v>326</v>
      </c>
      <c r="D499" s="775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6"/>
      <c r="D500" s="775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6"/>
      <c r="D501" s="775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6"/>
      <c r="D502" s="775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8" t="s">
        <v>119</v>
      </c>
      <c r="D504" s="775" t="s">
        <v>132</v>
      </c>
      <c r="E504" s="101" t="s">
        <v>70</v>
      </c>
      <c r="F504" s="93">
        <f>F421+F398+F367-L367-L398</f>
        <v>427389334.19</v>
      </c>
      <c r="G504" s="93">
        <f t="shared" ref="G504:AO504" si="22">G398+G367</f>
        <v>49563321.700000003</v>
      </c>
      <c r="H504" s="93">
        <f t="shared" si="22"/>
        <v>27986809.16</v>
      </c>
      <c r="I504" s="93">
        <f t="shared" si="22"/>
        <v>14662575.93</v>
      </c>
      <c r="J504" s="93">
        <f t="shared" si="22"/>
        <v>22403066.969999999</v>
      </c>
      <c r="K504" s="93">
        <f t="shared" si="22"/>
        <v>650470.14</v>
      </c>
      <c r="L504" s="93">
        <f t="shared" si="22"/>
        <v>4811611.8099999996</v>
      </c>
      <c r="M504" s="93">
        <f t="shared" si="22"/>
        <v>5717940.3899999997</v>
      </c>
      <c r="N504" s="93">
        <f t="shared" si="22"/>
        <v>7429546.7400000002</v>
      </c>
      <c r="O504" s="93">
        <f t="shared" si="22"/>
        <v>35091268.950000003</v>
      </c>
      <c r="P504" s="93">
        <f t="shared" si="22"/>
        <v>117367146.56</v>
      </c>
      <c r="Q504" s="93">
        <f t="shared" si="22"/>
        <v>1068975.6200000001</v>
      </c>
      <c r="R504" s="93">
        <f t="shared" si="22"/>
        <v>794.57</v>
      </c>
      <c r="S504" s="93">
        <f t="shared" si="22"/>
        <v>-41621.050000000003</v>
      </c>
      <c r="T504" s="93">
        <f t="shared" si="22"/>
        <v>0.04</v>
      </c>
      <c r="U504" s="93">
        <f t="shared" si="22"/>
        <v>0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8"/>
      <c r="D505" s="775"/>
      <c r="E505" s="101" t="s">
        <v>73</v>
      </c>
      <c r="F505" s="93">
        <f>F421</f>
        <v>145489038.47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8"/>
      <c r="D506" s="775" t="s">
        <v>133</v>
      </c>
      <c r="E506" s="235" t="s">
        <v>70</v>
      </c>
      <c r="F506" s="236">
        <f>F410+F383-L383</f>
        <v>0</v>
      </c>
      <c r="G506" s="236">
        <f>G383</f>
        <v>0</v>
      </c>
      <c r="H506" s="236">
        <f t="shared" ref="H506:AO506" si="23">H383</f>
        <v>0</v>
      </c>
      <c r="I506" s="236">
        <f t="shared" si="23"/>
        <v>0</v>
      </c>
      <c r="J506" s="236">
        <f t="shared" si="23"/>
        <v>0</v>
      </c>
      <c r="K506" s="236">
        <f t="shared" si="23"/>
        <v>0</v>
      </c>
      <c r="L506" s="236">
        <f t="shared" si="23"/>
        <v>0</v>
      </c>
      <c r="M506" s="236">
        <f t="shared" si="23"/>
        <v>0</v>
      </c>
      <c r="N506" s="236">
        <f t="shared" si="23"/>
        <v>0</v>
      </c>
      <c r="O506" s="236">
        <f t="shared" si="23"/>
        <v>0</v>
      </c>
      <c r="P506" s="236">
        <f t="shared" si="23"/>
        <v>0</v>
      </c>
      <c r="Q506" s="236">
        <f t="shared" si="23"/>
        <v>0</v>
      </c>
      <c r="R506" s="236">
        <f t="shared" si="23"/>
        <v>0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8"/>
      <c r="D507" s="775"/>
      <c r="E507" s="235" t="s">
        <v>73</v>
      </c>
      <c r="F507" s="236">
        <f>F410</f>
        <v>0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7" t="s">
        <v>161</v>
      </c>
      <c r="D509" s="775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7"/>
      <c r="D510" s="775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7"/>
      <c r="D511" s="775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7"/>
      <c r="D512" s="775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-558.04999999999995</v>
      </c>
      <c r="G514" s="460">
        <f t="shared" ref="G514:Z514" si="24">G368</f>
        <v>-36.43</v>
      </c>
      <c r="H514" s="460">
        <f t="shared" si="24"/>
        <v>-15.48</v>
      </c>
      <c r="I514" s="460">
        <f t="shared" si="24"/>
        <v>-6.76</v>
      </c>
      <c r="J514" s="460">
        <f t="shared" si="24"/>
        <v>-123.14</v>
      </c>
      <c r="K514" s="460">
        <f t="shared" si="24"/>
        <v>-4.99</v>
      </c>
      <c r="L514" s="460">
        <f t="shared" si="24"/>
        <v>0</v>
      </c>
      <c r="M514" s="460">
        <f t="shared" si="24"/>
        <v>-43.78</v>
      </c>
      <c r="N514" s="460">
        <f t="shared" si="24"/>
        <v>-55.99</v>
      </c>
      <c r="O514" s="460">
        <f t="shared" si="24"/>
        <v>-184.32</v>
      </c>
      <c r="P514" s="460">
        <f t="shared" si="24"/>
        <v>-79.02</v>
      </c>
      <c r="Q514" s="460">
        <f t="shared" si="24"/>
        <v>-8.14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-10060.290000000001</v>
      </c>
      <c r="G519" s="89">
        <v>-815.13</v>
      </c>
      <c r="H519" s="89">
        <v>-346.29</v>
      </c>
      <c r="I519" s="664">
        <v>-151.22999999999999</v>
      </c>
      <c r="J519" s="89">
        <v>-1859.88</v>
      </c>
      <c r="K519" s="89">
        <v>-75.75</v>
      </c>
      <c r="L519" s="89">
        <v>0</v>
      </c>
      <c r="M519" s="89">
        <v>-664.38</v>
      </c>
      <c r="N519" s="89">
        <v>-844.83</v>
      </c>
      <c r="O519" s="89">
        <v>-3102.12</v>
      </c>
      <c r="P519" s="89">
        <v>-2077.08</v>
      </c>
      <c r="Q519" s="89">
        <v>-123.6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-10060.290000000001</v>
      </c>
      <c r="G520" s="89">
        <v>-815.13</v>
      </c>
      <c r="H520" s="89">
        <v>-346.29</v>
      </c>
      <c r="I520" s="664">
        <v>-151.22999999999999</v>
      </c>
      <c r="J520" s="89">
        <v>-1859.88</v>
      </c>
      <c r="K520" s="89">
        <v>-75.75</v>
      </c>
      <c r="L520" s="89">
        <v>0</v>
      </c>
      <c r="M520" s="89">
        <v>-664.38</v>
      </c>
      <c r="N520" s="89">
        <v>-844.83</v>
      </c>
      <c r="O520" s="89">
        <v>-3102.12</v>
      </c>
      <c r="P520" s="89">
        <v>-2077.08</v>
      </c>
      <c r="Q520" s="89">
        <v>-123.6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-10060.290000000001</v>
      </c>
      <c r="G521" s="657">
        <v>-815.13</v>
      </c>
      <c r="H521" s="657">
        <v>-346.29</v>
      </c>
      <c r="I521" s="737">
        <v>-151.22999999999999</v>
      </c>
      <c r="J521" s="657">
        <v>-1859.88</v>
      </c>
      <c r="K521" s="657">
        <v>-75.75</v>
      </c>
      <c r="L521" s="657">
        <v>0</v>
      </c>
      <c r="M521" s="657">
        <v>-664.38</v>
      </c>
      <c r="N521" s="657">
        <v>-844.83</v>
      </c>
      <c r="O521" s="657">
        <v>-3102.12</v>
      </c>
      <c r="P521" s="657">
        <v>-2077.08</v>
      </c>
      <c r="Q521" s="657">
        <v>-123.6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-20120.650000000001</v>
      </c>
      <c r="G539" s="90">
        <v>-1630.32</v>
      </c>
      <c r="H539" s="90">
        <v>-692.62</v>
      </c>
      <c r="I539" s="90">
        <v>-302.45999999999998</v>
      </c>
      <c r="J539" s="90">
        <v>-3719.74</v>
      </c>
      <c r="K539" s="90">
        <v>-151.47</v>
      </c>
      <c r="L539" s="90">
        <v>0</v>
      </c>
      <c r="M539" s="90">
        <v>-1328.8</v>
      </c>
      <c r="N539" s="90">
        <v>-1689.69</v>
      </c>
      <c r="O539" s="90">
        <v>-6204.18</v>
      </c>
      <c r="P539" s="90">
        <v>-4154.22</v>
      </c>
      <c r="Q539" s="90">
        <v>-247.15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-20120.650000000001</v>
      </c>
      <c r="G540" s="90">
        <v>-1630.32</v>
      </c>
      <c r="H540" s="90">
        <v>-692.62</v>
      </c>
      <c r="I540" s="90">
        <v>-302.45999999999998</v>
      </c>
      <c r="J540" s="90">
        <v>-3719.74</v>
      </c>
      <c r="K540" s="90">
        <v>-151.47</v>
      </c>
      <c r="L540" s="90">
        <v>0</v>
      </c>
      <c r="M540" s="90">
        <v>-1328.8</v>
      </c>
      <c r="N540" s="90">
        <v>-1689.69</v>
      </c>
      <c r="O540" s="90">
        <v>-6204.18</v>
      </c>
      <c r="P540" s="90">
        <v>-4154.22</v>
      </c>
      <c r="Q540" s="90">
        <v>-247.15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-20120.650000000001</v>
      </c>
      <c r="G543" s="93">
        <v>-1630.32</v>
      </c>
      <c r="H543" s="93">
        <v>-692.62</v>
      </c>
      <c r="I543" s="93">
        <v>-302.45999999999998</v>
      </c>
      <c r="J543" s="93">
        <v>-3719.74</v>
      </c>
      <c r="K543" s="93">
        <v>-151.47</v>
      </c>
      <c r="L543" s="93">
        <v>0</v>
      </c>
      <c r="M543" s="93">
        <v>-1328.8</v>
      </c>
      <c r="N543" s="93">
        <v>-1689.69</v>
      </c>
      <c r="O543" s="93">
        <v>-6204.18</v>
      </c>
      <c r="P543" s="93">
        <v>-4154.22</v>
      </c>
      <c r="Q543" s="93">
        <v>-247.15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-30180.94</v>
      </c>
      <c r="G544" s="90">
        <v>-2445.4499999999998</v>
      </c>
      <c r="H544" s="90">
        <v>-1038.9100000000001</v>
      </c>
      <c r="I544" s="90">
        <v>-453.69</v>
      </c>
      <c r="J544" s="90">
        <v>-5579.62</v>
      </c>
      <c r="K544" s="90">
        <v>-227.22</v>
      </c>
      <c r="L544" s="90">
        <v>0</v>
      </c>
      <c r="M544" s="90">
        <v>-1993.18</v>
      </c>
      <c r="N544" s="90">
        <v>-2534.52</v>
      </c>
      <c r="O544" s="90">
        <v>-9306.2999999999993</v>
      </c>
      <c r="P544" s="90">
        <v>-6231.3</v>
      </c>
      <c r="Q544" s="90">
        <v>-370.75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-30180.94</v>
      </c>
      <c r="G545" s="460">
        <v>-2445.4499999999998</v>
      </c>
      <c r="H545" s="460">
        <v>-1038.9100000000001</v>
      </c>
      <c r="I545" s="460">
        <v>-453.69</v>
      </c>
      <c r="J545" s="460">
        <v>-5579.62</v>
      </c>
      <c r="K545" s="460">
        <v>-227.22</v>
      </c>
      <c r="L545" s="460">
        <v>0</v>
      </c>
      <c r="M545" s="460">
        <v>-1993.18</v>
      </c>
      <c r="N545" s="460">
        <v>-2534.52</v>
      </c>
      <c r="O545" s="460">
        <v>-9306.2999999999993</v>
      </c>
      <c r="P545" s="460">
        <v>-6231.3</v>
      </c>
      <c r="Q545" s="460">
        <v>-370.75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21516420.77</v>
      </c>
      <c r="G546" s="90">
        <v>1187856.8999999999</v>
      </c>
      <c r="H546" s="90">
        <v>672668.72</v>
      </c>
      <c r="I546" s="90">
        <v>361871.85</v>
      </c>
      <c r="J546" s="90">
        <v>4876831.8099999996</v>
      </c>
      <c r="K546" s="90">
        <v>142932.10999999999</v>
      </c>
      <c r="L546" s="90">
        <v>0</v>
      </c>
      <c r="M546" s="90">
        <v>1245557.08</v>
      </c>
      <c r="N546" s="90">
        <v>1552579.42</v>
      </c>
      <c r="O546" s="90">
        <v>8062220.2000000002</v>
      </c>
      <c r="P546" s="90">
        <v>3179277.73</v>
      </c>
      <c r="Q546" s="90">
        <v>234628.28</v>
      </c>
      <c r="R546" s="90">
        <v>-3.33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441546.2</v>
      </c>
      <c r="G547" s="90">
        <v>39387.96</v>
      </c>
      <c r="H547" s="90">
        <v>18717.47</v>
      </c>
      <c r="I547" s="90">
        <v>7974.72</v>
      </c>
      <c r="J547" s="90">
        <v>82320.37</v>
      </c>
      <c r="K547" s="90">
        <v>3080.74</v>
      </c>
      <c r="L547" s="90">
        <v>0</v>
      </c>
      <c r="M547" s="90">
        <v>27025.34</v>
      </c>
      <c r="N547" s="90">
        <v>34166.400000000001</v>
      </c>
      <c r="O547" s="90">
        <v>122337.49</v>
      </c>
      <c r="P547" s="90">
        <v>101507.62</v>
      </c>
      <c r="Q547" s="90">
        <v>5028.05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21957966.969999999</v>
      </c>
      <c r="G548" s="90">
        <v>1227244.8600000001</v>
      </c>
      <c r="H548" s="90">
        <v>691386.19</v>
      </c>
      <c r="I548" s="90">
        <v>369846.57</v>
      </c>
      <c r="J548" s="90">
        <v>4959152.18</v>
      </c>
      <c r="K548" s="90">
        <v>146012.85</v>
      </c>
      <c r="L548" s="90">
        <v>0</v>
      </c>
      <c r="M548" s="90">
        <v>1272582.42</v>
      </c>
      <c r="N548" s="90">
        <v>1586745.82</v>
      </c>
      <c r="O548" s="90">
        <v>8184557.6900000004</v>
      </c>
      <c r="P548" s="90">
        <v>3280785.35</v>
      </c>
      <c r="Q548" s="90">
        <v>239656.33</v>
      </c>
      <c r="R548" s="90">
        <v>-3.29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21957966.969999999</v>
      </c>
      <c r="G549" s="658">
        <v>1227244.8600000001</v>
      </c>
      <c r="H549" s="658">
        <v>691386.19</v>
      </c>
      <c r="I549" s="658">
        <v>369846.57</v>
      </c>
      <c r="J549" s="658">
        <v>4959152.18</v>
      </c>
      <c r="K549" s="658">
        <v>146012.85</v>
      </c>
      <c r="L549" s="658">
        <v>0</v>
      </c>
      <c r="M549" s="658">
        <v>1272582.42</v>
      </c>
      <c r="N549" s="658">
        <v>1586745.82</v>
      </c>
      <c r="O549" s="658">
        <v>8184557.6900000004</v>
      </c>
      <c r="P549" s="658">
        <v>3280785.35</v>
      </c>
      <c r="Q549" s="658">
        <v>239656.33</v>
      </c>
      <c r="R549" s="658">
        <v>-3.29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269250.42</v>
      </c>
      <c r="G550" s="90">
        <v>11640.67</v>
      </c>
      <c r="H550" s="90">
        <v>6539.65</v>
      </c>
      <c r="I550" s="90">
        <v>3462.31</v>
      </c>
      <c r="J550" s="90">
        <v>34147.99</v>
      </c>
      <c r="K550" s="90">
        <v>2728.6</v>
      </c>
      <c r="L550" s="90">
        <v>0</v>
      </c>
      <c r="M550" s="90">
        <v>23935.17</v>
      </c>
      <c r="N550" s="90">
        <v>24673.09</v>
      </c>
      <c r="O550" s="90">
        <v>126745.31</v>
      </c>
      <c r="P550" s="90">
        <v>30932.12</v>
      </c>
      <c r="Q550" s="90">
        <v>4451.93</v>
      </c>
      <c r="R550" s="90">
        <v>-6.42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2364.25</v>
      </c>
      <c r="G551" s="90">
        <v>134.94</v>
      </c>
      <c r="H551" s="90">
        <v>75.89</v>
      </c>
      <c r="I551" s="90">
        <v>40.21</v>
      </c>
      <c r="J551" s="90">
        <v>655.11</v>
      </c>
      <c r="K551" s="90">
        <v>17.62</v>
      </c>
      <c r="L551" s="90">
        <v>0</v>
      </c>
      <c r="M551" s="90">
        <v>154.5</v>
      </c>
      <c r="N551" s="90">
        <v>202.63</v>
      </c>
      <c r="O551" s="90">
        <v>695.36</v>
      </c>
      <c r="P551" s="90">
        <v>359.29</v>
      </c>
      <c r="Q551" s="90">
        <v>28.76</v>
      </c>
      <c r="R551" s="90">
        <v>-0.06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271614.67</v>
      </c>
      <c r="G552" s="90">
        <v>11775.61</v>
      </c>
      <c r="H552" s="90">
        <v>6615.54</v>
      </c>
      <c r="I552" s="90">
        <v>3502.52</v>
      </c>
      <c r="J552" s="90">
        <v>34803.1</v>
      </c>
      <c r="K552" s="90">
        <v>2746.22</v>
      </c>
      <c r="L552" s="90">
        <v>0</v>
      </c>
      <c r="M552" s="90">
        <v>24089.67</v>
      </c>
      <c r="N552" s="90">
        <v>24875.72</v>
      </c>
      <c r="O552" s="90">
        <v>127440.67</v>
      </c>
      <c r="P552" s="90">
        <v>31291.41</v>
      </c>
      <c r="Q552" s="90">
        <v>4480.6899999999996</v>
      </c>
      <c r="R552" s="90">
        <v>-6.48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0</v>
      </c>
      <c r="G554" s="90">
        <v>0</v>
      </c>
      <c r="H554" s="90">
        <v>0</v>
      </c>
      <c r="I554" s="90">
        <v>0</v>
      </c>
      <c r="J554" s="90">
        <v>0</v>
      </c>
      <c r="K554" s="90">
        <v>0</v>
      </c>
      <c r="L554" s="90">
        <v>0</v>
      </c>
      <c r="M554" s="90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0</v>
      </c>
      <c r="G555" s="90">
        <v>0</v>
      </c>
      <c r="H555" s="90">
        <v>0</v>
      </c>
      <c r="I555" s="90">
        <v>0</v>
      </c>
      <c r="J555" s="90">
        <v>0</v>
      </c>
      <c r="K555" s="90">
        <v>0</v>
      </c>
      <c r="L555" s="90">
        <v>0</v>
      </c>
      <c r="M555" s="90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0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84970</v>
      </c>
      <c r="G562" s="90">
        <v>2339.92</v>
      </c>
      <c r="H562" s="90">
        <v>1244.8399999999999</v>
      </c>
      <c r="I562" s="90">
        <v>1230.9000000000001</v>
      </c>
      <c r="J562" s="90">
        <v>18888.68</v>
      </c>
      <c r="K562" s="90">
        <v>959</v>
      </c>
      <c r="L562" s="90">
        <v>0</v>
      </c>
      <c r="M562" s="90">
        <v>3672.68</v>
      </c>
      <c r="N562" s="90">
        <v>6952.02</v>
      </c>
      <c r="O562" s="90">
        <v>42280.75</v>
      </c>
      <c r="P562" s="90">
        <v>5836.55</v>
      </c>
      <c r="Q562" s="90">
        <v>1564.66</v>
      </c>
      <c r="R562" s="90">
        <v>0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0</v>
      </c>
      <c r="G563" s="90">
        <v>0</v>
      </c>
      <c r="H563" s="90">
        <v>0</v>
      </c>
      <c r="I563" s="90">
        <v>0</v>
      </c>
      <c r="J563" s="90">
        <v>0</v>
      </c>
      <c r="K563" s="90">
        <v>0</v>
      </c>
      <c r="L563" s="90">
        <v>0</v>
      </c>
      <c r="M563" s="90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0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84970</v>
      </c>
      <c r="G564" s="90">
        <v>2339.92</v>
      </c>
      <c r="H564" s="90">
        <v>1244.8399999999999</v>
      </c>
      <c r="I564" s="90">
        <v>1230.9000000000001</v>
      </c>
      <c r="J564" s="90">
        <v>18888.68</v>
      </c>
      <c r="K564" s="90">
        <v>959</v>
      </c>
      <c r="L564" s="90">
        <v>0</v>
      </c>
      <c r="M564" s="90">
        <v>3672.68</v>
      </c>
      <c r="N564" s="90">
        <v>6952.02</v>
      </c>
      <c r="O564" s="90">
        <v>42280.75</v>
      </c>
      <c r="P564" s="90">
        <v>5836.55</v>
      </c>
      <c r="Q564" s="90">
        <v>1564.66</v>
      </c>
      <c r="R564" s="90">
        <v>0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356584.67</v>
      </c>
      <c r="G571" s="225">
        <v>14115.53</v>
      </c>
      <c r="H571" s="225">
        <v>7860.38</v>
      </c>
      <c r="I571" s="225">
        <v>4733.42</v>
      </c>
      <c r="J571" s="225">
        <v>53691.78</v>
      </c>
      <c r="K571" s="225">
        <v>3705.22</v>
      </c>
      <c r="L571" s="225">
        <v>0</v>
      </c>
      <c r="M571" s="225">
        <v>27762.35</v>
      </c>
      <c r="N571" s="225">
        <v>31827.74</v>
      </c>
      <c r="O571" s="225">
        <v>169721.42</v>
      </c>
      <c r="P571" s="225">
        <v>37127.96</v>
      </c>
      <c r="Q571" s="225">
        <v>6045.35</v>
      </c>
      <c r="R571" s="225">
        <v>-6.48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463014.86</v>
      </c>
      <c r="G572" s="90">
        <v>25280.16</v>
      </c>
      <c r="H572" s="90">
        <v>14101.02</v>
      </c>
      <c r="I572" s="90">
        <v>7491.65</v>
      </c>
      <c r="J572" s="90">
        <v>106488.08</v>
      </c>
      <c r="K572" s="90">
        <v>3860.16</v>
      </c>
      <c r="L572" s="90">
        <v>0</v>
      </c>
      <c r="M572" s="90">
        <v>33861.06</v>
      </c>
      <c r="N572" s="90">
        <v>32145.55</v>
      </c>
      <c r="O572" s="90">
        <v>166557.78</v>
      </c>
      <c r="P572" s="90">
        <v>66934.600000000006</v>
      </c>
      <c r="Q572" s="90">
        <v>6298.09</v>
      </c>
      <c r="R572" s="90">
        <v>-3.29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463014.86</v>
      </c>
      <c r="G574" s="90">
        <v>25280.16</v>
      </c>
      <c r="H574" s="90">
        <v>14101.02</v>
      </c>
      <c r="I574" s="90">
        <v>7491.65</v>
      </c>
      <c r="J574" s="90">
        <v>106488.08</v>
      </c>
      <c r="K574" s="90">
        <v>3860.16</v>
      </c>
      <c r="L574" s="90">
        <v>0</v>
      </c>
      <c r="M574" s="90">
        <v>33861.06</v>
      </c>
      <c r="N574" s="90">
        <v>32145.55</v>
      </c>
      <c r="O574" s="90">
        <v>166557.78</v>
      </c>
      <c r="P574" s="90">
        <v>66934.600000000006</v>
      </c>
      <c r="Q574" s="90">
        <v>6298.09</v>
      </c>
      <c r="R574" s="90">
        <v>-3.29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246993.84</v>
      </c>
      <c r="G575" s="90">
        <v>11800.76</v>
      </c>
      <c r="H575" s="90">
        <v>6274.55</v>
      </c>
      <c r="I575" s="90">
        <v>3485.2</v>
      </c>
      <c r="J575" s="90">
        <v>60372.89</v>
      </c>
      <c r="K575" s="90">
        <v>1884.56</v>
      </c>
      <c r="L575" s="90">
        <v>0</v>
      </c>
      <c r="M575" s="90">
        <v>16531.349999999999</v>
      </c>
      <c r="N575" s="90">
        <v>18311.72</v>
      </c>
      <c r="O575" s="90">
        <v>93908.52</v>
      </c>
      <c r="P575" s="90">
        <v>31345.47</v>
      </c>
      <c r="Q575" s="90">
        <v>3074.81</v>
      </c>
      <c r="R575" s="90">
        <v>4.01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182</v>
      </c>
      <c r="G576" s="90">
        <v>10.86</v>
      </c>
      <c r="H576" s="90">
        <v>6.08</v>
      </c>
      <c r="I576" s="90">
        <v>3.22</v>
      </c>
      <c r="J576" s="90">
        <v>42.07</v>
      </c>
      <c r="K576" s="90">
        <v>1.43</v>
      </c>
      <c r="L576" s="90">
        <v>0</v>
      </c>
      <c r="M576" s="90">
        <v>12.51</v>
      </c>
      <c r="N576" s="90">
        <v>12.16</v>
      </c>
      <c r="O576" s="90">
        <v>62.61</v>
      </c>
      <c r="P576" s="90">
        <v>28.74</v>
      </c>
      <c r="Q576" s="90">
        <v>2.3199999999999998</v>
      </c>
      <c r="R576" s="90">
        <v>0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247175.84</v>
      </c>
      <c r="G577" s="90">
        <v>11811.62</v>
      </c>
      <c r="H577" s="90">
        <v>6280.63</v>
      </c>
      <c r="I577" s="90">
        <v>3488.42</v>
      </c>
      <c r="J577" s="90">
        <v>60414.96</v>
      </c>
      <c r="K577" s="90">
        <v>1885.99</v>
      </c>
      <c r="L577" s="90">
        <v>0</v>
      </c>
      <c r="M577" s="90">
        <v>16543.86</v>
      </c>
      <c r="N577" s="90">
        <v>18323.88</v>
      </c>
      <c r="O577" s="90">
        <v>93971.13</v>
      </c>
      <c r="P577" s="90">
        <v>31374.21</v>
      </c>
      <c r="Q577" s="90">
        <v>3077.13</v>
      </c>
      <c r="R577" s="90">
        <v>4.01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6840</v>
      </c>
      <c r="G578" s="90">
        <v>305.47000000000003</v>
      </c>
      <c r="H578" s="90">
        <v>170.21</v>
      </c>
      <c r="I578" s="90">
        <v>90.52</v>
      </c>
      <c r="J578" s="90">
        <v>1618.16</v>
      </c>
      <c r="K578" s="90">
        <v>61.86</v>
      </c>
      <c r="L578" s="90">
        <v>0</v>
      </c>
      <c r="M578" s="90">
        <v>542.61</v>
      </c>
      <c r="N578" s="90">
        <v>505.61</v>
      </c>
      <c r="O578" s="90">
        <v>2635.85</v>
      </c>
      <c r="P578" s="90">
        <v>808.79</v>
      </c>
      <c r="Q578" s="90">
        <v>100.92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6840</v>
      </c>
      <c r="G580" s="90">
        <v>305.47000000000003</v>
      </c>
      <c r="H580" s="90">
        <v>170.21</v>
      </c>
      <c r="I580" s="90">
        <v>90.52</v>
      </c>
      <c r="J580" s="90">
        <v>1618.16</v>
      </c>
      <c r="K580" s="90">
        <v>61.86</v>
      </c>
      <c r="L580" s="90">
        <v>0</v>
      </c>
      <c r="M580" s="90">
        <v>542.61</v>
      </c>
      <c r="N580" s="90">
        <v>505.61</v>
      </c>
      <c r="O580" s="90">
        <v>2635.85</v>
      </c>
      <c r="P580" s="90">
        <v>808.79</v>
      </c>
      <c r="Q580" s="90">
        <v>100.92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717030.7</v>
      </c>
      <c r="G581" s="93">
        <v>37397.25</v>
      </c>
      <c r="H581" s="93">
        <v>20551.86</v>
      </c>
      <c r="I581" s="93">
        <v>11070.59</v>
      </c>
      <c r="J581" s="93">
        <v>168521.2</v>
      </c>
      <c r="K581" s="93">
        <v>5808.01</v>
      </c>
      <c r="L581" s="93">
        <v>0</v>
      </c>
      <c r="M581" s="93">
        <v>50947.53</v>
      </c>
      <c r="N581" s="93">
        <v>50975.040000000001</v>
      </c>
      <c r="O581" s="93">
        <v>263164.76</v>
      </c>
      <c r="P581" s="93">
        <v>99117.6</v>
      </c>
      <c r="Q581" s="93">
        <v>9476.14</v>
      </c>
      <c r="R581" s="93">
        <v>0.72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23031582.34</v>
      </c>
      <c r="G582" s="377">
        <v>1278757.6399999999</v>
      </c>
      <c r="H582" s="377">
        <v>719798.43</v>
      </c>
      <c r="I582" s="377">
        <v>385650.58</v>
      </c>
      <c r="J582" s="377">
        <v>5181365.16</v>
      </c>
      <c r="K582" s="377">
        <v>155526.07999999999</v>
      </c>
      <c r="L582" s="377">
        <v>0</v>
      </c>
      <c r="M582" s="377">
        <v>1351292.3</v>
      </c>
      <c r="N582" s="377">
        <v>1669548.6</v>
      </c>
      <c r="O582" s="377">
        <v>8617443.8699999992</v>
      </c>
      <c r="P582" s="377">
        <v>3417030.91</v>
      </c>
      <c r="Q582" s="377">
        <v>255177.82</v>
      </c>
      <c r="R582" s="377">
        <v>-9.0500000000000007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10316487786.870001</v>
      </c>
      <c r="G583" s="90">
        <v>551410765.36000001</v>
      </c>
      <c r="H583" s="90">
        <v>306071016.31999999</v>
      </c>
      <c r="I583" s="90">
        <v>162886184.72999999</v>
      </c>
      <c r="J583" s="90">
        <v>2329299417.8800001</v>
      </c>
      <c r="K583" s="90">
        <v>87707938.069999993</v>
      </c>
      <c r="L583" s="90">
        <v>7966940.6799999997</v>
      </c>
      <c r="M583" s="90">
        <v>768910877</v>
      </c>
      <c r="N583" s="90">
        <v>728042856.77999997</v>
      </c>
      <c r="O583" s="90">
        <v>3771216101</v>
      </c>
      <c r="P583" s="90">
        <v>1459609708.27</v>
      </c>
      <c r="Q583" s="90">
        <v>143334380.06</v>
      </c>
      <c r="R583" s="90">
        <v>31600.720000000001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14880353.09</v>
      </c>
      <c r="G584" s="90">
        <v>1291438.8600000001</v>
      </c>
      <c r="H584" s="90">
        <v>568599.13</v>
      </c>
      <c r="I584" s="90">
        <v>235313.36</v>
      </c>
      <c r="J584" s="90">
        <v>3045375.22</v>
      </c>
      <c r="K584" s="90">
        <v>110392.5</v>
      </c>
      <c r="L584" s="90">
        <v>5432.15</v>
      </c>
      <c r="M584" s="90">
        <v>965801.91</v>
      </c>
      <c r="N584" s="90">
        <v>1108998.81</v>
      </c>
      <c r="O584" s="90">
        <v>3895953.74</v>
      </c>
      <c r="P584" s="90">
        <v>3472640.95</v>
      </c>
      <c r="Q584" s="90">
        <v>180195.77</v>
      </c>
      <c r="R584" s="90">
        <v>21.46</v>
      </c>
      <c r="S584" s="90">
        <v>10.26</v>
      </c>
      <c r="T584">
        <v>178.97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0</v>
      </c>
    </row>
    <row r="585" spans="2:26" ht="12.75" customHeight="1" x14ac:dyDescent="0.25">
      <c r="D585" t="s">
        <v>156</v>
      </c>
      <c r="E585" s="89" t="s">
        <v>70</v>
      </c>
      <c r="F585" s="90">
        <v>10331368139.959999</v>
      </c>
      <c r="G585" s="90">
        <v>552702204.22000003</v>
      </c>
      <c r="H585" s="90">
        <v>306639615.44999999</v>
      </c>
      <c r="I585" s="90">
        <v>163121498.09</v>
      </c>
      <c r="J585" s="90">
        <v>2332344793.0999999</v>
      </c>
      <c r="K585" s="90">
        <v>87818330.569999993</v>
      </c>
      <c r="L585" s="90">
        <v>7972372.8300000001</v>
      </c>
      <c r="M585" s="90">
        <v>769876678.90999997</v>
      </c>
      <c r="N585" s="90">
        <v>729151855.59000003</v>
      </c>
      <c r="O585" s="90">
        <v>3775112054.7399998</v>
      </c>
      <c r="P585" s="90">
        <v>1463082349.22</v>
      </c>
      <c r="Q585" s="90">
        <v>143514575.83000001</v>
      </c>
      <c r="R585" s="90">
        <v>31622.18</v>
      </c>
      <c r="S585" s="90">
        <v>10.26</v>
      </c>
      <c r="T585">
        <v>178.97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0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10331368139.959999</v>
      </c>
      <c r="G586" s="658">
        <v>552702204.22000003</v>
      </c>
      <c r="H586" s="658">
        <v>306639615.44999999</v>
      </c>
      <c r="I586" s="658">
        <v>163121498.09</v>
      </c>
      <c r="J586" s="658">
        <v>2332344793.0999999</v>
      </c>
      <c r="K586" s="658">
        <v>87818330.569999993</v>
      </c>
      <c r="L586" s="658">
        <v>7972372.8300000001</v>
      </c>
      <c r="M586" s="658">
        <v>769876678.90999997</v>
      </c>
      <c r="N586" s="658">
        <v>729151855.59000003</v>
      </c>
      <c r="O586" s="658">
        <v>3775112054.7399998</v>
      </c>
      <c r="P586" s="658">
        <v>1463082349.22</v>
      </c>
      <c r="Q586" s="658">
        <v>143514575.83000001</v>
      </c>
      <c r="R586" s="658">
        <v>31622.18</v>
      </c>
      <c r="S586" s="658">
        <v>10.26</v>
      </c>
      <c r="T586" s="656">
        <v>178.97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0</v>
      </c>
    </row>
    <row r="587" spans="2:26" ht="12.75" customHeight="1" x14ac:dyDescent="0.25">
      <c r="D587" s="89"/>
      <c r="E587" s="89" t="s">
        <v>72</v>
      </c>
      <c r="F587" s="371">
        <v>0</v>
      </c>
      <c r="G587" s="90">
        <v>0</v>
      </c>
      <c r="H587" s="90">
        <v>0</v>
      </c>
      <c r="I587" s="90">
        <v>0</v>
      </c>
      <c r="J587" s="90">
        <v>0</v>
      </c>
      <c r="K587" s="90">
        <v>0</v>
      </c>
      <c r="L587" s="90">
        <v>0</v>
      </c>
      <c r="M587" s="90">
        <v>0</v>
      </c>
      <c r="N587" s="90">
        <v>0</v>
      </c>
      <c r="O587" s="90">
        <v>0</v>
      </c>
      <c r="P587" s="90">
        <v>0</v>
      </c>
      <c r="Q587" s="90">
        <v>0</v>
      </c>
      <c r="R587" s="90">
        <v>0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0</v>
      </c>
      <c r="G588" s="90">
        <v>0</v>
      </c>
      <c r="H588" s="90">
        <v>0</v>
      </c>
      <c r="I588" s="90">
        <v>0</v>
      </c>
      <c r="J588" s="90">
        <v>0</v>
      </c>
      <c r="K588" s="90">
        <v>0</v>
      </c>
      <c r="L588" s="90">
        <v>0</v>
      </c>
      <c r="M588" s="90">
        <v>0</v>
      </c>
      <c r="N588" s="90">
        <v>0</v>
      </c>
      <c r="O588" s="90">
        <v>0</v>
      </c>
      <c r="P588" s="90">
        <v>0</v>
      </c>
      <c r="Q588" s="90">
        <v>0</v>
      </c>
      <c r="R588" s="90">
        <v>0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0</v>
      </c>
      <c r="G589" s="90">
        <v>0</v>
      </c>
      <c r="H589" s="90">
        <v>0</v>
      </c>
      <c r="I589" s="90">
        <v>0</v>
      </c>
      <c r="J589" s="90">
        <v>0</v>
      </c>
      <c r="K589" s="90">
        <v>0</v>
      </c>
      <c r="L589" s="90">
        <v>0</v>
      </c>
      <c r="M589" s="90">
        <v>0</v>
      </c>
      <c r="N589" s="90">
        <v>0</v>
      </c>
      <c r="O589" s="90">
        <v>0</v>
      </c>
      <c r="P589" s="90">
        <v>0</v>
      </c>
      <c r="Q589" s="90">
        <v>0</v>
      </c>
      <c r="R589" s="90">
        <v>0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0</v>
      </c>
      <c r="G599" s="90">
        <v>0</v>
      </c>
      <c r="H599" s="90">
        <v>0</v>
      </c>
      <c r="I599" s="90">
        <v>0</v>
      </c>
      <c r="J599" s="90">
        <v>0</v>
      </c>
      <c r="K599" s="90">
        <v>0</v>
      </c>
      <c r="L599" s="90">
        <v>0</v>
      </c>
      <c r="M599" s="90">
        <v>0</v>
      </c>
      <c r="N599" s="90">
        <v>0</v>
      </c>
      <c r="O599" s="90">
        <v>0</v>
      </c>
      <c r="P599" s="90">
        <v>0</v>
      </c>
      <c r="Q599" s="90">
        <v>0</v>
      </c>
      <c r="R599" s="90">
        <v>0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0</v>
      </c>
      <c r="G600" s="90">
        <v>0</v>
      </c>
      <c r="H600" s="90">
        <v>0</v>
      </c>
      <c r="I600" s="90">
        <v>0</v>
      </c>
      <c r="J600" s="90">
        <v>0</v>
      </c>
      <c r="K600" s="90">
        <v>0</v>
      </c>
      <c r="L600" s="90">
        <v>0</v>
      </c>
      <c r="M600" s="90">
        <v>0</v>
      </c>
      <c r="N600" s="90">
        <v>0</v>
      </c>
      <c r="O600" s="90">
        <v>0</v>
      </c>
      <c r="P600" s="90">
        <v>0</v>
      </c>
      <c r="Q600" s="90">
        <v>0</v>
      </c>
      <c r="R600" s="90">
        <v>0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0</v>
      </c>
      <c r="G601" s="90">
        <v>0</v>
      </c>
      <c r="H601" s="90">
        <v>0</v>
      </c>
      <c r="I601" s="90">
        <v>0</v>
      </c>
      <c r="J601" s="90">
        <v>0</v>
      </c>
      <c r="K601" s="90">
        <v>0</v>
      </c>
      <c r="L601" s="90">
        <v>0</v>
      </c>
      <c r="M601" s="90">
        <v>0</v>
      </c>
      <c r="N601" s="90">
        <v>0</v>
      </c>
      <c r="O601" s="90">
        <v>0</v>
      </c>
      <c r="P601" s="90">
        <v>0</v>
      </c>
      <c r="Q601" s="90">
        <v>0</v>
      </c>
      <c r="R601" s="90">
        <v>0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0</v>
      </c>
      <c r="G608" s="225">
        <v>0</v>
      </c>
      <c r="H608" s="225">
        <v>0</v>
      </c>
      <c r="I608" s="225">
        <v>0</v>
      </c>
      <c r="J608" s="225">
        <v>0</v>
      </c>
      <c r="K608" s="225">
        <v>0</v>
      </c>
      <c r="L608" s="225">
        <v>0</v>
      </c>
      <c r="M608" s="225">
        <v>0</v>
      </c>
      <c r="N608" s="225">
        <v>0</v>
      </c>
      <c r="O608" s="225">
        <v>0</v>
      </c>
      <c r="P608" s="225">
        <v>0</v>
      </c>
      <c r="Q608" s="225">
        <v>0</v>
      </c>
      <c r="R608" s="225">
        <v>0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81379741.219999999</v>
      </c>
      <c r="G609" s="90">
        <v>4722303.37</v>
      </c>
      <c r="H609" s="90">
        <v>2646611.7000000002</v>
      </c>
      <c r="I609" s="90">
        <v>1407817.53</v>
      </c>
      <c r="J609" s="90">
        <v>18853588.34</v>
      </c>
      <c r="K609" s="90">
        <v>467107.75</v>
      </c>
      <c r="L609" s="90">
        <v>0</v>
      </c>
      <c r="M609" s="90">
        <v>4106797.95</v>
      </c>
      <c r="N609" s="90">
        <v>5801684.7000000002</v>
      </c>
      <c r="O609" s="90">
        <v>30089094.289999999</v>
      </c>
      <c r="P609" s="90">
        <v>12512820.199999999</v>
      </c>
      <c r="Q609" s="90">
        <v>771613.08</v>
      </c>
      <c r="R609" s="90">
        <v>302.31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237061.36</v>
      </c>
      <c r="G610" s="90">
        <v>14686.74</v>
      </c>
      <c r="H610" s="90">
        <v>8302.6200000000008</v>
      </c>
      <c r="I610" s="90">
        <v>4392.62</v>
      </c>
      <c r="J610" s="90">
        <v>59679.69</v>
      </c>
      <c r="K610" s="90">
        <v>1483.67</v>
      </c>
      <c r="L610" s="90">
        <v>0</v>
      </c>
      <c r="M610" s="90">
        <v>13041.16</v>
      </c>
      <c r="N610" s="90">
        <v>18748.86</v>
      </c>
      <c r="O610" s="90">
        <v>75101.78</v>
      </c>
      <c r="P610" s="90">
        <v>39197.67</v>
      </c>
      <c r="Q610" s="90">
        <v>2426.36</v>
      </c>
      <c r="R610" s="90">
        <v>0.19</v>
      </c>
      <c r="S610" s="9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81616802.579999998</v>
      </c>
      <c r="G611" s="90">
        <v>4736990.1100000003</v>
      </c>
      <c r="H611" s="90">
        <v>2654914.3199999998</v>
      </c>
      <c r="I611" s="90">
        <v>1412210.15</v>
      </c>
      <c r="J611" s="90">
        <v>18913268.030000001</v>
      </c>
      <c r="K611" s="90">
        <v>468591.42</v>
      </c>
      <c r="L611" s="90">
        <v>0</v>
      </c>
      <c r="M611" s="90">
        <v>4119839.11</v>
      </c>
      <c r="N611" s="90">
        <v>5820433.5599999996</v>
      </c>
      <c r="O611" s="90">
        <v>30164196.07</v>
      </c>
      <c r="P611" s="90">
        <v>12552017.869999999</v>
      </c>
      <c r="Q611" s="90">
        <v>774039.44</v>
      </c>
      <c r="R611" s="90">
        <v>302.5</v>
      </c>
      <c r="S611" s="90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123815339.8</v>
      </c>
      <c r="G612" s="90">
        <v>13083650.439999999</v>
      </c>
      <c r="H612" s="90">
        <v>6977296.5199999996</v>
      </c>
      <c r="I612" s="90">
        <v>3555256.33</v>
      </c>
      <c r="J612" s="90">
        <v>18058334.600000001</v>
      </c>
      <c r="K612" s="90">
        <v>677891.2</v>
      </c>
      <c r="L612" s="90">
        <v>143000</v>
      </c>
      <c r="M612" s="90">
        <v>5823200.0599999996</v>
      </c>
      <c r="N612" s="90">
        <v>6623739.1399999997</v>
      </c>
      <c r="O612" s="90">
        <v>33350465.379999999</v>
      </c>
      <c r="P612" s="90">
        <v>34405951.420000002</v>
      </c>
      <c r="Q612" s="90">
        <v>1116521.45</v>
      </c>
      <c r="R612" s="90">
        <v>33.26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11888953.220000001</v>
      </c>
      <c r="G613" s="90">
        <v>1382334.62</v>
      </c>
      <c r="H613" s="90">
        <v>599210.31999999995</v>
      </c>
      <c r="I613" s="90">
        <v>234416.44</v>
      </c>
      <c r="J613" s="90">
        <v>1808866.08</v>
      </c>
      <c r="K613" s="90">
        <v>73046.039999999994</v>
      </c>
      <c r="L613" s="90">
        <v>3054.63</v>
      </c>
      <c r="M613" s="90">
        <v>638850.88</v>
      </c>
      <c r="N613" s="90">
        <v>745059.17</v>
      </c>
      <c r="O613" s="90">
        <v>2600585.61</v>
      </c>
      <c r="P613" s="90">
        <v>3684297.02</v>
      </c>
      <c r="Q613" s="90">
        <v>119221.63</v>
      </c>
      <c r="R613" s="90">
        <v>10.58</v>
      </c>
      <c r="S613" s="90">
        <v>-0.04</v>
      </c>
      <c r="T613">
        <v>0.24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135704293.02000001</v>
      </c>
      <c r="G614" s="90">
        <v>14465985.060000001</v>
      </c>
      <c r="H614" s="90">
        <v>7576506.8399999999</v>
      </c>
      <c r="I614" s="90">
        <v>3789672.77</v>
      </c>
      <c r="J614" s="90">
        <v>19867200.68</v>
      </c>
      <c r="K614" s="90">
        <v>750937.24</v>
      </c>
      <c r="L614" s="90">
        <v>146054.63</v>
      </c>
      <c r="M614" s="90">
        <v>6462050.9400000004</v>
      </c>
      <c r="N614" s="90">
        <v>7368798.3099999996</v>
      </c>
      <c r="O614" s="90">
        <v>35951050.990000002</v>
      </c>
      <c r="P614" s="90">
        <v>38090248.439999998</v>
      </c>
      <c r="Q614" s="90">
        <v>1235743.08</v>
      </c>
      <c r="R614" s="90">
        <v>43.84</v>
      </c>
      <c r="S614" s="90">
        <v>-0.04</v>
      </c>
      <c r="T614">
        <v>0.24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225325086.63999999</v>
      </c>
      <c r="G615" s="90">
        <v>32280074.969999999</v>
      </c>
      <c r="H615" s="90">
        <v>18033624.829999998</v>
      </c>
      <c r="I615" s="90">
        <v>10242953.199999999</v>
      </c>
      <c r="J615" s="90">
        <v>24927907.390000001</v>
      </c>
      <c r="K615" s="90">
        <v>611466.27</v>
      </c>
      <c r="L615" s="90">
        <v>523000</v>
      </c>
      <c r="M615" s="90">
        <v>5328219.47</v>
      </c>
      <c r="N615" s="90">
        <v>7544034.5700000003</v>
      </c>
      <c r="O615" s="90">
        <v>39147230.219999999</v>
      </c>
      <c r="P615" s="90">
        <v>85688215.909999996</v>
      </c>
      <c r="Q615" s="90">
        <v>998385.79</v>
      </c>
      <c r="R615" s="90">
        <v>-25.98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2618329.0099999998</v>
      </c>
      <c r="G616" s="90">
        <v>487188.88</v>
      </c>
      <c r="H616" s="90">
        <v>271849.21000000002</v>
      </c>
      <c r="I616" s="90">
        <v>157080.72</v>
      </c>
      <c r="J616" s="90">
        <v>137850.53</v>
      </c>
      <c r="K616" s="90">
        <v>3387.41</v>
      </c>
      <c r="L616" s="90">
        <v>1708.12</v>
      </c>
      <c r="M616" s="90">
        <v>29672.42</v>
      </c>
      <c r="N616" s="90">
        <v>41675.72</v>
      </c>
      <c r="O616" s="90">
        <v>181009.44</v>
      </c>
      <c r="P616" s="90">
        <v>1301375.06</v>
      </c>
      <c r="Q616" s="90">
        <v>5531.69</v>
      </c>
      <c r="R616" s="90">
        <v>-0.19</v>
      </c>
      <c r="S616" s="90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227943415.65000001</v>
      </c>
      <c r="G617" s="90">
        <v>32767263.850000001</v>
      </c>
      <c r="H617" s="90">
        <v>18305474.039999999</v>
      </c>
      <c r="I617" s="90">
        <v>10400033.92</v>
      </c>
      <c r="J617" s="90">
        <v>25065757.920000002</v>
      </c>
      <c r="K617" s="90">
        <v>614853.68000000005</v>
      </c>
      <c r="L617" s="90">
        <v>524708.12</v>
      </c>
      <c r="M617" s="90">
        <v>5357891.8899999997</v>
      </c>
      <c r="N617" s="90">
        <v>7585710.29</v>
      </c>
      <c r="O617" s="90">
        <v>39328239.659999996</v>
      </c>
      <c r="P617" s="90">
        <v>86989590.969999999</v>
      </c>
      <c r="Q617" s="90">
        <v>1003917.48</v>
      </c>
      <c r="R617" s="90">
        <v>-26.17</v>
      </c>
      <c r="S617" s="90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445264511.25</v>
      </c>
      <c r="G618" s="93">
        <v>51970239.020000003</v>
      </c>
      <c r="H618" s="93">
        <v>28536895.199999999</v>
      </c>
      <c r="I618" s="93">
        <v>15601916.84</v>
      </c>
      <c r="J618" s="93">
        <v>63846226.630000003</v>
      </c>
      <c r="K618" s="93">
        <v>1834382.34</v>
      </c>
      <c r="L618" s="93">
        <v>670762.75</v>
      </c>
      <c r="M618" s="93">
        <v>15939781.939999999</v>
      </c>
      <c r="N618" s="93">
        <v>20774942.16</v>
      </c>
      <c r="O618" s="93">
        <v>105443486.72</v>
      </c>
      <c r="P618" s="93">
        <v>137631857.28</v>
      </c>
      <c r="Q618" s="93">
        <v>3013700</v>
      </c>
      <c r="R618" s="93">
        <v>320.17</v>
      </c>
      <c r="S618" s="93">
        <v>-0.04</v>
      </c>
      <c r="T618" s="94">
        <v>0.24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10776632651.209999</v>
      </c>
      <c r="G619" s="100">
        <v>604672443.24000001</v>
      </c>
      <c r="H619" s="100">
        <v>335176510.64999998</v>
      </c>
      <c r="I619" s="100">
        <v>178723414.93000001</v>
      </c>
      <c r="J619" s="100">
        <v>2396191019.73</v>
      </c>
      <c r="K619" s="100">
        <v>89652712.909999996</v>
      </c>
      <c r="L619" s="100">
        <v>8643135.5800000001</v>
      </c>
      <c r="M619" s="100">
        <v>785816460.85000002</v>
      </c>
      <c r="N619" s="100">
        <v>749926797.75</v>
      </c>
      <c r="O619" s="100">
        <v>3880555541.46</v>
      </c>
      <c r="P619" s="100">
        <v>1600714206.5</v>
      </c>
      <c r="Q619" s="100">
        <v>146528275.83000001</v>
      </c>
      <c r="R619" s="100">
        <v>31942.35</v>
      </c>
      <c r="S619" s="100">
        <v>10.220000000000001</v>
      </c>
      <c r="T619" s="226">
        <v>179.21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0</v>
      </c>
    </row>
    <row r="620" spans="1:26" ht="12" customHeight="1" x14ac:dyDescent="0.25">
      <c r="A620" s="89" t="s">
        <v>78</v>
      </c>
      <c r="B620" s="89" t="s">
        <v>70</v>
      </c>
      <c r="F620" s="371">
        <v>10799664233.549999</v>
      </c>
      <c r="G620" s="90">
        <v>605951200.88</v>
      </c>
      <c r="H620" s="90">
        <v>335896309.07999998</v>
      </c>
      <c r="I620" s="90">
        <v>179109065.50999999</v>
      </c>
      <c r="J620" s="90">
        <v>2401372384.8899999</v>
      </c>
      <c r="K620" s="90">
        <v>89808238.989999995</v>
      </c>
      <c r="L620" s="90">
        <v>8643135.5800000001</v>
      </c>
      <c r="M620" s="90">
        <v>787167753.14999998</v>
      </c>
      <c r="N620" s="90">
        <v>751596346.35000002</v>
      </c>
      <c r="O620" s="90">
        <v>3889172985.3299999</v>
      </c>
      <c r="P620" s="90">
        <v>1604131237.4100001</v>
      </c>
      <c r="Q620" s="90">
        <v>146783453.65000001</v>
      </c>
      <c r="R620" s="90">
        <v>31933.3</v>
      </c>
      <c r="S620" s="90">
        <v>10.220000000000001</v>
      </c>
      <c r="T620">
        <v>179.21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0</v>
      </c>
    </row>
    <row r="621" spans="1:26" ht="12.75" customHeight="1" x14ac:dyDescent="0.25">
      <c r="B621" s="89"/>
      <c r="C621" s="89"/>
      <c r="E621" t="s">
        <v>73</v>
      </c>
      <c r="F621" s="90">
        <v>-1560876.97</v>
      </c>
      <c r="G621" s="90">
        <v>53550.42</v>
      </c>
      <c r="H621" s="90">
        <v>32933.96</v>
      </c>
      <c r="I621" s="90">
        <v>16175.09</v>
      </c>
      <c r="J621" s="90">
        <v>-562935.19999999995</v>
      </c>
      <c r="K621" s="90">
        <v>-14226.03</v>
      </c>
      <c r="L621" s="90">
        <v>0</v>
      </c>
      <c r="M621" s="90">
        <v>-124687.29</v>
      </c>
      <c r="N621" s="90">
        <v>-176501.79</v>
      </c>
      <c r="O621" s="90">
        <v>-906716.15</v>
      </c>
      <c r="P621" s="90">
        <v>144859.4</v>
      </c>
      <c r="Q621" s="90">
        <v>-23329.38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-1560876.97</v>
      </c>
      <c r="G622" s="90">
        <v>53550.42</v>
      </c>
      <c r="H622" s="90">
        <v>32933.96</v>
      </c>
      <c r="I622" s="90">
        <v>16175.09</v>
      </c>
      <c r="J622" s="90">
        <v>-562935.19999999995</v>
      </c>
      <c r="K622" s="90">
        <v>-14226.03</v>
      </c>
      <c r="L622" s="90">
        <v>0</v>
      </c>
      <c r="M622" s="90">
        <v>-124687.29</v>
      </c>
      <c r="N622" s="90">
        <v>-176501.79</v>
      </c>
      <c r="O622" s="90">
        <v>-906716.15</v>
      </c>
      <c r="P622" s="90">
        <v>144859.4</v>
      </c>
      <c r="Q622" s="90">
        <v>-23329.38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-1560876.97</v>
      </c>
      <c r="G623" s="658">
        <v>53550.42</v>
      </c>
      <c r="H623" s="658">
        <v>32933.96</v>
      </c>
      <c r="I623" s="658">
        <v>16175.09</v>
      </c>
      <c r="J623" s="658">
        <v>-562935.19999999995</v>
      </c>
      <c r="K623" s="658">
        <v>-14226.03</v>
      </c>
      <c r="L623" s="658">
        <v>0</v>
      </c>
      <c r="M623" s="658">
        <v>-124687.29</v>
      </c>
      <c r="N623" s="658">
        <v>-176501.79</v>
      </c>
      <c r="O623" s="658">
        <v>-906716.15</v>
      </c>
      <c r="P623" s="658">
        <v>144859.4</v>
      </c>
      <c r="Q623" s="658">
        <v>-23329.38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-47234.67</v>
      </c>
      <c r="G624" s="90">
        <v>-1088.25</v>
      </c>
      <c r="H624" s="90">
        <v>-614.85</v>
      </c>
      <c r="I624" s="90">
        <v>-324.42</v>
      </c>
      <c r="J624" s="90">
        <v>-8085.25</v>
      </c>
      <c r="K624" s="90">
        <v>-505.96</v>
      </c>
      <c r="L624" s="90">
        <v>0</v>
      </c>
      <c r="M624" s="90">
        <v>-4438.2299999999996</v>
      </c>
      <c r="N624" s="90">
        <v>-4643.5200000000004</v>
      </c>
      <c r="O624" s="90">
        <v>-23810.720000000001</v>
      </c>
      <c r="P624" s="90">
        <v>-2897.96</v>
      </c>
      <c r="Q624" s="90">
        <v>-825.51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-47234.67</v>
      </c>
      <c r="G625" s="90">
        <v>-1088.25</v>
      </c>
      <c r="H625" s="90">
        <v>-614.85</v>
      </c>
      <c r="I625" s="90">
        <v>-324.42</v>
      </c>
      <c r="J625" s="90">
        <v>-8085.25</v>
      </c>
      <c r="K625" s="90">
        <v>-505.96</v>
      </c>
      <c r="L625" s="90">
        <v>0</v>
      </c>
      <c r="M625" s="90">
        <v>-4438.2299999999996</v>
      </c>
      <c r="N625" s="90">
        <v>-4643.5200000000004</v>
      </c>
      <c r="O625" s="90">
        <v>-23810.720000000001</v>
      </c>
      <c r="P625" s="90">
        <v>-2897.96</v>
      </c>
      <c r="Q625" s="90">
        <v>-825.51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0</v>
      </c>
      <c r="G633" s="90">
        <v>0</v>
      </c>
      <c r="H633" s="90">
        <v>0</v>
      </c>
      <c r="I633" s="90">
        <v>0</v>
      </c>
      <c r="J633" s="90">
        <v>0</v>
      </c>
      <c r="K633" s="90">
        <v>0</v>
      </c>
      <c r="L633" s="90">
        <v>0</v>
      </c>
      <c r="M633" s="90">
        <v>0</v>
      </c>
      <c r="N633" s="90">
        <v>0</v>
      </c>
      <c r="O633" s="90">
        <v>0</v>
      </c>
      <c r="P633" s="90">
        <v>0</v>
      </c>
      <c r="Q633" s="90">
        <v>0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-47234.67</v>
      </c>
      <c r="G638" s="225">
        <v>-1088.25</v>
      </c>
      <c r="H638" s="225">
        <v>-614.85</v>
      </c>
      <c r="I638" s="225">
        <v>-324.42</v>
      </c>
      <c r="J638" s="225">
        <v>-8085.25</v>
      </c>
      <c r="K638" s="225">
        <v>-505.96</v>
      </c>
      <c r="L638" s="225">
        <v>0</v>
      </c>
      <c r="M638" s="225">
        <v>-4438.2299999999996</v>
      </c>
      <c r="N638" s="225">
        <v>-4643.5200000000004</v>
      </c>
      <c r="O638" s="225">
        <v>-23810.720000000001</v>
      </c>
      <c r="P638" s="225">
        <v>-2897.96</v>
      </c>
      <c r="Q638" s="225">
        <v>-825.51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37555.14</v>
      </c>
      <c r="G639" s="90">
        <v>4039.08</v>
      </c>
      <c r="H639" s="90">
        <v>2258.1</v>
      </c>
      <c r="I639" s="90">
        <v>1196.98</v>
      </c>
      <c r="J639" s="90">
        <v>6201.71</v>
      </c>
      <c r="K639" s="90">
        <v>205</v>
      </c>
      <c r="L639" s="90">
        <v>0</v>
      </c>
      <c r="M639" s="90">
        <v>1798.22</v>
      </c>
      <c r="N639" s="90">
        <v>1765.23</v>
      </c>
      <c r="O639" s="90">
        <v>9062.01</v>
      </c>
      <c r="P639" s="90">
        <v>10694.35</v>
      </c>
      <c r="Q639" s="90">
        <v>334.46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37555.14</v>
      </c>
      <c r="G640" s="90">
        <v>4039.08</v>
      </c>
      <c r="H640" s="90">
        <v>2258.1</v>
      </c>
      <c r="I640" s="90">
        <v>1196.98</v>
      </c>
      <c r="J640" s="90">
        <v>6201.71</v>
      </c>
      <c r="K640" s="90">
        <v>205</v>
      </c>
      <c r="L640" s="90">
        <v>0</v>
      </c>
      <c r="M640" s="90">
        <v>1798.22</v>
      </c>
      <c r="N640" s="90">
        <v>1765.23</v>
      </c>
      <c r="O640" s="90">
        <v>9062.01</v>
      </c>
      <c r="P640" s="90">
        <v>10694.35</v>
      </c>
      <c r="Q640" s="90">
        <v>334.46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96151.16</v>
      </c>
      <c r="G641" s="90">
        <v>6725.46</v>
      </c>
      <c r="H641" s="90">
        <v>3475.84</v>
      </c>
      <c r="I641" s="90">
        <v>1916.48</v>
      </c>
      <c r="J641" s="90">
        <v>21986.42</v>
      </c>
      <c r="K641" s="90">
        <v>512.83000000000004</v>
      </c>
      <c r="L641" s="90">
        <v>0</v>
      </c>
      <c r="M641" s="90">
        <v>4498.28</v>
      </c>
      <c r="N641" s="90">
        <v>6333.74</v>
      </c>
      <c r="O641" s="90">
        <v>31922.75</v>
      </c>
      <c r="P641" s="90">
        <v>17942.669999999998</v>
      </c>
      <c r="Q641" s="90">
        <v>836.69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96151.16</v>
      </c>
      <c r="G642" s="90">
        <v>6725.46</v>
      </c>
      <c r="H642" s="90">
        <v>3475.84</v>
      </c>
      <c r="I642" s="90">
        <v>1916.48</v>
      </c>
      <c r="J642" s="90">
        <v>21986.42</v>
      </c>
      <c r="K642" s="90">
        <v>512.83000000000004</v>
      </c>
      <c r="L642" s="90">
        <v>0</v>
      </c>
      <c r="M642" s="90">
        <v>4498.28</v>
      </c>
      <c r="N642" s="90">
        <v>6333.74</v>
      </c>
      <c r="O642" s="90">
        <v>31922.75</v>
      </c>
      <c r="P642" s="90">
        <v>17942.669999999998</v>
      </c>
      <c r="Q642" s="90">
        <v>836.69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133706.29999999999</v>
      </c>
      <c r="G645" s="93">
        <v>10764.54</v>
      </c>
      <c r="H645" s="93">
        <v>5733.94</v>
      </c>
      <c r="I645" s="93">
        <v>3113.46</v>
      </c>
      <c r="J645" s="93">
        <v>28188.13</v>
      </c>
      <c r="K645" s="93">
        <v>717.83</v>
      </c>
      <c r="L645" s="93">
        <v>0</v>
      </c>
      <c r="M645" s="93">
        <v>6296.5</v>
      </c>
      <c r="N645" s="93">
        <v>8098.97</v>
      </c>
      <c r="O645" s="93">
        <v>40984.76</v>
      </c>
      <c r="P645" s="93">
        <v>28637.02</v>
      </c>
      <c r="Q645" s="93">
        <v>1171.1500000000001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-1474405.34</v>
      </c>
      <c r="G646" s="377">
        <v>63226.71</v>
      </c>
      <c r="H646" s="377">
        <v>38053.050000000003</v>
      </c>
      <c r="I646" s="377">
        <v>18964.13</v>
      </c>
      <c r="J646" s="377">
        <v>-542832.31999999995</v>
      </c>
      <c r="K646" s="377">
        <v>-14014.16</v>
      </c>
      <c r="L646" s="377">
        <v>0</v>
      </c>
      <c r="M646" s="377">
        <v>-122829.02</v>
      </c>
      <c r="N646" s="377">
        <v>-173046.34</v>
      </c>
      <c r="O646" s="377">
        <v>-889542.11</v>
      </c>
      <c r="P646" s="377">
        <v>170598.46</v>
      </c>
      <c r="Q646" s="377">
        <v>-22983.74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-440994165.67000002</v>
      </c>
      <c r="G647" s="90">
        <v>45083745.57</v>
      </c>
      <c r="H647" s="90">
        <v>24726150.07</v>
      </c>
      <c r="I647" s="90">
        <v>13138151.800000001</v>
      </c>
      <c r="J647" s="90">
        <v>-190606036.38</v>
      </c>
      <c r="K647" s="90">
        <v>-7297920.0800000001</v>
      </c>
      <c r="L647" s="90">
        <v>0</v>
      </c>
      <c r="M647" s="90">
        <v>-64042151.810000002</v>
      </c>
      <c r="N647" s="90">
        <v>-59277978.759999998</v>
      </c>
      <c r="O647" s="90">
        <v>-310255229.80000001</v>
      </c>
      <c r="P647" s="90">
        <v>119446638.11</v>
      </c>
      <c r="Q647" s="90">
        <v>-11909534.390000001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-440994165.67000002</v>
      </c>
      <c r="G648" s="90">
        <v>45083745.57</v>
      </c>
      <c r="H648" s="90">
        <v>24726150.07</v>
      </c>
      <c r="I648" s="90">
        <v>13138151.800000001</v>
      </c>
      <c r="J648" s="90">
        <v>-190606036.38</v>
      </c>
      <c r="K648" s="90">
        <v>-7297920.0800000001</v>
      </c>
      <c r="L648" s="90">
        <v>0</v>
      </c>
      <c r="M648" s="90">
        <v>-64042151.810000002</v>
      </c>
      <c r="N648" s="90">
        <v>-59277978.759999998</v>
      </c>
      <c r="O648" s="90">
        <v>-310255229.80000001</v>
      </c>
      <c r="P648" s="90">
        <v>119446638.11</v>
      </c>
      <c r="Q648" s="90">
        <v>-11909534.390000001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-440994165.67000002</v>
      </c>
      <c r="G649" s="658">
        <v>45083745.57</v>
      </c>
      <c r="H649" s="658">
        <v>24726150.07</v>
      </c>
      <c r="I649" s="658">
        <v>13138151.800000001</v>
      </c>
      <c r="J649" s="658">
        <v>-190606036.38</v>
      </c>
      <c r="K649" s="658">
        <v>-7297920.0800000001</v>
      </c>
      <c r="L649" s="658">
        <v>0</v>
      </c>
      <c r="M649" s="658">
        <v>-64042151.810000002</v>
      </c>
      <c r="N649" s="658">
        <v>-59277978.759999998</v>
      </c>
      <c r="O649" s="658">
        <v>-310255229.80000001</v>
      </c>
      <c r="P649" s="658">
        <v>119446638.11</v>
      </c>
      <c r="Q649" s="658">
        <v>-11909534.390000001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0</v>
      </c>
      <c r="G659" s="90">
        <v>0</v>
      </c>
      <c r="H659" s="90">
        <v>0</v>
      </c>
      <c r="I659" s="90">
        <v>0</v>
      </c>
      <c r="J659" s="90">
        <v>0</v>
      </c>
      <c r="K659" s="90">
        <v>0</v>
      </c>
      <c r="L659" s="90">
        <v>0</v>
      </c>
      <c r="M659" s="90">
        <v>0</v>
      </c>
      <c r="N659" s="90">
        <v>0</v>
      </c>
      <c r="O659" s="90">
        <v>0</v>
      </c>
      <c r="P659" s="90">
        <v>0</v>
      </c>
      <c r="Q659" s="90">
        <v>0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0</v>
      </c>
      <c r="G664" s="225">
        <v>0</v>
      </c>
      <c r="H664" s="225">
        <v>0</v>
      </c>
      <c r="I664" s="225">
        <v>0</v>
      </c>
      <c r="J664" s="225">
        <v>0</v>
      </c>
      <c r="K664" s="225">
        <v>0</v>
      </c>
      <c r="L664" s="225">
        <v>0</v>
      </c>
      <c r="M664" s="225">
        <v>0</v>
      </c>
      <c r="N664" s="225">
        <v>0</v>
      </c>
      <c r="O664" s="225">
        <v>0</v>
      </c>
      <c r="P664" s="225">
        <v>0</v>
      </c>
      <c r="Q664" s="225">
        <v>0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621387.42000000004</v>
      </c>
      <c r="G665" s="90">
        <v>852609.88</v>
      </c>
      <c r="H665" s="90">
        <v>474811.81</v>
      </c>
      <c r="I665" s="90">
        <v>246061.62</v>
      </c>
      <c r="J665" s="90">
        <v>-1032983.4</v>
      </c>
      <c r="K665" s="90">
        <v>-23653.599999999999</v>
      </c>
      <c r="L665" s="90">
        <v>0</v>
      </c>
      <c r="M665" s="90">
        <v>-207515.15</v>
      </c>
      <c r="N665" s="90">
        <v>-305567</v>
      </c>
      <c r="O665" s="90">
        <v>-1602885.5</v>
      </c>
      <c r="P665" s="90">
        <v>2259043.41</v>
      </c>
      <c r="Q665" s="90">
        <v>-38534.65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621387.42000000004</v>
      </c>
      <c r="G666" s="90">
        <v>852609.88</v>
      </c>
      <c r="H666" s="90">
        <v>474811.81</v>
      </c>
      <c r="I666" s="90">
        <v>246061.62</v>
      </c>
      <c r="J666" s="90">
        <v>-1032983.4</v>
      </c>
      <c r="K666" s="90">
        <v>-23653.599999999999</v>
      </c>
      <c r="L666" s="90">
        <v>0</v>
      </c>
      <c r="M666" s="90">
        <v>-207515.15</v>
      </c>
      <c r="N666" s="90">
        <v>-305567</v>
      </c>
      <c r="O666" s="90">
        <v>-1602885.5</v>
      </c>
      <c r="P666" s="90">
        <v>2259043.41</v>
      </c>
      <c r="Q666" s="90">
        <v>-38534.65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33034294.629999999</v>
      </c>
      <c r="G667" s="90">
        <v>7469715.1500000004</v>
      </c>
      <c r="H667" s="90">
        <v>4000414.05</v>
      </c>
      <c r="I667" s="90">
        <v>2027029.51</v>
      </c>
      <c r="J667" s="90">
        <v>-213628.61</v>
      </c>
      <c r="K667" s="90">
        <v>-892.04</v>
      </c>
      <c r="L667" s="90">
        <v>0</v>
      </c>
      <c r="M667" s="90">
        <v>-8871.7099999999991</v>
      </c>
      <c r="N667" s="90">
        <v>16891.87</v>
      </c>
      <c r="O667" s="90">
        <v>-15808.99</v>
      </c>
      <c r="P667" s="90">
        <v>19760866.23</v>
      </c>
      <c r="Q667" s="90">
        <v>-1420.83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33034294.629999999</v>
      </c>
      <c r="G668" s="90">
        <v>7469715.1500000004</v>
      </c>
      <c r="H668" s="90">
        <v>4000414.05</v>
      </c>
      <c r="I668" s="90">
        <v>2027029.51</v>
      </c>
      <c r="J668" s="90">
        <v>-213628.61</v>
      </c>
      <c r="K668" s="90">
        <v>-892.04</v>
      </c>
      <c r="L668" s="90">
        <v>0</v>
      </c>
      <c r="M668" s="90">
        <v>-8871.7099999999991</v>
      </c>
      <c r="N668" s="90">
        <v>16891.87</v>
      </c>
      <c r="O668" s="90">
        <v>-15808.99</v>
      </c>
      <c r="P668" s="90">
        <v>19760866.23</v>
      </c>
      <c r="Q668" s="90">
        <v>-1420.83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113346962.34999999</v>
      </c>
      <c r="G669" s="90">
        <v>23417221.890000001</v>
      </c>
      <c r="H669" s="90">
        <v>13112318.439999999</v>
      </c>
      <c r="I669" s="90">
        <v>6940407.5099999998</v>
      </c>
      <c r="J669" s="90">
        <v>2390566.06</v>
      </c>
      <c r="K669" s="90">
        <v>61583.13</v>
      </c>
      <c r="L669" s="90">
        <v>0</v>
      </c>
      <c r="M669" s="90">
        <v>539287.80000000005</v>
      </c>
      <c r="N669" s="90">
        <v>727371.22</v>
      </c>
      <c r="O669" s="90">
        <v>3723280.44</v>
      </c>
      <c r="P669" s="90">
        <v>62334424.079999998</v>
      </c>
      <c r="Q669" s="90">
        <v>100501.78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113346962.34999999</v>
      </c>
      <c r="G670" s="90">
        <v>23417221.890000001</v>
      </c>
      <c r="H670" s="90">
        <v>13112318.439999999</v>
      </c>
      <c r="I670" s="90">
        <v>6940407.5099999998</v>
      </c>
      <c r="J670" s="90">
        <v>2390566.06</v>
      </c>
      <c r="K670" s="90">
        <v>61583.13</v>
      </c>
      <c r="L670" s="90">
        <v>0</v>
      </c>
      <c r="M670" s="90">
        <v>539287.80000000005</v>
      </c>
      <c r="N670" s="90">
        <v>727371.22</v>
      </c>
      <c r="O670" s="90">
        <v>3723280.44</v>
      </c>
      <c r="P670" s="90">
        <v>62334424.079999998</v>
      </c>
      <c r="Q670" s="90">
        <v>100501.78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147002644.40000001</v>
      </c>
      <c r="G671" s="93">
        <v>31739546.920000002</v>
      </c>
      <c r="H671" s="93">
        <v>17587544.300000001</v>
      </c>
      <c r="I671" s="93">
        <v>9213498.6400000006</v>
      </c>
      <c r="J671" s="93">
        <v>1143954.05</v>
      </c>
      <c r="K671" s="93">
        <v>37037.49</v>
      </c>
      <c r="L671" s="93">
        <v>0</v>
      </c>
      <c r="M671" s="93">
        <v>322900.94</v>
      </c>
      <c r="N671" s="93">
        <v>438696.09</v>
      </c>
      <c r="O671" s="93">
        <v>2104585.9500000002</v>
      </c>
      <c r="P671" s="93">
        <v>84354333.719999999</v>
      </c>
      <c r="Q671" s="93">
        <v>60546.3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-293991521.26999998</v>
      </c>
      <c r="G672" s="100">
        <v>76823292.489999995</v>
      </c>
      <c r="H672" s="100">
        <v>42313694.369999997</v>
      </c>
      <c r="I672" s="100">
        <v>22351650.440000001</v>
      </c>
      <c r="J672" s="100">
        <v>-189462082.33000001</v>
      </c>
      <c r="K672" s="100">
        <v>-7260882.5899999999</v>
      </c>
      <c r="L672" s="100">
        <v>0</v>
      </c>
      <c r="M672" s="100">
        <v>-63719250.869999997</v>
      </c>
      <c r="N672" s="100">
        <v>-58839282.670000002</v>
      </c>
      <c r="O672" s="100">
        <v>-308150643.85000002</v>
      </c>
      <c r="P672" s="100">
        <v>203800971.83000001</v>
      </c>
      <c r="Q672" s="100">
        <v>-11848988.09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-295465926.61000001</v>
      </c>
      <c r="G673" s="90">
        <v>76886519.200000003</v>
      </c>
      <c r="H673" s="90">
        <v>42351747.420000002</v>
      </c>
      <c r="I673" s="90">
        <v>22370614.57</v>
      </c>
      <c r="J673" s="90">
        <v>-190004914.65000001</v>
      </c>
      <c r="K673" s="90">
        <v>-7274896.75</v>
      </c>
      <c r="L673" s="90">
        <v>0</v>
      </c>
      <c r="M673" s="90">
        <v>-63842079.890000001</v>
      </c>
      <c r="N673" s="90">
        <v>-59012329.009999998</v>
      </c>
      <c r="O673" s="90">
        <v>-309040185.95999998</v>
      </c>
      <c r="P673" s="90">
        <v>203971570.28999999</v>
      </c>
      <c r="Q673" s="90">
        <v>-11871971.83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10504168126</v>
      </c>
      <c r="G674" s="90">
        <v>682835274.63</v>
      </c>
      <c r="H674" s="90">
        <v>378247017.58999997</v>
      </c>
      <c r="I674" s="90">
        <v>201479226.38999999</v>
      </c>
      <c r="J674" s="90">
        <v>2211361890.6199999</v>
      </c>
      <c r="K674" s="90">
        <v>82533115.019999996</v>
      </c>
      <c r="L674" s="90">
        <v>8643135.5800000001</v>
      </c>
      <c r="M674" s="90">
        <v>723323680.08000004</v>
      </c>
      <c r="N674" s="90">
        <v>692581482.82000005</v>
      </c>
      <c r="O674" s="90">
        <v>3580123493.0700002</v>
      </c>
      <c r="P674" s="90">
        <v>1808096576.4000001</v>
      </c>
      <c r="Q674" s="90">
        <v>134911111.06999999</v>
      </c>
      <c r="R674" s="90">
        <v>31933.3</v>
      </c>
      <c r="S674" s="90">
        <v>10.220000000000001</v>
      </c>
      <c r="T674">
        <v>179.21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0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8" t="s">
        <v>2</v>
      </c>
      <c r="D692" s="775" t="s">
        <v>132</v>
      </c>
      <c r="E692" s="98" t="s">
        <v>70</v>
      </c>
      <c r="F692" s="100">
        <f>F619+F672+F544-L544-L619</f>
        <v>10473967813.419998</v>
      </c>
      <c r="G692" s="100">
        <f t="shared" ref="G692:AO692" si="25">G619+G544</f>
        <v>604669997.78999996</v>
      </c>
      <c r="H692" s="100">
        <f t="shared" si="25"/>
        <v>335175471.73999995</v>
      </c>
      <c r="I692" s="100">
        <f t="shared" si="25"/>
        <v>178722961.24000001</v>
      </c>
      <c r="J692" s="100">
        <f t="shared" si="25"/>
        <v>2396185440.1100001</v>
      </c>
      <c r="K692" s="100">
        <f t="shared" si="25"/>
        <v>89652485.689999998</v>
      </c>
      <c r="L692" s="100">
        <f t="shared" si="25"/>
        <v>8643135.5800000001</v>
      </c>
      <c r="M692" s="100">
        <f t="shared" si="25"/>
        <v>785814467.67000008</v>
      </c>
      <c r="N692" s="100">
        <f t="shared" si="25"/>
        <v>749924263.23000002</v>
      </c>
      <c r="O692" s="100">
        <f t="shared" si="25"/>
        <v>3880546235.1599998</v>
      </c>
      <c r="P692" s="100">
        <f t="shared" si="25"/>
        <v>1600707975.2</v>
      </c>
      <c r="Q692" s="100">
        <f t="shared" si="25"/>
        <v>146527905.08000001</v>
      </c>
      <c r="R692" s="100">
        <f t="shared" si="25"/>
        <v>31942.35</v>
      </c>
      <c r="S692" s="100">
        <f t="shared" si="25"/>
        <v>10.220000000000001</v>
      </c>
      <c r="T692" s="100">
        <f t="shared" si="25"/>
        <v>179.21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0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8"/>
      <c r="D693" s="775"/>
      <c r="E693" s="98" t="s">
        <v>73</v>
      </c>
      <c r="F693" s="100">
        <f>F672</f>
        <v>-293991521.26999998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8"/>
      <c r="D694" s="775" t="s">
        <v>133</v>
      </c>
      <c r="E694" s="233" t="s">
        <v>70</v>
      </c>
      <c r="F694" s="234">
        <f>F646+F582-L582</f>
        <v>21557177</v>
      </c>
      <c r="G694" s="234">
        <f t="shared" ref="G694:AA694" si="26">G582</f>
        <v>1278757.6399999999</v>
      </c>
      <c r="H694" s="234">
        <f t="shared" si="26"/>
        <v>719798.43</v>
      </c>
      <c r="I694" s="234">
        <f t="shared" si="26"/>
        <v>385650.58</v>
      </c>
      <c r="J694" s="234">
        <f t="shared" si="26"/>
        <v>5181365.16</v>
      </c>
      <c r="K694" s="234">
        <f t="shared" si="26"/>
        <v>155526.07999999999</v>
      </c>
      <c r="L694" s="234">
        <f t="shared" si="26"/>
        <v>0</v>
      </c>
      <c r="M694" s="234">
        <f t="shared" si="26"/>
        <v>1351292.3</v>
      </c>
      <c r="N694" s="234">
        <f t="shared" si="26"/>
        <v>1669548.6</v>
      </c>
      <c r="O694" s="234">
        <f t="shared" si="26"/>
        <v>8617443.8699999992</v>
      </c>
      <c r="P694" s="234">
        <f t="shared" si="26"/>
        <v>3417030.91</v>
      </c>
      <c r="Q694" s="234">
        <f t="shared" si="26"/>
        <v>255177.82</v>
      </c>
      <c r="R694" s="234">
        <f t="shared" si="26"/>
        <v>-9.0500000000000007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8"/>
      <c r="D695" s="775"/>
      <c r="E695" s="233" t="s">
        <v>73</v>
      </c>
      <c r="F695" s="234">
        <f>F646</f>
        <v>-1474405.34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 t="s">
        <v>160</v>
      </c>
      <c r="D697" s="775" t="s">
        <v>132</v>
      </c>
      <c r="E697" s="223" t="s">
        <v>70</v>
      </c>
      <c r="F697" s="225">
        <f>F664+F608+F536-L536-L608</f>
        <v>0</v>
      </c>
      <c r="G697" s="225">
        <f>G608+G536</f>
        <v>0</v>
      </c>
      <c r="H697" s="225">
        <f t="shared" ref="H697:AO697" si="27">H608+H536</f>
        <v>0</v>
      </c>
      <c r="I697" s="225">
        <f t="shared" si="27"/>
        <v>0</v>
      </c>
      <c r="J697" s="225">
        <f t="shared" si="27"/>
        <v>0</v>
      </c>
      <c r="K697" s="225">
        <f t="shared" si="27"/>
        <v>0</v>
      </c>
      <c r="L697" s="225">
        <f t="shared" si="27"/>
        <v>0</v>
      </c>
      <c r="M697" s="225">
        <f t="shared" si="27"/>
        <v>0</v>
      </c>
      <c r="N697" s="225">
        <f t="shared" si="27"/>
        <v>0</v>
      </c>
      <c r="O697" s="225">
        <f t="shared" si="27"/>
        <v>0</v>
      </c>
      <c r="P697" s="225">
        <f t="shared" si="27"/>
        <v>0</v>
      </c>
      <c r="Q697" s="225">
        <f t="shared" si="27"/>
        <v>0</v>
      </c>
      <c r="R697" s="225">
        <f t="shared" si="27"/>
        <v>0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8"/>
      <c r="D698" s="775"/>
      <c r="E698" s="223" t="s">
        <v>73</v>
      </c>
      <c r="F698" s="225">
        <f>F664</f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8"/>
      <c r="D699" s="775" t="s">
        <v>133</v>
      </c>
      <c r="E699" s="227" t="s">
        <v>70</v>
      </c>
      <c r="F699" s="228">
        <f>F638+F571-L571</f>
        <v>309350</v>
      </c>
      <c r="G699" s="228">
        <f t="shared" ref="G699:Z699" si="28">G571</f>
        <v>14115.53</v>
      </c>
      <c r="H699" s="228">
        <f t="shared" si="28"/>
        <v>7860.38</v>
      </c>
      <c r="I699" s="228">
        <f t="shared" si="28"/>
        <v>4733.42</v>
      </c>
      <c r="J699" s="228">
        <f t="shared" si="28"/>
        <v>53691.78</v>
      </c>
      <c r="K699" s="228">
        <f t="shared" si="28"/>
        <v>3705.22</v>
      </c>
      <c r="L699" s="228">
        <f t="shared" si="28"/>
        <v>0</v>
      </c>
      <c r="M699" s="228">
        <f t="shared" si="28"/>
        <v>27762.35</v>
      </c>
      <c r="N699" s="228">
        <f t="shared" si="28"/>
        <v>31827.74</v>
      </c>
      <c r="O699" s="228">
        <f t="shared" si="28"/>
        <v>169721.42</v>
      </c>
      <c r="P699" s="228">
        <f t="shared" si="28"/>
        <v>37127.96</v>
      </c>
      <c r="Q699" s="228">
        <f t="shared" si="28"/>
        <v>6045.35</v>
      </c>
      <c r="R699" s="228">
        <f t="shared" si="28"/>
        <v>-6.48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8"/>
      <c r="D700" s="775"/>
      <c r="E700" s="227" t="s">
        <v>73</v>
      </c>
      <c r="F700" s="228">
        <f>F638</f>
        <v>-47234.67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8" t="s">
        <v>155</v>
      </c>
      <c r="D702" s="775" t="s">
        <v>132</v>
      </c>
      <c r="E702" s="221" t="s">
        <v>70</v>
      </c>
      <c r="F702" s="222">
        <f>F649+F586+F521-L521-L586</f>
        <v>9882391541.1699982</v>
      </c>
      <c r="G702" s="222">
        <f t="shared" ref="G702:Z702" si="29">G586+G521</f>
        <v>552701389.09000003</v>
      </c>
      <c r="H702" s="222">
        <f t="shared" si="29"/>
        <v>306639269.15999997</v>
      </c>
      <c r="I702" s="222">
        <f t="shared" si="29"/>
        <v>163121346.86000001</v>
      </c>
      <c r="J702" s="222">
        <f t="shared" si="29"/>
        <v>2332342933.2199998</v>
      </c>
      <c r="K702" s="222">
        <f t="shared" si="29"/>
        <v>87818254.819999993</v>
      </c>
      <c r="L702" s="222">
        <f t="shared" si="29"/>
        <v>7972372.8300000001</v>
      </c>
      <c r="M702" s="222">
        <f t="shared" si="29"/>
        <v>769876014.52999997</v>
      </c>
      <c r="N702" s="222">
        <f t="shared" si="29"/>
        <v>729151010.75999999</v>
      </c>
      <c r="O702" s="222">
        <f t="shared" si="29"/>
        <v>3775108952.6199999</v>
      </c>
      <c r="P702" s="222">
        <f t="shared" si="29"/>
        <v>1463080272.1400001</v>
      </c>
      <c r="Q702" s="222">
        <f t="shared" si="29"/>
        <v>143514452.23000002</v>
      </c>
      <c r="R702" s="222">
        <f t="shared" si="29"/>
        <v>31622.18</v>
      </c>
      <c r="S702" s="222">
        <f t="shared" si="29"/>
        <v>10.26</v>
      </c>
      <c r="T702" s="222">
        <f t="shared" si="29"/>
        <v>178.97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0</v>
      </c>
    </row>
    <row r="703" spans="1:41" ht="12.75" customHeight="1" x14ac:dyDescent="0.25">
      <c r="C703" s="778"/>
      <c r="D703" s="775"/>
      <c r="E703" s="221" t="s">
        <v>73</v>
      </c>
      <c r="F703" s="222">
        <f>F649</f>
        <v>-440994165.67000002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8"/>
      <c r="D704" s="775" t="s">
        <v>133</v>
      </c>
      <c r="E704" s="229" t="s">
        <v>70</v>
      </c>
      <c r="F704" s="230">
        <f>F623+F549-L549</f>
        <v>20397090</v>
      </c>
      <c r="G704" s="230">
        <f t="shared" ref="G704:Z704" si="30">G549</f>
        <v>1227244.8600000001</v>
      </c>
      <c r="H704" s="230">
        <f t="shared" si="30"/>
        <v>691386.19</v>
      </c>
      <c r="I704" s="230">
        <f t="shared" si="30"/>
        <v>369846.57</v>
      </c>
      <c r="J704" s="230">
        <f t="shared" si="30"/>
        <v>4959152.18</v>
      </c>
      <c r="K704" s="230">
        <f t="shared" si="30"/>
        <v>146012.85</v>
      </c>
      <c r="L704" s="230">
        <f t="shared" si="30"/>
        <v>0</v>
      </c>
      <c r="M704" s="230">
        <f t="shared" si="30"/>
        <v>1272582.42</v>
      </c>
      <c r="N704" s="230">
        <f t="shared" si="30"/>
        <v>1586745.82</v>
      </c>
      <c r="O704" s="230">
        <f t="shared" si="30"/>
        <v>8184557.6900000004</v>
      </c>
      <c r="P704" s="230">
        <f t="shared" si="30"/>
        <v>3280785.35</v>
      </c>
      <c r="Q704" s="230">
        <f t="shared" si="30"/>
        <v>239656.33</v>
      </c>
      <c r="R704" s="230">
        <f t="shared" si="30"/>
        <v>-3.29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8"/>
      <c r="D705" s="775"/>
      <c r="E705" s="229" t="s">
        <v>73</v>
      </c>
      <c r="F705" s="230">
        <f>F623</f>
        <v>-1560876.97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6" t="s">
        <v>326</v>
      </c>
      <c r="D707" s="775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6"/>
      <c r="D708" s="775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6"/>
      <c r="D709" s="775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6"/>
      <c r="D710" s="775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8" t="s">
        <v>119</v>
      </c>
      <c r="D712" s="775" t="s">
        <v>132</v>
      </c>
      <c r="E712" s="101" t="s">
        <v>70</v>
      </c>
      <c r="F712" s="93">
        <f>F671+F618+F543-L543-L618</f>
        <v>591576272.25</v>
      </c>
      <c r="G712" s="93">
        <f t="shared" ref="G712:AO712" si="31">G618+G543</f>
        <v>51968608.700000003</v>
      </c>
      <c r="H712" s="93">
        <f t="shared" si="31"/>
        <v>28536202.579999998</v>
      </c>
      <c r="I712" s="93">
        <f t="shared" si="31"/>
        <v>15601614.379999999</v>
      </c>
      <c r="J712" s="93">
        <f t="shared" si="31"/>
        <v>63842506.890000001</v>
      </c>
      <c r="K712" s="93">
        <f t="shared" si="31"/>
        <v>1834230.87</v>
      </c>
      <c r="L712" s="93">
        <f t="shared" si="31"/>
        <v>670762.75</v>
      </c>
      <c r="M712" s="93">
        <f t="shared" si="31"/>
        <v>15938453.139999999</v>
      </c>
      <c r="N712" s="93">
        <f t="shared" si="31"/>
        <v>20773252.469999999</v>
      </c>
      <c r="O712" s="93">
        <f t="shared" si="31"/>
        <v>105437282.53999999</v>
      </c>
      <c r="P712" s="93">
        <f t="shared" si="31"/>
        <v>137627703.06</v>
      </c>
      <c r="Q712" s="93">
        <f t="shared" si="31"/>
        <v>3013452.85</v>
      </c>
      <c r="R712" s="93">
        <f t="shared" si="31"/>
        <v>320.17</v>
      </c>
      <c r="S712" s="93">
        <f t="shared" si="31"/>
        <v>-0.04</v>
      </c>
      <c r="T712" s="93">
        <f t="shared" si="31"/>
        <v>0.24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8"/>
      <c r="D713" s="775"/>
      <c r="E713" s="101" t="s">
        <v>73</v>
      </c>
      <c r="F713" s="93">
        <f>F671</f>
        <v>147002644.40000001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8"/>
      <c r="D714" s="775" t="s">
        <v>133</v>
      </c>
      <c r="E714" s="235" t="s">
        <v>70</v>
      </c>
      <c r="F714" s="236">
        <f>F645+F581-L581</f>
        <v>850737</v>
      </c>
      <c r="G714" s="236">
        <f t="shared" ref="G714:Z714" si="32">G581</f>
        <v>37397.25</v>
      </c>
      <c r="H714" s="236">
        <f t="shared" si="32"/>
        <v>20551.86</v>
      </c>
      <c r="I714" s="236">
        <f t="shared" si="32"/>
        <v>11070.59</v>
      </c>
      <c r="J714" s="236">
        <f t="shared" si="32"/>
        <v>168521.2</v>
      </c>
      <c r="K714" s="236">
        <f t="shared" si="32"/>
        <v>5808.01</v>
      </c>
      <c r="L714" s="236">
        <f t="shared" si="32"/>
        <v>0</v>
      </c>
      <c r="M714" s="236">
        <f t="shared" si="32"/>
        <v>50947.53</v>
      </c>
      <c r="N714" s="236">
        <f t="shared" si="32"/>
        <v>50975.040000000001</v>
      </c>
      <c r="O714" s="236">
        <f t="shared" si="32"/>
        <v>263164.76</v>
      </c>
      <c r="P714" s="236">
        <f t="shared" si="32"/>
        <v>99117.6</v>
      </c>
      <c r="Q714" s="236">
        <f t="shared" si="32"/>
        <v>9476.14</v>
      </c>
      <c r="R714" s="236">
        <f t="shared" si="32"/>
        <v>0.72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8"/>
      <c r="D715" s="775"/>
      <c r="E715" s="235" t="s">
        <v>73</v>
      </c>
      <c r="F715" s="236">
        <f>F645</f>
        <v>133706.29999999999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7" t="s">
        <v>161</v>
      </c>
      <c r="D717" s="775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7"/>
      <c r="D718" s="775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7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7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-30180.94</v>
      </c>
      <c r="G722" s="460">
        <f t="shared" si="33"/>
        <v>-2445.4499999999998</v>
      </c>
      <c r="H722" s="460">
        <f t="shared" si="33"/>
        <v>-1038.9100000000001</v>
      </c>
      <c r="I722" s="460">
        <f t="shared" si="33"/>
        <v>-453.69</v>
      </c>
      <c r="J722" s="460">
        <f t="shared" si="33"/>
        <v>-5579.62</v>
      </c>
      <c r="K722" s="460">
        <f t="shared" si="33"/>
        <v>-227.22</v>
      </c>
      <c r="L722" s="460">
        <f t="shared" si="33"/>
        <v>0</v>
      </c>
      <c r="M722" s="460">
        <f t="shared" si="33"/>
        <v>-1993.18</v>
      </c>
      <c r="N722" s="460">
        <f t="shared" si="33"/>
        <v>-2534.52</v>
      </c>
      <c r="O722" s="460">
        <f t="shared" si="33"/>
        <v>-9306.2999999999993</v>
      </c>
      <c r="P722" s="460">
        <f t="shared" si="33"/>
        <v>-6231.3</v>
      </c>
      <c r="Q722" s="460">
        <f t="shared" si="33"/>
        <v>-370.75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0</v>
      </c>
      <c r="G727" s="90">
        <v>0</v>
      </c>
      <c r="H727" s="90">
        <v>0</v>
      </c>
      <c r="I727" s="90">
        <v>0</v>
      </c>
      <c r="J727" s="90">
        <v>0</v>
      </c>
      <c r="K727" s="90">
        <v>0</v>
      </c>
      <c r="L727" s="90">
        <v>0</v>
      </c>
      <c r="M727" s="90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0</v>
      </c>
      <c r="G729" s="23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30">
        <v>0</v>
      </c>
      <c r="N729" s="230">
        <v>0</v>
      </c>
      <c r="O729" s="230">
        <v>0</v>
      </c>
      <c r="P729" s="230">
        <v>0</v>
      </c>
      <c r="Q729" s="230">
        <v>0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0</v>
      </c>
      <c r="G732" s="90">
        <v>0</v>
      </c>
      <c r="H732" s="90">
        <v>0</v>
      </c>
      <c r="I732" s="90">
        <v>0</v>
      </c>
      <c r="J732" s="90">
        <v>0</v>
      </c>
      <c r="K732" s="90">
        <v>0</v>
      </c>
      <c r="L732" s="90">
        <v>0</v>
      </c>
      <c r="M732" s="90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0</v>
      </c>
      <c r="G733" s="90">
        <v>0</v>
      </c>
      <c r="H733" s="90">
        <v>0</v>
      </c>
      <c r="I733" s="90">
        <v>0</v>
      </c>
      <c r="J733" s="90">
        <v>0</v>
      </c>
      <c r="K733" s="90">
        <v>0</v>
      </c>
      <c r="L733" s="90">
        <v>0</v>
      </c>
      <c r="M733" s="90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0</v>
      </c>
      <c r="G736" s="93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0</v>
      </c>
      <c r="G737" s="90">
        <v>0</v>
      </c>
      <c r="H737" s="90">
        <v>0</v>
      </c>
      <c r="I737" s="90">
        <v>0</v>
      </c>
      <c r="J737" s="90">
        <v>0</v>
      </c>
      <c r="K737" s="90">
        <v>0</v>
      </c>
      <c r="L737" s="90">
        <v>0</v>
      </c>
      <c r="M737" s="90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0</v>
      </c>
      <c r="G738" s="458">
        <v>0</v>
      </c>
      <c r="H738" s="458">
        <v>0</v>
      </c>
      <c r="I738" s="458">
        <v>0</v>
      </c>
      <c r="J738" s="458">
        <v>0</v>
      </c>
      <c r="K738" s="458">
        <v>0</v>
      </c>
      <c r="L738" s="458">
        <v>0</v>
      </c>
      <c r="M738" s="458">
        <v>0</v>
      </c>
      <c r="N738" s="458">
        <v>0</v>
      </c>
      <c r="O738" s="458">
        <v>0</v>
      </c>
      <c r="P738" s="458">
        <v>0</v>
      </c>
      <c r="Q738" s="458">
        <v>0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326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0</v>
      </c>
      <c r="G750" s="90">
        <v>0</v>
      </c>
      <c r="H750" s="90">
        <v>0</v>
      </c>
      <c r="I750" s="90">
        <v>0</v>
      </c>
      <c r="J750" s="90">
        <v>0</v>
      </c>
      <c r="K750" s="90">
        <v>0</v>
      </c>
      <c r="L750" s="90">
        <v>0</v>
      </c>
      <c r="M750" s="90">
        <v>0</v>
      </c>
      <c r="N750" s="90">
        <v>0</v>
      </c>
      <c r="O750" s="90">
        <v>0</v>
      </c>
      <c r="P750" s="90">
        <v>0</v>
      </c>
      <c r="Q750" s="90">
        <v>370.08</v>
      </c>
      <c r="R750" s="90">
        <v>-1.95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  <c r="P752" s="90">
        <v>0</v>
      </c>
      <c r="Q752" s="90">
        <v>370.15</v>
      </c>
      <c r="R752" s="90">
        <v>-1.95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0</v>
      </c>
      <c r="G753" s="90">
        <v>0</v>
      </c>
      <c r="H753" s="90">
        <v>0</v>
      </c>
      <c r="I753" s="90">
        <v>0</v>
      </c>
      <c r="J753" s="90">
        <v>0</v>
      </c>
      <c r="K753" s="90">
        <v>0</v>
      </c>
      <c r="L753" s="90">
        <v>0</v>
      </c>
      <c r="M753" s="90">
        <v>0</v>
      </c>
      <c r="N753" s="90">
        <v>0</v>
      </c>
      <c r="O753" s="90">
        <v>0</v>
      </c>
      <c r="P753" s="90">
        <v>0</v>
      </c>
      <c r="Q753" s="90">
        <v>0</v>
      </c>
      <c r="R753" s="90">
        <v>0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0</v>
      </c>
      <c r="G755" s="90">
        <v>0</v>
      </c>
      <c r="H755" s="90">
        <v>0</v>
      </c>
      <c r="I755" s="90">
        <v>0</v>
      </c>
      <c r="J755" s="90">
        <v>0</v>
      </c>
      <c r="K755" s="90">
        <v>0</v>
      </c>
      <c r="L755" s="90">
        <v>0</v>
      </c>
      <c r="M755" s="90">
        <v>0</v>
      </c>
      <c r="N755" s="90">
        <v>0</v>
      </c>
      <c r="O755" s="90">
        <v>0</v>
      </c>
      <c r="P755" s="90">
        <v>0</v>
      </c>
      <c r="Q755" s="90">
        <v>0</v>
      </c>
      <c r="R755" s="90">
        <v>0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0</v>
      </c>
      <c r="G756" s="93">
        <v>0</v>
      </c>
      <c r="H756" s="93">
        <v>0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0</v>
      </c>
      <c r="G757" s="377">
        <v>0</v>
      </c>
      <c r="H757" s="377">
        <v>0</v>
      </c>
      <c r="I757" s="377">
        <v>0</v>
      </c>
      <c r="J757" s="377">
        <v>0</v>
      </c>
      <c r="K757" s="377">
        <v>0</v>
      </c>
      <c r="L757" s="377">
        <v>0</v>
      </c>
      <c r="M757" s="377">
        <v>0</v>
      </c>
      <c r="N757" s="377">
        <v>0</v>
      </c>
      <c r="O757" s="377">
        <v>0</v>
      </c>
      <c r="P757" s="377">
        <v>0</v>
      </c>
      <c r="Q757" s="377">
        <v>0</v>
      </c>
      <c r="R757" s="377">
        <v>0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7406462788.3599997</v>
      </c>
      <c r="G758" s="90">
        <v>382434611.91000003</v>
      </c>
      <c r="H758" s="90">
        <v>213001567.09</v>
      </c>
      <c r="I758" s="90">
        <v>113293730.20999999</v>
      </c>
      <c r="J758" s="90">
        <v>1811930655.26</v>
      </c>
      <c r="K758" s="90">
        <v>60228423.32</v>
      </c>
      <c r="L758" s="90">
        <v>10471100</v>
      </c>
      <c r="M758" s="90">
        <v>528408998.81999999</v>
      </c>
      <c r="N758" s="90">
        <v>496404846.01999998</v>
      </c>
      <c r="O758" s="90">
        <v>2553943335.3000002</v>
      </c>
      <c r="P758" s="90">
        <v>1138056820.8699999</v>
      </c>
      <c r="Q758" s="90">
        <v>98277123.379999995</v>
      </c>
      <c r="R758" s="90">
        <v>11576.18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7748156.5300000003</v>
      </c>
      <c r="G759" s="90">
        <v>791632.88</v>
      </c>
      <c r="H759" s="90">
        <v>397564.53</v>
      </c>
      <c r="I759" s="90">
        <v>193425.46</v>
      </c>
      <c r="J759" s="90">
        <v>1228265.81</v>
      </c>
      <c r="K759" s="90">
        <v>52113.98</v>
      </c>
      <c r="L759" s="90">
        <v>596.87</v>
      </c>
      <c r="M759" s="90">
        <v>456961.78</v>
      </c>
      <c r="N759" s="90">
        <v>383739.51</v>
      </c>
      <c r="O759" s="90">
        <v>1862264.3</v>
      </c>
      <c r="P759" s="90">
        <v>2296530.8199999998</v>
      </c>
      <c r="Q759" s="90">
        <v>85033.38</v>
      </c>
      <c r="R759" s="90">
        <v>22.39</v>
      </c>
      <c r="S759" s="90">
        <v>0</v>
      </c>
      <c r="T759">
        <v>4.82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ht="12.75" customHeight="1" x14ac:dyDescent="0.25">
      <c r="D760" t="s">
        <v>156</v>
      </c>
      <c r="E760" s="89" t="s">
        <v>70</v>
      </c>
      <c r="F760" s="90">
        <v>7414210944.8900003</v>
      </c>
      <c r="G760" s="90">
        <v>383226244.79000002</v>
      </c>
      <c r="H760" s="90">
        <v>213399131.62</v>
      </c>
      <c r="I760" s="90">
        <v>113487155.67</v>
      </c>
      <c r="J760" s="90">
        <v>1813158921.0699999</v>
      </c>
      <c r="K760" s="90">
        <v>60280537.299999997</v>
      </c>
      <c r="L760" s="90">
        <v>10471696.869999999</v>
      </c>
      <c r="M760" s="90">
        <v>528865960.60000002</v>
      </c>
      <c r="N760" s="90">
        <v>496788585.52999997</v>
      </c>
      <c r="O760" s="90">
        <v>2555805599.5999999</v>
      </c>
      <c r="P760" s="90">
        <v>1140353351.6900001</v>
      </c>
      <c r="Q760" s="90">
        <v>98362156.760000005</v>
      </c>
      <c r="R760" s="90">
        <v>11598.57</v>
      </c>
      <c r="S760" s="90">
        <v>0</v>
      </c>
      <c r="T760">
        <v>4.82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7414210944.8900003</v>
      </c>
      <c r="G761" s="658">
        <v>383226244.79000002</v>
      </c>
      <c r="H761" s="658">
        <v>213399131.62</v>
      </c>
      <c r="I761" s="658">
        <v>113487155.67</v>
      </c>
      <c r="J761" s="658">
        <v>1813158921.0699999</v>
      </c>
      <c r="K761" s="658">
        <v>60280537.299999997</v>
      </c>
      <c r="L761" s="658">
        <v>10471696.869999999</v>
      </c>
      <c r="M761" s="658">
        <v>528865960.60000002</v>
      </c>
      <c r="N761" s="658">
        <v>496788585.52999997</v>
      </c>
      <c r="O761" s="658">
        <v>2555805599.5999999</v>
      </c>
      <c r="P761" s="658">
        <v>1140353351.6900001</v>
      </c>
      <c r="Q761" s="658">
        <v>98362156.760000005</v>
      </c>
      <c r="R761" s="658">
        <v>11598.57</v>
      </c>
      <c r="S761" s="658">
        <v>0</v>
      </c>
      <c r="T761" s="656">
        <v>4.82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0</v>
      </c>
    </row>
    <row r="762" spans="1:26" ht="12.75" customHeight="1" x14ac:dyDescent="0.25">
      <c r="E762" s="89" t="s">
        <v>72</v>
      </c>
      <c r="F762" s="90">
        <v>160092177.13999999</v>
      </c>
      <c r="G762" s="90">
        <v>8661080.0999999996</v>
      </c>
      <c r="H762" s="90">
        <v>4833415.13</v>
      </c>
      <c r="I762" s="90">
        <v>2582595.52</v>
      </c>
      <c r="J762" s="90">
        <v>38399519.399999999</v>
      </c>
      <c r="K762" s="90">
        <v>1268377.67</v>
      </c>
      <c r="L762" s="90">
        <v>0</v>
      </c>
      <c r="M762" s="90">
        <v>11140054.550000001</v>
      </c>
      <c r="N762" s="90">
        <v>10558954.77</v>
      </c>
      <c r="O762" s="90">
        <v>54651229.020000003</v>
      </c>
      <c r="P762" s="90">
        <v>25928014.940000001</v>
      </c>
      <c r="Q762" s="90">
        <v>2069142.02</v>
      </c>
      <c r="R762" s="90">
        <v>-205.98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94709.83</v>
      </c>
      <c r="G763" s="90">
        <v>5210.34</v>
      </c>
      <c r="H763" s="90">
        <v>2882.65</v>
      </c>
      <c r="I763" s="90">
        <v>1569</v>
      </c>
      <c r="J763" s="90">
        <v>20323.64</v>
      </c>
      <c r="K763" s="90">
        <v>720.72</v>
      </c>
      <c r="L763" s="90">
        <v>0</v>
      </c>
      <c r="M763" s="90">
        <v>6347.52</v>
      </c>
      <c r="N763" s="90">
        <v>6686</v>
      </c>
      <c r="O763" s="90">
        <v>34170.61</v>
      </c>
      <c r="P763" s="90">
        <v>15601.5</v>
      </c>
      <c r="Q763" s="90">
        <v>1198.3399999999999</v>
      </c>
      <c r="R763" s="90">
        <v>-0.48</v>
      </c>
      <c r="S763" s="90">
        <v>-0.01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160186886.97</v>
      </c>
      <c r="G764" s="90">
        <v>8666290.4399999995</v>
      </c>
      <c r="H764" s="90">
        <v>4836297.78</v>
      </c>
      <c r="I764" s="90">
        <v>2584164.52</v>
      </c>
      <c r="J764" s="90">
        <v>38419843.039999999</v>
      </c>
      <c r="K764" s="90">
        <v>1269098.3899999999</v>
      </c>
      <c r="L764" s="90">
        <v>0</v>
      </c>
      <c r="M764" s="90">
        <v>11146402.07</v>
      </c>
      <c r="N764" s="90">
        <v>10565640.77</v>
      </c>
      <c r="O764" s="90">
        <v>54685399.630000003</v>
      </c>
      <c r="P764" s="90">
        <v>25943616.440000001</v>
      </c>
      <c r="Q764" s="90">
        <v>2070340.36</v>
      </c>
      <c r="R764" s="90">
        <v>-206.46</v>
      </c>
      <c r="S764" s="90">
        <v>-0.01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326</v>
      </c>
      <c r="D765" s="739" t="s">
        <v>70</v>
      </c>
      <c r="E765" s="231"/>
      <c r="F765" s="740">
        <v>160186886.97</v>
      </c>
      <c r="G765" s="232">
        <v>8666290.4399999995</v>
      </c>
      <c r="H765" s="232">
        <v>4836297.78</v>
      </c>
      <c r="I765" s="232">
        <v>2584164.52</v>
      </c>
      <c r="J765" s="232">
        <v>38419843.039999999</v>
      </c>
      <c r="K765" s="232">
        <v>1269098.3899999999</v>
      </c>
      <c r="L765" s="232">
        <v>0</v>
      </c>
      <c r="M765" s="232">
        <v>11146402.07</v>
      </c>
      <c r="N765" s="232">
        <v>10565640.77</v>
      </c>
      <c r="O765" s="232">
        <v>54685399.630000003</v>
      </c>
      <c r="P765" s="232">
        <v>25943616.440000001</v>
      </c>
      <c r="Q765" s="232">
        <v>2070340.36</v>
      </c>
      <c r="R765" s="232">
        <v>-206.46</v>
      </c>
      <c r="S765" s="232">
        <v>-0.01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18917966.41</v>
      </c>
      <c r="G766" s="90">
        <v>988150.54</v>
      </c>
      <c r="H766" s="90">
        <v>548361.93999999994</v>
      </c>
      <c r="I766" s="90">
        <v>294164.36</v>
      </c>
      <c r="J766" s="90">
        <v>3136320.25</v>
      </c>
      <c r="K766" s="90">
        <v>134782.32999999999</v>
      </c>
      <c r="L766" s="90">
        <v>0</v>
      </c>
      <c r="M766" s="90">
        <v>1191960.92</v>
      </c>
      <c r="N766" s="90">
        <v>1455905.71</v>
      </c>
      <c r="O766" s="90">
        <v>7986093.2999999998</v>
      </c>
      <c r="P766" s="90">
        <v>2960122.74</v>
      </c>
      <c r="Q766" s="90">
        <v>222255.94</v>
      </c>
      <c r="R766" s="90">
        <v>-151.62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126929.22</v>
      </c>
      <c r="G767" s="90">
        <v>7200.68</v>
      </c>
      <c r="H767" s="90">
        <v>3836.23</v>
      </c>
      <c r="I767" s="90">
        <v>2053.48</v>
      </c>
      <c r="J767" s="90">
        <v>21877.84</v>
      </c>
      <c r="K767" s="90">
        <v>960.57</v>
      </c>
      <c r="L767" s="90">
        <v>0</v>
      </c>
      <c r="M767" s="90">
        <v>8419.7900000000009</v>
      </c>
      <c r="N767" s="90">
        <v>9443.19</v>
      </c>
      <c r="O767" s="90">
        <v>50077.47</v>
      </c>
      <c r="P767" s="90">
        <v>21452.68</v>
      </c>
      <c r="Q767" s="90">
        <v>1607.37</v>
      </c>
      <c r="R767" s="90">
        <v>-0.12</v>
      </c>
      <c r="S767" s="90">
        <v>-0.02</v>
      </c>
      <c r="T767">
        <v>0.06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19044895.629999999</v>
      </c>
      <c r="G768" s="90">
        <v>995351.22</v>
      </c>
      <c r="H768" s="90">
        <v>552198.17000000004</v>
      </c>
      <c r="I768" s="90">
        <v>296217.84000000003</v>
      </c>
      <c r="J768" s="90">
        <v>3158198.09</v>
      </c>
      <c r="K768" s="90">
        <v>135742.9</v>
      </c>
      <c r="L768" s="90">
        <v>0</v>
      </c>
      <c r="M768" s="90">
        <v>1200380.71</v>
      </c>
      <c r="N768" s="90">
        <v>1465348.9</v>
      </c>
      <c r="O768" s="90">
        <v>8036170.7699999996</v>
      </c>
      <c r="P768" s="90">
        <v>2981575.42</v>
      </c>
      <c r="Q768" s="90">
        <v>223863.31</v>
      </c>
      <c r="R768" s="90">
        <v>-151.74</v>
      </c>
      <c r="S768" s="90">
        <v>-0.02</v>
      </c>
      <c r="T768">
        <v>0.06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16231726.5</v>
      </c>
      <c r="G769" s="90">
        <v>898028.7</v>
      </c>
      <c r="H769" s="90">
        <v>469286.58</v>
      </c>
      <c r="I769" s="90">
        <v>261201.9</v>
      </c>
      <c r="J769" s="90">
        <v>1931111.49</v>
      </c>
      <c r="K769" s="90">
        <v>149676.92000000001</v>
      </c>
      <c r="L769" s="90">
        <v>0</v>
      </c>
      <c r="M769" s="90">
        <v>1372648.24</v>
      </c>
      <c r="N769" s="90">
        <v>1260202.22</v>
      </c>
      <c r="O769" s="90">
        <v>6967779.8399999999</v>
      </c>
      <c r="P769" s="90">
        <v>2678122.7400000002</v>
      </c>
      <c r="Q769" s="90">
        <v>243826.32</v>
      </c>
      <c r="R769" s="90">
        <v>-158.44999999999999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585509.71</v>
      </c>
      <c r="G770" s="90">
        <v>37135.1</v>
      </c>
      <c r="H770" s="90">
        <v>18090.990000000002</v>
      </c>
      <c r="I770" s="90">
        <v>9334.49</v>
      </c>
      <c r="J770" s="90">
        <v>118479.91</v>
      </c>
      <c r="K770" s="90">
        <v>5190.29</v>
      </c>
      <c r="L770" s="90">
        <v>0</v>
      </c>
      <c r="M770" s="90">
        <v>46884.97</v>
      </c>
      <c r="N770" s="90">
        <v>41453.949999999997</v>
      </c>
      <c r="O770" s="90">
        <v>190269.04</v>
      </c>
      <c r="P770" s="90">
        <v>110198.84</v>
      </c>
      <c r="Q770" s="90">
        <v>8468.4599999999991</v>
      </c>
      <c r="R770" s="90">
        <v>3.64</v>
      </c>
      <c r="S770" s="90">
        <v>0</v>
      </c>
      <c r="T770">
        <v>0.03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16817236.210000001</v>
      </c>
      <c r="G771" s="90">
        <v>935163.8</v>
      </c>
      <c r="H771" s="90">
        <v>487377.57</v>
      </c>
      <c r="I771" s="90">
        <v>270536.39</v>
      </c>
      <c r="J771" s="90">
        <v>2049591.4</v>
      </c>
      <c r="K771" s="90">
        <v>154867.21</v>
      </c>
      <c r="L771" s="90">
        <v>0</v>
      </c>
      <c r="M771" s="90">
        <v>1419533.21</v>
      </c>
      <c r="N771" s="90">
        <v>1301656.17</v>
      </c>
      <c r="O771" s="90">
        <v>7158048.8799999999</v>
      </c>
      <c r="P771" s="90">
        <v>2788321.58</v>
      </c>
      <c r="Q771" s="90">
        <v>252294.78</v>
      </c>
      <c r="R771" s="90">
        <v>-154.81</v>
      </c>
      <c r="S771" s="90">
        <v>0</v>
      </c>
      <c r="T771">
        <v>0.03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ht="12.75" customHeight="1" x14ac:dyDescent="0.25">
      <c r="E772" s="89" t="s">
        <v>72</v>
      </c>
      <c r="F772" s="90">
        <v>95111405.430000007</v>
      </c>
      <c r="G772" s="90">
        <v>13716794.960000001</v>
      </c>
      <c r="H772" s="90">
        <v>7538723.0999999996</v>
      </c>
      <c r="I772" s="90">
        <v>4037358.33</v>
      </c>
      <c r="J772" s="90">
        <v>7300355.7599999998</v>
      </c>
      <c r="K772" s="90">
        <v>227689.37</v>
      </c>
      <c r="L772" s="90">
        <v>1725000</v>
      </c>
      <c r="M772" s="90">
        <v>2006777.02</v>
      </c>
      <c r="N772" s="90">
        <v>2777643.4</v>
      </c>
      <c r="O772" s="90">
        <v>14591870.9</v>
      </c>
      <c r="P772" s="90">
        <v>40814334.899999999</v>
      </c>
      <c r="Q772" s="90">
        <v>375261.73</v>
      </c>
      <c r="R772" s="90">
        <v>-404.04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3638579.87</v>
      </c>
      <c r="G773" s="90">
        <v>605626.59</v>
      </c>
      <c r="H773" s="90">
        <v>304312.49</v>
      </c>
      <c r="I773" s="90">
        <v>165596.28</v>
      </c>
      <c r="J773" s="90">
        <v>180985.28</v>
      </c>
      <c r="K773" s="90">
        <v>5191.66</v>
      </c>
      <c r="L773" s="90">
        <v>183241.19</v>
      </c>
      <c r="M773" s="90">
        <v>45282.16</v>
      </c>
      <c r="N773" s="90">
        <v>59930.97</v>
      </c>
      <c r="O773" s="90">
        <v>283354.87</v>
      </c>
      <c r="P773" s="90">
        <v>1796526.34</v>
      </c>
      <c r="Q773" s="90">
        <v>8534.06</v>
      </c>
      <c r="R773" s="90">
        <v>-2</v>
      </c>
      <c r="S773" s="90">
        <v>-0.02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98749985.299999997</v>
      </c>
      <c r="G774" s="90">
        <v>14322421.550000001</v>
      </c>
      <c r="H774" s="90">
        <v>7843035.5899999999</v>
      </c>
      <c r="I774" s="90">
        <v>4202954.6100000003</v>
      </c>
      <c r="J774" s="90">
        <v>7481341.04</v>
      </c>
      <c r="K774" s="90">
        <v>232881.03</v>
      </c>
      <c r="L774" s="90">
        <v>1908241.19</v>
      </c>
      <c r="M774" s="90">
        <v>2052059.18</v>
      </c>
      <c r="N774" s="90">
        <v>2837574.37</v>
      </c>
      <c r="O774" s="90">
        <v>14875225.77</v>
      </c>
      <c r="P774" s="90">
        <v>42610861.240000002</v>
      </c>
      <c r="Q774" s="90">
        <v>383795.79</v>
      </c>
      <c r="R774" s="90">
        <v>-406.04</v>
      </c>
      <c r="S774" s="90">
        <v>-0.02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134612117.13999999</v>
      </c>
      <c r="G775" s="93">
        <v>16252936.57</v>
      </c>
      <c r="H775" s="93">
        <v>8882611.3300000001</v>
      </c>
      <c r="I775" s="93">
        <v>4769708.84</v>
      </c>
      <c r="J775" s="93">
        <v>12689130.529999999</v>
      </c>
      <c r="K775" s="93">
        <v>523491.14</v>
      </c>
      <c r="L775" s="93">
        <v>1908241.19</v>
      </c>
      <c r="M775" s="93">
        <v>4671973.0999999996</v>
      </c>
      <c r="N775" s="93">
        <v>5604579.4400000004</v>
      </c>
      <c r="O775" s="93">
        <v>30069445.420000002</v>
      </c>
      <c r="P775" s="93">
        <v>48380758.240000002</v>
      </c>
      <c r="Q775" s="93">
        <v>859953.88</v>
      </c>
      <c r="R775" s="93">
        <v>-712.59</v>
      </c>
      <c r="S775" s="93">
        <v>-0.04</v>
      </c>
      <c r="T775" s="94">
        <v>0.09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0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7709009949</v>
      </c>
      <c r="G776" s="100">
        <v>408145471.80000001</v>
      </c>
      <c r="H776" s="100">
        <v>227118040.72999999</v>
      </c>
      <c r="I776" s="100">
        <v>120841029.03</v>
      </c>
      <c r="J776" s="100">
        <v>1864267894.6400001</v>
      </c>
      <c r="K776" s="100">
        <v>62073126.829999998</v>
      </c>
      <c r="L776" s="100">
        <v>12379938.060000001</v>
      </c>
      <c r="M776" s="100">
        <v>544684335.76999998</v>
      </c>
      <c r="N776" s="100">
        <v>512958805.74000001</v>
      </c>
      <c r="O776" s="100">
        <v>2640560444.6500001</v>
      </c>
      <c r="P776" s="100">
        <v>1214677726.3699999</v>
      </c>
      <c r="Q776" s="100">
        <v>101292451</v>
      </c>
      <c r="R776" s="100">
        <v>10679.52</v>
      </c>
      <c r="S776" s="100">
        <v>-0.05</v>
      </c>
      <c r="T776" s="226">
        <v>4.91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0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7709009949</v>
      </c>
      <c r="G777" s="90">
        <v>408145471.80000001</v>
      </c>
      <c r="H777" s="90">
        <v>227118040.72999999</v>
      </c>
      <c r="I777" s="90">
        <v>120841029.03</v>
      </c>
      <c r="J777" s="90">
        <v>1864267894.6400001</v>
      </c>
      <c r="K777" s="90">
        <v>62073126.829999998</v>
      </c>
      <c r="L777" s="90">
        <v>12379938.060000001</v>
      </c>
      <c r="M777" s="90">
        <v>544684335.76999998</v>
      </c>
      <c r="N777" s="90">
        <v>512958805.74000001</v>
      </c>
      <c r="O777" s="90">
        <v>2640560444.6500001</v>
      </c>
      <c r="P777" s="90">
        <v>1214677726.3699999</v>
      </c>
      <c r="Q777" s="90">
        <v>101292451</v>
      </c>
      <c r="R777" s="90">
        <v>10679.52</v>
      </c>
      <c r="S777" s="90">
        <v>-0.05</v>
      </c>
      <c r="T777">
        <v>4.91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326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0</v>
      </c>
      <c r="G786" s="90">
        <v>0</v>
      </c>
      <c r="H786" s="90">
        <v>0</v>
      </c>
      <c r="I786" s="90">
        <v>0</v>
      </c>
      <c r="J786" s="90">
        <v>0</v>
      </c>
      <c r="K786" s="90">
        <v>0</v>
      </c>
      <c r="L786" s="90">
        <v>0</v>
      </c>
      <c r="M786" s="90">
        <v>0</v>
      </c>
      <c r="N786" s="90">
        <v>0</v>
      </c>
      <c r="O786" s="90">
        <v>0</v>
      </c>
      <c r="P786" s="90">
        <v>0</v>
      </c>
      <c r="Q786" s="90">
        <v>0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0</v>
      </c>
      <c r="G787" s="90">
        <v>0</v>
      </c>
      <c r="H787" s="90">
        <v>0</v>
      </c>
      <c r="I787" s="90">
        <v>0</v>
      </c>
      <c r="J787" s="90">
        <v>0</v>
      </c>
      <c r="K787" s="90">
        <v>0</v>
      </c>
      <c r="L787" s="90">
        <v>0</v>
      </c>
      <c r="M787" s="90">
        <v>0</v>
      </c>
      <c r="N787" s="90">
        <v>0</v>
      </c>
      <c r="O787" s="90">
        <v>0</v>
      </c>
      <c r="P787" s="90">
        <v>0</v>
      </c>
      <c r="Q787" s="90">
        <v>0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0</v>
      </c>
      <c r="G788" s="90">
        <v>0</v>
      </c>
      <c r="H788" s="90">
        <v>0</v>
      </c>
      <c r="I788" s="90">
        <v>0</v>
      </c>
      <c r="J788" s="90">
        <v>0</v>
      </c>
      <c r="K788" s="90">
        <v>0</v>
      </c>
      <c r="L788" s="90">
        <v>0</v>
      </c>
      <c r="M788" s="90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0</v>
      </c>
      <c r="G789" s="90">
        <v>0</v>
      </c>
      <c r="H789" s="90">
        <v>0</v>
      </c>
      <c r="I789" s="90">
        <v>0</v>
      </c>
      <c r="J789" s="90">
        <v>0</v>
      </c>
      <c r="K789" s="90">
        <v>0</v>
      </c>
      <c r="L789" s="90">
        <v>0</v>
      </c>
      <c r="M789" s="90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0</v>
      </c>
      <c r="G790" s="93">
        <v>0</v>
      </c>
      <c r="H790" s="93">
        <v>0</v>
      </c>
      <c r="I790" s="93">
        <v>0</v>
      </c>
      <c r="J790" s="93">
        <v>0</v>
      </c>
      <c r="K790" s="93">
        <v>0</v>
      </c>
      <c r="L790" s="93">
        <v>0</v>
      </c>
      <c r="M790" s="93">
        <v>0</v>
      </c>
      <c r="N790" s="93">
        <v>0</v>
      </c>
      <c r="O790" s="93">
        <v>0</v>
      </c>
      <c r="P790" s="93">
        <v>0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0</v>
      </c>
      <c r="G791" s="377">
        <v>0</v>
      </c>
      <c r="H791" s="377">
        <v>0</v>
      </c>
      <c r="I791" s="377">
        <v>0</v>
      </c>
      <c r="J791" s="377">
        <v>0</v>
      </c>
      <c r="K791" s="377">
        <v>0</v>
      </c>
      <c r="L791" s="377">
        <v>0</v>
      </c>
      <c r="M791" s="377">
        <v>0</v>
      </c>
      <c r="N791" s="377">
        <v>0</v>
      </c>
      <c r="O791" s="377">
        <v>0</v>
      </c>
      <c r="P791" s="377">
        <v>0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-170561819.88999999</v>
      </c>
      <c r="G792" s="90">
        <v>10753191.92</v>
      </c>
      <c r="H792" s="90">
        <v>5971219.0800000001</v>
      </c>
      <c r="I792" s="90">
        <v>3173606.36</v>
      </c>
      <c r="J792" s="90">
        <v>-72995240.969999999</v>
      </c>
      <c r="K792" s="90">
        <v>-2462189.9</v>
      </c>
      <c r="L792" s="90">
        <v>0</v>
      </c>
      <c r="M792" s="90">
        <v>-21620596.43</v>
      </c>
      <c r="N792" s="90">
        <v>-20865967.760000002</v>
      </c>
      <c r="O792" s="90">
        <v>-100905954.38</v>
      </c>
      <c r="P792" s="90">
        <v>32409631.539999999</v>
      </c>
      <c r="Q792" s="90">
        <v>-4019519.35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-170561819.88999999</v>
      </c>
      <c r="G793" s="90">
        <v>10753191.92</v>
      </c>
      <c r="H793" s="90">
        <v>5971219.0800000001</v>
      </c>
      <c r="I793" s="90">
        <v>3173606.36</v>
      </c>
      <c r="J793" s="90">
        <v>-72995240.969999999</v>
      </c>
      <c r="K793" s="90">
        <v>-2462189.9</v>
      </c>
      <c r="L793" s="90">
        <v>0</v>
      </c>
      <c r="M793" s="90">
        <v>-21620596.43</v>
      </c>
      <c r="N793" s="90">
        <v>-20865967.760000002</v>
      </c>
      <c r="O793" s="90">
        <v>-100905954.38</v>
      </c>
      <c r="P793" s="90">
        <v>32409631.539999999</v>
      </c>
      <c r="Q793" s="90">
        <v>-4019519.35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-170561819.88999999</v>
      </c>
      <c r="G794" s="658">
        <v>10753191.92</v>
      </c>
      <c r="H794" s="658">
        <v>5971219.0800000001</v>
      </c>
      <c r="I794" s="658">
        <v>3173606.36</v>
      </c>
      <c r="J794" s="658">
        <v>-72995240.969999999</v>
      </c>
      <c r="K794" s="658">
        <v>-2462189.9</v>
      </c>
      <c r="L794" s="658">
        <v>0</v>
      </c>
      <c r="M794" s="658">
        <v>-21620596.43</v>
      </c>
      <c r="N794" s="658">
        <v>-20865967.760000002</v>
      </c>
      <c r="O794" s="658">
        <v>-100905954.38</v>
      </c>
      <c r="P794" s="658">
        <v>32409631.539999999</v>
      </c>
      <c r="Q794" s="658">
        <v>-4019519.35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-20676306.969999999</v>
      </c>
      <c r="G795" s="90">
        <v>-1030955.54</v>
      </c>
      <c r="H795" s="90">
        <v>-574040.59</v>
      </c>
      <c r="I795" s="90">
        <v>-305319.3</v>
      </c>
      <c r="J795" s="90">
        <v>-5151792.0999999996</v>
      </c>
      <c r="K795" s="90">
        <v>-169399.72</v>
      </c>
      <c r="L795" s="90">
        <v>0</v>
      </c>
      <c r="M795" s="90">
        <v>-1485911.9</v>
      </c>
      <c r="N795" s="90">
        <v>-1420513.45</v>
      </c>
      <c r="O795" s="90">
        <v>-7189457.9400000004</v>
      </c>
      <c r="P795" s="90">
        <v>-3072537.16</v>
      </c>
      <c r="Q795" s="90">
        <v>-276379.27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-20676306.969999999</v>
      </c>
      <c r="G796" s="90">
        <v>-1030955.54</v>
      </c>
      <c r="H796" s="90">
        <v>-574040.59</v>
      </c>
      <c r="I796" s="90">
        <v>-305319.3</v>
      </c>
      <c r="J796" s="90">
        <v>-5151792.0999999996</v>
      </c>
      <c r="K796" s="90">
        <v>-169399.72</v>
      </c>
      <c r="L796" s="90">
        <v>0</v>
      </c>
      <c r="M796" s="90">
        <v>-1485911.9</v>
      </c>
      <c r="N796" s="90">
        <v>-1420513.45</v>
      </c>
      <c r="O796" s="90">
        <v>-7189457.9400000004</v>
      </c>
      <c r="P796" s="90">
        <v>-3072537.16</v>
      </c>
      <c r="Q796" s="90">
        <v>-276379.27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326</v>
      </c>
      <c r="D797" s="739" t="s">
        <v>70</v>
      </c>
      <c r="E797" s="231"/>
      <c r="F797" s="740">
        <v>-20676306.969999999</v>
      </c>
      <c r="G797" s="232">
        <v>-1030955.54</v>
      </c>
      <c r="H797" s="232">
        <v>-574040.59</v>
      </c>
      <c r="I797" s="232">
        <v>-305319.3</v>
      </c>
      <c r="J797" s="232">
        <v>-5151792.0999999996</v>
      </c>
      <c r="K797" s="232">
        <v>-169399.72</v>
      </c>
      <c r="L797" s="232">
        <v>0</v>
      </c>
      <c r="M797" s="232">
        <v>-1485911.9</v>
      </c>
      <c r="N797" s="232">
        <v>-1420513.45</v>
      </c>
      <c r="O797" s="232">
        <v>-7189457.9400000004</v>
      </c>
      <c r="P797" s="232">
        <v>-3072537.16</v>
      </c>
      <c r="Q797" s="232">
        <v>-276379.27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191228.37</v>
      </c>
      <c r="G798" s="90">
        <v>133039.57</v>
      </c>
      <c r="H798" s="90">
        <v>75310.73</v>
      </c>
      <c r="I798" s="90">
        <v>39747.31</v>
      </c>
      <c r="J798" s="90">
        <v>-39777.11</v>
      </c>
      <c r="K798" s="90">
        <v>-4210.01</v>
      </c>
      <c r="L798" s="90">
        <v>0</v>
      </c>
      <c r="M798" s="90">
        <v>-36921.14</v>
      </c>
      <c r="N798" s="90">
        <v>-53891.47</v>
      </c>
      <c r="O798" s="90">
        <v>-311814.94</v>
      </c>
      <c r="P798" s="90">
        <v>396614.53</v>
      </c>
      <c r="Q798" s="90">
        <v>-6869.1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191228.37</v>
      </c>
      <c r="G799" s="90">
        <v>133039.57</v>
      </c>
      <c r="H799" s="90">
        <v>75310.73</v>
      </c>
      <c r="I799" s="90">
        <v>39747.31</v>
      </c>
      <c r="J799" s="90">
        <v>-39777.11</v>
      </c>
      <c r="K799" s="90">
        <v>-4210.01</v>
      </c>
      <c r="L799" s="90">
        <v>0</v>
      </c>
      <c r="M799" s="90">
        <v>-36921.14</v>
      </c>
      <c r="N799" s="90">
        <v>-53891.47</v>
      </c>
      <c r="O799" s="90">
        <v>-311814.94</v>
      </c>
      <c r="P799" s="90">
        <v>396614.53</v>
      </c>
      <c r="Q799" s="90">
        <v>-6869.1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2399773.79</v>
      </c>
      <c r="G800" s="90">
        <v>316955.67</v>
      </c>
      <c r="H800" s="90">
        <v>175303.8</v>
      </c>
      <c r="I800" s="90">
        <v>93368.94</v>
      </c>
      <c r="J800" s="90">
        <v>185831.99</v>
      </c>
      <c r="K800" s="90">
        <v>9144.51</v>
      </c>
      <c r="L800" s="90">
        <v>0</v>
      </c>
      <c r="M800" s="90">
        <v>84275.12</v>
      </c>
      <c r="N800" s="90">
        <v>94151.17</v>
      </c>
      <c r="O800" s="90">
        <v>470643.7</v>
      </c>
      <c r="P800" s="90">
        <v>955178.9</v>
      </c>
      <c r="Q800" s="90">
        <v>14919.99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2399773.79</v>
      </c>
      <c r="G801" s="90">
        <v>316955.67</v>
      </c>
      <c r="H801" s="90">
        <v>175303.8</v>
      </c>
      <c r="I801" s="90">
        <v>93368.94</v>
      </c>
      <c r="J801" s="90">
        <v>185831.99</v>
      </c>
      <c r="K801" s="90">
        <v>9144.51</v>
      </c>
      <c r="L801" s="90">
        <v>0</v>
      </c>
      <c r="M801" s="90">
        <v>84275.12</v>
      </c>
      <c r="N801" s="90">
        <v>94151.17</v>
      </c>
      <c r="O801" s="90">
        <v>470643.7</v>
      </c>
      <c r="P801" s="90">
        <v>955178.9</v>
      </c>
      <c r="Q801" s="90">
        <v>14919.99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36270393.700000003</v>
      </c>
      <c r="G802" s="90">
        <v>7294256.5499999998</v>
      </c>
      <c r="H802" s="90">
        <v>4030099.58</v>
      </c>
      <c r="I802" s="90">
        <v>2148240.9700000002</v>
      </c>
      <c r="J802" s="90">
        <v>592932.37</v>
      </c>
      <c r="K802" s="90">
        <v>5598.69</v>
      </c>
      <c r="L802" s="90">
        <v>0</v>
      </c>
      <c r="M802" s="90">
        <v>50827.4</v>
      </c>
      <c r="N802" s="90">
        <v>53449.52</v>
      </c>
      <c r="O802" s="90">
        <v>301085.34999999998</v>
      </c>
      <c r="P802" s="90">
        <v>21784768.379999999</v>
      </c>
      <c r="Q802" s="90">
        <v>9134.89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36270393.700000003</v>
      </c>
      <c r="G803" s="90">
        <v>7294256.5499999998</v>
      </c>
      <c r="H803" s="90">
        <v>4030099.58</v>
      </c>
      <c r="I803" s="90">
        <v>2148240.9700000002</v>
      </c>
      <c r="J803" s="90">
        <v>592932.37</v>
      </c>
      <c r="K803" s="90">
        <v>5598.69</v>
      </c>
      <c r="L803" s="90">
        <v>0</v>
      </c>
      <c r="M803" s="90">
        <v>50827.4</v>
      </c>
      <c r="N803" s="90">
        <v>53449.52</v>
      </c>
      <c r="O803" s="90">
        <v>301085.34999999998</v>
      </c>
      <c r="P803" s="90">
        <v>21784768.379999999</v>
      </c>
      <c r="Q803" s="90">
        <v>9134.89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38861395.859999999</v>
      </c>
      <c r="G804" s="93">
        <v>7744251.79</v>
      </c>
      <c r="H804" s="93">
        <v>4280714.1100000003</v>
      </c>
      <c r="I804" s="93">
        <v>2281357.2200000002</v>
      </c>
      <c r="J804" s="93">
        <v>738987.25</v>
      </c>
      <c r="K804" s="93">
        <v>10533.19</v>
      </c>
      <c r="L804" s="93">
        <v>0</v>
      </c>
      <c r="M804" s="93">
        <v>98181.38</v>
      </c>
      <c r="N804" s="93">
        <v>93709.22</v>
      </c>
      <c r="O804" s="93">
        <v>459914.11</v>
      </c>
      <c r="P804" s="93">
        <v>23136561.809999999</v>
      </c>
      <c r="Q804" s="93">
        <v>17185.78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-152376731</v>
      </c>
      <c r="G805" s="100">
        <v>17466488.170000002</v>
      </c>
      <c r="H805" s="100">
        <v>9677892.5999999996</v>
      </c>
      <c r="I805" s="100">
        <v>5149644.28</v>
      </c>
      <c r="J805" s="100">
        <v>-77408045.819999993</v>
      </c>
      <c r="K805" s="100">
        <v>-2621056.4300000002</v>
      </c>
      <c r="L805" s="100">
        <v>0</v>
      </c>
      <c r="M805" s="100">
        <v>-23008326.949999999</v>
      </c>
      <c r="N805" s="100">
        <v>-22192771.989999998</v>
      </c>
      <c r="O805" s="100">
        <v>-107635498.20999999</v>
      </c>
      <c r="P805" s="100">
        <v>52473656.189999998</v>
      </c>
      <c r="Q805" s="100">
        <v>-4278712.84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-152376731</v>
      </c>
      <c r="G806" s="90">
        <v>17466488.170000002</v>
      </c>
      <c r="H806" s="90">
        <v>9677892.5999999996</v>
      </c>
      <c r="I806" s="90">
        <v>5149644.28</v>
      </c>
      <c r="J806" s="90">
        <v>-77408045.819999993</v>
      </c>
      <c r="K806" s="90">
        <v>-2621056.4300000002</v>
      </c>
      <c r="L806" s="90">
        <v>0</v>
      </c>
      <c r="M806" s="90">
        <v>-23008326.949999999</v>
      </c>
      <c r="N806" s="90">
        <v>-22192771.989999998</v>
      </c>
      <c r="O806" s="90">
        <v>-107635498.20999999</v>
      </c>
      <c r="P806" s="90">
        <v>52473656.189999998</v>
      </c>
      <c r="Q806" s="90">
        <v>-4278712.84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7556633218</v>
      </c>
      <c r="G807" s="90">
        <v>425611959.97000003</v>
      </c>
      <c r="H807" s="90">
        <v>236795933.33000001</v>
      </c>
      <c r="I807" s="90">
        <v>125990673.31</v>
      </c>
      <c r="J807" s="90">
        <v>1786859848.8199999</v>
      </c>
      <c r="K807" s="90">
        <v>59452070.399999999</v>
      </c>
      <c r="L807" s="90">
        <v>12379938.060000001</v>
      </c>
      <c r="M807" s="90">
        <v>521676008.81999999</v>
      </c>
      <c r="N807" s="90">
        <v>490766033.75</v>
      </c>
      <c r="O807" s="90">
        <v>2532924946.4400001</v>
      </c>
      <c r="P807" s="90">
        <v>1267151382.5599999</v>
      </c>
      <c r="Q807" s="90">
        <v>97013738.159999996</v>
      </c>
      <c r="R807" s="90">
        <v>10679.52</v>
      </c>
      <c r="S807" s="90">
        <v>-0.05</v>
      </c>
      <c r="T807">
        <v>4.91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8" t="s">
        <v>2</v>
      </c>
      <c r="D811" s="775" t="s">
        <v>132</v>
      </c>
      <c r="E811" s="98" t="s">
        <v>70</v>
      </c>
      <c r="F811" s="100">
        <f>F805+F776+F737-L737-L776</f>
        <v>7544253279.9399996</v>
      </c>
      <c r="G811" s="100">
        <f>G776+G737</f>
        <v>408145471.80000001</v>
      </c>
      <c r="H811" s="100">
        <f t="shared" ref="H811:AO811" si="34">H776+H737</f>
        <v>227118040.72999999</v>
      </c>
      <c r="I811" s="100">
        <f t="shared" si="34"/>
        <v>120841029.03</v>
      </c>
      <c r="J811" s="100">
        <f t="shared" si="34"/>
        <v>1864267894.6400001</v>
      </c>
      <c r="K811" s="100">
        <f t="shared" si="34"/>
        <v>62073126.829999998</v>
      </c>
      <c r="L811" s="100">
        <f t="shared" si="34"/>
        <v>12379938.060000001</v>
      </c>
      <c r="M811" s="100">
        <f t="shared" si="34"/>
        <v>544684335.76999998</v>
      </c>
      <c r="N811" s="100">
        <f t="shared" si="34"/>
        <v>512958805.74000001</v>
      </c>
      <c r="O811" s="100">
        <f t="shared" si="34"/>
        <v>2640560444.6500001</v>
      </c>
      <c r="P811" s="100">
        <f t="shared" si="34"/>
        <v>1214677726.3699999</v>
      </c>
      <c r="Q811" s="100">
        <f t="shared" si="34"/>
        <v>101292451</v>
      </c>
      <c r="R811" s="100">
        <f t="shared" si="34"/>
        <v>10679.52</v>
      </c>
      <c r="S811" s="100">
        <f t="shared" si="34"/>
        <v>-0.05</v>
      </c>
      <c r="T811" s="100">
        <f t="shared" si="34"/>
        <v>4.91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0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8"/>
      <c r="D812" s="775"/>
      <c r="E812" s="98" t="s">
        <v>73</v>
      </c>
      <c r="F812" s="100">
        <f>F805</f>
        <v>-152376731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8"/>
      <c r="D813" s="775" t="s">
        <v>133</v>
      </c>
      <c r="E813" s="233" t="s">
        <v>70</v>
      </c>
      <c r="F813" s="234">
        <f>F791+F757-L757</f>
        <v>0</v>
      </c>
      <c r="G813" s="234">
        <f>G757</f>
        <v>0</v>
      </c>
      <c r="H813" s="234">
        <f t="shared" ref="H813:AO813" si="35">H757</f>
        <v>0</v>
      </c>
      <c r="I813" s="234">
        <f t="shared" si="35"/>
        <v>0</v>
      </c>
      <c r="J813" s="234">
        <f t="shared" si="35"/>
        <v>0</v>
      </c>
      <c r="K813" s="234">
        <f t="shared" si="35"/>
        <v>0</v>
      </c>
      <c r="L813" s="234">
        <f t="shared" si="35"/>
        <v>0</v>
      </c>
      <c r="M813" s="234">
        <f t="shared" si="35"/>
        <v>0</v>
      </c>
      <c r="N813" s="234">
        <f t="shared" si="35"/>
        <v>0</v>
      </c>
      <c r="O813" s="234">
        <f t="shared" si="35"/>
        <v>0</v>
      </c>
      <c r="P813" s="234">
        <f t="shared" si="35"/>
        <v>0</v>
      </c>
      <c r="Q813" s="234">
        <f t="shared" si="35"/>
        <v>0</v>
      </c>
      <c r="R813" s="234">
        <f t="shared" si="35"/>
        <v>0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8"/>
      <c r="D814" s="775"/>
      <c r="E814" s="233" t="s">
        <v>73</v>
      </c>
      <c r="F814" s="234">
        <f>F791</f>
        <v>0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8" t="s">
        <v>160</v>
      </c>
      <c r="D816" s="775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8"/>
      <c r="D817" s="775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8"/>
      <c r="D818" s="775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8"/>
      <c r="D819" s="775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8" t="s">
        <v>155</v>
      </c>
      <c r="D821" s="775" t="s">
        <v>132</v>
      </c>
      <c r="E821" s="221" t="s">
        <v>70</v>
      </c>
      <c r="F821" s="222">
        <f>F794+F761+F729-L729-L761</f>
        <v>7233177428.1300001</v>
      </c>
      <c r="G821" s="222">
        <f>G761+G729</f>
        <v>383226244.79000002</v>
      </c>
      <c r="H821" s="222">
        <f t="shared" ref="H821:AO821" si="36">H761+H729</f>
        <v>213399131.62</v>
      </c>
      <c r="I821" s="222">
        <f t="shared" si="36"/>
        <v>113487155.67</v>
      </c>
      <c r="J821" s="222">
        <f t="shared" si="36"/>
        <v>1813158921.0699999</v>
      </c>
      <c r="K821" s="222">
        <f t="shared" si="36"/>
        <v>60280537.299999997</v>
      </c>
      <c r="L821" s="222">
        <f t="shared" si="36"/>
        <v>10471696.869999999</v>
      </c>
      <c r="M821" s="222">
        <f t="shared" si="36"/>
        <v>528865960.60000002</v>
      </c>
      <c r="N821" s="222">
        <f t="shared" si="36"/>
        <v>496788585.52999997</v>
      </c>
      <c r="O821" s="222">
        <f t="shared" si="36"/>
        <v>2555805599.5999999</v>
      </c>
      <c r="P821" s="222">
        <f t="shared" si="36"/>
        <v>1140353351.6900001</v>
      </c>
      <c r="Q821" s="222">
        <f t="shared" si="36"/>
        <v>98362156.760000005</v>
      </c>
      <c r="R821" s="222">
        <f t="shared" si="36"/>
        <v>11598.57</v>
      </c>
      <c r="S821" s="222">
        <f t="shared" si="36"/>
        <v>0</v>
      </c>
      <c r="T821" s="222">
        <f t="shared" si="36"/>
        <v>4.82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0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8"/>
      <c r="D822" s="775"/>
      <c r="E822" s="221" t="s">
        <v>73</v>
      </c>
      <c r="F822" s="222">
        <f>F794</f>
        <v>-170561819.88999999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8"/>
      <c r="D823" s="775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8"/>
      <c r="D824" s="775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6" t="s">
        <v>326</v>
      </c>
      <c r="D826" s="775" t="s">
        <v>132</v>
      </c>
      <c r="E826" s="373" t="s">
        <v>70</v>
      </c>
      <c r="F826" s="374">
        <f>F797+F765-L765</f>
        <v>139510580</v>
      </c>
      <c r="G826" s="374">
        <f>G765</f>
        <v>8666290.4399999995</v>
      </c>
      <c r="H826" s="374">
        <f t="shared" ref="H826:AO826" si="38">H765</f>
        <v>4836297.78</v>
      </c>
      <c r="I826" s="374">
        <f t="shared" si="38"/>
        <v>2584164.52</v>
      </c>
      <c r="J826" s="374">
        <f t="shared" si="38"/>
        <v>38419843.039999999</v>
      </c>
      <c r="K826" s="374">
        <f t="shared" si="38"/>
        <v>1269098.3899999999</v>
      </c>
      <c r="L826" s="374">
        <f>L765</f>
        <v>0</v>
      </c>
      <c r="M826" s="374">
        <f t="shared" si="38"/>
        <v>11146402.07</v>
      </c>
      <c r="N826" s="374">
        <f t="shared" si="38"/>
        <v>10565640.77</v>
      </c>
      <c r="O826" s="374">
        <f t="shared" si="38"/>
        <v>54685399.630000003</v>
      </c>
      <c r="P826" s="374">
        <f t="shared" si="38"/>
        <v>25943616.440000001</v>
      </c>
      <c r="Q826" s="374">
        <f t="shared" si="38"/>
        <v>2070340.36</v>
      </c>
      <c r="R826" s="374">
        <f t="shared" si="38"/>
        <v>-206.46</v>
      </c>
      <c r="S826" s="374">
        <f t="shared" si="38"/>
        <v>-0.01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6"/>
      <c r="D827" s="775"/>
      <c r="E827" s="373" t="s">
        <v>73</v>
      </c>
      <c r="F827" s="374">
        <f>F797</f>
        <v>-20676306.969999999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6"/>
      <c r="D828" s="775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6"/>
      <c r="D829" s="775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8" t="s">
        <v>119</v>
      </c>
      <c r="D831" s="775" t="s">
        <v>132</v>
      </c>
      <c r="E831" s="101" t="s">
        <v>70</v>
      </c>
      <c r="F831" s="93">
        <f>F775+F804+F736-L736-L775</f>
        <v>171565271.81</v>
      </c>
      <c r="G831" s="93">
        <f>G775+G736</f>
        <v>16252936.57</v>
      </c>
      <c r="H831" s="93">
        <f t="shared" ref="H831:AO831" si="40">H775+H736</f>
        <v>8882611.3300000001</v>
      </c>
      <c r="I831" s="93">
        <f t="shared" si="40"/>
        <v>4769708.84</v>
      </c>
      <c r="J831" s="93">
        <f t="shared" si="40"/>
        <v>12689130.529999999</v>
      </c>
      <c r="K831" s="93">
        <f t="shared" si="40"/>
        <v>523491.14</v>
      </c>
      <c r="L831" s="93">
        <f t="shared" si="40"/>
        <v>1908241.19</v>
      </c>
      <c r="M831" s="93">
        <f t="shared" si="40"/>
        <v>4671973.0999999996</v>
      </c>
      <c r="N831" s="93">
        <f t="shared" si="40"/>
        <v>5604579.4400000004</v>
      </c>
      <c r="O831" s="93">
        <f t="shared" si="40"/>
        <v>30069445.420000002</v>
      </c>
      <c r="P831" s="93">
        <f t="shared" si="40"/>
        <v>48380758.240000002</v>
      </c>
      <c r="Q831" s="93">
        <f t="shared" si="40"/>
        <v>859953.88</v>
      </c>
      <c r="R831" s="93">
        <f t="shared" si="40"/>
        <v>-712.59</v>
      </c>
      <c r="S831" s="93">
        <f t="shared" si="40"/>
        <v>-0.04</v>
      </c>
      <c r="T831" s="93">
        <f t="shared" si="40"/>
        <v>0.09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0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8"/>
      <c r="D832" s="775"/>
      <c r="E832" s="101" t="s">
        <v>73</v>
      </c>
      <c r="F832" s="93">
        <f>F804</f>
        <v>38861395.859999999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8"/>
      <c r="D833" s="775" t="s">
        <v>133</v>
      </c>
      <c r="E833" s="235" t="s">
        <v>70</v>
      </c>
      <c r="F833" s="236">
        <f>F790+F756-L756</f>
        <v>0</v>
      </c>
      <c r="G833" s="236">
        <f>G756</f>
        <v>0</v>
      </c>
      <c r="H833" s="236">
        <f t="shared" ref="H833:AO833" si="41">H756</f>
        <v>0</v>
      </c>
      <c r="I833" s="236">
        <f t="shared" si="41"/>
        <v>0</v>
      </c>
      <c r="J833" s="236">
        <f t="shared" si="41"/>
        <v>0</v>
      </c>
      <c r="K833" s="236">
        <f t="shared" si="41"/>
        <v>0</v>
      </c>
      <c r="L833" s="236">
        <f t="shared" si="41"/>
        <v>0</v>
      </c>
      <c r="M833" s="236">
        <f t="shared" si="41"/>
        <v>0</v>
      </c>
      <c r="N833" s="236">
        <f t="shared" si="41"/>
        <v>0</v>
      </c>
      <c r="O833" s="236">
        <f t="shared" si="41"/>
        <v>0</v>
      </c>
      <c r="P833" s="236">
        <f t="shared" si="41"/>
        <v>0</v>
      </c>
      <c r="Q833" s="236">
        <f t="shared" si="41"/>
        <v>0</v>
      </c>
      <c r="R833" s="236">
        <f t="shared" si="41"/>
        <v>0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8"/>
      <c r="D834" s="775"/>
      <c r="E834" s="235" t="s">
        <v>73</v>
      </c>
      <c r="F834" s="236">
        <f>F790</f>
        <v>0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7" t="s">
        <v>161</v>
      </c>
      <c r="D836" s="775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7"/>
      <c r="D837" s="775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7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7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0</v>
      </c>
      <c r="G841" s="460">
        <f t="shared" ref="G841:AA841" si="42">G738</f>
        <v>0</v>
      </c>
      <c r="H841" s="460">
        <f t="shared" si="42"/>
        <v>0</v>
      </c>
      <c r="I841" s="460">
        <f t="shared" si="42"/>
        <v>0</v>
      </c>
      <c r="J841" s="460">
        <f t="shared" si="42"/>
        <v>0</v>
      </c>
      <c r="K841" s="460">
        <f t="shared" si="42"/>
        <v>0</v>
      </c>
      <c r="L841" s="460">
        <f t="shared" si="42"/>
        <v>0</v>
      </c>
      <c r="M841" s="460">
        <f t="shared" si="42"/>
        <v>0</v>
      </c>
      <c r="N841" s="460">
        <f t="shared" si="42"/>
        <v>0</v>
      </c>
      <c r="O841" s="460">
        <f t="shared" si="42"/>
        <v>0</v>
      </c>
      <c r="P841" s="460">
        <f t="shared" si="42"/>
        <v>0</v>
      </c>
      <c r="Q841" s="460">
        <f t="shared" si="42"/>
        <v>0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9" ht="12.75" customHeight="1" x14ac:dyDescent="0.25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28281218.77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326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9" ht="12.75" customHeight="1" x14ac:dyDescent="0.25">
      <c r="B16" s="142"/>
      <c r="D16" t="s">
        <v>81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5">
      <c r="B18" s="142"/>
      <c r="D18" t="s">
        <v>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ht="12.75" customHeight="1" x14ac:dyDescent="0.25">
      <c r="B21" s="142"/>
      <c r="D21" t="s">
        <v>72</v>
      </c>
      <c r="E21" s="142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2995523.65</v>
      </c>
      <c r="F24" s="93">
        <v>0</v>
      </c>
      <c r="G24" s="93">
        <v>0</v>
      </c>
      <c r="H24" s="93">
        <v>0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0</v>
      </c>
      <c r="O24" s="93">
        <v>0</v>
      </c>
      <c r="P24" s="93">
        <v>0</v>
      </c>
      <c r="Q24" s="93">
        <v>0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31276742.420000002</v>
      </c>
      <c r="F25" s="100">
        <v>0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100">
        <v>0</v>
      </c>
      <c r="O25" s="100">
        <v>0</v>
      </c>
      <c r="P25" s="100">
        <v>0</v>
      </c>
      <c r="Q25" s="100">
        <v>0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332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-1549869.38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326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861197.98</v>
      </c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-688671.4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100">
        <v>0</v>
      </c>
      <c r="N42" s="100">
        <v>0</v>
      </c>
      <c r="O42" s="100">
        <v>0</v>
      </c>
      <c r="P42" s="100">
        <v>0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8" t="s">
        <v>2</v>
      </c>
      <c r="C57" s="775" t="s">
        <v>132</v>
      </c>
      <c r="D57" s="98" t="s">
        <v>70</v>
      </c>
      <c r="E57" s="100">
        <f>E25+E42-K25</f>
        <v>30588071.020000003</v>
      </c>
      <c r="F57" s="100">
        <f>F25</f>
        <v>0</v>
      </c>
      <c r="G57" s="100">
        <f t="shared" ref="G57:S57" si="0">G25</f>
        <v>0</v>
      </c>
      <c r="H57" s="100">
        <f t="shared" si="0"/>
        <v>0</v>
      </c>
      <c r="I57" s="100">
        <f t="shared" si="0"/>
        <v>0</v>
      </c>
      <c r="J57" s="100">
        <f t="shared" si="0"/>
        <v>0</v>
      </c>
      <c r="K57" s="100">
        <f t="shared" si="0"/>
        <v>0</v>
      </c>
      <c r="L57" s="100">
        <f t="shared" si="0"/>
        <v>0</v>
      </c>
      <c r="M57" s="100">
        <f t="shared" si="0"/>
        <v>0</v>
      </c>
      <c r="N57" s="100">
        <f t="shared" si="0"/>
        <v>0</v>
      </c>
      <c r="O57" s="100">
        <f t="shared" si="0"/>
        <v>0</v>
      </c>
      <c r="P57" s="100">
        <f t="shared" si="0"/>
        <v>0</v>
      </c>
      <c r="Q57" s="100">
        <f t="shared" si="0"/>
        <v>0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8"/>
      <c r="C58" s="775"/>
      <c r="D58" s="98" t="s">
        <v>73</v>
      </c>
      <c r="E58" s="100">
        <f>E42</f>
        <v>-688671.4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8" t="s">
        <v>160</v>
      </c>
      <c r="C60" s="775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8"/>
      <c r="C61" s="775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8" t="s">
        <v>155</v>
      </c>
      <c r="C63" s="775" t="s">
        <v>132</v>
      </c>
      <c r="D63" s="221" t="s">
        <v>70</v>
      </c>
      <c r="E63" s="222">
        <f>E31+E28+E10+E6-K6-K10</f>
        <v>26731349.390000001</v>
      </c>
      <c r="F63" s="222">
        <f>F10+F6</f>
        <v>0</v>
      </c>
      <c r="G63" s="222">
        <f t="shared" ref="G63:S63" si="1">G10+G6</f>
        <v>0</v>
      </c>
      <c r="H63" s="222">
        <f t="shared" si="1"/>
        <v>0</v>
      </c>
      <c r="I63" s="222">
        <f t="shared" si="1"/>
        <v>0</v>
      </c>
      <c r="J63" s="222">
        <f t="shared" si="1"/>
        <v>0</v>
      </c>
      <c r="K63" s="222">
        <f t="shared" si="1"/>
        <v>0</v>
      </c>
      <c r="L63" s="222">
        <f t="shared" si="1"/>
        <v>0</v>
      </c>
      <c r="M63" s="222">
        <f t="shared" si="1"/>
        <v>0</v>
      </c>
      <c r="N63" s="222">
        <f t="shared" si="1"/>
        <v>0</v>
      </c>
      <c r="O63" s="222">
        <f t="shared" si="1"/>
        <v>0</v>
      </c>
      <c r="P63" s="222">
        <f t="shared" si="1"/>
        <v>0</v>
      </c>
      <c r="Q63" s="222">
        <f t="shared" si="1"/>
        <v>0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8"/>
      <c r="C64" s="775"/>
      <c r="D64" s="221" t="s">
        <v>73</v>
      </c>
      <c r="E64" s="222">
        <f>E31+E28</f>
        <v>-1549869.38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6" t="s">
        <v>326</v>
      </c>
      <c r="C66" s="775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6"/>
      <c r="C67" s="775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8" t="s">
        <v>119</v>
      </c>
      <c r="C69" s="775" t="s">
        <v>132</v>
      </c>
      <c r="D69" s="101" t="s">
        <v>70</v>
      </c>
      <c r="E69" s="93">
        <f>E24+E41-K24</f>
        <v>3856721.63</v>
      </c>
      <c r="F69" s="93">
        <f>F24</f>
        <v>0</v>
      </c>
      <c r="G69" s="93">
        <f t="shared" ref="G69:S69" si="2">G24</f>
        <v>0</v>
      </c>
      <c r="H69" s="93">
        <f t="shared" si="2"/>
        <v>0</v>
      </c>
      <c r="I69" s="93">
        <f t="shared" si="2"/>
        <v>0</v>
      </c>
      <c r="J69" s="93">
        <f t="shared" si="2"/>
        <v>0</v>
      </c>
      <c r="K69" s="93">
        <f t="shared" si="2"/>
        <v>0</v>
      </c>
      <c r="L69" s="93">
        <f t="shared" si="2"/>
        <v>0</v>
      </c>
      <c r="M69" s="93">
        <f t="shared" si="2"/>
        <v>0</v>
      </c>
      <c r="N69" s="93">
        <f t="shared" si="2"/>
        <v>0</v>
      </c>
      <c r="O69" s="93">
        <f t="shared" si="2"/>
        <v>0</v>
      </c>
      <c r="P69" s="93">
        <f t="shared" si="2"/>
        <v>0</v>
      </c>
      <c r="Q69" s="93">
        <f t="shared" si="2"/>
        <v>0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8"/>
      <c r="C70" s="775"/>
      <c r="D70" s="101" t="s">
        <v>73</v>
      </c>
      <c r="E70" s="93">
        <f>E41</f>
        <v>861197.98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7" t="s">
        <v>161</v>
      </c>
      <c r="C72" s="775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7"/>
      <c r="C73" s="775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332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149137.87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2:18" ht="12.75" customHeight="1" x14ac:dyDescent="0.25">
      <c r="B82" s="142"/>
      <c r="D82" s="89" t="s">
        <v>81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58544042.329999998</v>
      </c>
      <c r="F84" s="230">
        <v>0</v>
      </c>
      <c r="G84" s="230">
        <v>0</v>
      </c>
      <c r="H84" s="230">
        <v>0</v>
      </c>
      <c r="I84" s="230">
        <v>0</v>
      </c>
      <c r="J84" s="230">
        <v>0</v>
      </c>
      <c r="K84" s="230">
        <v>70736.95</v>
      </c>
      <c r="L84" s="230">
        <v>0</v>
      </c>
      <c r="M84" s="230">
        <v>0</v>
      </c>
      <c r="N84" s="230">
        <v>0</v>
      </c>
      <c r="O84" s="230">
        <v>0</v>
      </c>
      <c r="P84" s="230">
        <v>0</v>
      </c>
      <c r="Q84" s="230">
        <v>0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>
        <v>0</v>
      </c>
    </row>
    <row r="86" spans="2:18" ht="12.75" customHeight="1" x14ac:dyDescent="0.25">
      <c r="B86" s="142"/>
      <c r="D86" s="89" t="s">
        <v>81</v>
      </c>
      <c r="E86" s="371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16015076.93</v>
      </c>
      <c r="F106" s="224">
        <v>0</v>
      </c>
      <c r="G106" s="224">
        <v>0</v>
      </c>
      <c r="H106" s="224">
        <v>0</v>
      </c>
      <c r="I106" s="224">
        <v>0</v>
      </c>
      <c r="J106" s="224">
        <v>0</v>
      </c>
      <c r="K106" s="224">
        <v>0</v>
      </c>
      <c r="L106" s="224">
        <v>0</v>
      </c>
      <c r="M106" s="224">
        <v>0</v>
      </c>
      <c r="N106" s="224">
        <v>0</v>
      </c>
      <c r="O106" s="224">
        <v>0</v>
      </c>
      <c r="P106" s="224">
        <v>0</v>
      </c>
      <c r="Q106" s="224">
        <v>0</v>
      </c>
      <c r="R106" s="224">
        <v>0</v>
      </c>
    </row>
    <row r="107" spans="2:18" ht="12.75" customHeight="1" x14ac:dyDescent="0.25">
      <c r="D107" t="s">
        <v>72</v>
      </c>
      <c r="E107" s="142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 ht="12.75" customHeight="1" x14ac:dyDescent="0.25">
      <c r="D108" t="s">
        <v>81</v>
      </c>
      <c r="E108" s="142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2:18" ht="12.75" customHeight="1" x14ac:dyDescent="0.25">
      <c r="D110" t="s">
        <v>72</v>
      </c>
      <c r="E110" s="142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 ht="12.75" customHeight="1" x14ac:dyDescent="0.25">
      <c r="D111" t="s">
        <v>81</v>
      </c>
      <c r="E111" s="142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ht="12.75" customHeight="1" x14ac:dyDescent="0.25">
      <c r="D113" t="s">
        <v>72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ht="12.75" customHeight="1" x14ac:dyDescent="0.25">
      <c r="D114" t="s">
        <v>81</v>
      </c>
      <c r="E114" s="142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41702163.539999999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3">
        <v>0</v>
      </c>
      <c r="L116" s="93">
        <v>0</v>
      </c>
      <c r="M116" s="93">
        <v>0</v>
      </c>
      <c r="N116" s="93">
        <v>0</v>
      </c>
      <c r="O116" s="93">
        <v>0</v>
      </c>
      <c r="P116" s="93">
        <v>0</v>
      </c>
      <c r="Q116" s="93">
        <v>0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116410420.67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70736.95</v>
      </c>
      <c r="L117" s="100">
        <v>0</v>
      </c>
      <c r="M117" s="100">
        <v>0</v>
      </c>
      <c r="N117" s="100">
        <v>0</v>
      </c>
      <c r="O117" s="100">
        <v>0</v>
      </c>
      <c r="P117" s="100">
        <v>0</v>
      </c>
      <c r="Q117" s="100">
        <v>0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332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-18613.87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0</v>
      </c>
      <c r="F122" s="90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-19130403.640000001</v>
      </c>
      <c r="F123" s="230">
        <v>0</v>
      </c>
      <c r="G123" s="230">
        <v>0</v>
      </c>
      <c r="H123" s="230">
        <v>0</v>
      </c>
      <c r="I123" s="230">
        <v>0</v>
      </c>
      <c r="J123" s="230">
        <v>0</v>
      </c>
      <c r="K123" s="230">
        <v>0</v>
      </c>
      <c r="L123" s="230">
        <v>0</v>
      </c>
      <c r="M123" s="230">
        <v>0</v>
      </c>
      <c r="N123" s="230">
        <v>0</v>
      </c>
      <c r="O123" s="230">
        <v>0</v>
      </c>
      <c r="P123" s="230">
        <v>0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0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0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0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-4383219.66</v>
      </c>
      <c r="F138" s="225">
        <v>0</v>
      </c>
      <c r="G138" s="225">
        <v>0</v>
      </c>
      <c r="H138" s="225">
        <v>0</v>
      </c>
      <c r="I138" s="225">
        <v>0</v>
      </c>
      <c r="J138" s="225">
        <v>0</v>
      </c>
      <c r="K138" s="225">
        <v>0</v>
      </c>
      <c r="L138" s="225">
        <v>0</v>
      </c>
      <c r="M138" s="225">
        <v>0</v>
      </c>
      <c r="N138" s="225">
        <v>0</v>
      </c>
      <c r="O138" s="225">
        <v>0</v>
      </c>
      <c r="P138" s="225">
        <v>0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0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0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0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0</v>
      </c>
      <c r="F144" s="90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2827527.77</v>
      </c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-20704709.399999999</v>
      </c>
      <c r="F146" s="100">
        <v>0</v>
      </c>
      <c r="G146" s="100">
        <v>0</v>
      </c>
      <c r="H146" s="100">
        <v>0</v>
      </c>
      <c r="I146" s="100">
        <v>0</v>
      </c>
      <c r="J146" s="100">
        <v>0</v>
      </c>
      <c r="K146" s="100">
        <v>0</v>
      </c>
      <c r="L146" s="100">
        <v>0</v>
      </c>
      <c r="M146" s="100">
        <v>0</v>
      </c>
      <c r="N146" s="100">
        <v>0</v>
      </c>
      <c r="O146" s="100">
        <v>0</v>
      </c>
      <c r="P146" s="100">
        <v>0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8" t="s">
        <v>2</v>
      </c>
      <c r="C178" s="775" t="s">
        <v>132</v>
      </c>
      <c r="D178" s="98" t="s">
        <v>70</v>
      </c>
      <c r="E178" s="100">
        <f>E117+E146-K117</f>
        <v>95634974.320000008</v>
      </c>
      <c r="F178" s="100">
        <f t="shared" ref="F178:R178" si="3">F117</f>
        <v>0</v>
      </c>
      <c r="G178" s="100">
        <f t="shared" si="3"/>
        <v>0</v>
      </c>
      <c r="H178" s="100">
        <f t="shared" si="3"/>
        <v>0</v>
      </c>
      <c r="I178" s="100">
        <f t="shared" si="3"/>
        <v>0</v>
      </c>
      <c r="J178" s="100">
        <f t="shared" si="3"/>
        <v>0</v>
      </c>
      <c r="K178" s="100">
        <f t="shared" si="3"/>
        <v>70736.95</v>
      </c>
      <c r="L178" s="100">
        <f t="shared" si="3"/>
        <v>0</v>
      </c>
      <c r="M178" s="100">
        <f t="shared" si="3"/>
        <v>0</v>
      </c>
      <c r="N178" s="100">
        <f t="shared" si="3"/>
        <v>0</v>
      </c>
      <c r="O178" s="100">
        <f t="shared" si="3"/>
        <v>0</v>
      </c>
      <c r="P178" s="100">
        <f t="shared" si="3"/>
        <v>0</v>
      </c>
      <c r="Q178" s="100">
        <f t="shared" si="3"/>
        <v>0</v>
      </c>
      <c r="R178" s="100">
        <f t="shared" si="3"/>
        <v>0</v>
      </c>
    </row>
    <row r="179" spans="1:19" ht="12.75" customHeight="1" x14ac:dyDescent="0.25">
      <c r="B179" s="778"/>
      <c r="C179" s="775"/>
      <c r="D179" s="98" t="s">
        <v>73</v>
      </c>
      <c r="E179" s="100">
        <f>E146</f>
        <v>-20704709.399999999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8" t="s">
        <v>160</v>
      </c>
      <c r="C181" s="775" t="s">
        <v>132</v>
      </c>
      <c r="D181" s="223" t="s">
        <v>70</v>
      </c>
      <c r="E181" s="225">
        <f>E138+E120+E106+E80-K80-K106</f>
        <v>11762381.269999998</v>
      </c>
      <c r="F181" s="225">
        <f>F106+F80</f>
        <v>0</v>
      </c>
      <c r="G181" s="225">
        <f t="shared" ref="G181:R181" si="4">G106+G80</f>
        <v>0</v>
      </c>
      <c r="H181" s="225">
        <f t="shared" si="4"/>
        <v>0</v>
      </c>
      <c r="I181" s="225">
        <f t="shared" si="4"/>
        <v>0</v>
      </c>
      <c r="J181" s="225">
        <f t="shared" si="4"/>
        <v>0</v>
      </c>
      <c r="K181" s="225">
        <f t="shared" si="4"/>
        <v>0</v>
      </c>
      <c r="L181" s="225">
        <f t="shared" si="4"/>
        <v>0</v>
      </c>
      <c r="M181" s="225">
        <f t="shared" si="4"/>
        <v>0</v>
      </c>
      <c r="N181" s="225">
        <f t="shared" si="4"/>
        <v>0</v>
      </c>
      <c r="O181" s="225">
        <f t="shared" si="4"/>
        <v>0</v>
      </c>
      <c r="P181" s="225">
        <f t="shared" si="4"/>
        <v>0</v>
      </c>
      <c r="Q181" s="225">
        <f t="shared" si="4"/>
        <v>0</v>
      </c>
      <c r="R181" s="225">
        <f t="shared" si="4"/>
        <v>0</v>
      </c>
    </row>
    <row r="182" spans="1:19" ht="12.75" customHeight="1" x14ac:dyDescent="0.25">
      <c r="B182" s="778"/>
      <c r="C182" s="775"/>
      <c r="D182" s="223" t="s">
        <v>73</v>
      </c>
      <c r="E182" s="225">
        <f>E138+E120</f>
        <v>-4401833.53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8" t="s">
        <v>155</v>
      </c>
      <c r="C184" s="775" t="s">
        <v>132</v>
      </c>
      <c r="D184" s="221" t="s">
        <v>70</v>
      </c>
      <c r="E184" s="222">
        <f>E123+E84-K84</f>
        <v>39342901.739999995</v>
      </c>
      <c r="F184" s="222">
        <f>F84</f>
        <v>0</v>
      </c>
      <c r="G184" s="222">
        <f t="shared" ref="G184:R184" si="5">G84</f>
        <v>0</v>
      </c>
      <c r="H184" s="222">
        <f t="shared" si="5"/>
        <v>0</v>
      </c>
      <c r="I184" s="222">
        <f t="shared" si="5"/>
        <v>0</v>
      </c>
      <c r="J184" s="222">
        <f t="shared" si="5"/>
        <v>0</v>
      </c>
      <c r="K184" s="222">
        <f t="shared" si="5"/>
        <v>70736.95</v>
      </c>
      <c r="L184" s="222">
        <f t="shared" si="5"/>
        <v>0</v>
      </c>
      <c r="M184" s="222">
        <f t="shared" si="5"/>
        <v>0</v>
      </c>
      <c r="N184" s="222">
        <f t="shared" si="5"/>
        <v>0</v>
      </c>
      <c r="O184" s="222">
        <f t="shared" si="5"/>
        <v>0</v>
      </c>
      <c r="P184" s="222">
        <f t="shared" si="5"/>
        <v>0</v>
      </c>
      <c r="Q184" s="222">
        <f t="shared" si="5"/>
        <v>0</v>
      </c>
      <c r="R184" s="222">
        <f t="shared" si="5"/>
        <v>0</v>
      </c>
    </row>
    <row r="185" spans="1:19" ht="12.75" customHeight="1" x14ac:dyDescent="0.25">
      <c r="B185" s="778"/>
      <c r="C185" s="775"/>
      <c r="D185" s="221" t="s">
        <v>73</v>
      </c>
      <c r="E185" s="222">
        <f>E123</f>
        <v>-19130403.640000001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6" t="s">
        <v>326</v>
      </c>
      <c r="C187" s="775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6"/>
      <c r="C188" s="775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8" t="s">
        <v>119</v>
      </c>
      <c r="C190" s="775" t="s">
        <v>132</v>
      </c>
      <c r="D190" s="101" t="s">
        <v>70</v>
      </c>
      <c r="E190" s="93">
        <f>E116+E145-K116</f>
        <v>44529691.310000002</v>
      </c>
      <c r="F190" s="93">
        <f t="shared" ref="F190:R190" si="6">F116</f>
        <v>0</v>
      </c>
      <c r="G190" s="93">
        <f t="shared" si="6"/>
        <v>0</v>
      </c>
      <c r="H190" s="93">
        <f t="shared" si="6"/>
        <v>0</v>
      </c>
      <c r="I190" s="93">
        <f t="shared" si="6"/>
        <v>0</v>
      </c>
      <c r="J190" s="93">
        <f t="shared" si="6"/>
        <v>0</v>
      </c>
      <c r="K190" s="93">
        <f t="shared" si="6"/>
        <v>0</v>
      </c>
      <c r="L190" s="93">
        <f t="shared" si="6"/>
        <v>0</v>
      </c>
      <c r="M190" s="93">
        <f t="shared" si="6"/>
        <v>0</v>
      </c>
      <c r="N190" s="93">
        <f t="shared" si="6"/>
        <v>0</v>
      </c>
      <c r="O190" s="93">
        <f t="shared" si="6"/>
        <v>0</v>
      </c>
      <c r="P190" s="93">
        <f t="shared" si="6"/>
        <v>0</v>
      </c>
      <c r="Q190" s="93">
        <f t="shared" si="6"/>
        <v>0</v>
      </c>
      <c r="R190" s="93">
        <f t="shared" si="6"/>
        <v>0</v>
      </c>
    </row>
    <row r="191" spans="1:19" ht="12.75" customHeight="1" x14ac:dyDescent="0.25">
      <c r="B191" s="778"/>
      <c r="C191" s="775"/>
      <c r="D191" s="101" t="s">
        <v>73</v>
      </c>
      <c r="E191" s="93">
        <f>E145</f>
        <v>2827527.77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7" t="s">
        <v>161</v>
      </c>
      <c r="C193" s="775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7"/>
      <c r="C194" s="775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332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2:18" ht="12.75" customHeight="1" x14ac:dyDescent="0.25">
      <c r="D203" t="s">
        <v>81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16818069.859999999</v>
      </c>
      <c r="F205" s="656">
        <v>0</v>
      </c>
      <c r="G205" s="656">
        <v>0</v>
      </c>
      <c r="H205" s="656">
        <v>0</v>
      </c>
      <c r="I205" s="656">
        <v>0</v>
      </c>
      <c r="J205" s="656">
        <v>0</v>
      </c>
      <c r="K205" s="656">
        <v>16082.29</v>
      </c>
      <c r="L205" s="656">
        <v>0</v>
      </c>
      <c r="M205" s="656">
        <v>0</v>
      </c>
      <c r="N205" s="656">
        <v>0</v>
      </c>
      <c r="O205" s="656">
        <v>0</v>
      </c>
      <c r="P205" s="656">
        <v>0</v>
      </c>
      <c r="Q205" s="656">
        <v>0</v>
      </c>
      <c r="R205" s="656">
        <v>0</v>
      </c>
    </row>
    <row r="206" spans="2:18" ht="12.75" customHeight="1" x14ac:dyDescent="0.25">
      <c r="D206" t="s">
        <v>72</v>
      </c>
      <c r="E206" s="142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2:18" ht="12.75" customHeight="1" x14ac:dyDescent="0.25">
      <c r="D207" t="s">
        <v>81</v>
      </c>
      <c r="E207" s="142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ht="12.75" customHeight="1" x14ac:dyDescent="0.25">
      <c r="D209" t="s">
        <v>72</v>
      </c>
      <c r="E209" s="142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2.75" customHeight="1" x14ac:dyDescent="0.25">
      <c r="D212" t="s">
        <v>72</v>
      </c>
      <c r="E212" s="14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ht="12.75" customHeight="1" x14ac:dyDescent="0.25">
      <c r="D213" t="s">
        <v>81</v>
      </c>
      <c r="E213" s="142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1639770.22</v>
      </c>
      <c r="F215" s="93">
        <v>0</v>
      </c>
      <c r="G215" s="93">
        <v>0</v>
      </c>
      <c r="H215" s="93">
        <v>0</v>
      </c>
      <c r="I215" s="93">
        <v>0</v>
      </c>
      <c r="J215" s="93">
        <v>0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18457840.079999998</v>
      </c>
      <c r="F216" s="100">
        <v>0</v>
      </c>
      <c r="G216" s="100">
        <v>0</v>
      </c>
      <c r="H216" s="100">
        <v>0</v>
      </c>
      <c r="I216" s="100">
        <v>0</v>
      </c>
      <c r="J216" s="100">
        <v>0</v>
      </c>
      <c r="K216" s="100">
        <v>16082.29</v>
      </c>
      <c r="L216" s="100">
        <v>0</v>
      </c>
      <c r="M216" s="100">
        <v>0</v>
      </c>
      <c r="N216" s="100">
        <v>0</v>
      </c>
      <c r="O216" s="100">
        <v>0</v>
      </c>
      <c r="P216" s="100">
        <v>0</v>
      </c>
      <c r="Q216" s="100">
        <v>0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332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0</v>
      </c>
      <c r="F220" s="90">
        <v>0</v>
      </c>
      <c r="G220" s="90">
        <v>0</v>
      </c>
      <c r="H220" s="90">
        <v>0</v>
      </c>
      <c r="I220" s="90">
        <v>0</v>
      </c>
      <c r="J220" s="90">
        <v>0</v>
      </c>
      <c r="K220" s="90">
        <v>0</v>
      </c>
      <c r="L220" s="90">
        <v>0</v>
      </c>
      <c r="M220" s="90">
        <v>0</v>
      </c>
      <c r="N220" s="90">
        <v>0</v>
      </c>
      <c r="O220" s="90">
        <v>0</v>
      </c>
      <c r="P220" s="90">
        <v>0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0</v>
      </c>
      <c r="F221" s="90">
        <v>0</v>
      </c>
      <c r="G221" s="90">
        <v>0</v>
      </c>
      <c r="H221" s="90">
        <v>0</v>
      </c>
      <c r="I221" s="90">
        <v>0</v>
      </c>
      <c r="J221" s="90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-4432926.82</v>
      </c>
      <c r="F222" s="222">
        <v>0</v>
      </c>
      <c r="G222" s="222">
        <v>0</v>
      </c>
      <c r="H222" s="222">
        <v>0</v>
      </c>
      <c r="I222" s="222">
        <v>0</v>
      </c>
      <c r="J222" s="222">
        <v>0</v>
      </c>
      <c r="K222" s="222">
        <v>0</v>
      </c>
      <c r="L222" s="222">
        <v>0</v>
      </c>
      <c r="M222" s="222">
        <v>0</v>
      </c>
      <c r="N222" s="222">
        <v>0</v>
      </c>
      <c r="O222" s="222">
        <v>0</v>
      </c>
      <c r="P222" s="222">
        <v>0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  <c r="N223" s="90">
        <v>0</v>
      </c>
      <c r="O223" s="90">
        <v>0</v>
      </c>
      <c r="P223" s="90">
        <v>0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0</v>
      </c>
      <c r="F228" s="90">
        <v>0</v>
      </c>
      <c r="G228" s="90">
        <v>0</v>
      </c>
      <c r="H228" s="90">
        <v>0</v>
      </c>
      <c r="I228" s="90">
        <v>0</v>
      </c>
      <c r="J228" s="90">
        <v>0</v>
      </c>
      <c r="K228" s="90">
        <v>0</v>
      </c>
      <c r="L228" s="90">
        <v>0</v>
      </c>
      <c r="M228" s="90">
        <v>0</v>
      </c>
      <c r="N228" s="90">
        <v>0</v>
      </c>
      <c r="O228" s="90">
        <v>0</v>
      </c>
      <c r="P228" s="90">
        <v>0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565581.06000000006</v>
      </c>
      <c r="F229" s="93">
        <v>0</v>
      </c>
      <c r="G229" s="93">
        <v>0</v>
      </c>
      <c r="H229" s="93">
        <v>0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-3867345.76</v>
      </c>
      <c r="F230" s="100">
        <v>0</v>
      </c>
      <c r="G230" s="100">
        <v>0</v>
      </c>
      <c r="H230" s="100">
        <v>0</v>
      </c>
      <c r="I230" s="100">
        <v>0</v>
      </c>
      <c r="J230" s="100">
        <v>0</v>
      </c>
      <c r="K230" s="100">
        <v>0</v>
      </c>
      <c r="L230" s="100">
        <v>0</v>
      </c>
      <c r="M230" s="100">
        <v>0</v>
      </c>
      <c r="N230" s="100">
        <v>0</v>
      </c>
      <c r="O230" s="100">
        <v>0</v>
      </c>
      <c r="P230" s="100">
        <v>0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0</v>
      </c>
      <c r="F231" s="90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8" t="s">
        <v>2</v>
      </c>
      <c r="C299" s="775" t="s">
        <v>132</v>
      </c>
      <c r="D299" s="98" t="s">
        <v>70</v>
      </c>
      <c r="E299" s="100">
        <f>E216+E230-K216</f>
        <v>14574412.029999999</v>
      </c>
      <c r="F299" s="100">
        <f>F216</f>
        <v>0</v>
      </c>
      <c r="G299" s="100">
        <f t="shared" ref="G299:R299" si="7">G216</f>
        <v>0</v>
      </c>
      <c r="H299" s="100">
        <f t="shared" si="7"/>
        <v>0</v>
      </c>
      <c r="I299" s="100">
        <f t="shared" si="7"/>
        <v>0</v>
      </c>
      <c r="J299" s="100">
        <f t="shared" si="7"/>
        <v>0</v>
      </c>
      <c r="K299" s="100">
        <f t="shared" si="7"/>
        <v>16082.29</v>
      </c>
      <c r="L299" s="100">
        <f t="shared" si="7"/>
        <v>0</v>
      </c>
      <c r="M299" s="100">
        <f t="shared" si="7"/>
        <v>0</v>
      </c>
      <c r="N299" s="100">
        <f t="shared" si="7"/>
        <v>0</v>
      </c>
      <c r="O299" s="100">
        <f t="shared" si="7"/>
        <v>0</v>
      </c>
      <c r="P299" s="100">
        <f t="shared" si="7"/>
        <v>0</v>
      </c>
      <c r="Q299" s="100">
        <f t="shared" si="7"/>
        <v>0</v>
      </c>
      <c r="R299" s="100">
        <f t="shared" si="7"/>
        <v>0</v>
      </c>
    </row>
    <row r="300" spans="1:18" ht="12.75" customHeight="1" x14ac:dyDescent="0.25">
      <c r="B300" s="778"/>
      <c r="C300" s="775"/>
      <c r="D300" s="98" t="s">
        <v>73</v>
      </c>
      <c r="E300" s="100">
        <f>E230</f>
        <v>-3867345.76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8" t="s">
        <v>160</v>
      </c>
      <c r="C302" s="775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8"/>
      <c r="C303" s="775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8" t="s">
        <v>155</v>
      </c>
      <c r="C305" s="775" t="s">
        <v>132</v>
      </c>
      <c r="D305" s="221" t="s">
        <v>70</v>
      </c>
      <c r="E305" s="222">
        <f>E222+E219+E205+E201-K205-K201</f>
        <v>12369060.75</v>
      </c>
      <c r="F305" s="222">
        <f>F201+F205</f>
        <v>0</v>
      </c>
      <c r="G305" s="222">
        <f t="shared" ref="G305:R305" si="8">G201+G205</f>
        <v>0</v>
      </c>
      <c r="H305" s="222">
        <f t="shared" si="8"/>
        <v>0</v>
      </c>
      <c r="I305" s="222">
        <f t="shared" si="8"/>
        <v>0</v>
      </c>
      <c r="J305" s="222">
        <f t="shared" si="8"/>
        <v>0</v>
      </c>
      <c r="K305" s="222">
        <f t="shared" si="8"/>
        <v>16082.29</v>
      </c>
      <c r="L305" s="222">
        <f t="shared" si="8"/>
        <v>0</v>
      </c>
      <c r="M305" s="222">
        <f t="shared" si="8"/>
        <v>0</v>
      </c>
      <c r="N305" s="222">
        <f t="shared" si="8"/>
        <v>0</v>
      </c>
      <c r="O305" s="222">
        <f t="shared" si="8"/>
        <v>0</v>
      </c>
      <c r="P305" s="222">
        <f t="shared" si="8"/>
        <v>0</v>
      </c>
      <c r="Q305" s="222">
        <f t="shared" si="8"/>
        <v>0</v>
      </c>
      <c r="R305" s="222">
        <f t="shared" si="8"/>
        <v>0</v>
      </c>
    </row>
    <row r="306" spans="1:18" ht="12.75" customHeight="1" x14ac:dyDescent="0.25">
      <c r="B306" s="778"/>
      <c r="C306" s="775"/>
      <c r="D306" s="221" t="s">
        <v>73</v>
      </c>
      <c r="E306" s="222">
        <f>E222+E219</f>
        <v>-4432926.82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6" t="s">
        <v>326</v>
      </c>
      <c r="C308" s="775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6"/>
      <c r="C309" s="775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8" t="s">
        <v>119</v>
      </c>
      <c r="C311" s="775" t="s">
        <v>132</v>
      </c>
      <c r="D311" s="101" t="s">
        <v>70</v>
      </c>
      <c r="E311" s="93">
        <f>E215+E229-K215</f>
        <v>2205351.2800000003</v>
      </c>
      <c r="F311" s="93">
        <f>F215</f>
        <v>0</v>
      </c>
      <c r="G311" s="93">
        <f t="shared" ref="G311:R311" si="9">G215</f>
        <v>0</v>
      </c>
      <c r="H311" s="93">
        <f t="shared" si="9"/>
        <v>0</v>
      </c>
      <c r="I311" s="93">
        <f t="shared" si="9"/>
        <v>0</v>
      </c>
      <c r="J311" s="93">
        <f t="shared" si="9"/>
        <v>0</v>
      </c>
      <c r="K311" s="93">
        <f t="shared" si="9"/>
        <v>0</v>
      </c>
      <c r="L311" s="93">
        <f t="shared" si="9"/>
        <v>0</v>
      </c>
      <c r="M311" s="93">
        <f t="shared" si="9"/>
        <v>0</v>
      </c>
      <c r="N311" s="93">
        <f t="shared" si="9"/>
        <v>0</v>
      </c>
      <c r="O311" s="93">
        <f t="shared" si="9"/>
        <v>0</v>
      </c>
      <c r="P311" s="93">
        <f t="shared" si="9"/>
        <v>0</v>
      </c>
      <c r="Q311" s="93">
        <f t="shared" si="9"/>
        <v>0</v>
      </c>
      <c r="R311" s="93">
        <f t="shared" si="9"/>
        <v>0</v>
      </c>
    </row>
    <row r="312" spans="1:18" ht="12.75" customHeight="1" x14ac:dyDescent="0.25">
      <c r="B312" s="778"/>
      <c r="C312" s="775"/>
      <c r="D312" s="101" t="s">
        <v>73</v>
      </c>
      <c r="E312" s="93">
        <f>E229</f>
        <v>565581.06000000006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7" t="s">
        <v>161</v>
      </c>
      <c r="C314" s="775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7"/>
      <c r="C315" s="775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332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0</v>
      </c>
      <c r="F323" s="89">
        <v>0</v>
      </c>
      <c r="G323" s="89">
        <v>0</v>
      </c>
      <c r="H323" s="384">
        <v>0</v>
      </c>
      <c r="I323" s="89">
        <v>0</v>
      </c>
      <c r="J323" s="89">
        <v>0</v>
      </c>
      <c r="K323" s="89">
        <v>0</v>
      </c>
      <c r="L323" s="89">
        <v>0</v>
      </c>
      <c r="M323" s="89">
        <v>0</v>
      </c>
      <c r="N323" s="89">
        <v>0</v>
      </c>
      <c r="O323" s="89">
        <v>0</v>
      </c>
      <c r="P323" s="89">
        <v>0</v>
      </c>
      <c r="Q323" s="89">
        <v>0</v>
      </c>
      <c r="R323" s="384">
        <v>0</v>
      </c>
    </row>
    <row r="324" spans="2:18" ht="12.75" customHeight="1" x14ac:dyDescent="0.25">
      <c r="D324" t="s">
        <v>81</v>
      </c>
      <c r="E324" s="384">
        <v>0</v>
      </c>
      <c r="F324" s="89">
        <v>0</v>
      </c>
      <c r="G324" s="89">
        <v>0</v>
      </c>
      <c r="H324" s="384">
        <v>0</v>
      </c>
      <c r="I324" s="89">
        <v>0</v>
      </c>
      <c r="J324" s="89">
        <v>0</v>
      </c>
      <c r="K324" s="89">
        <v>0</v>
      </c>
      <c r="L324" s="89">
        <v>0</v>
      </c>
      <c r="M324" s="89">
        <v>0</v>
      </c>
      <c r="N324" s="89">
        <v>0</v>
      </c>
      <c r="O324" s="89">
        <v>0</v>
      </c>
      <c r="P324" s="89">
        <v>0</v>
      </c>
      <c r="Q324" s="89">
        <v>0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0</v>
      </c>
      <c r="F325" s="89">
        <v>0</v>
      </c>
      <c r="G325" s="89">
        <v>0</v>
      </c>
      <c r="H325" s="384">
        <v>0</v>
      </c>
      <c r="I325" s="89">
        <v>0</v>
      </c>
      <c r="J325" s="89">
        <v>0</v>
      </c>
      <c r="K325" s="89">
        <v>0</v>
      </c>
      <c r="L325" s="89">
        <v>0</v>
      </c>
      <c r="M325" s="89">
        <v>0</v>
      </c>
      <c r="N325" s="89">
        <v>0</v>
      </c>
      <c r="O325" s="89">
        <v>0</v>
      </c>
      <c r="P325" s="89">
        <v>0</v>
      </c>
      <c r="Q325" s="89">
        <v>0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23658250.32</v>
      </c>
      <c r="F326" s="229">
        <v>0</v>
      </c>
      <c r="G326" s="229">
        <v>0</v>
      </c>
      <c r="H326" s="753">
        <v>0</v>
      </c>
      <c r="I326" s="229">
        <v>0</v>
      </c>
      <c r="J326" s="229">
        <v>0</v>
      </c>
      <c r="K326" s="229">
        <v>0</v>
      </c>
      <c r="L326" s="229">
        <v>0</v>
      </c>
      <c r="M326" s="229">
        <v>0</v>
      </c>
      <c r="N326" s="229">
        <v>0</v>
      </c>
      <c r="O326" s="229">
        <v>0</v>
      </c>
      <c r="P326" s="229">
        <v>0</v>
      </c>
      <c r="Q326" s="229">
        <v>0</v>
      </c>
      <c r="R326" s="286">
        <v>0</v>
      </c>
    </row>
    <row r="327" spans="2:18" ht="12.75" customHeight="1" x14ac:dyDescent="0.25">
      <c r="D327" t="s">
        <v>72</v>
      </c>
      <c r="E327" s="371">
        <v>0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>
        <v>0</v>
      </c>
    </row>
    <row r="328" spans="2:18" ht="12.75" customHeight="1" x14ac:dyDescent="0.25">
      <c r="D328" t="s">
        <v>81</v>
      </c>
      <c r="E328" s="371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0</v>
      </c>
      <c r="F329" s="90">
        <v>0</v>
      </c>
      <c r="G329" s="90">
        <v>0</v>
      </c>
      <c r="H329" s="90">
        <v>0</v>
      </c>
      <c r="I329" s="90">
        <v>0</v>
      </c>
      <c r="J329" s="90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0</v>
      </c>
      <c r="Q329" s="90">
        <v>0</v>
      </c>
      <c r="R329">
        <v>0</v>
      </c>
    </row>
    <row r="330" spans="2:18" ht="12.75" customHeight="1" x14ac:dyDescent="0.25">
      <c r="D330" t="s">
        <v>72</v>
      </c>
      <c r="E330" s="371">
        <v>0</v>
      </c>
      <c r="F330" s="90">
        <v>0</v>
      </c>
      <c r="G330" s="90">
        <v>0</v>
      </c>
      <c r="H330" s="90">
        <v>0</v>
      </c>
      <c r="I330" s="90">
        <v>0</v>
      </c>
      <c r="J330" s="90">
        <v>0</v>
      </c>
      <c r="K330" s="90">
        <v>0</v>
      </c>
      <c r="L330" s="90">
        <v>0</v>
      </c>
      <c r="M330" s="90">
        <v>0</v>
      </c>
      <c r="N330" s="90">
        <v>0</v>
      </c>
      <c r="O330" s="90">
        <v>0</v>
      </c>
      <c r="P330" s="90">
        <v>0</v>
      </c>
      <c r="Q330" s="90">
        <v>0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0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0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0</v>
      </c>
      <c r="F341" s="90">
        <v>0</v>
      </c>
      <c r="G341" s="90">
        <v>0</v>
      </c>
      <c r="H341" s="90">
        <v>0</v>
      </c>
      <c r="I341" s="90">
        <v>0</v>
      </c>
      <c r="J341" s="90">
        <v>0</v>
      </c>
      <c r="K341" s="90">
        <v>0</v>
      </c>
      <c r="L341" s="90">
        <v>0</v>
      </c>
      <c r="M341" s="90">
        <v>0</v>
      </c>
      <c r="N341" s="90">
        <v>0</v>
      </c>
      <c r="O341" s="90">
        <v>0</v>
      </c>
      <c r="P341" s="90">
        <v>0</v>
      </c>
      <c r="Q341" s="90">
        <v>0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2047537.6</v>
      </c>
      <c r="F348" s="225">
        <v>0</v>
      </c>
      <c r="G348" s="225">
        <v>0</v>
      </c>
      <c r="H348" s="225">
        <v>0</v>
      </c>
      <c r="I348" s="225">
        <v>0</v>
      </c>
      <c r="J348" s="225">
        <v>0</v>
      </c>
      <c r="K348" s="225">
        <v>0</v>
      </c>
      <c r="L348" s="225">
        <v>0</v>
      </c>
      <c r="M348" s="225">
        <v>0</v>
      </c>
      <c r="N348" s="225">
        <v>0</v>
      </c>
      <c r="O348" s="225">
        <v>0</v>
      </c>
      <c r="P348" s="225">
        <v>0</v>
      </c>
      <c r="Q348" s="225">
        <v>0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0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0</v>
      </c>
      <c r="F352" s="90">
        <v>0</v>
      </c>
      <c r="G352" s="90">
        <v>0</v>
      </c>
      <c r="H352" s="90">
        <v>0</v>
      </c>
      <c r="I352" s="90">
        <v>0</v>
      </c>
      <c r="J352" s="90">
        <v>0</v>
      </c>
      <c r="K352" s="90">
        <v>0</v>
      </c>
      <c r="L352" s="90">
        <v>0</v>
      </c>
      <c r="M352" s="90">
        <v>0</v>
      </c>
      <c r="N352" s="90">
        <v>0</v>
      </c>
      <c r="O352" s="90">
        <v>0</v>
      </c>
      <c r="P352" s="90">
        <v>0</v>
      </c>
      <c r="Q352" s="90">
        <v>0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0</v>
      </c>
      <c r="F353" s="90">
        <v>0</v>
      </c>
      <c r="G353" s="90">
        <v>0</v>
      </c>
      <c r="H353" s="90">
        <v>0</v>
      </c>
      <c r="I353" s="90">
        <v>0</v>
      </c>
      <c r="J353" s="90">
        <v>0</v>
      </c>
      <c r="K353" s="90">
        <v>0</v>
      </c>
      <c r="L353" s="90">
        <v>0</v>
      </c>
      <c r="M353" s="90">
        <v>0</v>
      </c>
      <c r="N353" s="90">
        <v>0</v>
      </c>
      <c r="O353" s="90">
        <v>0</v>
      </c>
      <c r="P353" s="90">
        <v>0</v>
      </c>
      <c r="Q353" s="90">
        <v>0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0</v>
      </c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0</v>
      </c>
      <c r="F356" s="90">
        <v>0</v>
      </c>
      <c r="G356" s="90">
        <v>0</v>
      </c>
      <c r="H356" s="90">
        <v>0</v>
      </c>
      <c r="I356" s="90">
        <v>0</v>
      </c>
      <c r="J356" s="90">
        <v>0</v>
      </c>
      <c r="K356" s="90">
        <v>0</v>
      </c>
      <c r="L356" s="90">
        <v>0</v>
      </c>
      <c r="M356" s="90">
        <v>0</v>
      </c>
      <c r="N356" s="90">
        <v>0</v>
      </c>
      <c r="O356" s="90">
        <v>0</v>
      </c>
      <c r="P356" s="90">
        <v>0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0</v>
      </c>
      <c r="F357" s="90">
        <v>0</v>
      </c>
      <c r="G357" s="90">
        <v>0</v>
      </c>
      <c r="H357" s="90">
        <v>0</v>
      </c>
      <c r="I357" s="90">
        <v>0</v>
      </c>
      <c r="J357" s="90">
        <v>0</v>
      </c>
      <c r="K357" s="90">
        <v>0</v>
      </c>
      <c r="L357" s="90">
        <v>0</v>
      </c>
      <c r="M357" s="90">
        <v>0</v>
      </c>
      <c r="N357" s="90">
        <v>0</v>
      </c>
      <c r="O357" s="90">
        <v>0</v>
      </c>
      <c r="P357" s="90">
        <v>0</v>
      </c>
      <c r="Q357" s="90">
        <v>0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3117968.95</v>
      </c>
      <c r="F358" s="93">
        <v>0</v>
      </c>
      <c r="G358" s="93">
        <v>0</v>
      </c>
      <c r="H358" s="93">
        <v>0</v>
      </c>
      <c r="I358" s="93">
        <v>0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28823756.870000001</v>
      </c>
      <c r="F359" s="100">
        <v>0</v>
      </c>
      <c r="G359" s="100">
        <v>0</v>
      </c>
      <c r="H359" s="100">
        <v>0</v>
      </c>
      <c r="I359" s="100">
        <v>0</v>
      </c>
      <c r="J359" s="100">
        <v>0</v>
      </c>
      <c r="K359" s="100">
        <v>0</v>
      </c>
      <c r="L359" s="100">
        <v>0</v>
      </c>
      <c r="M359" s="100">
        <v>0</v>
      </c>
      <c r="N359" s="100">
        <v>0</v>
      </c>
      <c r="O359" s="100">
        <v>0</v>
      </c>
      <c r="P359" s="100">
        <v>0</v>
      </c>
      <c r="Q359" s="100">
        <v>0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332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0</v>
      </c>
      <c r="F363" s="90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0</v>
      </c>
      <c r="F364" s="90">
        <v>0</v>
      </c>
      <c r="G364" s="90">
        <v>0</v>
      </c>
      <c r="H364" s="90">
        <v>0</v>
      </c>
      <c r="I364" s="90">
        <v>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0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84110.96</v>
      </c>
      <c r="F365" s="230">
        <v>0</v>
      </c>
      <c r="G365" s="230">
        <v>0</v>
      </c>
      <c r="H365" s="230">
        <v>0</v>
      </c>
      <c r="I365" s="230">
        <v>0</v>
      </c>
      <c r="J365" s="230">
        <v>0</v>
      </c>
      <c r="K365" s="230">
        <v>0</v>
      </c>
      <c r="L365" s="230">
        <v>0</v>
      </c>
      <c r="M365" s="230">
        <v>0</v>
      </c>
      <c r="N365" s="230">
        <v>0</v>
      </c>
      <c r="O365" s="230">
        <v>0</v>
      </c>
      <c r="P365" s="230">
        <v>0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0</v>
      </c>
      <c r="F366" s="90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0</v>
      </c>
      <c r="F367" s="90">
        <v>0</v>
      </c>
      <c r="G367" s="90">
        <v>0</v>
      </c>
      <c r="H367" s="90">
        <v>0</v>
      </c>
      <c r="I367" s="90">
        <v>0</v>
      </c>
      <c r="J367" s="90">
        <v>0</v>
      </c>
      <c r="K367" s="90">
        <v>0</v>
      </c>
      <c r="L367" s="90">
        <v>0</v>
      </c>
      <c r="M367" s="90">
        <v>0</v>
      </c>
      <c r="N367" s="90">
        <v>0</v>
      </c>
      <c r="O367" s="90">
        <v>0</v>
      </c>
      <c r="P367" s="90">
        <v>0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0</v>
      </c>
      <c r="F368" s="90">
        <v>0</v>
      </c>
      <c r="G368" s="90">
        <v>0</v>
      </c>
      <c r="H368" s="90">
        <v>0</v>
      </c>
      <c r="I368" s="90">
        <v>0</v>
      </c>
      <c r="J368" s="90">
        <v>0</v>
      </c>
      <c r="K368" s="90">
        <v>0</v>
      </c>
      <c r="L368" s="90">
        <v>0</v>
      </c>
      <c r="M368" s="90">
        <v>0</v>
      </c>
      <c r="N368" s="90">
        <v>0</v>
      </c>
      <c r="O368" s="90">
        <v>0</v>
      </c>
      <c r="P368" s="90">
        <v>0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0</v>
      </c>
      <c r="F369" s="90">
        <v>0</v>
      </c>
      <c r="G369" s="90">
        <v>0</v>
      </c>
      <c r="H369" s="90">
        <v>0</v>
      </c>
      <c r="I369" s="90">
        <v>0</v>
      </c>
      <c r="J369" s="90">
        <v>0</v>
      </c>
      <c r="K369" s="90">
        <v>0</v>
      </c>
      <c r="L369" s="90">
        <v>0</v>
      </c>
      <c r="M369" s="90">
        <v>0</v>
      </c>
      <c r="N369" s="90">
        <v>0</v>
      </c>
      <c r="O369" s="90">
        <v>0</v>
      </c>
      <c r="P369" s="90">
        <v>0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0</v>
      </c>
      <c r="F374" s="90">
        <v>0</v>
      </c>
      <c r="G374" s="90">
        <v>0</v>
      </c>
      <c r="H374" s="90">
        <v>0</v>
      </c>
      <c r="I374" s="90">
        <v>0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0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0</v>
      </c>
      <c r="F375" s="90">
        <v>0</v>
      </c>
      <c r="G375" s="90">
        <v>0</v>
      </c>
      <c r="H375" s="90">
        <v>0</v>
      </c>
      <c r="I375" s="90">
        <v>0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0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41645.74</v>
      </c>
      <c r="F380" s="225">
        <v>0</v>
      </c>
      <c r="G380" s="225">
        <v>0</v>
      </c>
      <c r="H380" s="225">
        <v>0</v>
      </c>
      <c r="I380" s="225">
        <v>0</v>
      </c>
      <c r="J380" s="225">
        <v>0</v>
      </c>
      <c r="K380" s="225">
        <v>0</v>
      </c>
      <c r="L380" s="225">
        <v>0</v>
      </c>
      <c r="M380" s="225">
        <v>0</v>
      </c>
      <c r="N380" s="225">
        <v>0</v>
      </c>
      <c r="O380" s="225">
        <v>0</v>
      </c>
      <c r="P380" s="225">
        <v>0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0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0</v>
      </c>
      <c r="F382" s="90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  <c r="P383" s="90">
        <v>0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0</v>
      </c>
      <c r="F384" s="90">
        <v>0</v>
      </c>
      <c r="G384" s="90">
        <v>0</v>
      </c>
      <c r="H384" s="90">
        <v>0</v>
      </c>
      <c r="I384" s="90">
        <v>0</v>
      </c>
      <c r="J384" s="90">
        <v>0</v>
      </c>
      <c r="K384" s="90">
        <v>0</v>
      </c>
      <c r="L384" s="90">
        <v>0</v>
      </c>
      <c r="M384" s="90">
        <v>0</v>
      </c>
      <c r="N384" s="90">
        <v>0</v>
      </c>
      <c r="O384" s="90">
        <v>0</v>
      </c>
      <c r="P384" s="90">
        <v>0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0</v>
      </c>
      <c r="F385" s="90">
        <v>0</v>
      </c>
      <c r="G385" s="90">
        <v>0</v>
      </c>
      <c r="H385" s="90">
        <v>0</v>
      </c>
      <c r="I385" s="90">
        <v>0</v>
      </c>
      <c r="J385" s="90">
        <v>0</v>
      </c>
      <c r="K385" s="90">
        <v>0</v>
      </c>
      <c r="L385" s="90">
        <v>0</v>
      </c>
      <c r="M385" s="90">
        <v>0</v>
      </c>
      <c r="N385" s="90">
        <v>0</v>
      </c>
      <c r="O385" s="90">
        <v>0</v>
      </c>
      <c r="P385" s="90">
        <v>0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256843.5</v>
      </c>
      <c r="F387" s="93">
        <v>0</v>
      </c>
      <c r="G387" s="93">
        <v>0</v>
      </c>
      <c r="H387" s="93">
        <v>0</v>
      </c>
      <c r="I387" s="93">
        <v>0</v>
      </c>
      <c r="J387" s="93">
        <v>0</v>
      </c>
      <c r="K387" s="93">
        <v>0</v>
      </c>
      <c r="L387" s="93">
        <v>0</v>
      </c>
      <c r="M387" s="93">
        <v>0</v>
      </c>
      <c r="N387" s="93">
        <v>0</v>
      </c>
      <c r="O387" s="93">
        <v>0</v>
      </c>
      <c r="P387" s="93">
        <v>0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382600.2</v>
      </c>
      <c r="F388" s="100">
        <v>0</v>
      </c>
      <c r="G388" s="100">
        <v>0</v>
      </c>
      <c r="H388" s="100">
        <v>0</v>
      </c>
      <c r="I388" s="100">
        <v>0</v>
      </c>
      <c r="J388" s="100">
        <v>0</v>
      </c>
      <c r="K388" s="100">
        <v>0</v>
      </c>
      <c r="L388" s="100">
        <v>0</v>
      </c>
      <c r="M388" s="100">
        <v>0</v>
      </c>
      <c r="N388" s="100">
        <v>0</v>
      </c>
      <c r="O388" s="100">
        <v>0</v>
      </c>
      <c r="P388" s="100">
        <v>0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0</v>
      </c>
      <c r="F389" s="90">
        <v>0</v>
      </c>
      <c r="G389" s="90">
        <v>0</v>
      </c>
      <c r="H389" s="90">
        <v>0</v>
      </c>
      <c r="I389" s="90">
        <v>0</v>
      </c>
      <c r="J389" s="90">
        <v>0</v>
      </c>
      <c r="K389" s="90">
        <v>0</v>
      </c>
      <c r="L389" s="90">
        <v>0</v>
      </c>
      <c r="M389" s="90">
        <v>0</v>
      </c>
      <c r="N389" s="90">
        <v>0</v>
      </c>
      <c r="O389" s="90">
        <v>0</v>
      </c>
      <c r="P389" s="90">
        <v>0</v>
      </c>
      <c r="Q389" s="90">
        <v>0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8" t="s">
        <v>2</v>
      </c>
      <c r="C423" s="775" t="s">
        <v>132</v>
      </c>
      <c r="D423" s="98" t="s">
        <v>70</v>
      </c>
      <c r="E423" s="100">
        <f>E359+E388-K359</f>
        <v>29206357.07</v>
      </c>
      <c r="F423" s="100">
        <f>F359</f>
        <v>0</v>
      </c>
      <c r="G423" s="100">
        <f t="shared" ref="G423:R423" si="10">G359</f>
        <v>0</v>
      </c>
      <c r="H423" s="100">
        <f t="shared" si="10"/>
        <v>0</v>
      </c>
      <c r="I423" s="100">
        <f t="shared" si="10"/>
        <v>0</v>
      </c>
      <c r="J423" s="100">
        <f t="shared" si="10"/>
        <v>0</v>
      </c>
      <c r="K423" s="100">
        <f t="shared" si="10"/>
        <v>0</v>
      </c>
      <c r="L423" s="100">
        <f t="shared" si="10"/>
        <v>0</v>
      </c>
      <c r="M423" s="100">
        <f t="shared" si="10"/>
        <v>0</v>
      </c>
      <c r="N423" s="100">
        <f t="shared" si="10"/>
        <v>0</v>
      </c>
      <c r="O423" s="100">
        <f t="shared" si="10"/>
        <v>0</v>
      </c>
      <c r="P423" s="100">
        <f t="shared" si="10"/>
        <v>0</v>
      </c>
      <c r="Q423" s="100">
        <f t="shared" si="10"/>
        <v>0</v>
      </c>
      <c r="R423" s="100">
        <f t="shared" si="10"/>
        <v>0</v>
      </c>
    </row>
    <row r="424" spans="1:18" ht="12.75" customHeight="1" x14ac:dyDescent="0.25">
      <c r="B424" s="778"/>
      <c r="C424" s="775"/>
      <c r="D424" s="98" t="s">
        <v>73</v>
      </c>
      <c r="E424" s="100">
        <f>E388</f>
        <v>382600.2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8" t="s">
        <v>160</v>
      </c>
      <c r="C426" s="775" t="s">
        <v>132</v>
      </c>
      <c r="D426" s="223" t="s">
        <v>70</v>
      </c>
      <c r="E426" s="225">
        <f>E380+E362+E348+E322-K322-K348</f>
        <v>2089183.34</v>
      </c>
      <c r="F426" s="225">
        <f>F348+F322</f>
        <v>0</v>
      </c>
      <c r="G426" s="225">
        <f t="shared" ref="G426:R426" si="11">G348+G322</f>
        <v>0</v>
      </c>
      <c r="H426" s="225">
        <f t="shared" si="11"/>
        <v>0</v>
      </c>
      <c r="I426" s="225">
        <f t="shared" si="11"/>
        <v>0</v>
      </c>
      <c r="J426" s="225">
        <f t="shared" si="11"/>
        <v>0</v>
      </c>
      <c r="K426" s="225">
        <f t="shared" si="11"/>
        <v>0</v>
      </c>
      <c r="L426" s="225">
        <f t="shared" si="11"/>
        <v>0</v>
      </c>
      <c r="M426" s="225">
        <f t="shared" si="11"/>
        <v>0</v>
      </c>
      <c r="N426" s="225">
        <f t="shared" si="11"/>
        <v>0</v>
      </c>
      <c r="O426" s="225">
        <f t="shared" si="11"/>
        <v>0</v>
      </c>
      <c r="P426" s="225">
        <f t="shared" si="11"/>
        <v>0</v>
      </c>
      <c r="Q426" s="225">
        <f t="shared" si="11"/>
        <v>0</v>
      </c>
      <c r="R426" s="225">
        <f t="shared" si="11"/>
        <v>0</v>
      </c>
    </row>
    <row r="427" spans="1:18" ht="12.75" customHeight="1" x14ac:dyDescent="0.25">
      <c r="B427" s="778"/>
      <c r="C427" s="775"/>
      <c r="D427" s="223" t="s">
        <v>73</v>
      </c>
      <c r="E427" s="225">
        <f>E380+E362</f>
        <v>41645.74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8" t="s">
        <v>155</v>
      </c>
      <c r="C429" s="775" t="s">
        <v>132</v>
      </c>
      <c r="D429" s="221" t="s">
        <v>70</v>
      </c>
      <c r="E429" s="222">
        <f>E365+E326-K326</f>
        <v>23742361.280000001</v>
      </c>
      <c r="F429" s="222">
        <f t="shared" ref="F429:R429" si="12">F326</f>
        <v>0</v>
      </c>
      <c r="G429" s="222">
        <f t="shared" si="12"/>
        <v>0</v>
      </c>
      <c r="H429" s="222">
        <f t="shared" si="12"/>
        <v>0</v>
      </c>
      <c r="I429" s="222">
        <f t="shared" si="12"/>
        <v>0</v>
      </c>
      <c r="J429" s="222">
        <f t="shared" si="12"/>
        <v>0</v>
      </c>
      <c r="K429" s="222">
        <f t="shared" si="12"/>
        <v>0</v>
      </c>
      <c r="L429" s="222">
        <f t="shared" si="12"/>
        <v>0</v>
      </c>
      <c r="M429" s="222">
        <f t="shared" si="12"/>
        <v>0</v>
      </c>
      <c r="N429" s="222">
        <f t="shared" si="12"/>
        <v>0</v>
      </c>
      <c r="O429" s="222">
        <f t="shared" si="12"/>
        <v>0</v>
      </c>
      <c r="P429" s="222">
        <f t="shared" si="12"/>
        <v>0</v>
      </c>
      <c r="Q429" s="222">
        <f t="shared" si="12"/>
        <v>0</v>
      </c>
      <c r="R429" s="222">
        <f t="shared" si="12"/>
        <v>0</v>
      </c>
    </row>
    <row r="430" spans="1:18" ht="12.75" customHeight="1" x14ac:dyDescent="0.25">
      <c r="B430" s="778"/>
      <c r="C430" s="775"/>
      <c r="D430" s="221" t="s">
        <v>73</v>
      </c>
      <c r="E430" s="222">
        <f>E365</f>
        <v>84110.96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6" t="s">
        <v>326</v>
      </c>
      <c r="C432" s="775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6"/>
      <c r="C433" s="775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8" t="s">
        <v>119</v>
      </c>
      <c r="C435" s="775" t="s">
        <v>132</v>
      </c>
      <c r="D435" s="101" t="s">
        <v>70</v>
      </c>
      <c r="E435" s="93">
        <f>E358+E387-K358</f>
        <v>3374812.45</v>
      </c>
      <c r="F435" s="93">
        <f t="shared" ref="F435:R435" si="13">F358</f>
        <v>0</v>
      </c>
      <c r="G435" s="93">
        <f t="shared" si="13"/>
        <v>0</v>
      </c>
      <c r="H435" s="93">
        <f t="shared" si="13"/>
        <v>0</v>
      </c>
      <c r="I435" s="93">
        <f t="shared" si="13"/>
        <v>0</v>
      </c>
      <c r="J435" s="93">
        <f t="shared" si="13"/>
        <v>0</v>
      </c>
      <c r="K435" s="93">
        <f t="shared" si="13"/>
        <v>0</v>
      </c>
      <c r="L435" s="93">
        <f t="shared" si="13"/>
        <v>0</v>
      </c>
      <c r="M435" s="93">
        <f t="shared" si="13"/>
        <v>0</v>
      </c>
      <c r="N435" s="93">
        <f t="shared" si="13"/>
        <v>0</v>
      </c>
      <c r="O435" s="93">
        <f t="shared" si="13"/>
        <v>0</v>
      </c>
      <c r="P435" s="93">
        <f t="shared" si="13"/>
        <v>0</v>
      </c>
      <c r="Q435" s="93">
        <f t="shared" si="13"/>
        <v>0</v>
      </c>
      <c r="R435" s="93">
        <f t="shared" si="13"/>
        <v>0</v>
      </c>
    </row>
    <row r="436" spans="1:18" ht="12.75" customHeight="1" x14ac:dyDescent="0.25">
      <c r="B436" s="778"/>
      <c r="C436" s="775"/>
      <c r="D436" s="101" t="s">
        <v>73</v>
      </c>
      <c r="E436" s="93">
        <f>E387</f>
        <v>256843.5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7" t="s">
        <v>161</v>
      </c>
      <c r="C438" s="775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7"/>
      <c r="C439" s="775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332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0</v>
      </c>
      <c r="F447" s="90">
        <v>0</v>
      </c>
      <c r="G447" s="90">
        <v>0</v>
      </c>
      <c r="H447" s="90">
        <v>0</v>
      </c>
      <c r="I447" s="90">
        <v>0</v>
      </c>
      <c r="J447" s="90">
        <v>0</v>
      </c>
      <c r="K447" s="90">
        <v>0</v>
      </c>
      <c r="L447" s="90">
        <v>0</v>
      </c>
      <c r="M447" s="90">
        <v>0</v>
      </c>
      <c r="N447" s="90">
        <v>0</v>
      </c>
      <c r="O447" s="90">
        <v>0</v>
      </c>
      <c r="P447" s="90">
        <v>0</v>
      </c>
      <c r="Q447" s="90">
        <v>0</v>
      </c>
      <c r="R447">
        <v>0</v>
      </c>
    </row>
    <row r="448" spans="1:18" ht="12.75" customHeight="1" x14ac:dyDescent="0.25">
      <c r="D448" s="89" t="s">
        <v>81</v>
      </c>
      <c r="E448" s="90">
        <v>0</v>
      </c>
      <c r="F448" s="90">
        <v>0</v>
      </c>
      <c r="G448" s="90">
        <v>0</v>
      </c>
      <c r="H448" s="90">
        <v>0</v>
      </c>
      <c r="I448" s="90">
        <v>0</v>
      </c>
      <c r="J448" s="90">
        <v>0</v>
      </c>
      <c r="K448" s="90">
        <v>0</v>
      </c>
      <c r="L448" s="90">
        <v>0</v>
      </c>
      <c r="M448" s="90">
        <v>0</v>
      </c>
      <c r="N448" s="90">
        <v>0</v>
      </c>
      <c r="O448" s="90">
        <v>0</v>
      </c>
      <c r="P448" s="90">
        <v>0</v>
      </c>
      <c r="Q448" s="90">
        <v>0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0</v>
      </c>
      <c r="F449" s="90">
        <v>0</v>
      </c>
      <c r="G449" s="90">
        <v>0</v>
      </c>
      <c r="H449" s="90">
        <v>0</v>
      </c>
      <c r="I449" s="90">
        <v>0</v>
      </c>
      <c r="J449" s="90">
        <v>0</v>
      </c>
      <c r="K449" s="90">
        <v>0</v>
      </c>
      <c r="L449" s="90">
        <v>0</v>
      </c>
      <c r="M449" s="90">
        <v>0</v>
      </c>
      <c r="N449" s="90">
        <v>0</v>
      </c>
      <c r="O449" s="90">
        <v>0</v>
      </c>
      <c r="P449" s="90">
        <v>0</v>
      </c>
      <c r="Q449" s="90">
        <v>0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9143888.5600000005</v>
      </c>
      <c r="F450" s="222">
        <v>0</v>
      </c>
      <c r="G450" s="222">
        <v>0</v>
      </c>
      <c r="H450" s="222">
        <v>0</v>
      </c>
      <c r="I450" s="222">
        <v>0</v>
      </c>
      <c r="J450" s="222">
        <v>0</v>
      </c>
      <c r="K450" s="222">
        <v>0</v>
      </c>
      <c r="L450" s="222">
        <v>0</v>
      </c>
      <c r="M450" s="222">
        <v>0</v>
      </c>
      <c r="N450" s="222">
        <v>0</v>
      </c>
      <c r="O450" s="222">
        <v>0</v>
      </c>
      <c r="P450" s="222">
        <v>0</v>
      </c>
      <c r="Q450" s="222">
        <v>0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326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2:19" ht="12.75" customHeight="1" x14ac:dyDescent="0.25">
      <c r="D458" t="s">
        <v>72</v>
      </c>
      <c r="E458" s="142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2:19" ht="12.75" customHeight="1" x14ac:dyDescent="0.25">
      <c r="D459" t="s">
        <v>81</v>
      </c>
      <c r="E459" s="142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2:19" ht="12.75" customHeight="1" x14ac:dyDescent="0.25">
      <c r="D461" t="s">
        <v>72</v>
      </c>
      <c r="E461" s="142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1268977.57</v>
      </c>
      <c r="F464" s="93">
        <v>0</v>
      </c>
      <c r="G464" s="93">
        <v>0</v>
      </c>
      <c r="H464" s="93">
        <v>0</v>
      </c>
      <c r="I464" s="93">
        <v>0</v>
      </c>
      <c r="J464" s="93">
        <v>0</v>
      </c>
      <c r="K464" s="93">
        <v>0</v>
      </c>
      <c r="L464" s="93">
        <v>0</v>
      </c>
      <c r="M464" s="93">
        <v>0</v>
      </c>
      <c r="N464" s="93">
        <v>0</v>
      </c>
      <c r="O464" s="93">
        <v>0</v>
      </c>
      <c r="P464" s="93">
        <v>0</v>
      </c>
      <c r="Q464" s="93">
        <v>0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10412866.130000001</v>
      </c>
      <c r="F465" s="100">
        <v>0</v>
      </c>
      <c r="G465" s="100">
        <v>0</v>
      </c>
      <c r="H465" s="100">
        <v>0</v>
      </c>
      <c r="I465" s="100">
        <v>0</v>
      </c>
      <c r="J465" s="100">
        <v>0</v>
      </c>
      <c r="K465" s="100">
        <v>0</v>
      </c>
      <c r="L465" s="100">
        <v>0</v>
      </c>
      <c r="M465" s="100">
        <v>0</v>
      </c>
      <c r="N465" s="100">
        <v>0</v>
      </c>
      <c r="O465" s="100">
        <v>0</v>
      </c>
      <c r="P465" s="100">
        <v>0</v>
      </c>
      <c r="Q465" s="100">
        <v>0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332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0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48766.77</v>
      </c>
      <c r="F471" s="222">
        <v>0</v>
      </c>
      <c r="G471" s="222">
        <v>0</v>
      </c>
      <c r="H471" s="222">
        <v>0</v>
      </c>
      <c r="I471" s="222">
        <v>0</v>
      </c>
      <c r="J471" s="222">
        <v>0</v>
      </c>
      <c r="K471" s="222">
        <v>0</v>
      </c>
      <c r="L471" s="222">
        <v>0</v>
      </c>
      <c r="M471" s="222">
        <v>0</v>
      </c>
      <c r="N471" s="222">
        <v>0</v>
      </c>
      <c r="O471" s="222">
        <v>0</v>
      </c>
      <c r="P471" s="222">
        <v>0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326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0</v>
      </c>
      <c r="F475" s="90">
        <v>0</v>
      </c>
      <c r="G475" s="90">
        <v>0</v>
      </c>
      <c r="H475" s="90">
        <v>0</v>
      </c>
      <c r="I475" s="90">
        <v>0</v>
      </c>
      <c r="J475" s="90">
        <v>0</v>
      </c>
      <c r="K475" s="90">
        <v>0</v>
      </c>
      <c r="L475" s="90">
        <v>0</v>
      </c>
      <c r="M475" s="90">
        <v>0</v>
      </c>
      <c r="N475" s="90">
        <v>0</v>
      </c>
      <c r="O475" s="90">
        <v>0</v>
      </c>
      <c r="P475" s="90">
        <v>0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0</v>
      </c>
      <c r="F476" s="90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0</v>
      </c>
      <c r="F477" s="90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0</v>
      </c>
      <c r="F478" s="90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0</v>
      </c>
      <c r="F479" s="90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0</v>
      </c>
      <c r="F480" s="90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-82090.850000000006</v>
      </c>
      <c r="F481" s="93">
        <v>0</v>
      </c>
      <c r="G481" s="93">
        <v>0</v>
      </c>
      <c r="H481" s="93">
        <v>0</v>
      </c>
      <c r="I481" s="93">
        <v>0</v>
      </c>
      <c r="J481" s="93">
        <v>0</v>
      </c>
      <c r="K481" s="93">
        <v>0</v>
      </c>
      <c r="L481" s="93">
        <v>0</v>
      </c>
      <c r="M481" s="93">
        <v>0</v>
      </c>
      <c r="N481" s="93">
        <v>0</v>
      </c>
      <c r="O481" s="93">
        <v>0</v>
      </c>
      <c r="P481" s="93">
        <v>0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-33324.080000000002</v>
      </c>
      <c r="F482" s="100">
        <v>0</v>
      </c>
      <c r="G482" s="100">
        <v>0</v>
      </c>
      <c r="H482" s="100">
        <v>0</v>
      </c>
      <c r="I482" s="100">
        <v>0</v>
      </c>
      <c r="J482" s="100">
        <v>0</v>
      </c>
      <c r="K482" s="100">
        <v>0</v>
      </c>
      <c r="L482" s="100">
        <v>0</v>
      </c>
      <c r="M482" s="100">
        <v>0</v>
      </c>
      <c r="N482" s="100">
        <v>0</v>
      </c>
      <c r="O482" s="100">
        <v>0</v>
      </c>
      <c r="P482" s="100">
        <v>0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0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8" t="s">
        <v>2</v>
      </c>
      <c r="C510" s="775" t="s">
        <v>132</v>
      </c>
      <c r="D510" s="98" t="s">
        <v>70</v>
      </c>
      <c r="E510" s="100">
        <f>E482+E465-K465</f>
        <v>10379542.050000001</v>
      </c>
      <c r="F510" s="100">
        <f>F465</f>
        <v>0</v>
      </c>
      <c r="G510" s="100">
        <f t="shared" ref="G510:R510" si="14">G465</f>
        <v>0</v>
      </c>
      <c r="H510" s="100">
        <f t="shared" si="14"/>
        <v>0</v>
      </c>
      <c r="I510" s="100">
        <f t="shared" si="14"/>
        <v>0</v>
      </c>
      <c r="J510" s="100">
        <f t="shared" si="14"/>
        <v>0</v>
      </c>
      <c r="K510" s="100">
        <f t="shared" si="14"/>
        <v>0</v>
      </c>
      <c r="L510" s="100">
        <f t="shared" si="14"/>
        <v>0</v>
      </c>
      <c r="M510" s="100">
        <f t="shared" si="14"/>
        <v>0</v>
      </c>
      <c r="N510" s="100">
        <f t="shared" si="14"/>
        <v>0</v>
      </c>
      <c r="O510" s="100">
        <f t="shared" si="14"/>
        <v>0</v>
      </c>
      <c r="P510" s="100">
        <f>P465</f>
        <v>0</v>
      </c>
      <c r="Q510" s="100">
        <f t="shared" si="14"/>
        <v>0</v>
      </c>
      <c r="R510" s="100">
        <f t="shared" si="14"/>
        <v>0</v>
      </c>
    </row>
    <row r="511" spans="1:18" ht="12.75" customHeight="1" x14ac:dyDescent="0.25">
      <c r="B511" s="778"/>
      <c r="C511" s="775"/>
      <c r="D511" s="98" t="s">
        <v>73</v>
      </c>
      <c r="E511" s="100">
        <f>E482</f>
        <v>-33324.080000000002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8" t="s">
        <v>160</v>
      </c>
      <c r="C513" s="775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8"/>
      <c r="C514" s="775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8" t="s">
        <v>155</v>
      </c>
      <c r="C516" s="775" t="s">
        <v>132</v>
      </c>
      <c r="D516" s="221" t="s">
        <v>70</v>
      </c>
      <c r="E516" s="222">
        <f>E471+E468+E450+E446-K446-K450</f>
        <v>9192655.3300000001</v>
      </c>
      <c r="F516" s="222">
        <f>F450+F446</f>
        <v>0</v>
      </c>
      <c r="G516" s="222">
        <f t="shared" ref="G516:R516" si="15">G450+G446</f>
        <v>0</v>
      </c>
      <c r="H516" s="222">
        <f t="shared" si="15"/>
        <v>0</v>
      </c>
      <c r="I516" s="222">
        <f t="shared" si="15"/>
        <v>0</v>
      </c>
      <c r="J516" s="222">
        <f t="shared" si="15"/>
        <v>0</v>
      </c>
      <c r="K516" s="222">
        <f t="shared" si="15"/>
        <v>0</v>
      </c>
      <c r="L516" s="222">
        <f t="shared" si="15"/>
        <v>0</v>
      </c>
      <c r="M516" s="222">
        <f t="shared" si="15"/>
        <v>0</v>
      </c>
      <c r="N516" s="222">
        <f t="shared" si="15"/>
        <v>0</v>
      </c>
      <c r="O516" s="222">
        <f t="shared" si="15"/>
        <v>0</v>
      </c>
      <c r="P516" s="222">
        <f t="shared" si="15"/>
        <v>0</v>
      </c>
      <c r="Q516" s="222">
        <f t="shared" si="15"/>
        <v>0</v>
      </c>
      <c r="R516" s="222">
        <f t="shared" si="15"/>
        <v>0</v>
      </c>
    </row>
    <row r="517" spans="1:18" ht="12.75" customHeight="1" x14ac:dyDescent="0.25">
      <c r="B517" s="778"/>
      <c r="C517" s="775"/>
      <c r="D517" s="221" t="s">
        <v>73</v>
      </c>
      <c r="E517" s="222">
        <f>E471+E468</f>
        <v>48766.77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6" t="s">
        <v>326</v>
      </c>
      <c r="C519" s="775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6"/>
      <c r="C520" s="775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8" t="s">
        <v>119</v>
      </c>
      <c r="C522" s="775" t="s">
        <v>132</v>
      </c>
      <c r="D522" s="101" t="s">
        <v>70</v>
      </c>
      <c r="E522" s="93">
        <f>E464+E481-K464</f>
        <v>1186886.72</v>
      </c>
      <c r="F522" s="93">
        <f>F464</f>
        <v>0</v>
      </c>
      <c r="G522" s="93">
        <f t="shared" ref="G522:R522" si="17">G464</f>
        <v>0</v>
      </c>
      <c r="H522" s="93">
        <f t="shared" si="17"/>
        <v>0</v>
      </c>
      <c r="I522" s="93">
        <f t="shared" si="17"/>
        <v>0</v>
      </c>
      <c r="J522" s="93">
        <f t="shared" si="17"/>
        <v>0</v>
      </c>
      <c r="K522" s="93">
        <f t="shared" si="17"/>
        <v>0</v>
      </c>
      <c r="L522" s="93">
        <f t="shared" si="17"/>
        <v>0</v>
      </c>
      <c r="M522" s="93">
        <f t="shared" si="17"/>
        <v>0</v>
      </c>
      <c r="N522" s="93">
        <f t="shared" si="17"/>
        <v>0</v>
      </c>
      <c r="O522" s="93">
        <f t="shared" si="17"/>
        <v>0</v>
      </c>
      <c r="P522" s="93">
        <f t="shared" si="17"/>
        <v>0</v>
      </c>
      <c r="Q522" s="93">
        <f t="shared" si="17"/>
        <v>0</v>
      </c>
      <c r="R522" s="93">
        <f t="shared" si="17"/>
        <v>0</v>
      </c>
    </row>
    <row r="523" spans="1:18" ht="12.75" customHeight="1" x14ac:dyDescent="0.25">
      <c r="B523" s="778"/>
      <c r="C523" s="775"/>
      <c r="D523" s="101" t="s">
        <v>73</v>
      </c>
      <c r="E523" s="93">
        <f>E481</f>
        <v>-82090.850000000006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7" t="s">
        <v>161</v>
      </c>
      <c r="C525" s="775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7"/>
      <c r="C526" s="775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-3698870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326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0</v>
      </c>
      <c r="E15" s="618">
        <v>0</v>
      </c>
      <c r="F15" s="618">
        <v>0</v>
      </c>
      <c r="G15" s="620">
        <v>0</v>
      </c>
      <c r="H15" s="618">
        <v>0</v>
      </c>
      <c r="I15" s="618">
        <v>0</v>
      </c>
      <c r="J15" s="618">
        <v>0</v>
      </c>
      <c r="K15" s="618">
        <v>0</v>
      </c>
      <c r="L15" s="618">
        <v>0</v>
      </c>
      <c r="M15" s="618">
        <v>0</v>
      </c>
      <c r="N15" s="618">
        <v>0</v>
      </c>
      <c r="O15" s="618">
        <v>0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0</v>
      </c>
      <c r="E16" s="618">
        <v>0</v>
      </c>
      <c r="F16" s="618">
        <v>0</v>
      </c>
      <c r="G16" s="620">
        <v>0</v>
      </c>
      <c r="H16" s="618">
        <v>0</v>
      </c>
      <c r="I16" s="618">
        <v>0</v>
      </c>
      <c r="J16" s="618">
        <v>0</v>
      </c>
      <c r="K16" s="618">
        <v>0</v>
      </c>
      <c r="L16" s="618">
        <v>0</v>
      </c>
      <c r="M16" s="618">
        <v>0</v>
      </c>
      <c r="N16" s="618">
        <v>0</v>
      </c>
      <c r="O16" s="618">
        <v>0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0</v>
      </c>
      <c r="E17" s="622">
        <v>0</v>
      </c>
      <c r="F17" s="622">
        <v>0</v>
      </c>
      <c r="G17" s="622">
        <v>0</v>
      </c>
      <c r="H17" s="622">
        <v>0</v>
      </c>
      <c r="I17" s="622">
        <v>0</v>
      </c>
      <c r="J17" s="622">
        <v>0</v>
      </c>
      <c r="K17" s="622">
        <v>0</v>
      </c>
      <c r="L17" s="622">
        <v>0</v>
      </c>
      <c r="M17" s="622">
        <v>0</v>
      </c>
      <c r="N17" s="622">
        <v>0</v>
      </c>
      <c r="O17" s="622">
        <v>0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-134910</v>
      </c>
      <c r="E20" s="628">
        <v>0</v>
      </c>
      <c r="F20" s="628">
        <v>0</v>
      </c>
      <c r="G20" s="628">
        <v>0</v>
      </c>
      <c r="H20" s="628">
        <v>0</v>
      </c>
      <c r="I20" s="628">
        <v>0</v>
      </c>
      <c r="J20" s="628">
        <v>0</v>
      </c>
      <c r="K20" s="628">
        <v>0</v>
      </c>
      <c r="L20" s="628">
        <v>0</v>
      </c>
      <c r="M20" s="628">
        <v>0</v>
      </c>
      <c r="N20" s="628">
        <v>0</v>
      </c>
      <c r="O20" s="628">
        <v>0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-3833780</v>
      </c>
      <c r="E21" s="630">
        <v>0</v>
      </c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-3833780</v>
      </c>
      <c r="E79" s="766">
        <f>E5+E17</f>
        <v>0</v>
      </c>
      <c r="F79" s="766">
        <f t="shared" ref="F79:R79" si="0">F5+F17</f>
        <v>0</v>
      </c>
      <c r="G79" s="766">
        <f t="shared" si="0"/>
        <v>0</v>
      </c>
      <c r="H79" s="766">
        <f t="shared" si="0"/>
        <v>0</v>
      </c>
      <c r="I79" s="766">
        <f t="shared" si="0"/>
        <v>0</v>
      </c>
      <c r="J79" s="766">
        <f t="shared" si="0"/>
        <v>0</v>
      </c>
      <c r="K79" s="766">
        <f t="shared" si="0"/>
        <v>0</v>
      </c>
      <c r="L79" s="766">
        <f t="shared" si="0"/>
        <v>0</v>
      </c>
      <c r="M79" s="766">
        <f t="shared" si="0"/>
        <v>0</v>
      </c>
      <c r="N79" s="766">
        <f t="shared" si="0"/>
        <v>0</v>
      </c>
      <c r="O79" s="766">
        <f t="shared" si="0"/>
        <v>0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-3698870</v>
      </c>
      <c r="E85" s="633">
        <f>E5</f>
        <v>0</v>
      </c>
      <c r="F85" s="633">
        <f t="shared" ref="F85:R85" si="1">F5</f>
        <v>0</v>
      </c>
      <c r="G85" s="633">
        <f t="shared" si="1"/>
        <v>0</v>
      </c>
      <c r="H85" s="633">
        <f t="shared" si="1"/>
        <v>0</v>
      </c>
      <c r="I85" s="633">
        <f t="shared" si="1"/>
        <v>0</v>
      </c>
      <c r="J85" s="633">
        <f t="shared" si="1"/>
        <v>0</v>
      </c>
      <c r="K85" s="633">
        <f t="shared" si="1"/>
        <v>0</v>
      </c>
      <c r="L85" s="633">
        <f t="shared" si="1"/>
        <v>0</v>
      </c>
      <c r="M85" s="633">
        <f t="shared" si="1"/>
        <v>0</v>
      </c>
      <c r="N85" s="633">
        <f t="shared" si="1"/>
        <v>0</v>
      </c>
      <c r="O85" s="633">
        <f t="shared" si="1"/>
        <v>0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326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-134910</v>
      </c>
      <c r="E91" s="628">
        <f>E17</f>
        <v>0</v>
      </c>
      <c r="F91" s="628">
        <f t="shared" ref="F91:R91" si="3">F17</f>
        <v>0</v>
      </c>
      <c r="G91" s="628">
        <f t="shared" si="3"/>
        <v>0</v>
      </c>
      <c r="H91" s="628">
        <f t="shared" si="3"/>
        <v>0</v>
      </c>
      <c r="I91" s="628">
        <f t="shared" si="3"/>
        <v>0</v>
      </c>
      <c r="J91" s="628">
        <f t="shared" si="3"/>
        <v>0</v>
      </c>
      <c r="K91" s="628">
        <f t="shared" si="3"/>
        <v>0</v>
      </c>
      <c r="L91" s="628">
        <f t="shared" si="3"/>
        <v>0</v>
      </c>
      <c r="M91" s="628">
        <f t="shared" si="3"/>
        <v>0</v>
      </c>
      <c r="N91" s="628">
        <f t="shared" si="3"/>
        <v>0</v>
      </c>
      <c r="O91" s="628">
        <f t="shared" si="3"/>
        <v>0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-20858585.449999999</v>
      </c>
      <c r="E104" s="626">
        <v>0</v>
      </c>
      <c r="F104" s="626">
        <v>0</v>
      </c>
      <c r="G104" s="627">
        <v>0</v>
      </c>
      <c r="H104" s="626">
        <v>0</v>
      </c>
      <c r="I104" s="626">
        <v>0</v>
      </c>
      <c r="J104" s="626">
        <v>0</v>
      </c>
      <c r="K104" s="626">
        <v>0</v>
      </c>
      <c r="L104" s="626">
        <v>0</v>
      </c>
      <c r="M104" s="626">
        <v>0</v>
      </c>
      <c r="N104" s="626">
        <v>0</v>
      </c>
      <c r="O104" s="626">
        <v>0</v>
      </c>
      <c r="P104" s="625">
        <v>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-945063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-21803648.449999999</v>
      </c>
      <c r="E117" s="630">
        <v>0</v>
      </c>
      <c r="F117" s="630">
        <v>0</v>
      </c>
      <c r="G117" s="630">
        <v>0</v>
      </c>
      <c r="H117" s="630">
        <v>0</v>
      </c>
      <c r="I117" s="630">
        <v>0</v>
      </c>
      <c r="J117" s="630">
        <v>0</v>
      </c>
      <c r="K117" s="630">
        <v>0</v>
      </c>
      <c r="L117" s="630">
        <v>0</v>
      </c>
      <c r="M117" s="630">
        <v>0</v>
      </c>
      <c r="N117" s="630">
        <v>0</v>
      </c>
      <c r="O117" s="630">
        <v>0</v>
      </c>
      <c r="P117" s="631">
        <v>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-21803648.449999999</v>
      </c>
      <c r="E180" s="766">
        <f>E101+E107+E113</f>
        <v>0</v>
      </c>
      <c r="F180" s="766">
        <f t="shared" ref="F180:R180" si="4">F101+F107+F113</f>
        <v>0</v>
      </c>
      <c r="G180" s="766">
        <f t="shared" si="4"/>
        <v>0</v>
      </c>
      <c r="H180" s="766">
        <f t="shared" si="4"/>
        <v>0</v>
      </c>
      <c r="I180" s="766">
        <f t="shared" si="4"/>
        <v>0</v>
      </c>
      <c r="J180" s="766">
        <f t="shared" si="4"/>
        <v>0</v>
      </c>
      <c r="K180" s="766">
        <f t="shared" si="4"/>
        <v>0</v>
      </c>
      <c r="L180" s="766">
        <f t="shared" si="4"/>
        <v>0</v>
      </c>
      <c r="M180" s="766">
        <f t="shared" si="4"/>
        <v>0</v>
      </c>
      <c r="N180" s="766">
        <f t="shared" si="4"/>
        <v>0</v>
      </c>
      <c r="O180" s="766">
        <f t="shared" si="4"/>
        <v>0</v>
      </c>
      <c r="P180" s="766">
        <f t="shared" si="4"/>
        <v>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-20858585.449999999</v>
      </c>
      <c r="E186" s="633">
        <f>E101</f>
        <v>0</v>
      </c>
      <c r="F186" s="633">
        <f t="shared" ref="F186:R186" si="6">F101</f>
        <v>0</v>
      </c>
      <c r="G186" s="633">
        <f t="shared" si="6"/>
        <v>0</v>
      </c>
      <c r="H186" s="633">
        <f t="shared" si="6"/>
        <v>0</v>
      </c>
      <c r="I186" s="633">
        <f t="shared" si="6"/>
        <v>0</v>
      </c>
      <c r="J186" s="633">
        <f t="shared" si="6"/>
        <v>0</v>
      </c>
      <c r="K186" s="633">
        <f t="shared" si="6"/>
        <v>0</v>
      </c>
      <c r="L186" s="633">
        <f t="shared" si="6"/>
        <v>0</v>
      </c>
      <c r="M186" s="633">
        <f t="shared" si="6"/>
        <v>0</v>
      </c>
      <c r="N186" s="633">
        <f t="shared" si="6"/>
        <v>0</v>
      </c>
      <c r="O186" s="633">
        <f t="shared" si="6"/>
        <v>0</v>
      </c>
      <c r="P186" s="633">
        <f t="shared" si="6"/>
        <v>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326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-945063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0</v>
      </c>
      <c r="E200" s="618">
        <v>0</v>
      </c>
      <c r="F200" s="618">
        <v>0</v>
      </c>
      <c r="G200" s="618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0</v>
      </c>
      <c r="E201" s="618">
        <v>0</v>
      </c>
      <c r="F201" s="618">
        <v>0</v>
      </c>
      <c r="G201" s="618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0</v>
      </c>
      <c r="E203" s="618">
        <v>0</v>
      </c>
      <c r="F203" s="618">
        <v>0</v>
      </c>
      <c r="G203" s="618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0</v>
      </c>
      <c r="E204" s="624">
        <v>0</v>
      </c>
      <c r="F204" s="624">
        <v>0</v>
      </c>
      <c r="G204" s="636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-2259272</v>
      </c>
      <c r="E205" s="633">
        <v>0</v>
      </c>
      <c r="F205" s="633">
        <v>0</v>
      </c>
      <c r="G205" s="633">
        <v>0</v>
      </c>
      <c r="H205" s="633">
        <v>0</v>
      </c>
      <c r="I205" s="633">
        <v>0</v>
      </c>
      <c r="J205" s="633">
        <v>0</v>
      </c>
      <c r="K205" s="633">
        <v>0</v>
      </c>
      <c r="L205" s="633">
        <v>0</v>
      </c>
      <c r="M205" s="633">
        <v>0</v>
      </c>
      <c r="N205" s="633">
        <v>0</v>
      </c>
      <c r="O205" s="633">
        <v>0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0</v>
      </c>
      <c r="E206" s="618">
        <v>0</v>
      </c>
      <c r="F206" s="618">
        <v>0</v>
      </c>
      <c r="G206" s="620">
        <v>0</v>
      </c>
      <c r="H206" s="618">
        <v>0</v>
      </c>
      <c r="I206" s="618">
        <v>0</v>
      </c>
      <c r="J206" s="618">
        <v>0</v>
      </c>
      <c r="K206" s="618">
        <v>0</v>
      </c>
      <c r="L206" s="618">
        <v>0</v>
      </c>
      <c r="M206" s="618">
        <v>0</v>
      </c>
      <c r="N206" s="618">
        <v>0</v>
      </c>
      <c r="O206" s="618">
        <v>0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0</v>
      </c>
      <c r="E208" s="622">
        <v>0</v>
      </c>
      <c r="F208" s="622">
        <v>0</v>
      </c>
      <c r="G208" s="622">
        <v>0</v>
      </c>
      <c r="H208" s="622">
        <v>0</v>
      </c>
      <c r="I208" s="622">
        <v>0</v>
      </c>
      <c r="J208" s="622">
        <v>0</v>
      </c>
      <c r="K208" s="622">
        <v>0</v>
      </c>
      <c r="L208" s="622">
        <v>0</v>
      </c>
      <c r="M208" s="622">
        <v>0</v>
      </c>
      <c r="N208" s="622">
        <v>0</v>
      </c>
      <c r="O208" s="622">
        <v>0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0</v>
      </c>
      <c r="E209" s="618">
        <v>0</v>
      </c>
      <c r="F209" s="618">
        <v>0</v>
      </c>
      <c r="G209" s="620">
        <v>0</v>
      </c>
      <c r="H209" s="618">
        <v>0</v>
      </c>
      <c r="I209" s="618">
        <v>0</v>
      </c>
      <c r="J209" s="618">
        <v>0</v>
      </c>
      <c r="K209" s="618">
        <v>0</v>
      </c>
      <c r="L209" s="618">
        <v>0</v>
      </c>
      <c r="M209" s="618">
        <v>0</v>
      </c>
      <c r="N209" s="618">
        <v>0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0</v>
      </c>
      <c r="E210" s="624">
        <v>0</v>
      </c>
      <c r="F210" s="624">
        <v>0</v>
      </c>
      <c r="G210" s="624">
        <v>0</v>
      </c>
      <c r="H210" s="624">
        <v>0</v>
      </c>
      <c r="I210" s="624">
        <v>0</v>
      </c>
      <c r="J210" s="624">
        <v>0</v>
      </c>
      <c r="K210" s="624">
        <v>0</v>
      </c>
      <c r="L210" s="624">
        <v>0</v>
      </c>
      <c r="M210" s="624">
        <v>0</v>
      </c>
      <c r="N210" s="624">
        <v>0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0</v>
      </c>
      <c r="E211" s="628">
        <v>0</v>
      </c>
      <c r="F211" s="628">
        <v>0</v>
      </c>
      <c r="G211" s="628">
        <v>0</v>
      </c>
      <c r="H211" s="628">
        <v>0</v>
      </c>
      <c r="I211" s="628">
        <v>0</v>
      </c>
      <c r="J211" s="628">
        <v>0</v>
      </c>
      <c r="K211" s="628">
        <v>0</v>
      </c>
      <c r="L211" s="628">
        <v>0</v>
      </c>
      <c r="M211" s="628">
        <v>0</v>
      </c>
      <c r="N211" s="628">
        <v>0</v>
      </c>
      <c r="O211" s="628">
        <v>0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-2259272</v>
      </c>
      <c r="E212" s="630">
        <v>0</v>
      </c>
      <c r="F212" s="630">
        <v>0</v>
      </c>
      <c r="G212" s="630">
        <v>0</v>
      </c>
      <c r="H212" s="630">
        <v>0</v>
      </c>
      <c r="I212" s="630">
        <v>0</v>
      </c>
      <c r="J212" s="630">
        <v>0</v>
      </c>
      <c r="K212" s="630">
        <v>0</v>
      </c>
      <c r="L212" s="630">
        <v>0</v>
      </c>
      <c r="M212" s="630">
        <v>0</v>
      </c>
      <c r="N212" s="630">
        <v>0</v>
      </c>
      <c r="O212" s="630">
        <v>0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-2259272</v>
      </c>
      <c r="E217" s="766">
        <f>E202+E208</f>
        <v>0</v>
      </c>
      <c r="F217" s="766">
        <f t="shared" ref="F217:R217" si="8">F202+F208</f>
        <v>0</v>
      </c>
      <c r="G217" s="766">
        <f t="shared" si="8"/>
        <v>0</v>
      </c>
      <c r="H217" s="766">
        <f t="shared" si="8"/>
        <v>0</v>
      </c>
      <c r="I217" s="766">
        <f t="shared" si="8"/>
        <v>0</v>
      </c>
      <c r="J217" s="766">
        <f t="shared" si="8"/>
        <v>0</v>
      </c>
      <c r="K217" s="766">
        <f t="shared" si="8"/>
        <v>0</v>
      </c>
      <c r="L217" s="766">
        <f t="shared" si="8"/>
        <v>0</v>
      </c>
      <c r="M217" s="766">
        <f t="shared" si="8"/>
        <v>0</v>
      </c>
      <c r="N217" s="766">
        <f t="shared" si="8"/>
        <v>0</v>
      </c>
      <c r="O217" s="766">
        <f t="shared" si="8"/>
        <v>0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-2259272</v>
      </c>
      <c r="E223" s="633">
        <f>E202</f>
        <v>0</v>
      </c>
      <c r="F223" s="633">
        <f t="shared" ref="F223:R223" si="9">F202</f>
        <v>0</v>
      </c>
      <c r="G223" s="633">
        <f t="shared" si="9"/>
        <v>0</v>
      </c>
      <c r="H223" s="633">
        <f t="shared" si="9"/>
        <v>0</v>
      </c>
      <c r="I223" s="633">
        <f t="shared" si="9"/>
        <v>0</v>
      </c>
      <c r="J223" s="633">
        <f t="shared" si="9"/>
        <v>0</v>
      </c>
      <c r="K223" s="633">
        <f t="shared" si="9"/>
        <v>0</v>
      </c>
      <c r="L223" s="633">
        <f t="shared" si="9"/>
        <v>0</v>
      </c>
      <c r="M223" s="633">
        <f t="shared" si="9"/>
        <v>0</v>
      </c>
      <c r="N223" s="633">
        <f t="shared" si="9"/>
        <v>0</v>
      </c>
      <c r="O223" s="633">
        <f t="shared" si="9"/>
        <v>0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326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0</v>
      </c>
      <c r="E229" s="628">
        <f>E208</f>
        <v>0</v>
      </c>
      <c r="F229" s="628">
        <f t="shared" ref="F229:R229" si="10">F208</f>
        <v>0</v>
      </c>
      <c r="G229" s="628">
        <f t="shared" si="10"/>
        <v>0</v>
      </c>
      <c r="H229" s="628">
        <f t="shared" si="10"/>
        <v>0</v>
      </c>
      <c r="I229" s="628">
        <f t="shared" si="10"/>
        <v>0</v>
      </c>
      <c r="J229" s="628">
        <f t="shared" si="10"/>
        <v>0</v>
      </c>
      <c r="K229" s="628">
        <f t="shared" si="10"/>
        <v>0</v>
      </c>
      <c r="L229" s="628">
        <f t="shared" si="10"/>
        <v>0</v>
      </c>
      <c r="M229" s="628">
        <f t="shared" si="10"/>
        <v>0</v>
      </c>
      <c r="N229" s="628">
        <f t="shared" si="10"/>
        <v>0</v>
      </c>
      <c r="O229" s="628">
        <f t="shared" si="10"/>
        <v>0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0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-39633253.399999999</v>
      </c>
      <c r="E242" s="757">
        <v>0</v>
      </c>
      <c r="F242" s="757">
        <v>0</v>
      </c>
      <c r="G242" s="756">
        <v>0</v>
      </c>
      <c r="H242" s="757">
        <v>0</v>
      </c>
      <c r="I242" s="757">
        <v>0</v>
      </c>
      <c r="J242" s="757">
        <v>0</v>
      </c>
      <c r="K242" s="757">
        <v>0</v>
      </c>
      <c r="L242" s="757">
        <v>0</v>
      </c>
      <c r="M242" s="757">
        <v>0</v>
      </c>
      <c r="N242" s="757">
        <v>0</v>
      </c>
      <c r="O242" s="757">
        <v>0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-554080</v>
      </c>
      <c r="E248" s="764">
        <v>0</v>
      </c>
      <c r="F248" s="764">
        <v>0</v>
      </c>
      <c r="G248" s="765">
        <v>0</v>
      </c>
      <c r="H248" s="764">
        <v>0</v>
      </c>
      <c r="I248" s="764">
        <v>0</v>
      </c>
      <c r="J248" s="764">
        <v>0</v>
      </c>
      <c r="K248" s="764">
        <v>0</v>
      </c>
      <c r="L248" s="764">
        <v>0</v>
      </c>
      <c r="M248" s="764">
        <v>0</v>
      </c>
      <c r="N248" s="764">
        <v>0</v>
      </c>
      <c r="O248" s="764">
        <v>0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0</v>
      </c>
      <c r="E249" s="618">
        <v>0</v>
      </c>
      <c r="F249" s="618">
        <v>0</v>
      </c>
      <c r="G249" s="620">
        <v>0</v>
      </c>
      <c r="H249" s="618">
        <v>0</v>
      </c>
      <c r="I249" s="618">
        <v>0</v>
      </c>
      <c r="J249" s="618">
        <v>0</v>
      </c>
      <c r="K249" s="618">
        <v>0</v>
      </c>
      <c r="L249" s="618">
        <v>0</v>
      </c>
      <c r="M249" s="618">
        <v>0</v>
      </c>
      <c r="N249" s="618">
        <v>0</v>
      </c>
      <c r="O249" s="618">
        <v>0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0</v>
      </c>
      <c r="E250" s="618">
        <v>0</v>
      </c>
      <c r="F250" s="618">
        <v>0</v>
      </c>
      <c r="G250" s="620">
        <v>0</v>
      </c>
      <c r="H250" s="618">
        <v>0</v>
      </c>
      <c r="I250" s="618">
        <v>0</v>
      </c>
      <c r="J250" s="618">
        <v>0</v>
      </c>
      <c r="K250" s="618">
        <v>0</v>
      </c>
      <c r="L250" s="618">
        <v>0</v>
      </c>
      <c r="M250" s="618">
        <v>0</v>
      </c>
      <c r="N250" s="618">
        <v>0</v>
      </c>
      <c r="O250" s="618">
        <v>0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0</v>
      </c>
      <c r="E251" s="622">
        <v>0</v>
      </c>
      <c r="F251" s="622">
        <v>0</v>
      </c>
      <c r="G251" s="622">
        <v>0</v>
      </c>
      <c r="H251" s="622">
        <v>0</v>
      </c>
      <c r="I251" s="622">
        <v>0</v>
      </c>
      <c r="J251" s="622">
        <v>0</v>
      </c>
      <c r="K251" s="622">
        <v>0</v>
      </c>
      <c r="L251" s="622">
        <v>0</v>
      </c>
      <c r="M251" s="622">
        <v>0</v>
      </c>
      <c r="N251" s="622">
        <v>0</v>
      </c>
      <c r="O251" s="622">
        <v>0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0</v>
      </c>
      <c r="E252" s="618">
        <v>0</v>
      </c>
      <c r="F252" s="618">
        <v>0</v>
      </c>
      <c r="G252" s="620">
        <v>0</v>
      </c>
      <c r="H252" s="618">
        <v>0</v>
      </c>
      <c r="I252" s="618">
        <v>0</v>
      </c>
      <c r="J252" s="618">
        <v>0</v>
      </c>
      <c r="K252" s="618">
        <v>0</v>
      </c>
      <c r="L252" s="618">
        <v>0</v>
      </c>
      <c r="M252" s="618">
        <v>0</v>
      </c>
      <c r="N252" s="618">
        <v>0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0</v>
      </c>
      <c r="E253" s="624">
        <v>0</v>
      </c>
      <c r="F253" s="624">
        <v>0</v>
      </c>
      <c r="G253" s="624">
        <v>0</v>
      </c>
      <c r="H253" s="624">
        <v>0</v>
      </c>
      <c r="I253" s="624">
        <v>0</v>
      </c>
      <c r="J253" s="624">
        <v>0</v>
      </c>
      <c r="K253" s="624">
        <v>0</v>
      </c>
      <c r="L253" s="624">
        <v>0</v>
      </c>
      <c r="M253" s="624">
        <v>0</v>
      </c>
      <c r="N253" s="624">
        <v>0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-1371252</v>
      </c>
      <c r="E254" s="628">
        <v>0</v>
      </c>
      <c r="F254" s="628">
        <v>0</v>
      </c>
      <c r="G254" s="628">
        <v>0</v>
      </c>
      <c r="H254" s="628">
        <v>0</v>
      </c>
      <c r="I254" s="628">
        <v>0</v>
      </c>
      <c r="J254" s="628">
        <v>0</v>
      </c>
      <c r="K254" s="628">
        <v>0</v>
      </c>
      <c r="L254" s="628">
        <v>0</v>
      </c>
      <c r="M254" s="628">
        <v>0</v>
      </c>
      <c r="N254" s="628">
        <v>0</v>
      </c>
      <c r="O254" s="628">
        <v>0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-41558585.399999999</v>
      </c>
      <c r="E255" s="630">
        <v>0</v>
      </c>
      <c r="F255" s="630">
        <v>0</v>
      </c>
      <c r="G255" s="630">
        <v>0</v>
      </c>
      <c r="H255" s="630">
        <v>0</v>
      </c>
      <c r="I255" s="630">
        <v>0</v>
      </c>
      <c r="J255" s="630">
        <v>0</v>
      </c>
      <c r="K255" s="630">
        <v>0</v>
      </c>
      <c r="L255" s="630">
        <v>0</v>
      </c>
      <c r="M255" s="630">
        <v>0</v>
      </c>
      <c r="N255" s="630">
        <v>0</v>
      </c>
      <c r="O255" s="630">
        <v>0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-41558585.399999999</v>
      </c>
      <c r="E332" s="766">
        <f>E251+E245+E239</f>
        <v>0</v>
      </c>
      <c r="F332" s="766">
        <f t="shared" ref="F332:R332" si="11">F251+F245+F239</f>
        <v>0</v>
      </c>
      <c r="G332" s="766">
        <f t="shared" si="11"/>
        <v>0</v>
      </c>
      <c r="H332" s="766">
        <f t="shared" si="11"/>
        <v>0</v>
      </c>
      <c r="I332" s="766">
        <f t="shared" si="11"/>
        <v>0</v>
      </c>
      <c r="J332" s="766">
        <f t="shared" si="11"/>
        <v>0</v>
      </c>
      <c r="K332" s="766">
        <f t="shared" si="11"/>
        <v>0</v>
      </c>
      <c r="L332" s="766">
        <f t="shared" si="11"/>
        <v>0</v>
      </c>
      <c r="M332" s="766">
        <f t="shared" si="11"/>
        <v>0</v>
      </c>
      <c r="N332" s="766">
        <f t="shared" si="11"/>
        <v>0</v>
      </c>
      <c r="O332" s="766">
        <f t="shared" si="11"/>
        <v>0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-554080</v>
      </c>
      <c r="E335" s="632">
        <f>E245</f>
        <v>0</v>
      </c>
      <c r="F335" s="632">
        <f t="shared" ref="F335:R335" si="12">F245</f>
        <v>0</v>
      </c>
      <c r="G335" s="632">
        <f t="shared" si="12"/>
        <v>0</v>
      </c>
      <c r="H335" s="632">
        <f t="shared" si="12"/>
        <v>0</v>
      </c>
      <c r="I335" s="632">
        <f t="shared" si="12"/>
        <v>0</v>
      </c>
      <c r="J335" s="632">
        <f t="shared" si="12"/>
        <v>0</v>
      </c>
      <c r="K335" s="632">
        <f t="shared" si="12"/>
        <v>0</v>
      </c>
      <c r="L335" s="632">
        <f t="shared" si="12"/>
        <v>0</v>
      </c>
      <c r="M335" s="632">
        <f t="shared" si="12"/>
        <v>0</v>
      </c>
      <c r="N335" s="632">
        <f t="shared" si="12"/>
        <v>0</v>
      </c>
      <c r="O335" s="632">
        <f t="shared" si="12"/>
        <v>0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-39633253.399999999</v>
      </c>
      <c r="E338" s="633">
        <f>E239</f>
        <v>0</v>
      </c>
      <c r="F338" s="633">
        <f t="shared" ref="F338:R338" si="13">F239</f>
        <v>0</v>
      </c>
      <c r="G338" s="633">
        <f t="shared" si="13"/>
        <v>0</v>
      </c>
      <c r="H338" s="633">
        <f t="shared" si="13"/>
        <v>0</v>
      </c>
      <c r="I338" s="633">
        <f t="shared" si="13"/>
        <v>0</v>
      </c>
      <c r="J338" s="633">
        <f t="shared" si="13"/>
        <v>0</v>
      </c>
      <c r="K338" s="633">
        <f t="shared" si="13"/>
        <v>0</v>
      </c>
      <c r="L338" s="633">
        <f t="shared" si="13"/>
        <v>0</v>
      </c>
      <c r="M338" s="633">
        <f t="shared" si="13"/>
        <v>0</v>
      </c>
      <c r="N338" s="633">
        <f t="shared" si="13"/>
        <v>0</v>
      </c>
      <c r="O338" s="633">
        <f t="shared" si="13"/>
        <v>0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326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-1371252</v>
      </c>
      <c r="E344" s="628">
        <f>E251</f>
        <v>0</v>
      </c>
      <c r="F344" s="628">
        <f t="shared" ref="F344:R344" si="14">F251</f>
        <v>0</v>
      </c>
      <c r="G344" s="628">
        <f t="shared" si="14"/>
        <v>0</v>
      </c>
      <c r="H344" s="628">
        <f t="shared" si="14"/>
        <v>0</v>
      </c>
      <c r="I344" s="628">
        <f t="shared" si="14"/>
        <v>0</v>
      </c>
      <c r="J344" s="628">
        <f t="shared" si="14"/>
        <v>0</v>
      </c>
      <c r="K344" s="628">
        <f t="shared" si="14"/>
        <v>0</v>
      </c>
      <c r="L344" s="628">
        <f t="shared" si="14"/>
        <v>0</v>
      </c>
      <c r="M344" s="628">
        <f t="shared" si="14"/>
        <v>0</v>
      </c>
      <c r="N344" s="628">
        <f t="shared" si="14"/>
        <v>0</v>
      </c>
      <c r="O344" s="628">
        <f t="shared" si="14"/>
        <v>0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0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0</v>
      </c>
      <c r="E352" s="618">
        <v>0</v>
      </c>
      <c r="F352" s="618">
        <v>0</v>
      </c>
      <c r="G352" s="618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0</v>
      </c>
      <c r="E353" s="618">
        <v>0</v>
      </c>
      <c r="F353" s="618">
        <v>0</v>
      </c>
      <c r="G353" s="618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0</v>
      </c>
      <c r="E355" s="618">
        <v>0</v>
      </c>
      <c r="F355" s="618">
        <v>0</v>
      </c>
      <c r="G355" s="618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-3964157</v>
      </c>
      <c r="E357" s="626">
        <v>0</v>
      </c>
      <c r="F357" s="626">
        <v>0</v>
      </c>
      <c r="G357" s="627">
        <v>0</v>
      </c>
      <c r="H357" s="626">
        <v>0</v>
      </c>
      <c r="I357" s="626">
        <v>0</v>
      </c>
      <c r="J357" s="626">
        <v>0</v>
      </c>
      <c r="K357" s="626">
        <v>0</v>
      </c>
      <c r="L357" s="626">
        <v>0</v>
      </c>
      <c r="M357" s="626">
        <v>0</v>
      </c>
      <c r="N357" s="626">
        <v>0</v>
      </c>
      <c r="O357" s="626">
        <v>0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326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0</v>
      </c>
      <c r="E364" s="618">
        <v>0</v>
      </c>
      <c r="F364" s="618">
        <v>0</v>
      </c>
      <c r="G364" s="620">
        <v>0</v>
      </c>
      <c r="H364" s="618">
        <v>0</v>
      </c>
      <c r="I364" s="618">
        <v>0</v>
      </c>
      <c r="J364" s="618">
        <v>0</v>
      </c>
      <c r="K364" s="618">
        <v>0</v>
      </c>
      <c r="L364" s="618">
        <v>0</v>
      </c>
      <c r="M364" s="618">
        <v>0</v>
      </c>
      <c r="N364" s="618">
        <v>0</v>
      </c>
      <c r="O364" s="618">
        <v>0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0</v>
      </c>
      <c r="E365" s="618">
        <v>0</v>
      </c>
      <c r="F365" s="618">
        <v>0</v>
      </c>
      <c r="G365" s="620">
        <v>0</v>
      </c>
      <c r="H365" s="618">
        <v>0</v>
      </c>
      <c r="I365" s="618">
        <v>0</v>
      </c>
      <c r="J365" s="618">
        <v>0</v>
      </c>
      <c r="K365" s="618">
        <v>0</v>
      </c>
      <c r="L365" s="618">
        <v>0</v>
      </c>
      <c r="M365" s="618">
        <v>0</v>
      </c>
      <c r="N365" s="618">
        <v>0</v>
      </c>
      <c r="O365" s="618">
        <v>0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0</v>
      </c>
      <c r="E366" s="622">
        <v>0</v>
      </c>
      <c r="F366" s="622">
        <v>0</v>
      </c>
      <c r="G366" s="622">
        <v>0</v>
      </c>
      <c r="H366" s="622">
        <v>0</v>
      </c>
      <c r="I366" s="622">
        <v>0</v>
      </c>
      <c r="J366" s="622">
        <v>0</v>
      </c>
      <c r="K366" s="622">
        <v>0</v>
      </c>
      <c r="L366" s="622">
        <v>0</v>
      </c>
      <c r="M366" s="622">
        <v>0</v>
      </c>
      <c r="N366" s="622">
        <v>0</v>
      </c>
      <c r="O366" s="622">
        <v>0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0</v>
      </c>
      <c r="E367" s="618">
        <v>0</v>
      </c>
      <c r="F367" s="618">
        <v>0</v>
      </c>
      <c r="G367" s="620">
        <v>0</v>
      </c>
      <c r="H367" s="618">
        <v>0</v>
      </c>
      <c r="I367" s="618">
        <v>0</v>
      </c>
      <c r="J367" s="618">
        <v>0</v>
      </c>
      <c r="K367" s="618">
        <v>0</v>
      </c>
      <c r="L367" s="618">
        <v>0</v>
      </c>
      <c r="M367" s="618">
        <v>0</v>
      </c>
      <c r="N367" s="618">
        <v>0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0</v>
      </c>
      <c r="E368" s="624">
        <v>0</v>
      </c>
      <c r="F368" s="624">
        <v>0</v>
      </c>
      <c r="G368" s="624">
        <v>0</v>
      </c>
      <c r="H368" s="624">
        <v>0</v>
      </c>
      <c r="I368" s="624">
        <v>0</v>
      </c>
      <c r="J368" s="624">
        <v>0</v>
      </c>
      <c r="K368" s="624">
        <v>0</v>
      </c>
      <c r="L368" s="624">
        <v>0</v>
      </c>
      <c r="M368" s="624">
        <v>0</v>
      </c>
      <c r="N368" s="624">
        <v>0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0</v>
      </c>
      <c r="E369" s="628">
        <v>0</v>
      </c>
      <c r="F369" s="628">
        <v>0</v>
      </c>
      <c r="G369" s="628">
        <v>0</v>
      </c>
      <c r="H369" s="628">
        <v>0</v>
      </c>
      <c r="I369" s="628">
        <v>0</v>
      </c>
      <c r="J369" s="628">
        <v>0</v>
      </c>
      <c r="K369" s="628">
        <v>0</v>
      </c>
      <c r="L369" s="628">
        <v>0</v>
      </c>
      <c r="M369" s="628">
        <v>0</v>
      </c>
      <c r="N369" s="628">
        <v>0</v>
      </c>
      <c r="O369" s="628">
        <v>0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-3964157</v>
      </c>
      <c r="E370" s="630">
        <v>0</v>
      </c>
      <c r="F370" s="630">
        <v>0</v>
      </c>
      <c r="G370" s="630">
        <v>0</v>
      </c>
      <c r="H370" s="630">
        <v>0</v>
      </c>
      <c r="I370" s="630">
        <v>0</v>
      </c>
      <c r="J370" s="630">
        <v>0</v>
      </c>
      <c r="K370" s="630">
        <v>0</v>
      </c>
      <c r="L370" s="630">
        <v>0</v>
      </c>
      <c r="M370" s="630">
        <v>0</v>
      </c>
      <c r="N370" s="630">
        <v>0</v>
      </c>
      <c r="O370" s="630">
        <v>0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-3964157</v>
      </c>
      <c r="E373" s="766">
        <f>E354+E366</f>
        <v>0</v>
      </c>
      <c r="F373" s="766">
        <f t="shared" ref="F373:R373" si="15">F354+F366</f>
        <v>0</v>
      </c>
      <c r="G373" s="766">
        <f t="shared" si="15"/>
        <v>0</v>
      </c>
      <c r="H373" s="766">
        <f t="shared" si="15"/>
        <v>0</v>
      </c>
      <c r="I373" s="766">
        <f t="shared" si="15"/>
        <v>0</v>
      </c>
      <c r="J373" s="766">
        <f t="shared" si="15"/>
        <v>0</v>
      </c>
      <c r="K373" s="766">
        <f t="shared" si="15"/>
        <v>0</v>
      </c>
      <c r="L373" s="766">
        <f t="shared" si="15"/>
        <v>0</v>
      </c>
      <c r="M373" s="766">
        <f t="shared" si="15"/>
        <v>0</v>
      </c>
      <c r="N373" s="766">
        <f t="shared" si="15"/>
        <v>0</v>
      </c>
      <c r="O373" s="766">
        <f t="shared" si="15"/>
        <v>0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-3964157</v>
      </c>
      <c r="E379" s="633">
        <f>E354</f>
        <v>0</v>
      </c>
      <c r="F379" s="633">
        <f t="shared" ref="F379:R379" si="16">F354</f>
        <v>0</v>
      </c>
      <c r="G379" s="633">
        <f t="shared" si="16"/>
        <v>0</v>
      </c>
      <c r="H379" s="633">
        <f t="shared" si="16"/>
        <v>0</v>
      </c>
      <c r="I379" s="633">
        <f t="shared" si="16"/>
        <v>0</v>
      </c>
      <c r="J379" s="633">
        <f t="shared" si="16"/>
        <v>0</v>
      </c>
      <c r="K379" s="633">
        <f t="shared" si="16"/>
        <v>0</v>
      </c>
      <c r="L379" s="633">
        <f t="shared" si="16"/>
        <v>0</v>
      </c>
      <c r="M379" s="633">
        <f t="shared" si="16"/>
        <v>0</v>
      </c>
      <c r="N379" s="633">
        <f t="shared" si="16"/>
        <v>0</v>
      </c>
      <c r="O379" s="633">
        <f t="shared" si="16"/>
        <v>0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0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326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0</v>
      </c>
      <c r="E385" s="628">
        <f>E366</f>
        <v>0</v>
      </c>
      <c r="F385" s="628">
        <f t="shared" ref="F385:R385" si="18">F366</f>
        <v>0</v>
      </c>
      <c r="G385" s="628">
        <f t="shared" si="18"/>
        <v>0</v>
      </c>
      <c r="H385" s="628">
        <f t="shared" si="18"/>
        <v>0</v>
      </c>
      <c r="I385" s="628">
        <f t="shared" si="18"/>
        <v>0</v>
      </c>
      <c r="J385" s="628">
        <f t="shared" si="18"/>
        <v>0</v>
      </c>
      <c r="K385" s="628">
        <f t="shared" si="18"/>
        <v>0</v>
      </c>
      <c r="L385" s="628">
        <f t="shared" si="18"/>
        <v>0</v>
      </c>
      <c r="M385" s="628">
        <f t="shared" si="18"/>
        <v>0</v>
      </c>
      <c r="N385" s="628">
        <f t="shared" si="18"/>
        <v>0</v>
      </c>
      <c r="O385" s="628">
        <f t="shared" si="18"/>
        <v>0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0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-73419442.849999994</v>
      </c>
      <c r="E393" s="616">
        <f t="shared" si="19"/>
        <v>0</v>
      </c>
      <c r="F393" s="616">
        <f t="shared" si="19"/>
        <v>0</v>
      </c>
      <c r="G393" s="616">
        <f t="shared" si="19"/>
        <v>0</v>
      </c>
      <c r="H393" s="616">
        <f t="shared" si="19"/>
        <v>0</v>
      </c>
      <c r="I393" s="616">
        <f t="shared" si="19"/>
        <v>0</v>
      </c>
      <c r="J393" s="616">
        <f t="shared" si="19"/>
        <v>0</v>
      </c>
      <c r="K393" s="616">
        <f t="shared" si="19"/>
        <v>0</v>
      </c>
      <c r="L393" s="616">
        <f t="shared" si="19"/>
        <v>0</v>
      </c>
      <c r="M393" s="616">
        <f t="shared" si="19"/>
        <v>0</v>
      </c>
      <c r="N393" s="616">
        <f t="shared" si="19"/>
        <v>0</v>
      </c>
      <c r="O393" s="616">
        <f t="shared" si="19"/>
        <v>0</v>
      </c>
      <c r="P393" s="616">
        <f t="shared" si="19"/>
        <v>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0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2026101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H7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2026101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H26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2026101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H45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46296</v>
      </c>
      <c r="G10" s="408"/>
      <c r="H10" s="397" t="s">
        <v>28</v>
      </c>
      <c r="I10" s="457">
        <f>'CONSOLIDADO_TOTAL RECAUDO'!K102</f>
        <v>46310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2015.07</v>
      </c>
      <c r="E12" s="424">
        <f>'Reporte Componentes R1'!G119*$D$24</f>
        <v>122.1</v>
      </c>
      <c r="F12" s="425">
        <f>'Reporte Componentes R1'!H119*$D$24</f>
        <v>51.87</v>
      </c>
      <c r="G12" s="425">
        <f>'Reporte Componentes R1'!I119*$D$24</f>
        <v>22.65</v>
      </c>
      <c r="H12" s="425">
        <f>'Reporte Componentes R1'!J119*$D$24</f>
        <v>369.44</v>
      </c>
      <c r="I12" s="425">
        <f>'Reporte Componentes R1'!K119*$D$24</f>
        <v>23.88</v>
      </c>
      <c r="J12" s="426">
        <f t="shared" ref="J12:J16" si="0">D12-E12-F12-G12-H12-I12</f>
        <v>1425.1299999999999</v>
      </c>
      <c r="L12" s="428"/>
      <c r="N12" s="422">
        <v>1</v>
      </c>
      <c r="O12" s="423" t="s">
        <v>10</v>
      </c>
      <c r="P12" s="429">
        <f>'Reporte Componentes R1'!M119*$P$24</f>
        <v>209.4</v>
      </c>
      <c r="Q12" s="430">
        <f>'Reporte Componentes R1'!N119*$P$24</f>
        <v>175.25</v>
      </c>
      <c r="R12" s="430">
        <f>'Reporte Componentes R1'!O119*$P$24</f>
        <v>699.55</v>
      </c>
      <c r="S12" s="430">
        <f>'Reporte Componentes R1'!P119*$P$24</f>
        <v>301.98</v>
      </c>
      <c r="T12" s="430">
        <f>'Reporte Componentes R1'!Q119*$P$24</f>
        <v>38.950000000000003</v>
      </c>
      <c r="U12" s="464">
        <f>SUM(P12:T12)</f>
        <v>1425.1299999999999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243714.65</v>
      </c>
      <c r="E13" s="425">
        <f>'Reporte Componentes R1'!G353*$D$24</f>
        <v>20951.02</v>
      </c>
      <c r="F13" s="425">
        <f>'Reporte Componentes R1'!H353*$D$24</f>
        <v>8900.5</v>
      </c>
      <c r="G13" s="425">
        <f>'Reporte Componentes R1'!I353*$D$24</f>
        <v>3886.81</v>
      </c>
      <c r="H13" s="425">
        <f>'Reporte Componentes R1'!J353*$D$24</f>
        <v>48437.8</v>
      </c>
      <c r="I13" s="425">
        <f>'Reporte Componentes R1'!K353*$D$24</f>
        <v>2062.98</v>
      </c>
      <c r="J13" s="426">
        <f t="shared" si="0"/>
        <v>159475.54</v>
      </c>
      <c r="L13" s="428"/>
      <c r="N13" s="432">
        <v>2</v>
      </c>
      <c r="O13" s="433" t="s">
        <v>11</v>
      </c>
      <c r="P13" s="434">
        <f>'Reporte Componentes R1'!M353*$P$24</f>
        <v>18096.09</v>
      </c>
      <c r="Q13" s="435">
        <f>'Reporte Componentes R1'!N353*$P$24</f>
        <v>22688.82</v>
      </c>
      <c r="R13" s="435">
        <f>'Reporte Componentes R1'!O353*$P$24</f>
        <v>76193.100000000006</v>
      </c>
      <c r="S13" s="435">
        <f>'Reporte Componentes R1'!P353*$P$24</f>
        <v>39131.24</v>
      </c>
      <c r="T13" s="435">
        <f>'Reporte Componentes R1'!Q353*$P$24</f>
        <v>3366.29</v>
      </c>
      <c r="U13" s="463">
        <f>SUM(P13:T13)</f>
        <v>159475.54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558.04999999999995</v>
      </c>
      <c r="E14" s="424">
        <f>'Reporte Componentes R1'!G514*$D$24</f>
        <v>36.43</v>
      </c>
      <c r="F14" s="424">
        <f>'Reporte Componentes R1'!H514*$D$24</f>
        <v>15.48</v>
      </c>
      <c r="G14" s="424">
        <f>'Reporte Componentes R1'!I514*$D$24</f>
        <v>6.76</v>
      </c>
      <c r="H14" s="424">
        <f>'Reporte Componentes R1'!J514*$D$24</f>
        <v>123.14</v>
      </c>
      <c r="I14" s="424">
        <f>'Reporte Componentes R1'!K514*$D$24</f>
        <v>4.99</v>
      </c>
      <c r="J14" s="426">
        <f t="shared" si="0"/>
        <v>371.25</v>
      </c>
      <c r="L14" s="428"/>
      <c r="N14" s="432">
        <v>3</v>
      </c>
      <c r="O14" s="433" t="s">
        <v>12</v>
      </c>
      <c r="P14" s="434">
        <f>'Reporte Componentes R1'!M514*$P$24</f>
        <v>43.78</v>
      </c>
      <c r="Q14" s="435">
        <f>'Reporte Componentes R1'!N514*$P$24</f>
        <v>55.99</v>
      </c>
      <c r="R14" s="435">
        <f>'Reporte Componentes R1'!O514*$P$24</f>
        <v>184.32</v>
      </c>
      <c r="S14" s="435">
        <f>'Reporte Componentes R1'!P514*$P$24</f>
        <v>79.02</v>
      </c>
      <c r="T14" s="435">
        <f>'Reporte Componentes R1'!Q514*$P$24</f>
        <v>8.14</v>
      </c>
      <c r="U14" s="463">
        <f>SUM(P14:T14)</f>
        <v>371.25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30180.94</v>
      </c>
      <c r="E15" s="425">
        <f>'Reporte Componentes R1'!G722*$D$24</f>
        <v>2445.4499999999998</v>
      </c>
      <c r="F15" s="425">
        <f>'Reporte Componentes R1'!H722*$D$24</f>
        <v>1038.9100000000001</v>
      </c>
      <c r="G15" s="425">
        <f>'Reporte Componentes R1'!I722*$D$24</f>
        <v>453.69</v>
      </c>
      <c r="H15" s="425">
        <f>'Reporte Componentes R1'!J722*$D$24</f>
        <v>5579.62</v>
      </c>
      <c r="I15" s="425">
        <f>'Reporte Componentes R1'!K722*$D$24</f>
        <v>227.22</v>
      </c>
      <c r="J15" s="426">
        <f t="shared" si="0"/>
        <v>20436.05</v>
      </c>
      <c r="L15" s="428"/>
      <c r="N15" s="432">
        <v>4</v>
      </c>
      <c r="O15" s="433" t="s">
        <v>13</v>
      </c>
      <c r="P15" s="434">
        <f>'Reporte Componentes R1'!M722*$P$24</f>
        <v>1993.18</v>
      </c>
      <c r="Q15" s="435">
        <f>'Reporte Componentes R1'!N722*$P$24</f>
        <v>2534.52</v>
      </c>
      <c r="R15" s="435">
        <f>'Reporte Componentes R1'!O722*$P$24</f>
        <v>9306.2999999999993</v>
      </c>
      <c r="S15" s="435">
        <f>'Reporte Componentes R1'!P722*$P$24</f>
        <v>6231.3</v>
      </c>
      <c r="T15" s="435">
        <f>'Reporte Componentes R1'!Q722*$P$24</f>
        <v>370.75</v>
      </c>
      <c r="U15" s="463">
        <f>SUM(P15:T15)</f>
        <v>20436.05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0</v>
      </c>
      <c r="E16" s="439">
        <f>'Reporte Componentes R1'!G841*$D$24</f>
        <v>0</v>
      </c>
      <c r="F16" s="439">
        <f>'Reporte Componentes R1'!H841*$D$24</f>
        <v>0</v>
      </c>
      <c r="G16" s="439">
        <f>'Reporte Componentes R1'!I841*$D$24</f>
        <v>0</v>
      </c>
      <c r="H16" s="439">
        <f>'Reporte Componentes R1'!J841*$D$24</f>
        <v>0</v>
      </c>
      <c r="I16" s="439">
        <f>'Reporte Componentes R1'!K841*$D$24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R1'!M841*$P$24</f>
        <v>0</v>
      </c>
      <c r="Q16" s="439">
        <f>'Reporte Componentes R1'!N841*$P$24</f>
        <v>0</v>
      </c>
      <c r="R16" s="439">
        <f>'Reporte Componentes R1'!O841*$P$24</f>
        <v>0</v>
      </c>
      <c r="S16" s="439">
        <f>'Reporte Componentes R1'!P841*$P$24</f>
        <v>0</v>
      </c>
      <c r="T16" s="439">
        <f>'Reporte Componentes R1'!Q841*$P$24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276468.70999999996</v>
      </c>
      <c r="E17" s="442">
        <f t="shared" si="3"/>
        <v>23555</v>
      </c>
      <c r="F17" s="442">
        <f t="shared" si="3"/>
        <v>10006.76</v>
      </c>
      <c r="G17" s="442">
        <f t="shared" si="3"/>
        <v>4369.91</v>
      </c>
      <c r="H17" s="442">
        <f t="shared" si="3"/>
        <v>54510.000000000007</v>
      </c>
      <c r="I17" s="442">
        <f t="shared" si="3"/>
        <v>2319.0699999999997</v>
      </c>
      <c r="J17" s="443">
        <f t="shared" si="3"/>
        <v>181707.97</v>
      </c>
      <c r="K17" s="444"/>
      <c r="L17" s="428"/>
      <c r="N17" s="440"/>
      <c r="O17" s="441" t="s">
        <v>2</v>
      </c>
      <c r="P17" s="445">
        <f>SUM(P12:P16)</f>
        <v>20342.45</v>
      </c>
      <c r="Q17" s="445">
        <f t="shared" ref="Q17:U17" si="4">SUM(Q12:Q16)</f>
        <v>25454.58</v>
      </c>
      <c r="R17" s="445">
        <f t="shared" si="4"/>
        <v>86383.270000000019</v>
      </c>
      <c r="S17" s="445">
        <f t="shared" si="4"/>
        <v>45743.54</v>
      </c>
      <c r="T17" s="445">
        <f t="shared" si="4"/>
        <v>3784.1299999999997</v>
      </c>
      <c r="U17" s="462">
        <f t="shared" si="4"/>
        <v>181707.97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181707.97000000003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B94" zoomScaleNormal="100" workbookViewId="0">
      <selection activeCell="E111" sqref="E1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46296</v>
      </c>
      <c r="J7" s="2" t="s">
        <v>28</v>
      </c>
      <c r="K7" s="9"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14815021974.749998</v>
      </c>
      <c r="E9" s="292">
        <f>'Reporte Componentes R1'!G89</f>
        <v>841806035.64999998</v>
      </c>
      <c r="F9" s="292">
        <f>'Reporte Componentes R1'!H89</f>
        <v>468917971.50999999</v>
      </c>
      <c r="G9" s="292">
        <f>'Reporte Componentes R1'!I89</f>
        <v>249656917.12</v>
      </c>
      <c r="H9" s="292">
        <f>'Reporte Componentes R1'!J89</f>
        <v>4756846110.3300009</v>
      </c>
      <c r="I9" s="292">
        <f>'Reporte Componentes R1'!K89</f>
        <v>158497973.27000001</v>
      </c>
      <c r="J9" s="288">
        <f>'BCE SC POR FACT.'!F3</f>
        <v>2153950828.1600003</v>
      </c>
      <c r="K9" s="293">
        <f>D9-E9-F9-G9-H9-I9-J9</f>
        <v>6185346138.7099953</v>
      </c>
      <c r="L9" s="294">
        <f>INTERVENTORIA!N26</f>
        <v>189185987</v>
      </c>
      <c r="M9" s="293">
        <f>K9-L9</f>
        <v>5996160151.7099953</v>
      </c>
      <c r="N9" s="387">
        <f>'Reporte Componentes R1'!L89</f>
        <v>19931693.030000001</v>
      </c>
      <c r="O9" s="293">
        <f>M9+N9</f>
        <v>6016091844.739995</v>
      </c>
      <c r="Q9" s="306"/>
      <c r="S9" s="303">
        <v>1</v>
      </c>
      <c r="T9" s="304" t="s">
        <v>10</v>
      </c>
      <c r="U9" s="307">
        <f>'Reporte Componentes R1'!M89</f>
        <v>1391735601.23</v>
      </c>
      <c r="V9" s="308">
        <f>'Reporte Componentes R1'!N89</f>
        <v>1315958607.1700001</v>
      </c>
      <c r="W9" s="308">
        <f>'Reporte Componentes R1'!O89</f>
        <v>6272232186.7699995</v>
      </c>
      <c r="X9" s="308">
        <f>'Reporte Componentes R1'!P89</f>
        <v>2290889068.9099998</v>
      </c>
      <c r="Y9" s="309">
        <f>'Reporte Componentes R1'!Q89</f>
        <v>258744863.86000001</v>
      </c>
      <c r="Z9" s="310">
        <f>L9*-1</f>
        <v>-189185987</v>
      </c>
      <c r="AA9" s="311">
        <f>'Reporte Componentes R1'!R89+'Reporte Componentes R1'!U89+'Reporte Componentes R1'!V89</f>
        <v>-27801.66</v>
      </c>
      <c r="AB9" s="312">
        <f>N9</f>
        <v>19931693.030000001</v>
      </c>
      <c r="AC9" s="320">
        <f>'Reporte Componentes R1'!T89+'Reporte Componentes R1'!W89+'Reporte Componentes R1'!X89+'Reporte Componentes R1'!Y89+'Reporte Componentes R1'!Z89+'Reporte Componentes R1'!S89</f>
        <v>149.13</v>
      </c>
      <c r="AD9" s="291">
        <f>-J9+AE9</f>
        <v>-5344186536.7000008</v>
      </c>
      <c r="AE9" s="291">
        <f>'Reporte Componentes R1'!F90</f>
        <v>-3190235708.54</v>
      </c>
      <c r="AF9" s="313">
        <f>SUM(U9:AD9)</f>
        <v>6016091844.7399998</v>
      </c>
      <c r="AG9" s="521">
        <f>(AF9-O9)</f>
        <v>4.76837158203125E-6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11219101305.09</v>
      </c>
      <c r="E10" s="292">
        <f>'Reporte Componentes R1'!G323</f>
        <v>873254306.83000004</v>
      </c>
      <c r="F10" s="292">
        <f>'Reporte Componentes R1'!H323</f>
        <v>483462932.19999999</v>
      </c>
      <c r="G10" s="292">
        <f>'Reporte Componentes R1'!I323</f>
        <v>256309653.09999999</v>
      </c>
      <c r="H10" s="292">
        <f>'Reporte Componentes R1'!J323</f>
        <v>3573620561.6399999</v>
      </c>
      <c r="I10" s="292">
        <f>'Reporte Componentes R1'!K323</f>
        <v>126627767.13</v>
      </c>
      <c r="J10" s="288">
        <f>'BCE SC POR FACT.'!F4</f>
        <v>-4217145526.9099998</v>
      </c>
      <c r="K10" s="295">
        <f>D10-E10-F10-G10-H10-I10-J10</f>
        <v>10122971611.099998</v>
      </c>
      <c r="L10" s="294">
        <f>INTERVENTORIA!N27</f>
        <v>266580255</v>
      </c>
      <c r="M10" s="295">
        <f>K10-L10</f>
        <v>9856391356.0999985</v>
      </c>
      <c r="N10" s="294">
        <f>'Reporte Componentes R1'!L323</f>
        <v>9834335.8100000005</v>
      </c>
      <c r="O10" s="295">
        <f>M10+N10</f>
        <v>9866225691.9099979</v>
      </c>
      <c r="Q10" s="306"/>
      <c r="S10" s="314">
        <v>2</v>
      </c>
      <c r="T10" s="315" t="s">
        <v>11</v>
      </c>
      <c r="U10" s="316">
        <f>'Reporte Componentes R1'!M323</f>
        <v>1110999299.71</v>
      </c>
      <c r="V10" s="317">
        <f>'Reporte Componentes R1'!N323</f>
        <v>1068155937.1999999</v>
      </c>
      <c r="W10" s="317">
        <f>'Reporte Componentes R1'!O323</f>
        <v>5074671965.54</v>
      </c>
      <c r="X10" s="317">
        <f>'Reporte Componentes R1'!P323</f>
        <v>1712802998.4100001</v>
      </c>
      <c r="Y10" s="318">
        <f>'Reporte Componentes R1'!Q323</f>
        <v>206761960.40000001</v>
      </c>
      <c r="Z10" s="319">
        <f>L10*-1</f>
        <v>-266580255</v>
      </c>
      <c r="AA10" s="320">
        <f>'Reporte Componentes R1'!R323+'Reporte Componentes R1'!U323+'Reporte Componentes R1'!V323</f>
        <v>-14204.66</v>
      </c>
      <c r="AB10" s="321">
        <f>N10</f>
        <v>9834335.8100000005</v>
      </c>
      <c r="AC10" s="320">
        <f>'Reporte Componentes R1'!T323+'Reporte Componentes R1'!W323+'Reporte Componentes R1'!X323+'Reporte Componentes R1'!Y323+'Reporte Componentes R1'!Z323+'Reporte Componentes R1'!S323</f>
        <v>-56307.81</v>
      </c>
      <c r="AD10" s="291">
        <f t="shared" ref="AD10:AD13" si="0">-J10+AE10</f>
        <v>949649962.30999994</v>
      </c>
      <c r="AE10" s="291">
        <f>'Reporte Componentes R1'!F324</f>
        <v>-3267495564.5999999</v>
      </c>
      <c r="AF10" s="322">
        <f>SUM(U10:AD10)</f>
        <v>9866225691.9099998</v>
      </c>
      <c r="AG10" s="522">
        <f>(AF10-O10)</f>
        <v>1.9073486328125E-6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8811472160.3400002</v>
      </c>
      <c r="E11" s="292">
        <f>'Reporte Componentes R1'!G484</f>
        <v>569049058.22000003</v>
      </c>
      <c r="F11" s="292">
        <f>'Reporte Componentes R1'!H484</f>
        <v>317267488.88</v>
      </c>
      <c r="G11" s="292">
        <f>'Reporte Componentes R1'!I484</f>
        <v>168517798.86000001</v>
      </c>
      <c r="H11" s="292">
        <f>'Reporte Componentes R1'!J484</f>
        <v>2429021539.6700001</v>
      </c>
      <c r="I11" s="292">
        <f>'Reporte Componentes R1'!K484</f>
        <v>86984010.540000007</v>
      </c>
      <c r="J11" s="288">
        <f>'BCE SC POR FACT.'!F5</f>
        <v>-1288806337.0900002</v>
      </c>
      <c r="K11" s="295">
        <f>D11-E11-F11-G11-H11-I11-J11</f>
        <v>6529438601.2600002</v>
      </c>
      <c r="L11" s="294">
        <f>INTERVENTORIA!N28</f>
        <v>154788535</v>
      </c>
      <c r="M11" s="295">
        <f>K11-L11</f>
        <v>6374650066.2600002</v>
      </c>
      <c r="N11" s="294">
        <f>'Reporte Componentes R1'!L484</f>
        <v>19305717.66</v>
      </c>
      <c r="O11" s="295">
        <f>M11+N11</f>
        <v>6393955783.9200001</v>
      </c>
      <c r="Q11" s="306"/>
      <c r="S11" s="314">
        <v>3</v>
      </c>
      <c r="T11" s="315" t="s">
        <v>12</v>
      </c>
      <c r="U11" s="316">
        <f>'Reporte Componentes R1'!M484</f>
        <v>763682703.06000006</v>
      </c>
      <c r="V11" s="317">
        <f>'Reporte Componentes R1'!N484</f>
        <v>725018824.26999998</v>
      </c>
      <c r="W11" s="317">
        <f>'Reporte Componentes R1'!O484</f>
        <v>3444255866.5499997</v>
      </c>
      <c r="X11" s="317">
        <f>'Reporte Componentes R1'!P484</f>
        <v>1347916174.22</v>
      </c>
      <c r="Y11" s="318">
        <f>'Reporte Componentes R1'!Q484</f>
        <v>142025975.44000003</v>
      </c>
      <c r="Z11" s="319">
        <f>L11*-1</f>
        <v>-154788535</v>
      </c>
      <c r="AA11" s="320">
        <f>'Reporte Componentes R1'!R484+'Reporte Componentes R1'!U484+'Reporte Componentes R1'!V484</f>
        <v>-81704.87</v>
      </c>
      <c r="AB11" s="321">
        <f>N11</f>
        <v>19305717.66</v>
      </c>
      <c r="AC11" s="320">
        <f>'Reporte Componentes R1'!T484+'Reporte Componentes R1'!W484+'Reporte Componentes R1'!X484+'Reporte Componentes R1'!Y484+'Reporte Componentes R1'!Z484+'Reporte Componentes R1'!S484</f>
        <v>-41619.9</v>
      </c>
      <c r="AD11" s="291">
        <f t="shared" si="0"/>
        <v>106662382.49000025</v>
      </c>
      <c r="AE11" s="291">
        <f>'Reporte Componentes R1'!F485</f>
        <v>-1182143954.5999999</v>
      </c>
      <c r="AF11" s="322">
        <f t="shared" ref="AF11:AF13" si="2">SUM(U11:AD11)</f>
        <v>6393955783.9200001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10473967813.419998</v>
      </c>
      <c r="E12" s="292">
        <f>'Reporte Componentes R1'!G692</f>
        <v>604669997.78999996</v>
      </c>
      <c r="F12" s="292">
        <f>'Reporte Componentes R1'!H692</f>
        <v>335175471.73999995</v>
      </c>
      <c r="G12" s="292">
        <f>'Reporte Componentes R1'!I692</f>
        <v>178722961.24000001</v>
      </c>
      <c r="H12" s="292">
        <f>'Reporte Componentes R1'!J692</f>
        <v>2396185440.1100001</v>
      </c>
      <c r="I12" s="292">
        <f>'Reporte Componentes R1'!K692</f>
        <v>89652485.689999998</v>
      </c>
      <c r="J12" s="288">
        <f>'BCE SC POR FACT.'!F6</f>
        <v>61531953.689999998</v>
      </c>
      <c r="K12" s="295">
        <f>D12-E12-F12-G12-H12-I12-J12</f>
        <v>6808029503.1599979</v>
      </c>
      <c r="L12" s="294">
        <f>INTERVENTORIA!N29</f>
        <v>120391083</v>
      </c>
      <c r="M12" s="295">
        <f>K12-L12</f>
        <v>6687638420.1599979</v>
      </c>
      <c r="N12" s="294">
        <f>'Reporte Componentes R1'!L692</f>
        <v>8643135.5800000001</v>
      </c>
      <c r="O12" s="295">
        <f>M12+N12</f>
        <v>6696281555.7399979</v>
      </c>
      <c r="Q12" s="306"/>
      <c r="S12" s="314">
        <v>4</v>
      </c>
      <c r="T12" s="315" t="s">
        <v>13</v>
      </c>
      <c r="U12" s="316">
        <f>'Reporte Componentes R1'!M692</f>
        <v>785814467.67000008</v>
      </c>
      <c r="V12" s="317">
        <f>'Reporte Componentes R1'!N692</f>
        <v>749924263.23000002</v>
      </c>
      <c r="W12" s="317">
        <f>'Reporte Componentes R1'!O692</f>
        <v>3880546235.1599998</v>
      </c>
      <c r="X12" s="317">
        <f>'Reporte Componentes R1'!P692</f>
        <v>1600707975.2</v>
      </c>
      <c r="Y12" s="318">
        <f>'Reporte Componentes R1'!Q692</f>
        <v>146527905.08000001</v>
      </c>
      <c r="Z12" s="319">
        <f>L12*-1</f>
        <v>-120391083</v>
      </c>
      <c r="AA12" s="320">
        <f>'Reporte Componentes R1'!R692+'Reporte Componentes R1'!U692+'Reporte Componentes R1'!V692</f>
        <v>31942.35</v>
      </c>
      <c r="AB12" s="321">
        <f>N12</f>
        <v>8643135.5800000001</v>
      </c>
      <c r="AC12" s="320">
        <f>'Reporte Componentes R1'!T692+'Reporte Componentes R1'!W692+'Reporte Componentes R1'!X692+'Reporte Componentes R1'!Y692+'Reporte Componentes R1'!Z692+'Reporte Componentes R1'!S692</f>
        <v>189.43</v>
      </c>
      <c r="AD12" s="291">
        <f t="shared" si="0"/>
        <v>-355523474.95999998</v>
      </c>
      <c r="AE12" s="291">
        <f>'Reporte Componentes R1'!F693</f>
        <v>-293991521.26999998</v>
      </c>
      <c r="AF12" s="322">
        <f t="shared" si="2"/>
        <v>6696281555.7399998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7544253279.9399996</v>
      </c>
      <c r="E13" s="297">
        <f>'Reporte Componentes R1'!G811</f>
        <v>408145471.80000001</v>
      </c>
      <c r="F13" s="297">
        <f>'Reporte Componentes R1'!H811</f>
        <v>227118040.72999999</v>
      </c>
      <c r="G13" s="297">
        <f>'Reporte Componentes R1'!I811</f>
        <v>120841029.03</v>
      </c>
      <c r="H13" s="297">
        <f>'Reporte Componentes R1'!J811</f>
        <v>1864267894.6400001</v>
      </c>
      <c r="I13" s="297">
        <f>'Reporte Componentes R1'!K811</f>
        <v>62073126.829999998</v>
      </c>
      <c r="J13" s="289">
        <f>'BCE SC POR FACT.'!F7</f>
        <v>-1246473094.4099998</v>
      </c>
      <c r="K13" s="295">
        <f>D13-E13-F13-G13-H13-I13-J13</f>
        <v>6108280811.3199997</v>
      </c>
      <c r="L13" s="294">
        <f>INTERVENTORIA!N30</f>
        <v>128990445</v>
      </c>
      <c r="M13" s="298">
        <f>K13-L13</f>
        <v>5979290366.3199997</v>
      </c>
      <c r="N13" s="299">
        <f>'Reporte Componentes R1'!L811</f>
        <v>12379938.060000001</v>
      </c>
      <c r="O13" s="298">
        <f>M13+N13</f>
        <v>5991670304.3800001</v>
      </c>
      <c r="Q13" s="306"/>
      <c r="S13" s="324">
        <v>5</v>
      </c>
      <c r="T13" s="325" t="s">
        <v>14</v>
      </c>
      <c r="U13" s="296">
        <f>'Reporte Componentes R1'!M811</f>
        <v>544684335.76999998</v>
      </c>
      <c r="V13" s="297">
        <f>'Reporte Componentes R1'!N811</f>
        <v>512958805.74000001</v>
      </c>
      <c r="W13" s="297">
        <f>'Reporte Componentes R1'!O811</f>
        <v>2640560444.6500001</v>
      </c>
      <c r="X13" s="297">
        <f>'Reporte Componentes R1'!P811</f>
        <v>1214677726.3699999</v>
      </c>
      <c r="Y13" s="289">
        <f>'Reporte Componentes R1'!Q811</f>
        <v>101292451</v>
      </c>
      <c r="Z13" s="319">
        <f>L13*-1</f>
        <v>-128990445</v>
      </c>
      <c r="AA13" s="320">
        <f>'Reporte Componentes R1'!R811+'Reporte Componentes R1'!U811+'Reporte Componentes R1'!V811</f>
        <v>10679.52</v>
      </c>
      <c r="AB13" s="321">
        <f>N13</f>
        <v>12379938.060000001</v>
      </c>
      <c r="AC13" s="320">
        <f>'Reporte Componentes R1'!T811+'Reporte Componentes R1'!W811+'Reporte Componentes R1'!X811+'Reporte Componentes R1'!Y811+'Reporte Componentes R1'!Z811+'Reporte Componentes R1'!S811</f>
        <v>4.8600000000000003</v>
      </c>
      <c r="AD13" s="291">
        <f t="shared" si="0"/>
        <v>1094096363.4099998</v>
      </c>
      <c r="AE13" s="291">
        <f>'Reporte Componentes R1'!F812</f>
        <v>-152376731</v>
      </c>
      <c r="AF13" s="322">
        <f t="shared" si="2"/>
        <v>5991670304.3800001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52863816533.539993</v>
      </c>
      <c r="E14" s="290">
        <f t="shared" ref="E14:O14" si="3">SUM(E9:E13)</f>
        <v>3296924870.29</v>
      </c>
      <c r="F14" s="290">
        <f t="shared" si="3"/>
        <v>1831941905.0600002</v>
      </c>
      <c r="G14" s="290">
        <f t="shared" ref="G14" si="4">SUM(G9:G13)</f>
        <v>974048359.35000002</v>
      </c>
      <c r="H14" s="290">
        <f t="shared" si="3"/>
        <v>15019941546.390001</v>
      </c>
      <c r="I14" s="290">
        <f t="shared" si="3"/>
        <v>523835363.45999998</v>
      </c>
      <c r="J14" s="290">
        <f t="shared" si="3"/>
        <v>-4536942176.5599995</v>
      </c>
      <c r="K14" s="300">
        <f>SUM(K9:K13)</f>
        <v>35754066665.549988</v>
      </c>
      <c r="L14" s="301">
        <f>SUM(L9:L13)</f>
        <v>859936305</v>
      </c>
      <c r="M14" s="302">
        <f t="shared" si="3"/>
        <v>34894130360.549988</v>
      </c>
      <c r="N14" s="301">
        <f t="shared" si="3"/>
        <v>70094820.140000001</v>
      </c>
      <c r="O14" s="302">
        <f t="shared" si="3"/>
        <v>34964225180.689987</v>
      </c>
      <c r="P14" s="329"/>
      <c r="Q14" s="306"/>
      <c r="S14" s="327"/>
      <c r="T14" s="328" t="s">
        <v>2</v>
      </c>
      <c r="U14" s="330">
        <f>SUM(U9:U13)</f>
        <v>4596916407.4400005</v>
      </c>
      <c r="V14" s="330">
        <f t="shared" ref="V14:AF14" si="5">SUM(V9:V13)</f>
        <v>4372016437.6099997</v>
      </c>
      <c r="W14" s="330">
        <f t="shared" si="5"/>
        <v>21312266698.669998</v>
      </c>
      <c r="X14" s="330">
        <f t="shared" si="5"/>
        <v>8166993943.1099997</v>
      </c>
      <c r="Y14" s="330">
        <f t="shared" si="5"/>
        <v>855353155.78000009</v>
      </c>
      <c r="Z14" s="290">
        <f t="shared" si="5"/>
        <v>-859936305</v>
      </c>
      <c r="AA14" s="290">
        <f t="shared" si="5"/>
        <v>-81089.319999999992</v>
      </c>
      <c r="AB14" s="290">
        <f t="shared" si="5"/>
        <v>70094820.140000001</v>
      </c>
      <c r="AC14" s="290">
        <f>SUM(AC9:AC13)</f>
        <v>-97584.290000000008</v>
      </c>
      <c r="AD14" s="290">
        <f>SUM(AD9:AD13)</f>
        <v>-3549301303.4500008</v>
      </c>
      <c r="AE14" s="290">
        <f>SUM(AE9:AE13)</f>
        <v>-8086243480.0100002</v>
      </c>
      <c r="AF14" s="331">
        <f t="shared" si="5"/>
        <v>34964225180.689995</v>
      </c>
      <c r="AG14" s="524">
        <f>SUM(AG9:AG13)</f>
        <v>8.58306884765625E-6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39303546642.609993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30588071.020000003</v>
      </c>
      <c r="E28" s="292">
        <f>'Rem. Anticipos R2'!F57</f>
        <v>0</v>
      </c>
      <c r="F28" s="292">
        <f>'Rem. Anticipos R2'!G57</f>
        <v>0</v>
      </c>
      <c r="G28" s="292">
        <f>'Rem. Anticipos R2'!H57</f>
        <v>0</v>
      </c>
      <c r="H28" s="292">
        <f>'Rem. Anticipos R2'!I57</f>
        <v>0</v>
      </c>
      <c r="I28" s="292">
        <f>'Rem. Anticipos R2'!J57</f>
        <v>0</v>
      </c>
      <c r="J28" s="288">
        <v>0</v>
      </c>
      <c r="K28" s="293">
        <f>D28-E28-F28-G28-H28-I28-J28</f>
        <v>30588071.020000003</v>
      </c>
      <c r="L28" s="294">
        <v>0</v>
      </c>
      <c r="M28" s="293">
        <f>K28-L28</f>
        <v>30588071.020000003</v>
      </c>
      <c r="N28" s="294">
        <f>'Rem. Anticipos R2'!K57</f>
        <v>0</v>
      </c>
      <c r="O28" s="293">
        <f>M28+N28</f>
        <v>30588071.020000003</v>
      </c>
      <c r="Q28" s="306"/>
      <c r="S28" s="303">
        <v>1</v>
      </c>
      <c r="T28" s="304" t="s">
        <v>10</v>
      </c>
      <c r="U28" s="307">
        <f>'Rem. Anticipos R2'!L57</f>
        <v>0</v>
      </c>
      <c r="V28" s="308">
        <f>'Rem. Anticipos R2'!M57</f>
        <v>0</v>
      </c>
      <c r="W28" s="308">
        <f>'Rem. Anticipos R2'!N57</f>
        <v>0</v>
      </c>
      <c r="X28" s="308">
        <f>'Rem. Anticipos R2'!O57</f>
        <v>0</v>
      </c>
      <c r="Y28" s="308">
        <f>'Rem. Anticipos R2'!P57</f>
        <v>0</v>
      </c>
      <c r="Z28" s="310">
        <f>L28*-1</f>
        <v>0</v>
      </c>
      <c r="AA28" s="311">
        <f>'Rem. Anticipos R2'!Q57</f>
        <v>0</v>
      </c>
      <c r="AB28" s="294">
        <f>N28</f>
        <v>0</v>
      </c>
      <c r="AC28" s="311">
        <f>'Rem. Anticipos R2'!R57</f>
        <v>0</v>
      </c>
      <c r="AD28" s="291">
        <f>-J28+AE28</f>
        <v>-688671.4</v>
      </c>
      <c r="AE28" s="291">
        <f>'Rem. Anticipos R2'!E58</f>
        <v>-688671.4</v>
      </c>
      <c r="AF28" s="313">
        <f>SUM(U28:AD28)</f>
        <v>-688671.4</v>
      </c>
      <c r="AG28" s="521">
        <f>(AF28-O28)</f>
        <v>-31276742.420000002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95634974.320000008</v>
      </c>
      <c r="E29" s="292">
        <f>'Rem. Anticipos R2'!F178</f>
        <v>0</v>
      </c>
      <c r="F29" s="292">
        <f>'Rem. Anticipos R2'!G178</f>
        <v>0</v>
      </c>
      <c r="G29" s="292">
        <f>'Rem. Anticipos R2'!H178</f>
        <v>0</v>
      </c>
      <c r="H29" s="292">
        <f>'Rem. Anticipos R2'!I178</f>
        <v>0</v>
      </c>
      <c r="I29" s="292">
        <f>'Rem. Anticipos R2'!J178</f>
        <v>0</v>
      </c>
      <c r="J29" s="288">
        <v>0</v>
      </c>
      <c r="K29" s="295">
        <f>D29-E29-F29-G29-H29-I29-J29</f>
        <v>95634974.320000008</v>
      </c>
      <c r="L29" s="294">
        <v>0</v>
      </c>
      <c r="M29" s="295">
        <f>K29-L29</f>
        <v>95634974.320000008</v>
      </c>
      <c r="N29" s="294">
        <f>'Rem. Anticipos R2'!K178</f>
        <v>70736.95</v>
      </c>
      <c r="O29" s="295">
        <f t="shared" ref="O29:O32" si="6">M29+N29</f>
        <v>95705711.270000011</v>
      </c>
      <c r="Q29" s="306"/>
      <c r="S29" s="314">
        <v>2</v>
      </c>
      <c r="T29" s="315" t="s">
        <v>11</v>
      </c>
      <c r="U29" s="316">
        <f>'Rem. Anticipos R2'!L178</f>
        <v>0</v>
      </c>
      <c r="V29" s="317">
        <f>'Rem. Anticipos R2'!M178</f>
        <v>0</v>
      </c>
      <c r="W29" s="317">
        <f>'Rem. Anticipos R2'!N178</f>
        <v>0</v>
      </c>
      <c r="X29" s="317">
        <f>'Rem. Anticipos R2'!O178</f>
        <v>0</v>
      </c>
      <c r="Y29" s="318">
        <f>'Rem. Anticipos R2'!P178</f>
        <v>0</v>
      </c>
      <c r="Z29" s="319">
        <f>L29*-1</f>
        <v>0</v>
      </c>
      <c r="AA29" s="320">
        <f>'Rem. Anticipos R2'!Q178</f>
        <v>0</v>
      </c>
      <c r="AB29" s="294">
        <f>N29</f>
        <v>70736.95</v>
      </c>
      <c r="AC29" s="320">
        <f>'Rem. Anticipos R2'!R178</f>
        <v>0</v>
      </c>
      <c r="AD29" s="291">
        <f>-J29+AE29</f>
        <v>-20704709.399999999</v>
      </c>
      <c r="AE29" s="291">
        <f>'Rem. Anticipos R2'!E179</f>
        <v>-20704709.399999999</v>
      </c>
      <c r="AF29" s="322">
        <f>SUM(U29:AD29)</f>
        <v>-20633972.449999999</v>
      </c>
      <c r="AG29" s="522">
        <f>(AF29-O29)</f>
        <v>-116339683.72000001</v>
      </c>
      <c r="AH29" s="305" t="b">
        <f t="shared" ref="AH29:AH32" si="7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14574412.029999999</v>
      </c>
      <c r="E30" s="292">
        <f>'Rem. Anticipos R2'!F299</f>
        <v>0</v>
      </c>
      <c r="F30" s="292">
        <f>'Rem. Anticipos R2'!G299</f>
        <v>0</v>
      </c>
      <c r="G30" s="292">
        <f>'Rem. Anticipos R2'!H299</f>
        <v>0</v>
      </c>
      <c r="H30" s="292">
        <f>'Rem. Anticipos R2'!I299</f>
        <v>0</v>
      </c>
      <c r="I30" s="292">
        <f>'Rem. Anticipos R2'!J299</f>
        <v>0</v>
      </c>
      <c r="J30" s="288">
        <v>0</v>
      </c>
      <c r="K30" s="295">
        <f t="shared" ref="K30:K31" si="8">D30-E30-F30-G30-H30-I30-J30</f>
        <v>14574412.029999999</v>
      </c>
      <c r="L30" s="294">
        <v>0</v>
      </c>
      <c r="M30" s="295">
        <f>K30-L30</f>
        <v>14574412.029999999</v>
      </c>
      <c r="N30" s="294">
        <f>'Rem. Anticipos R2'!K299</f>
        <v>16082.29</v>
      </c>
      <c r="O30" s="295">
        <f t="shared" si="6"/>
        <v>14590494.319999998</v>
      </c>
      <c r="Q30" s="306"/>
      <c r="S30" s="314">
        <v>3</v>
      </c>
      <c r="T30" s="315" t="s">
        <v>12</v>
      </c>
      <c r="U30" s="316">
        <f>'Rem. Anticipos R2'!L299</f>
        <v>0</v>
      </c>
      <c r="V30" s="317">
        <f>'Rem. Anticipos R2'!M299</f>
        <v>0</v>
      </c>
      <c r="W30" s="317">
        <f>'Rem. Anticipos R2'!N299</f>
        <v>0</v>
      </c>
      <c r="X30" s="317">
        <f>'Rem. Anticipos R2'!O299</f>
        <v>0</v>
      </c>
      <c r="Y30" s="318">
        <f>'Rem. Anticipos R2'!P299</f>
        <v>0</v>
      </c>
      <c r="Z30" s="319">
        <f>L30*-1</f>
        <v>0</v>
      </c>
      <c r="AA30" s="320">
        <f>'Rem. Anticipos R2'!Q299</f>
        <v>0</v>
      </c>
      <c r="AB30" s="294">
        <f>N30</f>
        <v>16082.29</v>
      </c>
      <c r="AC30" s="320">
        <f>'Rem. Anticipos R2'!R299</f>
        <v>0</v>
      </c>
      <c r="AD30" s="291">
        <f t="shared" ref="AD30:AD32" si="9">-J30+AE30</f>
        <v>-3867345.76</v>
      </c>
      <c r="AE30" s="291">
        <f>'Rem. Anticipos R2'!E300</f>
        <v>-3867345.76</v>
      </c>
      <c r="AF30" s="322">
        <f>SUM(U30:AD30)</f>
        <v>-3851263.4699999997</v>
      </c>
      <c r="AG30" s="522">
        <f t="shared" ref="AG30:AG31" si="10">(AF30-O30)</f>
        <v>-18441757.789999999</v>
      </c>
      <c r="AH30" s="305" t="b">
        <f t="shared" si="7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29206357.07</v>
      </c>
      <c r="E31" s="292">
        <f>'Rem. Anticipos R2'!F423</f>
        <v>0</v>
      </c>
      <c r="F31" s="292">
        <f>'Rem. Anticipos R2'!G423</f>
        <v>0</v>
      </c>
      <c r="G31" s="292">
        <f>'Rem. Anticipos R2'!H423</f>
        <v>0</v>
      </c>
      <c r="H31" s="292">
        <f>'Rem. Anticipos R2'!I423</f>
        <v>0</v>
      </c>
      <c r="I31" s="292">
        <f>'Rem. Anticipos R2'!J423</f>
        <v>0</v>
      </c>
      <c r="J31" s="288">
        <v>0</v>
      </c>
      <c r="K31" s="295">
        <f t="shared" si="8"/>
        <v>29206357.07</v>
      </c>
      <c r="L31" s="294">
        <v>0</v>
      </c>
      <c r="M31" s="295">
        <f>K31-L31</f>
        <v>29206357.07</v>
      </c>
      <c r="N31" s="294">
        <f>'Rem. Anticipos R2'!K423</f>
        <v>0</v>
      </c>
      <c r="O31" s="295">
        <f t="shared" si="6"/>
        <v>29206357.07</v>
      </c>
      <c r="Q31" s="306"/>
      <c r="S31" s="314">
        <v>4</v>
      </c>
      <c r="T31" s="315" t="s">
        <v>13</v>
      </c>
      <c r="U31" s="316">
        <f>'Rem. Anticipos R2'!L423</f>
        <v>0</v>
      </c>
      <c r="V31" s="317">
        <f>'Rem. Anticipos R2'!M423</f>
        <v>0</v>
      </c>
      <c r="W31" s="317">
        <f>'Rem. Anticipos R2'!N423</f>
        <v>0</v>
      </c>
      <c r="X31" s="317">
        <f>'Rem. Anticipos R2'!O423</f>
        <v>0</v>
      </c>
      <c r="Y31" s="318">
        <f>'Rem. Anticipos R2'!P423</f>
        <v>0</v>
      </c>
      <c r="Z31" s="319">
        <f>L31*-1</f>
        <v>0</v>
      </c>
      <c r="AA31" s="320">
        <f>'Rem. Anticipos R2'!Q423</f>
        <v>0</v>
      </c>
      <c r="AB31" s="294">
        <f>N31</f>
        <v>0</v>
      </c>
      <c r="AC31" s="320">
        <f>'Rem. Anticipos R2'!R423</f>
        <v>0</v>
      </c>
      <c r="AD31" s="291">
        <f t="shared" si="9"/>
        <v>382600.2</v>
      </c>
      <c r="AE31" s="291">
        <f>'Rem. Anticipos R2'!E424</f>
        <v>382600.2</v>
      </c>
      <c r="AF31" s="322">
        <f>SUM(U31:AD31)</f>
        <v>382600.2</v>
      </c>
      <c r="AG31" s="522">
        <f t="shared" si="10"/>
        <v>-28823756.870000001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10379542.050000001</v>
      </c>
      <c r="E32" s="297">
        <f>'Rem. Anticipos R2'!F510</f>
        <v>0</v>
      </c>
      <c r="F32" s="297">
        <f>'Rem. Anticipos R2'!G510</f>
        <v>0</v>
      </c>
      <c r="G32" s="297">
        <f>'Rem. Anticipos R2'!H510</f>
        <v>0</v>
      </c>
      <c r="H32" s="297">
        <f>'Rem. Anticipos R2'!I510</f>
        <v>0</v>
      </c>
      <c r="I32" s="297">
        <f>'Rem. Anticipos R2'!J510</f>
        <v>0</v>
      </c>
      <c r="J32" s="289">
        <v>0</v>
      </c>
      <c r="K32" s="295">
        <f>D32-E32-F32-G32-H32-I32-J32</f>
        <v>10379542.050000001</v>
      </c>
      <c r="L32" s="294">
        <v>0</v>
      </c>
      <c r="M32" s="298">
        <f>K32-L32</f>
        <v>10379542.050000001</v>
      </c>
      <c r="N32" s="299">
        <f>'Rem. Anticipos R2'!K510</f>
        <v>0</v>
      </c>
      <c r="O32" s="298">
        <f t="shared" si="6"/>
        <v>10379542.050000001</v>
      </c>
      <c r="Q32" s="306"/>
      <c r="S32" s="324">
        <v>5</v>
      </c>
      <c r="T32" s="325" t="s">
        <v>14</v>
      </c>
      <c r="U32" s="296">
        <f>'Rem. Anticipos R2'!L510</f>
        <v>0</v>
      </c>
      <c r="V32" s="297">
        <f>'Rem. Anticipos R2'!M510</f>
        <v>0</v>
      </c>
      <c r="W32" s="297">
        <f>'Rem. Anticipos R2'!N510</f>
        <v>0</v>
      </c>
      <c r="X32" s="297">
        <f>'Rem. Anticipos R2'!O510</f>
        <v>0</v>
      </c>
      <c r="Y32" s="289">
        <f>'Rem. Anticipos R2'!P510</f>
        <v>0</v>
      </c>
      <c r="Z32" s="319">
        <f>L32*-1</f>
        <v>0</v>
      </c>
      <c r="AA32" s="320">
        <f>'Rem. Anticipos R2'!Q510</f>
        <v>0</v>
      </c>
      <c r="AB32" s="294">
        <f>N32</f>
        <v>0</v>
      </c>
      <c r="AC32" s="320">
        <f>'Rem. Anticipos R2'!R510</f>
        <v>0</v>
      </c>
      <c r="AD32" s="291">
        <f t="shared" si="9"/>
        <v>-33324.080000000002</v>
      </c>
      <c r="AE32" s="291">
        <f>'Rem. Anticipos R2'!E511</f>
        <v>-33324.080000000002</v>
      </c>
      <c r="AF32" s="322">
        <f>SUM(U32:AD32)</f>
        <v>-33324.080000000002</v>
      </c>
      <c r="AG32" s="523">
        <f>(AF32-O32)</f>
        <v>-10412866.130000001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180383356.49000001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180383356.49000001</v>
      </c>
      <c r="L33" s="301">
        <f t="shared" si="11"/>
        <v>0</v>
      </c>
      <c r="M33" s="302">
        <f t="shared" si="11"/>
        <v>180383356.49000001</v>
      </c>
      <c r="N33" s="301">
        <f t="shared" si="11"/>
        <v>86819.239999999991</v>
      </c>
      <c r="O33" s="302">
        <f t="shared" si="11"/>
        <v>180470175.73000002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86819.239999999991</v>
      </c>
      <c r="AC33" s="290">
        <f t="shared" ref="AC33" si="14">SUM(AC28:AC32)</f>
        <v>0</v>
      </c>
      <c r="AD33" s="290">
        <f>SUM(AD28:AD32)</f>
        <v>-24911450.439999994</v>
      </c>
      <c r="AE33" s="290">
        <f>SUM(AE28:AE32)</f>
        <v>-24911450.439999994</v>
      </c>
      <c r="AF33" s="331">
        <f t="shared" si="13"/>
        <v>-24824631.199999996</v>
      </c>
      <c r="AG33" s="524">
        <f t="shared" ref="AG33" si="15">SUM(AG28:AG32)</f>
        <v>-205294806.93000001</v>
      </c>
      <c r="AH33" s="305" t="b">
        <f>INT(AG33)=0</f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648870</v>
      </c>
      <c r="E47" s="292">
        <f>'Reporte Componentes R1'!G91</f>
        <v>29223.59</v>
      </c>
      <c r="F47" s="292">
        <f>'Reporte Componentes R1'!H91</f>
        <v>16458.47</v>
      </c>
      <c r="G47" s="292">
        <f>'Reporte Componentes R1'!I91</f>
        <v>8660.2199999999993</v>
      </c>
      <c r="H47" s="292">
        <f>'Reporte Componentes R1'!J91</f>
        <v>141425.47</v>
      </c>
      <c r="I47" s="292">
        <f>'Reporte Componentes R1'!K91</f>
        <v>5825.54</v>
      </c>
      <c r="J47" s="288">
        <v>0</v>
      </c>
      <c r="K47" s="293">
        <f>D47-E47-F47-G47-H47-I47-J47</f>
        <v>447276.71000000014</v>
      </c>
      <c r="L47" s="294">
        <v>0</v>
      </c>
      <c r="M47" s="293">
        <f>K47-L47</f>
        <v>447276.71000000014</v>
      </c>
      <c r="N47" s="294">
        <f>'Reporte Componentes R1'!L91</f>
        <v>0</v>
      </c>
      <c r="O47" s="293">
        <f>M47+N47</f>
        <v>447276.71000000014</v>
      </c>
      <c r="Q47" s="306"/>
      <c r="S47" s="303">
        <v>1</v>
      </c>
      <c r="T47" s="304" t="s">
        <v>10</v>
      </c>
      <c r="U47" s="307">
        <f>'Reporte Componentes R1'!M91</f>
        <v>51101.37</v>
      </c>
      <c r="V47" s="308">
        <f>'Reporte Componentes R1'!N91</f>
        <v>51278.68</v>
      </c>
      <c r="W47" s="308">
        <f>'Reporte Componentes R1'!O91</f>
        <v>242748.43</v>
      </c>
      <c r="X47" s="308">
        <f>'Reporte Componentes R1'!P91</f>
        <v>79815.350000000006</v>
      </c>
      <c r="Y47" s="309">
        <f>'Reporte Componentes R1'!Q91</f>
        <v>9504.83</v>
      </c>
      <c r="Z47" s="310">
        <f>-L47</f>
        <v>0</v>
      </c>
      <c r="AA47" s="320">
        <f>'Reporte Componentes R1'!R91+'Reporte Componentes R1'!V91+'Reporte Componentes R1'!U91</f>
        <v>5.12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12822.93</v>
      </c>
      <c r="AE47" s="291">
        <f>'Reporte Componentes R1'!F92</f>
        <v>12822.93</v>
      </c>
      <c r="AF47" s="313">
        <f>SUM(U47:AD47)</f>
        <v>447276.70999999996</v>
      </c>
      <c r="AG47" s="521">
        <f>(AF47-O47)</f>
        <v>-1.7462298274040222E-10</v>
      </c>
      <c r="AH47" s="305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9704974</v>
      </c>
      <c r="E48" s="292">
        <f>'Reporte Componentes R1'!G325</f>
        <v>651837.25</v>
      </c>
      <c r="F48" s="292">
        <f>'Reporte Componentes R1'!H325</f>
        <v>367261.1</v>
      </c>
      <c r="G48" s="292">
        <f>'Reporte Componentes R1'!I325</f>
        <v>196265.14</v>
      </c>
      <c r="H48" s="292">
        <f>'Reporte Componentes R1'!J325</f>
        <v>2936066.51</v>
      </c>
      <c r="I48" s="292">
        <f>'Reporte Componentes R1'!K325</f>
        <v>79272.710000000006</v>
      </c>
      <c r="J48" s="288">
        <v>0</v>
      </c>
      <c r="K48" s="295">
        <f t="shared" ref="K48:K51" si="16">D48-E48-F48-G48-H48-I48-J48</f>
        <v>5474271.29</v>
      </c>
      <c r="L48" s="294">
        <v>0</v>
      </c>
      <c r="M48" s="295">
        <f>K48-L48</f>
        <v>5474271.29</v>
      </c>
      <c r="N48" s="294">
        <f>'Reporte Componentes R1'!L325</f>
        <v>0</v>
      </c>
      <c r="O48" s="295">
        <f t="shared" ref="O48:O51" si="17">M48+N48</f>
        <v>5474271.29</v>
      </c>
      <c r="Q48" s="306"/>
      <c r="S48" s="314">
        <v>2</v>
      </c>
      <c r="T48" s="315" t="s">
        <v>11</v>
      </c>
      <c r="U48" s="316">
        <f>'Reporte Componentes R1'!M325</f>
        <v>695375.41</v>
      </c>
      <c r="V48" s="317">
        <f>'Reporte Componentes R1'!N325</f>
        <v>925873.97</v>
      </c>
      <c r="W48" s="317">
        <f>'Reporte Componentes R1'!O325</f>
        <v>4476434.58</v>
      </c>
      <c r="X48" s="317">
        <f>'Reporte Componentes R1'!P325</f>
        <v>1295216.93</v>
      </c>
      <c r="Y48" s="318">
        <f>'Reporte Componentes R1'!Q325</f>
        <v>130580.61</v>
      </c>
      <c r="Z48" s="319">
        <f>-L48</f>
        <v>0</v>
      </c>
      <c r="AA48" s="320">
        <f>'Reporte Componentes R1'!R325+'Reporte Componentes R1'!V325+'Reporte Componentes R1'!U325</f>
        <v>-101.63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0.04</v>
      </c>
      <c r="AD48" s="291">
        <f t="shared" ref="AD48:AD51" si="18">-J48+AE48</f>
        <v>-2049108.62</v>
      </c>
      <c r="AE48" s="291">
        <f>'Reporte Componentes R1'!F326</f>
        <v>-2049108.62</v>
      </c>
      <c r="AF48" s="322">
        <f>SUM(U48:AD48)</f>
        <v>5474271.29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0</v>
      </c>
      <c r="E49" s="292">
        <f>'Reporte Componentes R1'!G486</f>
        <v>0</v>
      </c>
      <c r="F49" s="292">
        <f>'Reporte Componentes R1'!H486</f>
        <v>0</v>
      </c>
      <c r="G49" s="292">
        <f>'Reporte Componentes R1'!I486</f>
        <v>0</v>
      </c>
      <c r="H49" s="292">
        <f>'Reporte Componentes R1'!J486</f>
        <v>0</v>
      </c>
      <c r="I49" s="292">
        <f>'Reporte Componentes R1'!K486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R1'!L486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R1'!M486</f>
        <v>0</v>
      </c>
      <c r="V49" s="317">
        <f>'Reporte Componentes R1'!N486</f>
        <v>0</v>
      </c>
      <c r="W49" s="317">
        <f>'Reporte Componentes R1'!O486</f>
        <v>0</v>
      </c>
      <c r="X49" s="317">
        <f>'Reporte Componentes R1'!P486</f>
        <v>0</v>
      </c>
      <c r="Y49" s="318">
        <f>'Reporte Componentes R1'!Q486</f>
        <v>0</v>
      </c>
      <c r="Z49" s="319">
        <f>-L49</f>
        <v>0</v>
      </c>
      <c r="AA49" s="320">
        <f>'Reporte Componentes R1'!R486+'Reporte Componentes R1'!V486+'Reporte Componentes R1'!U486</f>
        <v>0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0</v>
      </c>
      <c r="AE49" s="291">
        <f>'Reporte Componentes R1'!F487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21557177</v>
      </c>
      <c r="E50" s="292">
        <f>'Reporte Componentes R1'!G694</f>
        <v>1278757.6399999999</v>
      </c>
      <c r="F50" s="292">
        <f>'Reporte Componentes R1'!H694</f>
        <v>719798.43</v>
      </c>
      <c r="G50" s="292">
        <f>'Reporte Componentes R1'!I694</f>
        <v>385650.58</v>
      </c>
      <c r="H50" s="292">
        <f>'Reporte Componentes R1'!J694</f>
        <v>5181365.16</v>
      </c>
      <c r="I50" s="292">
        <f>'Reporte Componentes R1'!K694</f>
        <v>155526.07999999999</v>
      </c>
      <c r="J50" s="288">
        <v>0</v>
      </c>
      <c r="K50" s="295">
        <f t="shared" si="16"/>
        <v>13836079.110000001</v>
      </c>
      <c r="L50" s="294">
        <v>0</v>
      </c>
      <c r="M50" s="295">
        <f>K50-L50</f>
        <v>13836079.110000001</v>
      </c>
      <c r="N50" s="294">
        <f>'Reporte Componentes R1'!L694</f>
        <v>0</v>
      </c>
      <c r="O50" s="295">
        <f t="shared" si="17"/>
        <v>13836079.110000001</v>
      </c>
      <c r="Q50" s="306"/>
      <c r="S50" s="314">
        <v>4</v>
      </c>
      <c r="T50" s="315" t="s">
        <v>13</v>
      </c>
      <c r="U50" s="316">
        <f>'Reporte Componentes R1'!M694</f>
        <v>1351292.3</v>
      </c>
      <c r="V50" s="317">
        <f>'Reporte Componentes R1'!N694</f>
        <v>1669548.6</v>
      </c>
      <c r="W50" s="317">
        <f>'Reporte Componentes R1'!O694</f>
        <v>8617443.8699999992</v>
      </c>
      <c r="X50" s="317">
        <f>'Reporte Componentes R1'!P694</f>
        <v>3417030.91</v>
      </c>
      <c r="Y50" s="318">
        <f>'Reporte Componentes R1'!Q694</f>
        <v>255177.82</v>
      </c>
      <c r="Z50" s="319">
        <f>-L50</f>
        <v>0</v>
      </c>
      <c r="AA50" s="320">
        <f>'Reporte Componentes R1'!R694+'Reporte Componentes R1'!V694+'Reporte Componentes R1'!U694</f>
        <v>-9.0500000000000007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-1474405.34</v>
      </c>
      <c r="AE50" s="291">
        <f>'Reporte Componentes R1'!F695</f>
        <v>-1474405.34</v>
      </c>
      <c r="AF50" s="322">
        <f t="shared" si="20"/>
        <v>13836079.109999999</v>
      </c>
      <c r="AG50" s="522">
        <f t="shared" si="21"/>
        <v>-1.862645149230957E-9</v>
      </c>
      <c r="AH50" s="305" t="b">
        <f t="shared" si="19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0</v>
      </c>
      <c r="E51" s="297">
        <f>'Reporte Componentes R1'!G813</f>
        <v>0</v>
      </c>
      <c r="F51" s="297">
        <f>'Reporte Componentes R1'!H813</f>
        <v>0</v>
      </c>
      <c r="G51" s="297">
        <f>'Reporte Componentes R1'!I813</f>
        <v>0</v>
      </c>
      <c r="H51" s="297">
        <f>'Reporte Componentes R1'!J813</f>
        <v>0</v>
      </c>
      <c r="I51" s="297">
        <f>'Reporte Componentes R1'!K813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R1'!L813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R1'!M813</f>
        <v>0</v>
      </c>
      <c r="V51" s="297">
        <f>'Reporte Componentes R1'!N813</f>
        <v>0</v>
      </c>
      <c r="W51" s="297">
        <f>'Reporte Componentes R1'!O813</f>
        <v>0</v>
      </c>
      <c r="X51" s="297">
        <f>'Reporte Componentes R1'!P813</f>
        <v>0</v>
      </c>
      <c r="Y51" s="289">
        <f>'Reporte Componentes R1'!Q813</f>
        <v>0</v>
      </c>
      <c r="Z51" s="319">
        <f>-L51</f>
        <v>0</v>
      </c>
      <c r="AA51" s="320">
        <f>'Reporte Componentes R1'!R813+'Reporte Componentes R1'!V813+'Reporte Componentes R1'!U813</f>
        <v>0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0</v>
      </c>
      <c r="AE51" s="291">
        <f>'Reporte Componentes R1'!F814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31911021</v>
      </c>
      <c r="E52" s="290">
        <f t="shared" si="22"/>
        <v>1959818.48</v>
      </c>
      <c r="F52" s="290">
        <f t="shared" si="22"/>
        <v>1103518</v>
      </c>
      <c r="G52" s="290">
        <f t="shared" ref="G52" si="23">SUM(G47:G51)</f>
        <v>590575.94000000006</v>
      </c>
      <c r="H52" s="290">
        <f t="shared" si="22"/>
        <v>8258857.1400000006</v>
      </c>
      <c r="I52" s="290">
        <f t="shared" si="22"/>
        <v>240624.33</v>
      </c>
      <c r="J52" s="290">
        <f t="shared" si="22"/>
        <v>0</v>
      </c>
      <c r="K52" s="300">
        <f t="shared" si="22"/>
        <v>19757627.109999999</v>
      </c>
      <c r="L52" s="301">
        <f t="shared" si="22"/>
        <v>0</v>
      </c>
      <c r="M52" s="302">
        <f t="shared" si="22"/>
        <v>19757627.109999999</v>
      </c>
      <c r="N52" s="301">
        <f t="shared" si="22"/>
        <v>0</v>
      </c>
      <c r="O52" s="302">
        <f t="shared" si="22"/>
        <v>19757627.109999999</v>
      </c>
      <c r="P52" s="329"/>
      <c r="Q52" s="306"/>
      <c r="S52" s="327"/>
      <c r="T52" s="328" t="s">
        <v>2</v>
      </c>
      <c r="U52" s="330">
        <f>SUM(U47:U51)</f>
        <v>2097769.08</v>
      </c>
      <c r="V52" s="330">
        <f t="shared" ref="V52:AG52" si="24">SUM(V47:V51)</f>
        <v>2646701.25</v>
      </c>
      <c r="W52" s="330">
        <f t="shared" si="24"/>
        <v>13336626.879999999</v>
      </c>
      <c r="X52" s="330">
        <f t="shared" si="24"/>
        <v>4792063.1900000004</v>
      </c>
      <c r="Y52" s="330">
        <f t="shared" si="24"/>
        <v>395263.26</v>
      </c>
      <c r="Z52" s="290">
        <f t="shared" si="24"/>
        <v>0</v>
      </c>
      <c r="AA52" s="290">
        <f t="shared" si="24"/>
        <v>-105.55999999999999</v>
      </c>
      <c r="AB52" s="290">
        <f t="shared" si="24"/>
        <v>0</v>
      </c>
      <c r="AC52" s="290">
        <f t="shared" si="24"/>
        <v>0.04</v>
      </c>
      <c r="AD52" s="290">
        <f>SUM(AD47:AD51)</f>
        <v>-3510691.0300000003</v>
      </c>
      <c r="AE52" s="290">
        <f>SUM(AE47:AE51)</f>
        <v>-3510691.0300000003</v>
      </c>
      <c r="AF52" s="331">
        <f t="shared" si="24"/>
        <v>19757627.109999999</v>
      </c>
      <c r="AG52" s="524">
        <f t="shared" si="24"/>
        <v>-2.0372681319713593E-9</v>
      </c>
      <c r="AH52" s="305" t="b">
        <f>INT(AG52)=0</f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23268423.660000004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-3833780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288">
        <v>0</v>
      </c>
      <c r="K66" s="293">
        <f>D66-E66-F66-G66-H66-I66-J66</f>
        <v>-3833780</v>
      </c>
      <c r="L66" s="294">
        <v>0</v>
      </c>
      <c r="M66" s="293">
        <f>K66-L66</f>
        <v>-3833780</v>
      </c>
      <c r="N66" s="294">
        <f>'Reversion Pagos R4'!P79</f>
        <v>0</v>
      </c>
      <c r="O66" s="293">
        <f>M66+N66</f>
        <v>-3833780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8">
        <f>'Reversion Pagos R4'!N79</f>
        <v>0</v>
      </c>
      <c r="Z66" s="310">
        <f>-L66</f>
        <v>0</v>
      </c>
      <c r="AA66" s="320">
        <f>'Reversion Pagos R4'!O79</f>
        <v>0</v>
      </c>
      <c r="AB66" s="294">
        <f>N66</f>
        <v>0</v>
      </c>
      <c r="AC66" s="320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521">
        <f>(AF66-O66)</f>
        <v>3833780</v>
      </c>
      <c r="AH66" s="305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-21803648.449999999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5">D67-E67-F67-G67-H67-I67-J67</f>
        <v>-21803648.449999999</v>
      </c>
      <c r="L67" s="294">
        <v>0</v>
      </c>
      <c r="M67" s="295">
        <f>K67-L67</f>
        <v>-21803648.449999999</v>
      </c>
      <c r="N67" s="294">
        <f>'Reversion Pagos R4'!P180</f>
        <v>0</v>
      </c>
      <c r="O67" s="295">
        <f t="shared" ref="O67:O70" si="26">M67+N67</f>
        <v>-21803648.449999999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7">-L67</f>
        <v>0</v>
      </c>
      <c r="AA67" s="320">
        <f>'Reversion Pagos R4'!O180</f>
        <v>0</v>
      </c>
      <c r="AB67" s="294">
        <f t="shared" ref="AB67:AB70" si="28">N67</f>
        <v>0</v>
      </c>
      <c r="AC67" s="320">
        <f>+'Reversion Pagos R4'!Q180+'Reversion Pagos R4'!R180</f>
        <v>0</v>
      </c>
      <c r="AD67" s="291">
        <f>-J67+AE67</f>
        <v>0</v>
      </c>
      <c r="AE67" s="291">
        <f>'Reversion Pagos R4'!D181</f>
        <v>0</v>
      </c>
      <c r="AF67" s="322">
        <f>SUM(U67:AD67)</f>
        <v>0</v>
      </c>
      <c r="AG67" s="522">
        <f>(AF67-O67)</f>
        <v>21803648.449999999</v>
      </c>
      <c r="AH67" s="305" t="b">
        <f t="shared" ref="AH67:AH70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-2259272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5"/>
        <v>-2259272</v>
      </c>
      <c r="L68" s="294">
        <v>0</v>
      </c>
      <c r="M68" s="295">
        <f>K68-L68</f>
        <v>-2259272</v>
      </c>
      <c r="N68" s="294">
        <f>'Reversion Pagos R4'!P217</f>
        <v>0</v>
      </c>
      <c r="O68" s="295">
        <f t="shared" si="26"/>
        <v>-2259272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7"/>
        <v>0</v>
      </c>
      <c r="AA68" s="320">
        <f>'Reversion Pagos R4'!O217</f>
        <v>0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0</v>
      </c>
      <c r="AE68" s="291">
        <f>'Reversion Pagos R4'!D218</f>
        <v>0</v>
      </c>
      <c r="AF68" s="322">
        <f t="shared" ref="AF68:AF70" si="31">SUM(U68:AD68)</f>
        <v>0</v>
      </c>
      <c r="AG68" s="522">
        <f t="shared" ref="AG68:AG70" si="32">(AF68-O68)</f>
        <v>2259272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-41558585.399999999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5"/>
        <v>-41558585.399999999</v>
      </c>
      <c r="L69" s="294">
        <v>0</v>
      </c>
      <c r="M69" s="295">
        <f>K69-L69</f>
        <v>-41558585.399999999</v>
      </c>
      <c r="N69" s="294">
        <f>'Reversion Pagos R4'!P332</f>
        <v>0</v>
      </c>
      <c r="O69" s="295">
        <f t="shared" si="26"/>
        <v>-41558585.399999999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7"/>
        <v>0</v>
      </c>
      <c r="AA69" s="320">
        <f>'Reversion Pagos R4'!O332</f>
        <v>0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0</v>
      </c>
      <c r="AE69" s="291">
        <f>'Reversion Pagos R4'!D333</f>
        <v>0</v>
      </c>
      <c r="AF69" s="322">
        <f>SUM(U69:AD69)</f>
        <v>0</v>
      </c>
      <c r="AG69" s="522">
        <f>(AF69-O69)</f>
        <v>41558585.399999999</v>
      </c>
      <c r="AH69" s="305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-3964157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5"/>
        <v>-3964157</v>
      </c>
      <c r="L70" s="294">
        <v>0</v>
      </c>
      <c r="M70" s="298">
        <f>K70-L70</f>
        <v>-3964157</v>
      </c>
      <c r="N70" s="294">
        <f>'Reversion Pagos R4'!P373</f>
        <v>0</v>
      </c>
      <c r="O70" s="298">
        <f t="shared" si="26"/>
        <v>-3964157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7"/>
        <v>0</v>
      </c>
      <c r="AA70" s="320">
        <f>'Reversion Pagos R4'!O373</f>
        <v>0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0</v>
      </c>
      <c r="AE70" s="291">
        <f>'Reversion Pagos R4'!D374</f>
        <v>0</v>
      </c>
      <c r="AF70" s="322">
        <f t="shared" si="31"/>
        <v>0</v>
      </c>
      <c r="AG70" s="523">
        <f t="shared" si="32"/>
        <v>3964157</v>
      </c>
      <c r="AH70" s="305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-73419442.849999994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-73419442.849999994</v>
      </c>
      <c r="L71" s="301">
        <f t="shared" si="33"/>
        <v>0</v>
      </c>
      <c r="M71" s="302">
        <f t="shared" si="33"/>
        <v>-73419442.849999994</v>
      </c>
      <c r="N71" s="301">
        <f t="shared" si="33"/>
        <v>0</v>
      </c>
      <c r="O71" s="302">
        <f t="shared" si="33"/>
        <v>-73419442.849999994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73419442.849999994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14842425135.769999</v>
      </c>
      <c r="E104" s="292">
        <f t="shared" si="47"/>
        <v>841835259.24000001</v>
      </c>
      <c r="F104" s="292">
        <f t="shared" si="47"/>
        <v>468934429.98000002</v>
      </c>
      <c r="G104" s="292">
        <f t="shared" ref="G104" si="48">G9+G28+G47+G66+G85</f>
        <v>249665577.34</v>
      </c>
      <c r="H104" s="292">
        <f t="shared" ref="H104:J108" si="49">H9+H28+H47+H66+H85</f>
        <v>4756987535.8000011</v>
      </c>
      <c r="I104" s="292">
        <f t="shared" si="49"/>
        <v>158503798.81</v>
      </c>
      <c r="J104" s="288">
        <f t="shared" si="49"/>
        <v>2153950828.1600003</v>
      </c>
      <c r="K104" s="293">
        <f>D104-E104-F104-G104-H104-I104-J104</f>
        <v>6212547706.4399967</v>
      </c>
      <c r="L104" s="294">
        <f>L9+L28+L47+L66+L85</f>
        <v>189185987</v>
      </c>
      <c r="M104" s="293">
        <f>K104-L104</f>
        <v>6023361719.4399967</v>
      </c>
      <c r="N104" s="294">
        <f>N9+N28+N47+N66+N85</f>
        <v>19931693.030000001</v>
      </c>
      <c r="O104" s="293">
        <f>M104+N104</f>
        <v>6043293412.4699965</v>
      </c>
      <c r="Q104" s="306"/>
      <c r="S104" s="303">
        <v>1</v>
      </c>
      <c r="T104" s="304" t="s">
        <v>10</v>
      </c>
      <c r="U104" s="307">
        <f t="shared" ref="U104:AB108" si="50">U9+U28+U47+U66+U85</f>
        <v>1391786702.5999999</v>
      </c>
      <c r="V104" s="308">
        <f t="shared" si="50"/>
        <v>1316009885.8500001</v>
      </c>
      <c r="W104" s="308">
        <f t="shared" si="50"/>
        <v>6272474935.1999998</v>
      </c>
      <c r="X104" s="308">
        <f t="shared" si="50"/>
        <v>2290968884.2599998</v>
      </c>
      <c r="Y104" s="309">
        <f t="shared" si="50"/>
        <v>258754368.69000003</v>
      </c>
      <c r="Z104" s="310">
        <f t="shared" si="50"/>
        <v>-189185987</v>
      </c>
      <c r="AA104" s="311">
        <f>AA9+AA28+AA47+AA66+AA85</f>
        <v>-27796.54</v>
      </c>
      <c r="AB104" s="294">
        <f t="shared" si="50"/>
        <v>19931693.030000001</v>
      </c>
      <c r="AC104" s="311">
        <f>AC9+AC28+AC47+AC66+AC85</f>
        <v>149.13</v>
      </c>
      <c r="AD104" s="291">
        <f>-J104+AE104</f>
        <v>-5344862385.1700001</v>
      </c>
      <c r="AE104" s="291">
        <f>AE9+AE28+AE47+AE66+AE85</f>
        <v>-3190911557.0100002</v>
      </c>
      <c r="AF104" s="313">
        <f>SUM(U104:AD104)</f>
        <v>6015850450.0499992</v>
      </c>
      <c r="AG104" s="521">
        <f>AF104-O104</f>
        <v>-27442962.419997215</v>
      </c>
      <c r="AH104" s="305" t="b">
        <f>INT(AG104)=0</f>
        <v>0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11302637604.959999</v>
      </c>
      <c r="E105" s="292">
        <f>E10+E29+E48+E67+E86</f>
        <v>873906144.08000004</v>
      </c>
      <c r="F105" s="292">
        <f t="shared" si="47"/>
        <v>483830193.30000001</v>
      </c>
      <c r="G105" s="292">
        <f t="shared" ref="G105" si="51">G10+G29+G48+G67+G86</f>
        <v>256505918.23999998</v>
      </c>
      <c r="H105" s="292">
        <f t="shared" si="49"/>
        <v>3576556628.1500001</v>
      </c>
      <c r="I105" s="292">
        <f t="shared" si="49"/>
        <v>126707039.83999999</v>
      </c>
      <c r="J105" s="288">
        <f t="shared" si="49"/>
        <v>-4217145526.9099998</v>
      </c>
      <c r="K105" s="295">
        <f t="shared" ref="K105:K108" si="52">D105-E105-F105-G105-H105-I105-J105</f>
        <v>10202277208.26</v>
      </c>
      <c r="L105" s="294">
        <f>L10+L29+L48+L67+L86</f>
        <v>266580255</v>
      </c>
      <c r="M105" s="295">
        <f>K105-L105</f>
        <v>9935696953.2600002</v>
      </c>
      <c r="N105" s="294">
        <f>N10+N29+N48+N67+N86</f>
        <v>9905072.7599999998</v>
      </c>
      <c r="O105" s="295">
        <f t="shared" ref="O105:O108" si="53">M105+N105</f>
        <v>9945602026.0200005</v>
      </c>
      <c r="Q105" s="306"/>
      <c r="S105" s="314">
        <v>2</v>
      </c>
      <c r="T105" s="315" t="s">
        <v>11</v>
      </c>
      <c r="U105" s="316">
        <f t="shared" si="50"/>
        <v>1111694675.1200001</v>
      </c>
      <c r="V105" s="317">
        <f t="shared" si="50"/>
        <v>1069081811.17</v>
      </c>
      <c r="W105" s="317">
        <f t="shared" si="50"/>
        <v>5079148400.1199999</v>
      </c>
      <c r="X105" s="317">
        <f t="shared" si="50"/>
        <v>1714098215.3400002</v>
      </c>
      <c r="Y105" s="318">
        <f t="shared" si="50"/>
        <v>206892541.01000002</v>
      </c>
      <c r="Z105" s="319">
        <f t="shared" si="50"/>
        <v>-266580255</v>
      </c>
      <c r="AA105" s="320">
        <f>AA10+AA29+AA48+AA67+AA86</f>
        <v>-14306.289999999999</v>
      </c>
      <c r="AB105" s="294">
        <f t="shared" si="50"/>
        <v>9905072.7599999998</v>
      </c>
      <c r="AC105" s="320">
        <f>AC10+AC29+AC48+AC67+AC86</f>
        <v>-56307.77</v>
      </c>
      <c r="AD105" s="291">
        <f t="shared" ref="AD105:AD107" si="54">-J105+AE105</f>
        <v>926896144.28999996</v>
      </c>
      <c r="AE105" s="291">
        <f>AE10+AE29+AE48+AE67+AE86</f>
        <v>-3290249382.6199999</v>
      </c>
      <c r="AF105" s="322">
        <f>SUM(U105:AD105)</f>
        <v>9851065990.75</v>
      </c>
      <c r="AG105" s="522">
        <f>AF105-O105</f>
        <v>-94536035.270000458</v>
      </c>
      <c r="AH105" s="305" t="b">
        <f t="shared" ref="AH105:AH108" si="55">INT(AG105)=0</f>
        <v>0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8823787300.3700008</v>
      </c>
      <c r="E106" s="292">
        <f t="shared" si="47"/>
        <v>569049058.22000003</v>
      </c>
      <c r="F106" s="292">
        <f t="shared" si="47"/>
        <v>317267488.88</v>
      </c>
      <c r="G106" s="292">
        <f t="shared" ref="G106" si="56">G11+G30+G49+G68+G87</f>
        <v>168517798.86000001</v>
      </c>
      <c r="H106" s="292">
        <f t="shared" si="49"/>
        <v>2429021539.6700001</v>
      </c>
      <c r="I106" s="292">
        <f t="shared" si="49"/>
        <v>86984010.540000007</v>
      </c>
      <c r="J106" s="288">
        <f t="shared" si="49"/>
        <v>-1288806337.0900002</v>
      </c>
      <c r="K106" s="295">
        <f t="shared" si="52"/>
        <v>6541753741.2900009</v>
      </c>
      <c r="L106" s="294">
        <f>L11+L30+L49+L68+L87</f>
        <v>154788535</v>
      </c>
      <c r="M106" s="295">
        <f>K106-L106</f>
        <v>6386965206.2900009</v>
      </c>
      <c r="N106" s="294">
        <f>N11+N30+N49+N68+N87</f>
        <v>19321799.949999999</v>
      </c>
      <c r="O106" s="295">
        <f t="shared" si="53"/>
        <v>6406287006.2400007</v>
      </c>
      <c r="Q106" s="306"/>
      <c r="S106" s="314">
        <v>3</v>
      </c>
      <c r="T106" s="315" t="s">
        <v>12</v>
      </c>
      <c r="U106" s="316">
        <f t="shared" si="50"/>
        <v>763682703.06000006</v>
      </c>
      <c r="V106" s="317">
        <f t="shared" si="50"/>
        <v>725018824.26999998</v>
      </c>
      <c r="W106" s="317">
        <f t="shared" si="50"/>
        <v>3444255866.5499997</v>
      </c>
      <c r="X106" s="317">
        <f t="shared" si="50"/>
        <v>1347916174.22</v>
      </c>
      <c r="Y106" s="318">
        <f t="shared" si="50"/>
        <v>142025975.44000003</v>
      </c>
      <c r="Z106" s="319">
        <f t="shared" si="50"/>
        <v>-154788535</v>
      </c>
      <c r="AA106" s="320">
        <f>AA11+AA30+AA49+AA68+AA87</f>
        <v>-81704.87</v>
      </c>
      <c r="AB106" s="294">
        <f t="shared" si="50"/>
        <v>19321799.949999999</v>
      </c>
      <c r="AC106" s="320">
        <f>AC11+AC30+AC49+AC68+AC87</f>
        <v>-41619.9</v>
      </c>
      <c r="AD106" s="291">
        <f t="shared" si="54"/>
        <v>102795036.73000026</v>
      </c>
      <c r="AE106" s="291">
        <f>AE11+AE30+AE49+AE68+AE87</f>
        <v>-1186011300.3599999</v>
      </c>
      <c r="AF106" s="322">
        <f>SUM(U106:AD106)</f>
        <v>6390104520.4499998</v>
      </c>
      <c r="AG106" s="522">
        <f>AF106-O106</f>
        <v>-16182485.790000916</v>
      </c>
      <c r="AH106" s="305" t="b">
        <f t="shared" si="55"/>
        <v>0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10483172762.089998</v>
      </c>
      <c r="E107" s="292">
        <f t="shared" ref="E107:F108" si="58">E12+E31+E50+E69+E88</f>
        <v>605948755.42999995</v>
      </c>
      <c r="F107" s="292">
        <f t="shared" si="58"/>
        <v>335895270.16999996</v>
      </c>
      <c r="G107" s="292">
        <f t="shared" ref="G107" si="59">G12+G31+G50+G69+G88</f>
        <v>179108611.82000002</v>
      </c>
      <c r="H107" s="292">
        <f t="shared" si="49"/>
        <v>2401366805.27</v>
      </c>
      <c r="I107" s="292">
        <f t="shared" si="49"/>
        <v>89808011.769999996</v>
      </c>
      <c r="J107" s="288">
        <f t="shared" si="49"/>
        <v>61531953.689999998</v>
      </c>
      <c r="K107" s="295">
        <f t="shared" si="52"/>
        <v>6809513353.9399977</v>
      </c>
      <c r="L107" s="294">
        <f>L12+L31+L50+L69+L88</f>
        <v>120391083</v>
      </c>
      <c r="M107" s="295">
        <f>K107-L107</f>
        <v>6689122270.9399977</v>
      </c>
      <c r="N107" s="294">
        <f>N12+N31+N50+N69+N88</f>
        <v>8643135.5800000001</v>
      </c>
      <c r="O107" s="295">
        <f>M107+N107</f>
        <v>6697765406.5199976</v>
      </c>
      <c r="Q107" s="306"/>
      <c r="S107" s="314">
        <v>4</v>
      </c>
      <c r="T107" s="315" t="s">
        <v>13</v>
      </c>
      <c r="U107" s="316">
        <f t="shared" si="50"/>
        <v>787165759.97000003</v>
      </c>
      <c r="V107" s="317">
        <f t="shared" si="50"/>
        <v>751593811.83000004</v>
      </c>
      <c r="W107" s="317">
        <f t="shared" si="50"/>
        <v>3889163679.0299997</v>
      </c>
      <c r="X107" s="317">
        <f t="shared" si="50"/>
        <v>1604125006.1100001</v>
      </c>
      <c r="Y107" s="318">
        <f t="shared" si="50"/>
        <v>146783082.90000001</v>
      </c>
      <c r="Z107" s="319">
        <f t="shared" si="50"/>
        <v>-120391083</v>
      </c>
      <c r="AA107" s="320">
        <f>AA12+AA31+AA50+AA69+AA88</f>
        <v>31933.3</v>
      </c>
      <c r="AB107" s="294">
        <f t="shared" si="50"/>
        <v>8643135.5800000001</v>
      </c>
      <c r="AC107" s="320">
        <f>AC12+AC31+AC50+AC69+AC88</f>
        <v>189.43</v>
      </c>
      <c r="AD107" s="291">
        <f t="shared" si="54"/>
        <v>-356615280.09999996</v>
      </c>
      <c r="AE107" s="291">
        <f>AE12+AE31+AE50+AE69+AE88</f>
        <v>-295083326.40999997</v>
      </c>
      <c r="AF107" s="322">
        <f>SUM(U107:AD107)</f>
        <v>6710500235.0500002</v>
      </c>
      <c r="AG107" s="522">
        <f>AF107-O107</f>
        <v>12734828.530002594</v>
      </c>
      <c r="AH107" s="305" t="b">
        <f t="shared" si="55"/>
        <v>0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7550668664.9899998</v>
      </c>
      <c r="E108" s="297">
        <f t="shared" si="58"/>
        <v>408145471.80000001</v>
      </c>
      <c r="F108" s="297">
        <f t="shared" si="58"/>
        <v>227118040.72999999</v>
      </c>
      <c r="G108" s="297">
        <f t="shared" ref="G108" si="60">G13+G32+G51+G70+G89</f>
        <v>120841029.03</v>
      </c>
      <c r="H108" s="297">
        <f t="shared" si="49"/>
        <v>1864267894.6400001</v>
      </c>
      <c r="I108" s="297">
        <f t="shared" si="49"/>
        <v>62073126.829999998</v>
      </c>
      <c r="J108" s="289">
        <f t="shared" si="49"/>
        <v>-1246473094.4099998</v>
      </c>
      <c r="K108" s="295">
        <f t="shared" si="52"/>
        <v>6114696196.3699999</v>
      </c>
      <c r="L108" s="294">
        <f>L13+L32+L51+L70+L89</f>
        <v>128990445</v>
      </c>
      <c r="M108" s="298">
        <f>K108-L108</f>
        <v>5985705751.3699999</v>
      </c>
      <c r="N108" s="299">
        <f>N13+N32+N51+N70+N89</f>
        <v>12379938.060000001</v>
      </c>
      <c r="O108" s="298">
        <f t="shared" si="53"/>
        <v>5998085689.4300003</v>
      </c>
      <c r="Q108" s="306"/>
      <c r="S108" s="324">
        <v>5</v>
      </c>
      <c r="T108" s="325" t="s">
        <v>14</v>
      </c>
      <c r="U108" s="296">
        <f t="shared" si="50"/>
        <v>544684335.76999998</v>
      </c>
      <c r="V108" s="297">
        <f t="shared" si="50"/>
        <v>512958805.74000001</v>
      </c>
      <c r="W108" s="297">
        <f t="shared" si="50"/>
        <v>2640560444.6500001</v>
      </c>
      <c r="X108" s="297">
        <f t="shared" si="50"/>
        <v>1214677726.3699999</v>
      </c>
      <c r="Y108" s="289">
        <f t="shared" si="50"/>
        <v>101292451</v>
      </c>
      <c r="Z108" s="319">
        <f t="shared" si="50"/>
        <v>-128990445</v>
      </c>
      <c r="AA108" s="320">
        <f>AA13+AA32+AA51+AA70+AA89</f>
        <v>10679.52</v>
      </c>
      <c r="AB108" s="294">
        <f t="shared" si="50"/>
        <v>12379938.060000001</v>
      </c>
      <c r="AC108" s="320">
        <f>AC13+AC32+AC51+AC70+AC89</f>
        <v>4.8600000000000003</v>
      </c>
      <c r="AD108" s="291">
        <f>-J108+AE108</f>
        <v>1094063039.3299999</v>
      </c>
      <c r="AE108" s="291">
        <f>AE13+AE32+AE51+AE70+AE89</f>
        <v>-152410055.08000001</v>
      </c>
      <c r="AF108" s="322">
        <f>SUM(U108:AD108)</f>
        <v>5991636980.3000002</v>
      </c>
      <c r="AG108" s="523">
        <f>AF108-O108</f>
        <v>-6448709.1300001144</v>
      </c>
      <c r="AH108" s="305" t="b">
        <f t="shared" si="55"/>
        <v>0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53002691468.179993</v>
      </c>
      <c r="E109" s="290">
        <f t="shared" si="61"/>
        <v>3298884688.77</v>
      </c>
      <c r="F109" s="290">
        <f t="shared" si="61"/>
        <v>1833045423.0599999</v>
      </c>
      <c r="G109" s="290">
        <f t="shared" ref="G109" si="62">SUM(G104:G108)</f>
        <v>974638935.29000008</v>
      </c>
      <c r="H109" s="290">
        <f t="shared" si="61"/>
        <v>15028200403.530001</v>
      </c>
      <c r="I109" s="290">
        <f t="shared" si="61"/>
        <v>524075987.78999996</v>
      </c>
      <c r="J109" s="290">
        <f t="shared" si="61"/>
        <v>-4536942176.5599995</v>
      </c>
      <c r="K109" s="300">
        <f t="shared" si="61"/>
        <v>35880788206.299995</v>
      </c>
      <c r="L109" s="301">
        <f t="shared" si="61"/>
        <v>859936305</v>
      </c>
      <c r="M109" s="302">
        <f t="shared" si="61"/>
        <v>35020851901.299995</v>
      </c>
      <c r="N109" s="301">
        <f t="shared" si="61"/>
        <v>70181639.379999995</v>
      </c>
      <c r="O109" s="302">
        <f>SUM(O104:O108)</f>
        <v>35091033540.679993</v>
      </c>
      <c r="P109" s="329"/>
      <c r="Q109" s="306"/>
      <c r="S109" s="327"/>
      <c r="T109" s="328" t="s">
        <v>2</v>
      </c>
      <c r="U109" s="330">
        <f>SUM(U104:U108)</f>
        <v>4599014176.5200005</v>
      </c>
      <c r="V109" s="330">
        <f t="shared" ref="V109:AF109" si="63">SUM(V104:V108)</f>
        <v>4374663138.8599997</v>
      </c>
      <c r="W109" s="330">
        <f t="shared" si="63"/>
        <v>21325603325.549999</v>
      </c>
      <c r="X109" s="330">
        <f t="shared" si="63"/>
        <v>8171786006.3000002</v>
      </c>
      <c r="Y109" s="330">
        <f t="shared" si="63"/>
        <v>855748419.04000008</v>
      </c>
      <c r="Z109" s="290">
        <f t="shared" si="63"/>
        <v>-859936305</v>
      </c>
      <c r="AA109" s="290">
        <f>SUM(AA104:AA108)</f>
        <v>-81194.87999999999</v>
      </c>
      <c r="AB109" s="290">
        <f t="shared" si="63"/>
        <v>70181639.379999995</v>
      </c>
      <c r="AC109" s="290">
        <f>SUM(AC104:AC108)</f>
        <v>-97584.250000000015</v>
      </c>
      <c r="AD109" s="290">
        <f t="shared" si="63"/>
        <v>-3577723444.9200001</v>
      </c>
      <c r="AE109" s="290">
        <f>SUM(AE104:AE108)</f>
        <v>-8114665621.4799995</v>
      </c>
      <c r="AF109" s="331">
        <f t="shared" si="63"/>
        <v>34959158176.599998</v>
      </c>
      <c r="AG109" s="524">
        <f>SUM(AG104:AG108)</f>
        <v>-131875364.07999611</v>
      </c>
      <c r="AH109" s="305" t="b">
        <f>INT(AG109)=0</f>
        <v>0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39326815066.270004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46857237.219999999</v>
      </c>
      <c r="E125" s="309">
        <v>0</v>
      </c>
      <c r="G125" s="336">
        <f>D47+N47</f>
        <v>648870</v>
      </c>
      <c r="H125" s="310">
        <f>D28+N28</f>
        <v>30588071.020000003</v>
      </c>
      <c r="I125" s="309">
        <f>D85+N85</f>
        <v>0</v>
      </c>
      <c r="J125" s="309">
        <f>D66+N66</f>
        <v>-3833780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52275662.099999994</v>
      </c>
      <c r="E126" s="288">
        <v>0</v>
      </c>
      <c r="G126" s="339">
        <f>D48+N48</f>
        <v>9704974</v>
      </c>
      <c r="H126" s="340">
        <f>D29+N29</f>
        <v>95705711.270000011</v>
      </c>
      <c r="I126" s="288">
        <f>D86+N86</f>
        <v>0</v>
      </c>
      <c r="J126" s="288">
        <f>D67+N67</f>
        <v>-21803648.449999999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13754369</v>
      </c>
      <c r="E127" s="288">
        <v>0</v>
      </c>
      <c r="G127" s="339">
        <f>D49+N49</f>
        <v>0</v>
      </c>
      <c r="H127" s="340">
        <f>D30+N30</f>
        <v>14590494.319999998</v>
      </c>
      <c r="I127" s="288">
        <f>D87+N87</f>
        <v>0</v>
      </c>
      <c r="J127" s="288">
        <f t="shared" ref="J127:J129" si="64">D68+N68</f>
        <v>-2259272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49700940</v>
      </c>
      <c r="E128" s="288">
        <v>0</v>
      </c>
      <c r="G128" s="339">
        <f>D50+N50</f>
        <v>21557177</v>
      </c>
      <c r="H128" s="340">
        <f>D31+N31</f>
        <v>29206357.07</v>
      </c>
      <c r="I128" s="288">
        <f>D88+N88</f>
        <v>0</v>
      </c>
      <c r="J128" s="288">
        <f t="shared" si="64"/>
        <v>-41558585.399999999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8596000</v>
      </c>
      <c r="E129" s="344">
        <v>0</v>
      </c>
      <c r="G129" s="339">
        <f>D51+N51</f>
        <v>0</v>
      </c>
      <c r="H129" s="340">
        <f>D32+N32</f>
        <v>10379542.050000001</v>
      </c>
      <c r="I129" s="288">
        <f>D89+N89</f>
        <v>0</v>
      </c>
      <c r="J129" s="288">
        <f t="shared" si="64"/>
        <v>-3964157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171184208.31999999</v>
      </c>
      <c r="E131" s="350">
        <f>SUM(E125:E130)</f>
        <v>0</v>
      </c>
      <c r="F131" s="351"/>
      <c r="G131" s="350">
        <f t="shared" ref="G131" si="65">SUM(G125:G129)</f>
        <v>31911021</v>
      </c>
      <c r="H131" s="350">
        <f>SUM(H125:H130)</f>
        <v>180470175.73000002</v>
      </c>
      <c r="I131" s="350">
        <f>SUM(I125:I130)</f>
        <v>0</v>
      </c>
      <c r="J131" s="350">
        <f>SUM(J125:J130)</f>
        <v>-73419442.849999994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14909214066.019999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30588071.020000003</v>
      </c>
      <c r="G142" s="110">
        <f>D66+N66</f>
        <v>-3833780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648870</v>
      </c>
      <c r="K142" s="111">
        <f t="shared" si="66"/>
        <v>30588071.020000003</v>
      </c>
      <c r="L142" s="597">
        <f>D142-E142-F142-G142-J142-H142-I142</f>
        <v>14881810904.999998</v>
      </c>
      <c r="M142" s="1" t="b">
        <f t="shared" ref="M142:M147" si="67">INT(ABS(L142))=0</f>
        <v>0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11364818339.82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95705711.270000011</v>
      </c>
      <c r="G143" s="18">
        <f>D67+N67</f>
        <v>-21803648.449999999</v>
      </c>
      <c r="H143" s="18">
        <f>D86+N86</f>
        <v>0</v>
      </c>
      <c r="I143" s="18">
        <f>('REPORTE RECAUDO x BANCO'!E64+'REPORTE RECAUDO x BANCO'!E65+'REPORTE RECAUDO x BANCO'!E66+'REPORTE RECAUDO x BANCO'!E76)</f>
        <v>1345550</v>
      </c>
      <c r="J143" s="18">
        <f>G126</f>
        <v>9704974</v>
      </c>
      <c r="K143" s="83">
        <f>H126</f>
        <v>95705711.270000011</v>
      </c>
      <c r="L143" s="597">
        <f>D143-E143-F143-G143-J143-H143-I143</f>
        <v>11279865753</v>
      </c>
      <c r="M143" s="1" t="b">
        <f t="shared" si="67"/>
        <v>0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8856863469.3200016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14590494.319999998</v>
      </c>
      <c r="G144" s="18">
        <f>D68+N68</f>
        <v>-2259272</v>
      </c>
      <c r="H144" s="18">
        <f>D87+N87</f>
        <v>0</v>
      </c>
      <c r="I144" s="18">
        <f>('REPORTE RECAUDO x BANCO'!E67+'REPORTE RECAUDO x BANCO'!E68+'REPORTE RECAUDO x BANCO'!E77)</f>
        <v>464422</v>
      </c>
      <c r="J144" s="18">
        <f>G127</f>
        <v>0</v>
      </c>
      <c r="K144" s="83">
        <f t="shared" si="66"/>
        <v>14590494.319999998</v>
      </c>
      <c r="L144" s="597">
        <f>D144-E144-F144-G144-J144-H144-I144</f>
        <v>8844067825.0000019</v>
      </c>
      <c r="M144" s="1" t="b">
        <f t="shared" si="6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10541516837.669998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29206357.07</v>
      </c>
      <c r="G145" s="18">
        <f>D69+N69</f>
        <v>-41558585.399999999</v>
      </c>
      <c r="H145" s="18">
        <f>D88+N88</f>
        <v>0</v>
      </c>
      <c r="I145" s="18">
        <f>('REPORTE RECAUDO x BANCO'!E69+'REPORTE RECAUDO x BANCO'!E70+'REPORTE RECAUDO x BANCO'!E71+'REPORTE RECAUDO x BANCO'!E78)</f>
        <v>218584</v>
      </c>
      <c r="J145" s="18">
        <f t="shared" si="66"/>
        <v>21557177</v>
      </c>
      <c r="K145" s="83">
        <f>H128</f>
        <v>29206357.07</v>
      </c>
      <c r="L145" s="597">
        <f t="shared" ref="L145:L147" si="68">D145-E145-F145-G145-J145-H145-I145</f>
        <v>10532093304.999998</v>
      </c>
      <c r="M145" s="1" t="b">
        <f t="shared" si="6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7571644603.0500002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10379542.050000001</v>
      </c>
      <c r="G146" s="134">
        <f>D70+N70</f>
        <v>-3964157</v>
      </c>
      <c r="H146" s="134">
        <f>D89+N89</f>
        <v>0</v>
      </c>
      <c r="I146" s="134">
        <f>('REPORTE RECAUDO x BANCO'!E72+'REPORTE RECAUDO x BANCO'!E73+'REPORTE RECAUDO x BANCO'!E79)</f>
        <v>687220</v>
      </c>
      <c r="J146" s="134">
        <f t="shared" si="66"/>
        <v>0</v>
      </c>
      <c r="K146" s="136">
        <f t="shared" si="66"/>
        <v>10379542.050000001</v>
      </c>
      <c r="L146" s="597">
        <f t="shared" si="68"/>
        <v>7564541998</v>
      </c>
      <c r="M146" s="1" t="b">
        <f t="shared" si="6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53244057315.879997</v>
      </c>
      <c r="E147" s="47">
        <f>SUM(E142:E146)</f>
        <v>0</v>
      </c>
      <c r="F147" s="47">
        <f t="shared" ref="F147:K147" si="69">SUM(F142:F146)</f>
        <v>180470175.73000002</v>
      </c>
      <c r="G147" s="47">
        <f t="shared" si="69"/>
        <v>-73419442.849999994</v>
      </c>
      <c r="H147" s="47">
        <f>SUM(H142:H146)</f>
        <v>0</v>
      </c>
      <c r="I147" s="47">
        <f t="shared" si="69"/>
        <v>2715776</v>
      </c>
      <c r="J147" s="47">
        <f t="shared" si="69"/>
        <v>31911021</v>
      </c>
      <c r="K147" s="47">
        <f t="shared" si="69"/>
        <v>180470175.73000002</v>
      </c>
      <c r="L147" s="597">
        <f t="shared" si="68"/>
        <v>53102379785.999992</v>
      </c>
      <c r="M147" s="1" t="b">
        <f t="shared" si="67"/>
        <v>0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14881810905</v>
      </c>
      <c r="D3" s="292">
        <f>'CONSOLIDADO_TOTAL RECAUDO'!G125</f>
        <v>648870</v>
      </c>
      <c r="E3" s="292">
        <f>'CONSOLIDADO_TOTAL RECAUDO'!D28+'CONSOLIDADO_TOTAL RECAUDO'!N28</f>
        <v>30588071.020000003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14913047846.02</v>
      </c>
      <c r="I3" s="291">
        <f>'CONSOLIDADO_TOTAL RECAUDO'!D104</f>
        <v>14842425135.769999</v>
      </c>
      <c r="J3" s="292">
        <f>'CONSOLIDADO_TOTAL RECAUDO'!N104</f>
        <v>19931693.030000001</v>
      </c>
      <c r="K3" s="292">
        <f>'CONSOLIDADO_TOTAL RECAUDO'!D125</f>
        <v>46857237.219999999</v>
      </c>
      <c r="L3" s="353">
        <f>'CONSOLIDADO_TOTAL RECAUDO'!E125</f>
        <v>0</v>
      </c>
      <c r="M3" s="292">
        <f>-'CONSOLIDADO_TOTAL RECAUDO'!D66-'CONSOLIDADO_TOTAL RECAUDO'!N66</f>
        <v>3833780</v>
      </c>
      <c r="N3" s="288">
        <f>SUM(I3:M3)</f>
        <v>14913047846.019999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11279865753</v>
      </c>
      <c r="D4" s="292">
        <f>'CONSOLIDADO_TOTAL RECAUDO'!G126</f>
        <v>9704974</v>
      </c>
      <c r="E4" s="292">
        <f>'CONSOLIDADO_TOTAL RECAUDO'!D29+'CONSOLIDADO_TOTAL RECAUDO'!N29</f>
        <v>95705711.270000011</v>
      </c>
      <c r="F4" s="292">
        <f>'CONSOLIDADO_TOTAL RECAUDO'!I143</f>
        <v>1345550</v>
      </c>
      <c r="G4" s="292">
        <f>'CONSOLIDADO_TOTAL RECAUDO'!H143</f>
        <v>0</v>
      </c>
      <c r="H4" s="340">
        <f t="shared" ref="H4:H8" si="1">SUM(C4:G4)</f>
        <v>11386621988.27</v>
      </c>
      <c r="I4" s="291">
        <f>'CONSOLIDADO_TOTAL RECAUDO'!D105</f>
        <v>11302637604.959999</v>
      </c>
      <c r="J4" s="292">
        <f>'CONSOLIDADO_TOTAL RECAUDO'!N105</f>
        <v>9905072.7599999998</v>
      </c>
      <c r="K4" s="292">
        <f>'CONSOLIDADO_TOTAL RECAUDO'!D126</f>
        <v>52275662.099999994</v>
      </c>
      <c r="L4" s="353">
        <f>'CONSOLIDADO_TOTAL RECAUDO'!E126</f>
        <v>0</v>
      </c>
      <c r="M4" s="292">
        <f>-'CONSOLIDADO_TOTAL RECAUDO'!D67-'CONSOLIDADO_TOTAL RECAUDO'!N67</f>
        <v>21803648.449999999</v>
      </c>
      <c r="N4" s="318">
        <f>SUM(I4:M4)</f>
        <v>11386621988.27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8844067825</v>
      </c>
      <c r="D5" s="292">
        <f>'CONSOLIDADO_TOTAL RECAUDO'!G127</f>
        <v>0</v>
      </c>
      <c r="E5" s="292">
        <f>'CONSOLIDADO_TOTAL RECAUDO'!D30+'CONSOLIDADO_TOTAL RECAUDO'!N30</f>
        <v>14590494.319999998</v>
      </c>
      <c r="F5" s="292">
        <f>'CONSOLIDADO_TOTAL RECAUDO'!I144</f>
        <v>464422</v>
      </c>
      <c r="G5" s="292">
        <f>'CONSOLIDADO_TOTAL RECAUDO'!H144</f>
        <v>0</v>
      </c>
      <c r="H5" s="340">
        <f t="shared" si="1"/>
        <v>8859122741.3199997</v>
      </c>
      <c r="I5" s="291">
        <f>'CONSOLIDADO_TOTAL RECAUDO'!D106</f>
        <v>8823787300.3700008</v>
      </c>
      <c r="J5" s="292">
        <f>'CONSOLIDADO_TOTAL RECAUDO'!N106</f>
        <v>19321799.949999999</v>
      </c>
      <c r="K5" s="292">
        <f>'CONSOLIDADO_TOTAL RECAUDO'!D127</f>
        <v>13754369</v>
      </c>
      <c r="L5" s="353">
        <f>'CONSOLIDADO_TOTAL RECAUDO'!E127</f>
        <v>0</v>
      </c>
      <c r="M5" s="292">
        <f>-'CONSOLIDADO_TOTAL RECAUDO'!D68-'CONSOLIDADO_TOTAL RECAUDO'!N68</f>
        <v>2259272</v>
      </c>
      <c r="N5" s="318">
        <f>SUM(I5:M5)</f>
        <v>8859122741.3200016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10532093305</v>
      </c>
      <c r="D6" s="292">
        <f>'CONSOLIDADO_TOTAL RECAUDO'!G128</f>
        <v>21557177</v>
      </c>
      <c r="E6" s="292">
        <f>'CONSOLIDADO_TOTAL RECAUDO'!D31+'CONSOLIDADO_TOTAL RECAUDO'!N31</f>
        <v>29206357.07</v>
      </c>
      <c r="F6" s="292">
        <f>'CONSOLIDADO_TOTAL RECAUDO'!I145</f>
        <v>218584</v>
      </c>
      <c r="G6" s="292">
        <f>'CONSOLIDADO_TOTAL RECAUDO'!H145</f>
        <v>0</v>
      </c>
      <c r="H6" s="340">
        <f t="shared" si="1"/>
        <v>10583075423.07</v>
      </c>
      <c r="I6" s="291">
        <f>'CONSOLIDADO_TOTAL RECAUDO'!D107</f>
        <v>10483172762.089998</v>
      </c>
      <c r="J6" s="292">
        <f>'CONSOLIDADO_TOTAL RECAUDO'!N107</f>
        <v>8643135.5800000001</v>
      </c>
      <c r="K6" s="292">
        <f>'CONSOLIDADO_TOTAL RECAUDO'!D128</f>
        <v>49700940</v>
      </c>
      <c r="L6" s="353">
        <f>'CONSOLIDADO_TOTAL RECAUDO'!E128</f>
        <v>0</v>
      </c>
      <c r="M6" s="292">
        <f>-'CONSOLIDADO_TOTAL RECAUDO'!D69-'CONSOLIDADO_TOTAL RECAUDO'!N69</f>
        <v>41558585.399999999</v>
      </c>
      <c r="N6" s="318">
        <f t="shared" ref="N6:N7" si="3">SUM(I6:M6)</f>
        <v>10583075423.069998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7564541998</v>
      </c>
      <c r="D7" s="292">
        <f>'CONSOLIDADO_TOTAL RECAUDO'!G129</f>
        <v>0</v>
      </c>
      <c r="E7" s="292">
        <f>'CONSOLIDADO_TOTAL RECAUDO'!D32+'CONSOLIDADO_TOTAL RECAUDO'!N32</f>
        <v>10379542.050000001</v>
      </c>
      <c r="F7" s="292">
        <f>'CONSOLIDADO_TOTAL RECAUDO'!I146</f>
        <v>687220</v>
      </c>
      <c r="G7" s="292">
        <f>'CONSOLIDADO_TOTAL RECAUDO'!H146</f>
        <v>0</v>
      </c>
      <c r="H7" s="340">
        <f>SUM(C7:G7)</f>
        <v>7575608760.0500002</v>
      </c>
      <c r="I7" s="291">
        <f>'CONSOLIDADO_TOTAL RECAUDO'!D108</f>
        <v>7550668664.9899998</v>
      </c>
      <c r="J7" s="292">
        <f>'CONSOLIDADO_TOTAL RECAUDO'!N108</f>
        <v>12379938.060000001</v>
      </c>
      <c r="K7" s="292">
        <f>'CONSOLIDADO_TOTAL RECAUDO'!D129</f>
        <v>8596000</v>
      </c>
      <c r="L7" s="353">
        <f>'CONSOLIDADO_TOTAL RECAUDO'!E129</f>
        <v>0</v>
      </c>
      <c r="M7" s="292">
        <f>-'CONSOLIDADO_TOTAL RECAUDO'!D70-'CONSOLIDADO_TOTAL RECAUDO'!N70</f>
        <v>3964157</v>
      </c>
      <c r="N7" s="318">
        <f t="shared" si="3"/>
        <v>7575608760.0500002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53102379786</v>
      </c>
      <c r="D9" s="290">
        <f t="shared" ref="D9:L9" si="4">SUM(D3:D8)</f>
        <v>31911021</v>
      </c>
      <c r="E9" s="290">
        <f t="shared" si="4"/>
        <v>180470175.73000002</v>
      </c>
      <c r="F9" s="290">
        <f t="shared" si="4"/>
        <v>2715776</v>
      </c>
      <c r="G9" s="290">
        <f t="shared" si="4"/>
        <v>0</v>
      </c>
      <c r="H9" s="290">
        <f>SUM(H3:H8)</f>
        <v>53317476758.730003</v>
      </c>
      <c r="I9" s="290">
        <f t="shared" si="4"/>
        <v>53002691468.179993</v>
      </c>
      <c r="J9" s="290">
        <f t="shared" si="4"/>
        <v>70181639.379999995</v>
      </c>
      <c r="K9" s="290">
        <f t="shared" si="4"/>
        <v>171184208.31999999</v>
      </c>
      <c r="L9" s="290">
        <f t="shared" si="4"/>
        <v>0</v>
      </c>
      <c r="M9" s="290">
        <f>SUM(M3:M8)</f>
        <v>73419442.849999994</v>
      </c>
      <c r="N9" s="290">
        <f>SUM(N3:N8)</f>
        <v>53317476758.730003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53102379786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309350</v>
      </c>
      <c r="F20" s="695">
        <f>VALIDACION_RECIP!E9</f>
        <v>13851564.609999998</v>
      </c>
      <c r="G20" s="695">
        <f>VALIDACION_RECIP!F9</f>
        <v>0</v>
      </c>
      <c r="H20" s="695">
        <f>VALIDACION_RECIP!G9</f>
        <v>0</v>
      </c>
      <c r="I20" s="695">
        <f>VALIDACION_RECIP!H9</f>
        <v>14160914.609999998</v>
      </c>
      <c r="J20" s="695">
        <f>VALIDACION_RECIP!I9</f>
        <v>13606834.609999998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554080</v>
      </c>
      <c r="O20" s="695">
        <f>VALIDACION_RECIP!N9</f>
        <v>14160914.609999998</v>
      </c>
    </row>
    <row r="21" spans="3:18" x14ac:dyDescent="0.25">
      <c r="C21" s="167" t="s">
        <v>155</v>
      </c>
      <c r="D21" s="695">
        <f>VALIDACION_ENEL!C9</f>
        <v>50406458396</v>
      </c>
      <c r="E21" s="695">
        <f>VALIDACION_ENEL!D9</f>
        <v>30151870</v>
      </c>
      <c r="F21" s="695">
        <f>VALIDACION_ENEL!E9</f>
        <v>111465147.73</v>
      </c>
      <c r="G21" s="695">
        <f>VALIDACION_ENEL!F9</f>
        <v>2715776</v>
      </c>
      <c r="H21" s="695">
        <f>VALIDACION_ENEL!G9</f>
        <v>0</v>
      </c>
      <c r="I21" s="695">
        <f>VALIDACION_ENEL!H9</f>
        <v>50550791189.730003</v>
      </c>
      <c r="J21" s="695">
        <f>VALIDACION_ENEL!I9</f>
        <v>50322380909.650002</v>
      </c>
      <c r="K21" s="695">
        <f>VALIDACION_ENEL!J9</f>
        <v>49684982.099999994</v>
      </c>
      <c r="L21" s="695">
        <f>VALIDACION_ENEL!K9</f>
        <v>108311160.13</v>
      </c>
      <c r="M21" s="695">
        <f>VALIDACION_ENEL!L9</f>
        <v>0</v>
      </c>
      <c r="N21" s="695">
        <f>VALIDACION_ENEL!M9</f>
        <v>70414137.849999994</v>
      </c>
      <c r="O21" s="695">
        <f>VALIDACION_ENEL!N9</f>
        <v>50550791189.729996</v>
      </c>
    </row>
    <row r="22" spans="3:18" x14ac:dyDescent="0.25">
      <c r="C22" s="759" t="s">
        <v>326</v>
      </c>
      <c r="D22" s="695">
        <f>VALIDACION_ENERBIT!C9</f>
        <v>140424760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140424760</v>
      </c>
      <c r="J22" s="695">
        <f>VALIDACION_ENERBIT!I9</f>
        <v>139510580</v>
      </c>
      <c r="K22" s="695">
        <f>VALIDACION_ENERBIT!J9</f>
        <v>0</v>
      </c>
      <c r="L22" s="695">
        <f>VALIDACION_ENERBIT!K9</f>
        <v>914180</v>
      </c>
      <c r="M22" s="695">
        <f>VALIDACION_ENERBIT!L9</f>
        <v>0</v>
      </c>
      <c r="N22" s="695">
        <f>VALIDACION_ENERBIT!M9</f>
        <v>0</v>
      </c>
      <c r="O22" s="695">
        <f>VALIDACION_ENERBIT!N9</f>
        <v>140424760</v>
      </c>
    </row>
    <row r="23" spans="3:18" x14ac:dyDescent="0.25">
      <c r="C23" s="212" t="s">
        <v>119</v>
      </c>
      <c r="D23" s="695">
        <f>VALIDACION_OCCIDENTE!C9</f>
        <v>2555496630</v>
      </c>
      <c r="E23" s="695">
        <f>VALIDACION_OCCIDENTE!D9</f>
        <v>1449801</v>
      </c>
      <c r="F23" s="695">
        <f>VALIDACION_OCCIDENTE!E9</f>
        <v>55153463.390000008</v>
      </c>
      <c r="G23" s="695">
        <f>VALIDACION_OCCIDENTE!F9</f>
        <v>0</v>
      </c>
      <c r="H23" s="695">
        <f>VALIDACION_OCCIDENTE!G9</f>
        <v>0</v>
      </c>
      <c r="I23" s="695">
        <f>VALIDACION_OCCIDENTE!H9</f>
        <v>2612099894.3899999</v>
      </c>
      <c r="J23" s="695">
        <f>VALIDACION_OCCIDENTE!I9</f>
        <v>2527193143.9200006</v>
      </c>
      <c r="K23" s="695">
        <f>VALIDACION_OCCIDENTE!J9</f>
        <v>20496657.280000001</v>
      </c>
      <c r="L23" s="695">
        <f>VALIDACION_OCCIDENTE!K9</f>
        <v>61958868.189999998</v>
      </c>
      <c r="M23" s="695">
        <f>VALIDACION_OCCIDENTE!L9</f>
        <v>0</v>
      </c>
      <c r="N23" s="695">
        <f>VALIDACION_OCCIDENTE!M9</f>
        <v>2451225</v>
      </c>
      <c r="O23" s="695">
        <f>VALIDACION_OCCIDENTE!N9</f>
        <v>2612099894.3899999</v>
      </c>
    </row>
    <row r="24" spans="3:18" x14ac:dyDescent="0.25">
      <c r="D24" s="702">
        <f>SUM(D20:D23)</f>
        <v>53102379786</v>
      </c>
      <c r="E24" s="141">
        <f>SUM(E20:E23)</f>
        <v>31911021</v>
      </c>
      <c r="F24" s="141">
        <f>SUM(F20:F23)</f>
        <v>180470175.73000002</v>
      </c>
      <c r="G24" s="141">
        <f>SUM(G20:G23)</f>
        <v>2715776</v>
      </c>
      <c r="H24" s="141">
        <f t="shared" ref="H24:O24" si="5">SUM(H20:H23)</f>
        <v>0</v>
      </c>
      <c r="I24" s="141">
        <f t="shared" si="5"/>
        <v>53317476758.730003</v>
      </c>
      <c r="J24" s="141">
        <f t="shared" si="5"/>
        <v>53002691468.18</v>
      </c>
      <c r="K24" s="141">
        <f t="shared" si="5"/>
        <v>70181639.379999995</v>
      </c>
      <c r="L24" s="141">
        <f t="shared" si="5"/>
        <v>171184208.31999999</v>
      </c>
      <c r="M24" s="141">
        <f t="shared" si="5"/>
        <v>0</v>
      </c>
      <c r="N24" s="141">
        <f t="shared" si="5"/>
        <v>73419442.849999994</v>
      </c>
      <c r="O24" s="141">
        <f t="shared" si="5"/>
        <v>53317476758.729996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13606834.609999998</v>
      </c>
      <c r="E29" s="695">
        <f>'REMUNERACION Reciprocidad EAAB'!N109</f>
        <v>0</v>
      </c>
      <c r="F29" s="695">
        <f>D29+E29</f>
        <v>13606834.609999998</v>
      </c>
      <c r="G29" s="703">
        <f>D20-F29</f>
        <v>-13606834.609999998</v>
      </c>
      <c r="H29" s="695"/>
      <c r="I29" s="695">
        <f>'REMUNERACION Reciprocidad EAAB'!D131</f>
        <v>0</v>
      </c>
      <c r="J29" s="695"/>
      <c r="K29" s="695">
        <f>'REMUNERACION Reciprocidad EAAB'!G131</f>
        <v>309350</v>
      </c>
      <c r="L29" s="695">
        <f>'REMUNERACION Reciprocidad EAAB'!H131</f>
        <v>13851564.609999998</v>
      </c>
      <c r="M29" s="695">
        <f>'REMUNERACION Reciprocidad EAAB'!I131</f>
        <v>0</v>
      </c>
      <c r="N29" s="695">
        <f>+'REMUNERACION Reciprocidad EAAB'!J131</f>
        <v>-554080</v>
      </c>
      <c r="O29" s="695">
        <f>'REMUNERACION Reciprocidad EAAB'!I147</f>
        <v>0</v>
      </c>
      <c r="P29" s="703">
        <f>I29+J29-K29-L29-M29-N29-O29</f>
        <v>-13606834.609999998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50322380909.650002</v>
      </c>
      <c r="E30" s="695">
        <f>REMUNERACION_ENEL!N109</f>
        <v>49684982.099999994</v>
      </c>
      <c r="F30" s="695">
        <f>D30+E30</f>
        <v>50372065891.75</v>
      </c>
      <c r="G30" s="705">
        <f>D21-F30</f>
        <v>34392504.25</v>
      </c>
      <c r="H30" s="695"/>
      <c r="I30" s="695">
        <f>REMUNERACION_ENEL!D131</f>
        <v>108311160.13</v>
      </c>
      <c r="J30" s="695"/>
      <c r="K30" s="695">
        <f>REMUNERACION_ENEL!G131</f>
        <v>30151870</v>
      </c>
      <c r="L30" s="695">
        <f>REMUNERACION_ENEL!H131</f>
        <v>111465147.73</v>
      </c>
      <c r="M30" s="695">
        <f>REMUNERACION_ENEL!I131</f>
        <v>0</v>
      </c>
      <c r="N30" s="695">
        <f>REMUNERACION_ENEL!J131</f>
        <v>-70414137.849999994</v>
      </c>
      <c r="O30" s="695">
        <f>REMUNERACION_ENEL!I147</f>
        <v>2715776</v>
      </c>
      <c r="P30" s="703">
        <f>I30+J30-K30-L30-M30-N30-O30</f>
        <v>34392504.249999985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139510580</v>
      </c>
      <c r="E31" s="695">
        <f>REMUNERACION_ENERBIT!N109</f>
        <v>0</v>
      </c>
      <c r="F31" s="695">
        <f>D31+E31</f>
        <v>139510580</v>
      </c>
      <c r="G31" s="705">
        <f>D22-F31</f>
        <v>914180</v>
      </c>
      <c r="H31" s="695"/>
      <c r="I31" s="695">
        <f>REMUNERACION_ENERBIT!D131</f>
        <v>914180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914180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2527193143.9200006</v>
      </c>
      <c r="E32" s="695">
        <f>'REMUNERACION_OCCIDENTE_ Directa'!N109</f>
        <v>20496657.280000001</v>
      </c>
      <c r="F32" s="695">
        <f>D32+E32</f>
        <v>2547689801.2000008</v>
      </c>
      <c r="G32" s="705">
        <f>D23-F32</f>
        <v>7806828.7999992371</v>
      </c>
      <c r="H32" s="695"/>
      <c r="I32" s="695">
        <f>'REMUNERACION_OCCIDENTE_ Directa'!D131</f>
        <v>61958868.189999998</v>
      </c>
      <c r="J32" s="695">
        <f>'CONSOLIDADO_TOTAL RECAUDO'!E131</f>
        <v>0</v>
      </c>
      <c r="K32" s="695">
        <f>'REMUNERACION_OCCIDENTE_ Directa'!G131</f>
        <v>1449801</v>
      </c>
      <c r="L32" s="695">
        <f>'REMUNERACION_OCCIDENTE_ Directa'!H131</f>
        <v>55153463.390000008</v>
      </c>
      <c r="M32" s="695">
        <f>'REMUNERACION_OCCIDENTE_ Directa'!I131</f>
        <v>0</v>
      </c>
      <c r="N32" s="695">
        <f>'REMUNERACION_OCCIDENTE_ Directa'!J131</f>
        <v>-2451225</v>
      </c>
      <c r="O32" s="695">
        <f>'REMUNERACION_OCCIDENTE_ Directa'!I147</f>
        <v>0</v>
      </c>
      <c r="P32" s="703">
        <f t="shared" ref="P32" si="9">I32+J32-K32-L32-M32-N32-O32</f>
        <v>7806828.7999999896</v>
      </c>
      <c r="Q32" s="704">
        <f t="shared" si="8"/>
        <v>-7.5250864028930664E-7</v>
      </c>
      <c r="R32" s="141"/>
    </row>
    <row r="33" spans="4:17" x14ac:dyDescent="0.25">
      <c r="D33" s="695">
        <f>SUM(D29:D32)</f>
        <v>53002691468.18</v>
      </c>
      <c r="E33" s="695">
        <f>SUM(E29:E32)</f>
        <v>70181639.379999995</v>
      </c>
      <c r="F33" s="706">
        <f>SUM(F29:F32)</f>
        <v>53072873107.559998</v>
      </c>
      <c r="G33" s="707">
        <f>D24-F33</f>
        <v>29506678.440002441</v>
      </c>
      <c r="H33" s="695"/>
      <c r="I33" s="695">
        <f>SUM(I29:I32)</f>
        <v>171184208.31999999</v>
      </c>
      <c r="J33" s="695">
        <f>SUM(J29:J32)</f>
        <v>0</v>
      </c>
      <c r="K33" s="695">
        <f>SUM(K29:K32)</f>
        <v>31911021</v>
      </c>
      <c r="L33" s="695">
        <f t="shared" ref="L33:N33" si="10">SUM(L29:L32)</f>
        <v>180470175.73000002</v>
      </c>
      <c r="M33" s="695">
        <f t="shared" si="10"/>
        <v>0</v>
      </c>
      <c r="N33" s="695">
        <f t="shared" si="10"/>
        <v>-73419442.849999994</v>
      </c>
      <c r="O33" s="695">
        <f>SUM(O29:O32)</f>
        <v>2715776</v>
      </c>
      <c r="P33" s="708">
        <f>SUM(P29:P32)</f>
        <v>29506678.439999975</v>
      </c>
      <c r="Q33" s="704">
        <f>SUM(Q29:Q32)</f>
        <v>-7.5250864028930664E-7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-2.4661421775817871E-6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46296</v>
      </c>
      <c r="H7" s="45"/>
      <c r="I7" s="45"/>
      <c r="J7" s="555" t="s">
        <v>28</v>
      </c>
      <c r="K7" s="557">
        <f>'CONSOLIDADO_TOTAL RECAUDO'!K102</f>
        <v>46310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14842425135.769999</v>
      </c>
      <c r="E9" s="66">
        <f>'CONSOLIDADO_TOTAL RECAUDO'!E104</f>
        <v>841835259.24000001</v>
      </c>
      <c r="F9" s="66">
        <f>'CONSOLIDADO_TOTAL RECAUDO'!F104</f>
        <v>468934429.98000002</v>
      </c>
      <c r="G9" s="66">
        <f>'CONSOLIDADO_TOTAL RECAUDO'!G104</f>
        <v>249665577.34</v>
      </c>
      <c r="H9" s="66">
        <f>'CONSOLIDADO_TOTAL RECAUDO'!H104</f>
        <v>4756987535.8000011</v>
      </c>
      <c r="I9" s="66">
        <f>'CONSOLIDADO_TOTAL RECAUDO'!I104</f>
        <v>158503798.81</v>
      </c>
      <c r="J9" s="66">
        <f>'CONSOLIDADO_TOTAL RECAUDO'!J104</f>
        <v>2153950828.1600003</v>
      </c>
      <c r="K9" s="30">
        <f>D9-E9-F9-G9-H9-I9-J9</f>
        <v>6212547706.4399967</v>
      </c>
      <c r="L9" s="66">
        <f>'CONSOLIDADO_TOTAL RECAUDO'!L104</f>
        <v>189185987</v>
      </c>
      <c r="M9" s="30">
        <f>K9-L9</f>
        <v>6023361719.4399967</v>
      </c>
      <c r="N9" s="66">
        <f>'CONSOLIDADO_TOTAL RECAUDO'!N104</f>
        <v>19931693.030000001</v>
      </c>
      <c r="O9" s="30">
        <f>M9+N9</f>
        <v>6043293412.4699965</v>
      </c>
      <c r="Q9" s="4"/>
      <c r="S9" s="14">
        <v>1</v>
      </c>
      <c r="T9" s="61" t="s">
        <v>10</v>
      </c>
      <c r="U9" s="66">
        <f>'CONSOLIDADO_TOTAL RECAUDO'!U104</f>
        <v>1391786702.5999999</v>
      </c>
      <c r="V9" s="66">
        <f>'CONSOLIDADO_TOTAL RECAUDO'!V104</f>
        <v>1316009885.8500001</v>
      </c>
      <c r="W9" s="66">
        <f>'CONSOLIDADO_TOTAL RECAUDO'!W104</f>
        <v>6272474935.1999998</v>
      </c>
      <c r="X9" s="66">
        <f>'CONSOLIDADO_TOTAL RECAUDO'!X104</f>
        <v>2290968884.2599998</v>
      </c>
      <c r="Y9" s="66">
        <f>'CONSOLIDADO_TOTAL RECAUDO'!Y104</f>
        <v>258754368.69000003</v>
      </c>
      <c r="Z9" s="66">
        <f>'CONSOLIDADO_TOTAL RECAUDO'!Z104</f>
        <v>-189185987</v>
      </c>
      <c r="AA9" s="66">
        <f>'CONSOLIDADO_TOTAL RECAUDO'!AA104</f>
        <v>-27796.54</v>
      </c>
      <c r="AB9" s="66">
        <f>'CONSOLIDADO_TOTAL RECAUDO'!AB104</f>
        <v>19931693.030000001</v>
      </c>
      <c r="AC9" s="66">
        <f>'CONSOLIDADO_TOTAL RECAUDO'!AC104</f>
        <v>149.13</v>
      </c>
      <c r="AD9" s="66">
        <f>'CONSOLIDADO_TOTAL RECAUDO'!AD104</f>
        <v>-5344862385.1700001</v>
      </c>
      <c r="AE9" s="66">
        <f>'CONSOLIDADO_TOTAL RECAUDO'!AE104</f>
        <v>-3190911557.0100002</v>
      </c>
      <c r="AF9" s="69">
        <f>SUM(U9:AD9)</f>
        <v>6015850450.0499992</v>
      </c>
      <c r="AG9" s="71">
        <f>AF9-O9</f>
        <v>-27442962.419997215</v>
      </c>
      <c r="AH9" s="1" t="b">
        <f>INT(AG9)=0</f>
        <v>0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11302637604.959999</v>
      </c>
      <c r="E10" s="66">
        <f>'CONSOLIDADO_TOTAL RECAUDO'!E105</f>
        <v>873906144.08000004</v>
      </c>
      <c r="F10" s="66">
        <f>'CONSOLIDADO_TOTAL RECAUDO'!F105</f>
        <v>483830193.30000001</v>
      </c>
      <c r="G10" s="66">
        <f>'CONSOLIDADO_TOTAL RECAUDO'!G105</f>
        <v>256505918.23999998</v>
      </c>
      <c r="H10" s="66">
        <f>'CONSOLIDADO_TOTAL RECAUDO'!H105</f>
        <v>3576556628.1500001</v>
      </c>
      <c r="I10" s="66">
        <f>'CONSOLIDADO_TOTAL RECAUDO'!I105</f>
        <v>126707039.83999999</v>
      </c>
      <c r="J10" s="66">
        <f>'CONSOLIDADO_TOTAL RECAUDO'!J105</f>
        <v>-4217145526.9099998</v>
      </c>
      <c r="K10" s="31">
        <f t="shared" ref="K10:K13" si="0">D10-E10-F10-G10-H10-I10-J10</f>
        <v>10202277208.26</v>
      </c>
      <c r="L10" s="66">
        <f>'CONSOLIDADO_TOTAL RECAUDO'!L105</f>
        <v>266580255</v>
      </c>
      <c r="M10" s="31">
        <f>K10-L10</f>
        <v>9935696953.2600002</v>
      </c>
      <c r="N10" s="66">
        <f>'CONSOLIDADO_TOTAL RECAUDO'!N105</f>
        <v>9905072.7599999998</v>
      </c>
      <c r="O10" s="31">
        <f t="shared" ref="O10:O13" si="1">M10+N10</f>
        <v>9945602026.0200005</v>
      </c>
      <c r="Q10" s="4"/>
      <c r="S10" s="16">
        <v>2</v>
      </c>
      <c r="T10" s="62" t="s">
        <v>11</v>
      </c>
      <c r="U10" s="66">
        <f>'CONSOLIDADO_TOTAL RECAUDO'!U105</f>
        <v>1111694675.1200001</v>
      </c>
      <c r="V10" s="66">
        <f>'CONSOLIDADO_TOTAL RECAUDO'!V105</f>
        <v>1069081811.17</v>
      </c>
      <c r="W10" s="66">
        <f>'CONSOLIDADO_TOTAL RECAUDO'!W105</f>
        <v>5079148400.1199999</v>
      </c>
      <c r="X10" s="66">
        <f>'CONSOLIDADO_TOTAL RECAUDO'!X105</f>
        <v>1714098215.3400002</v>
      </c>
      <c r="Y10" s="66">
        <f>'CONSOLIDADO_TOTAL RECAUDO'!Y105</f>
        <v>206892541.01000002</v>
      </c>
      <c r="Z10" s="66">
        <f>'CONSOLIDADO_TOTAL RECAUDO'!Z105</f>
        <v>-266580255</v>
      </c>
      <c r="AA10" s="66">
        <f>'CONSOLIDADO_TOTAL RECAUDO'!AA105</f>
        <v>-14306.289999999999</v>
      </c>
      <c r="AB10" s="66">
        <f>'CONSOLIDADO_TOTAL RECAUDO'!AB105</f>
        <v>9905072.7599999998</v>
      </c>
      <c r="AC10" s="66">
        <f>'CONSOLIDADO_TOTAL RECAUDO'!AC105</f>
        <v>-56307.77</v>
      </c>
      <c r="AD10" s="66">
        <f>'CONSOLIDADO_TOTAL RECAUDO'!AD105</f>
        <v>926896144.28999996</v>
      </c>
      <c r="AE10" s="66">
        <f>'CONSOLIDADO_TOTAL RECAUDO'!AE105</f>
        <v>-3290249382.6199999</v>
      </c>
      <c r="AF10" s="70">
        <f>SUM(U10:AD10)</f>
        <v>9851065990.75</v>
      </c>
      <c r="AG10" s="72">
        <f>AF10-O10</f>
        <v>-94536035.270000458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8823787300.3700008</v>
      </c>
      <c r="E11" s="66">
        <f>'CONSOLIDADO_TOTAL RECAUDO'!E106</f>
        <v>569049058.22000003</v>
      </c>
      <c r="F11" s="66">
        <f>'CONSOLIDADO_TOTAL RECAUDO'!F106</f>
        <v>317267488.88</v>
      </c>
      <c r="G11" s="66">
        <f>'CONSOLIDADO_TOTAL RECAUDO'!G106</f>
        <v>168517798.86000001</v>
      </c>
      <c r="H11" s="66">
        <f>'CONSOLIDADO_TOTAL RECAUDO'!H106</f>
        <v>2429021539.6700001</v>
      </c>
      <c r="I11" s="66">
        <f>'CONSOLIDADO_TOTAL RECAUDO'!I106</f>
        <v>86984010.540000007</v>
      </c>
      <c r="J11" s="66">
        <f>'CONSOLIDADO_TOTAL RECAUDO'!J106</f>
        <v>-1288806337.0900002</v>
      </c>
      <c r="K11" s="31">
        <f t="shared" si="0"/>
        <v>6541753741.2900009</v>
      </c>
      <c r="L11" s="66">
        <f>'CONSOLIDADO_TOTAL RECAUDO'!L106</f>
        <v>154788535</v>
      </c>
      <c r="M11" s="31">
        <f>K11-L11</f>
        <v>6386965206.2900009</v>
      </c>
      <c r="N11" s="66">
        <f>'CONSOLIDADO_TOTAL RECAUDO'!N106</f>
        <v>19321799.949999999</v>
      </c>
      <c r="O11" s="31">
        <f t="shared" si="1"/>
        <v>6406287006.2400007</v>
      </c>
      <c r="Q11" s="4"/>
      <c r="S11" s="16">
        <v>3</v>
      </c>
      <c r="T11" s="62" t="s">
        <v>12</v>
      </c>
      <c r="U11" s="66">
        <f>'CONSOLIDADO_TOTAL RECAUDO'!U106</f>
        <v>763682703.06000006</v>
      </c>
      <c r="V11" s="66">
        <f>'CONSOLIDADO_TOTAL RECAUDO'!V106</f>
        <v>725018824.26999998</v>
      </c>
      <c r="W11" s="66">
        <f>'CONSOLIDADO_TOTAL RECAUDO'!W106</f>
        <v>3444255866.5499997</v>
      </c>
      <c r="X11" s="66">
        <f>'CONSOLIDADO_TOTAL RECAUDO'!X106</f>
        <v>1347916174.22</v>
      </c>
      <c r="Y11" s="66">
        <f>'CONSOLIDADO_TOTAL RECAUDO'!Y106</f>
        <v>142025975.44000003</v>
      </c>
      <c r="Z11" s="66">
        <f>'CONSOLIDADO_TOTAL RECAUDO'!Z106</f>
        <v>-154788535</v>
      </c>
      <c r="AA11" s="66">
        <f>'CONSOLIDADO_TOTAL RECAUDO'!AA106</f>
        <v>-81704.87</v>
      </c>
      <c r="AB11" s="66">
        <f>'CONSOLIDADO_TOTAL RECAUDO'!AB106</f>
        <v>19321799.949999999</v>
      </c>
      <c r="AC11" s="66">
        <f>'CONSOLIDADO_TOTAL RECAUDO'!AC106</f>
        <v>-41619.9</v>
      </c>
      <c r="AD11" s="66">
        <f>'CONSOLIDADO_TOTAL RECAUDO'!AD106</f>
        <v>102795036.73000026</v>
      </c>
      <c r="AE11" s="66">
        <f>'CONSOLIDADO_TOTAL RECAUDO'!AE106</f>
        <v>-1186011300.3599999</v>
      </c>
      <c r="AF11" s="70">
        <f>SUM(U11:AD11)</f>
        <v>6390104520.4499998</v>
      </c>
      <c r="AG11" s="72">
        <f>AF11-O11</f>
        <v>-16182485.790000916</v>
      </c>
      <c r="AH11" s="1" t="b">
        <f t="shared" si="2"/>
        <v>0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10483172762.089998</v>
      </c>
      <c r="E12" s="66">
        <f>'CONSOLIDADO_TOTAL RECAUDO'!E107</f>
        <v>605948755.42999995</v>
      </c>
      <c r="F12" s="66">
        <f>'CONSOLIDADO_TOTAL RECAUDO'!F107</f>
        <v>335895270.16999996</v>
      </c>
      <c r="G12" s="66">
        <f>'CONSOLIDADO_TOTAL RECAUDO'!G107</f>
        <v>179108611.82000002</v>
      </c>
      <c r="H12" s="66">
        <f>'CONSOLIDADO_TOTAL RECAUDO'!H107</f>
        <v>2401366805.27</v>
      </c>
      <c r="I12" s="66">
        <f>'CONSOLIDADO_TOTAL RECAUDO'!I107</f>
        <v>89808011.769999996</v>
      </c>
      <c r="J12" s="66">
        <f>'CONSOLIDADO_TOTAL RECAUDO'!J107</f>
        <v>61531953.689999998</v>
      </c>
      <c r="K12" s="31">
        <f t="shared" si="0"/>
        <v>6809513353.9399977</v>
      </c>
      <c r="L12" s="66">
        <f>'CONSOLIDADO_TOTAL RECAUDO'!L107</f>
        <v>120391083</v>
      </c>
      <c r="M12" s="31">
        <f>K12-L12</f>
        <v>6689122270.9399977</v>
      </c>
      <c r="N12" s="66">
        <f>'CONSOLIDADO_TOTAL RECAUDO'!N107</f>
        <v>8643135.5800000001</v>
      </c>
      <c r="O12" s="31">
        <f t="shared" si="1"/>
        <v>6697765406.5199976</v>
      </c>
      <c r="Q12" s="4"/>
      <c r="S12" s="16">
        <v>4</v>
      </c>
      <c r="T12" s="62" t="s">
        <v>13</v>
      </c>
      <c r="U12" s="66">
        <f>'CONSOLIDADO_TOTAL RECAUDO'!U107</f>
        <v>787165759.97000003</v>
      </c>
      <c r="V12" s="66">
        <f>'CONSOLIDADO_TOTAL RECAUDO'!V107</f>
        <v>751593811.83000004</v>
      </c>
      <c r="W12" s="66">
        <f>'CONSOLIDADO_TOTAL RECAUDO'!W107</f>
        <v>3889163679.0299997</v>
      </c>
      <c r="X12" s="66">
        <f>'CONSOLIDADO_TOTAL RECAUDO'!X107</f>
        <v>1604125006.1100001</v>
      </c>
      <c r="Y12" s="66">
        <f>'CONSOLIDADO_TOTAL RECAUDO'!Y107</f>
        <v>146783082.90000001</v>
      </c>
      <c r="Z12" s="66">
        <f>'CONSOLIDADO_TOTAL RECAUDO'!Z107</f>
        <v>-120391083</v>
      </c>
      <c r="AA12" s="66">
        <f>'CONSOLIDADO_TOTAL RECAUDO'!AA107</f>
        <v>31933.3</v>
      </c>
      <c r="AB12" s="66">
        <f>'CONSOLIDADO_TOTAL RECAUDO'!AB107</f>
        <v>8643135.5800000001</v>
      </c>
      <c r="AC12" s="66">
        <f>'CONSOLIDADO_TOTAL RECAUDO'!AC107</f>
        <v>189.43</v>
      </c>
      <c r="AD12" s="66">
        <f>'CONSOLIDADO_TOTAL RECAUDO'!AD107</f>
        <v>-356615280.09999996</v>
      </c>
      <c r="AE12" s="66">
        <f>'CONSOLIDADO_TOTAL RECAUDO'!AE107</f>
        <v>-295083326.40999997</v>
      </c>
      <c r="AF12" s="70">
        <f>SUM(U12:AD12)</f>
        <v>6710500235.0500002</v>
      </c>
      <c r="AG12" s="72">
        <f>AF12-O12</f>
        <v>12734828.530002594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7550668664.9899998</v>
      </c>
      <c r="E13" s="66">
        <f>'CONSOLIDADO_TOTAL RECAUDO'!E108</f>
        <v>408145471.80000001</v>
      </c>
      <c r="F13" s="66">
        <f>'CONSOLIDADO_TOTAL RECAUDO'!F108</f>
        <v>227118040.72999999</v>
      </c>
      <c r="G13" s="66">
        <f>'CONSOLIDADO_TOTAL RECAUDO'!G108</f>
        <v>120841029.03</v>
      </c>
      <c r="H13" s="66">
        <f>'CONSOLIDADO_TOTAL RECAUDO'!H108</f>
        <v>1864267894.6400001</v>
      </c>
      <c r="I13" s="66">
        <f>'CONSOLIDADO_TOTAL RECAUDO'!I108</f>
        <v>62073126.829999998</v>
      </c>
      <c r="J13" s="66">
        <f>'CONSOLIDADO_TOTAL RECAUDO'!J108</f>
        <v>-1246473094.4099998</v>
      </c>
      <c r="K13" s="31">
        <f t="shared" si="0"/>
        <v>6114696196.3699999</v>
      </c>
      <c r="L13" s="66">
        <f>'CONSOLIDADO_TOTAL RECAUDO'!L108</f>
        <v>128990445</v>
      </c>
      <c r="M13" s="40">
        <f>K13-L13</f>
        <v>5985705751.3699999</v>
      </c>
      <c r="N13" s="66">
        <f>'CONSOLIDADO_TOTAL RECAUDO'!N108</f>
        <v>12379938.060000001</v>
      </c>
      <c r="O13" s="40">
        <f t="shared" si="1"/>
        <v>5998085689.4300003</v>
      </c>
      <c r="Q13" s="4"/>
      <c r="S13" s="19">
        <v>5</v>
      </c>
      <c r="T13" s="63" t="s">
        <v>14</v>
      </c>
      <c r="U13" s="66">
        <f>'CONSOLIDADO_TOTAL RECAUDO'!U108</f>
        <v>544684335.76999998</v>
      </c>
      <c r="V13" s="66">
        <f>'CONSOLIDADO_TOTAL RECAUDO'!V108</f>
        <v>512958805.74000001</v>
      </c>
      <c r="W13" s="66">
        <f>'CONSOLIDADO_TOTAL RECAUDO'!W108</f>
        <v>2640560444.6500001</v>
      </c>
      <c r="X13" s="66">
        <f>'CONSOLIDADO_TOTAL RECAUDO'!X108</f>
        <v>1214677726.3699999</v>
      </c>
      <c r="Y13" s="66">
        <f>'CONSOLIDADO_TOTAL RECAUDO'!Y108</f>
        <v>101292451</v>
      </c>
      <c r="Z13" s="66">
        <f>'CONSOLIDADO_TOTAL RECAUDO'!Z108</f>
        <v>-128990445</v>
      </c>
      <c r="AA13" s="66">
        <f>'CONSOLIDADO_TOTAL RECAUDO'!AA108</f>
        <v>10679.52</v>
      </c>
      <c r="AB13" s="66">
        <f>'CONSOLIDADO_TOTAL RECAUDO'!AB108</f>
        <v>12379938.060000001</v>
      </c>
      <c r="AC13" s="66">
        <f>'CONSOLIDADO_TOTAL RECAUDO'!AC108</f>
        <v>4.8600000000000003</v>
      </c>
      <c r="AD13" s="66">
        <f>'CONSOLIDADO_TOTAL RECAUDO'!AD108</f>
        <v>1094063039.3299999</v>
      </c>
      <c r="AE13" s="66">
        <f>'CONSOLIDADO_TOTAL RECAUDO'!AE108</f>
        <v>-152410055.08000001</v>
      </c>
      <c r="AF13" s="70">
        <f>SUM(U13:AD13)</f>
        <v>5991636980.3000002</v>
      </c>
      <c r="AG13" s="72">
        <f>AF13-O13</f>
        <v>-6448709.1300001144</v>
      </c>
      <c r="AH13" s="1" t="b">
        <f t="shared" si="2"/>
        <v>0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53002691468.179993</v>
      </c>
      <c r="E14" s="43">
        <f t="shared" si="3"/>
        <v>3298884688.77</v>
      </c>
      <c r="F14" s="43">
        <f t="shared" si="3"/>
        <v>1833045423.0599999</v>
      </c>
      <c r="G14" s="43">
        <f t="shared" si="3"/>
        <v>974638935.29000008</v>
      </c>
      <c r="H14" s="43">
        <f t="shared" si="3"/>
        <v>15028200403.530001</v>
      </c>
      <c r="I14" s="43">
        <f t="shared" si="3"/>
        <v>524075987.78999996</v>
      </c>
      <c r="J14" s="43">
        <f t="shared" si="3"/>
        <v>-4536942176.5599995</v>
      </c>
      <c r="K14" s="32">
        <f t="shared" si="3"/>
        <v>35880788206.299995</v>
      </c>
      <c r="L14" s="23">
        <f t="shared" si="3"/>
        <v>859936305</v>
      </c>
      <c r="M14" s="76">
        <f t="shared" si="3"/>
        <v>35020851901.299995</v>
      </c>
      <c r="N14" s="23">
        <f t="shared" si="3"/>
        <v>70181639.379999995</v>
      </c>
      <c r="O14" s="76">
        <f t="shared" si="3"/>
        <v>35091033540.679993</v>
      </c>
      <c r="P14" s="2"/>
      <c r="Q14" s="4"/>
      <c r="S14" s="21"/>
      <c r="T14" s="22" t="s">
        <v>2</v>
      </c>
      <c r="U14" s="43">
        <f>SUM(U9:U13)</f>
        <v>4599014176.5200005</v>
      </c>
      <c r="V14" s="43">
        <f t="shared" ref="V14:AG14" si="4">SUM(V9:V13)</f>
        <v>4374663138.8599997</v>
      </c>
      <c r="W14" s="43">
        <f t="shared" si="4"/>
        <v>21325603325.549999</v>
      </c>
      <c r="X14" s="43">
        <f t="shared" si="4"/>
        <v>8171786006.3000002</v>
      </c>
      <c r="Y14" s="43">
        <f t="shared" si="4"/>
        <v>855748419.04000008</v>
      </c>
      <c r="Z14" s="43">
        <f t="shared" si="4"/>
        <v>-859936305</v>
      </c>
      <c r="AA14" s="43">
        <f t="shared" si="4"/>
        <v>-81194.87999999999</v>
      </c>
      <c r="AB14" s="43">
        <f t="shared" si="4"/>
        <v>70181639.379999995</v>
      </c>
      <c r="AC14" s="43">
        <f t="shared" si="4"/>
        <v>-97584.250000000015</v>
      </c>
      <c r="AD14" s="43">
        <f t="shared" ref="AD14" si="5">SUM(AD9:AD13)</f>
        <v>-3577723444.9200001</v>
      </c>
      <c r="AE14" s="43">
        <f>SUM(AE9:AE13)</f>
        <v>-8114665621.4799995</v>
      </c>
      <c r="AF14" s="68">
        <f t="shared" si="4"/>
        <v>34959158176.599998</v>
      </c>
      <c r="AG14" s="43">
        <f t="shared" si="4"/>
        <v>-131875364.07999611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39326815066.270004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46857237.219999999</v>
      </c>
      <c r="E30" s="111">
        <f>'CONSOLIDADO_TOTAL RECAUDO'!E125</f>
        <v>0</v>
      </c>
      <c r="G30" s="140">
        <f>'CONSOLIDADO_TOTAL RECAUDO'!G125</f>
        <v>648870</v>
      </c>
      <c r="H30" s="110">
        <f>'CONSOLIDADO_TOTAL RECAUDO'!H125</f>
        <v>30588071.020000003</v>
      </c>
      <c r="I30" s="111">
        <f>'CONSOLIDADO_TOTAL RECAUDO'!I125</f>
        <v>0</v>
      </c>
      <c r="J30" s="111">
        <f>'CONSOLIDADO_TOTAL RECAUDO'!J125</f>
        <v>-3833780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52275662.099999994</v>
      </c>
      <c r="E31" s="74">
        <f>'CONSOLIDADO_TOTAL RECAUDO'!E126</f>
        <v>0</v>
      </c>
      <c r="G31" s="82">
        <f>'CONSOLIDADO_TOTAL RECAUDO'!G126</f>
        <v>9704974</v>
      </c>
      <c r="H31" s="18">
        <f>'CONSOLIDADO_TOTAL RECAUDO'!H126</f>
        <v>95705711.270000011</v>
      </c>
      <c r="I31" s="83">
        <f>'CONSOLIDADO_TOTAL RECAUDO'!I126</f>
        <v>0</v>
      </c>
      <c r="J31" s="83">
        <f>'CONSOLIDADO_TOTAL RECAUDO'!J126</f>
        <v>-21803648.449999999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13754369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14590494.319999998</v>
      </c>
      <c r="I32" s="83">
        <f>'CONSOLIDADO_TOTAL RECAUDO'!I127</f>
        <v>0</v>
      </c>
      <c r="J32" s="83">
        <f>'CONSOLIDADO_TOTAL RECAUDO'!J127</f>
        <v>-2259272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49700940</v>
      </c>
      <c r="E33" s="74">
        <f>'CONSOLIDADO_TOTAL RECAUDO'!E128</f>
        <v>0</v>
      </c>
      <c r="G33" s="82">
        <f>'CONSOLIDADO_TOTAL RECAUDO'!G128</f>
        <v>21557177</v>
      </c>
      <c r="H33" s="18">
        <f>'CONSOLIDADO_TOTAL RECAUDO'!H128</f>
        <v>29206357.07</v>
      </c>
      <c r="I33" s="83">
        <f>'CONSOLIDADO_TOTAL RECAUDO'!I128</f>
        <v>0</v>
      </c>
      <c r="J33" s="83">
        <f>'CONSOLIDADO_TOTAL RECAUDO'!J128</f>
        <v>-41558585.399999999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8596000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10379542.050000001</v>
      </c>
      <c r="I34" s="83">
        <f>'CONSOLIDADO_TOTAL RECAUDO'!I129</f>
        <v>0</v>
      </c>
      <c r="J34" s="83">
        <f>'CONSOLIDADO_TOTAL RECAUDO'!J129</f>
        <v>-3964157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171184208.31999999</v>
      </c>
      <c r="E36" s="107">
        <f>'CONSOLIDADO_TOTAL RECAUDO'!E131</f>
        <v>0</v>
      </c>
      <c r="F36" s="45"/>
      <c r="G36" s="107">
        <f t="shared" ref="G36" si="7">SUM(G30:G34)</f>
        <v>31911021</v>
      </c>
      <c r="H36" s="107">
        <f t="shared" ref="H36:L36" si="8">SUM(H30:H34)</f>
        <v>180470175.73000002</v>
      </c>
      <c r="I36" s="107">
        <f t="shared" si="8"/>
        <v>0</v>
      </c>
      <c r="J36" s="107">
        <f t="shared" ref="J36" si="9">SUM(J30:J34)</f>
        <v>-73419442.849999994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0</v>
      </c>
      <c r="E10" s="292">
        <f>'Reporte Componentes R1'!G328</f>
        <v>0</v>
      </c>
      <c r="F10" s="292">
        <f>'Reporte Componentes R1'!H328</f>
        <v>0</v>
      </c>
      <c r="G10" s="292">
        <f>'Reporte Componentes R1'!I328</f>
        <v>0</v>
      </c>
      <c r="H10" s="292">
        <f>'Reporte Componentes R1'!J328</f>
        <v>0</v>
      </c>
      <c r="I10" s="292">
        <f>'Reporte Componentes R1'!K328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R1'!L328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R1'!M328</f>
        <v>0</v>
      </c>
      <c r="V10" s="317">
        <f>'Reporte Componentes R1'!N328</f>
        <v>0</v>
      </c>
      <c r="W10" s="317">
        <f>'Reporte Componentes R1'!O328</f>
        <v>0</v>
      </c>
      <c r="X10" s="317">
        <f>'Reporte Componentes R1'!P328</f>
        <v>0</v>
      </c>
      <c r="Y10" s="318">
        <f>'Reporte Componentes R1'!Q328</f>
        <v>0</v>
      </c>
      <c r="Z10" s="319">
        <f>L10*-1</f>
        <v>0</v>
      </c>
      <c r="AA10" s="320">
        <f>'Reporte Componentes R1'!R328+'Reporte Componentes R1'!V328+'Reporte Componentes R1'!U328</f>
        <v>0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0</v>
      </c>
      <c r="AD10" s="291">
        <f t="shared" ref="AD10:AD13" si="2">-J10+AE10</f>
        <v>0</v>
      </c>
      <c r="AE10" s="291">
        <f>'Reporte Componentes R1'!F329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0</v>
      </c>
      <c r="E12" s="292">
        <f>'Reporte Componentes R1'!G697</f>
        <v>0</v>
      </c>
      <c r="F12" s="292">
        <f>'Reporte Componentes R1'!H697</f>
        <v>0</v>
      </c>
      <c r="G12" s="292">
        <f>'Reporte Componentes R1'!I697</f>
        <v>0</v>
      </c>
      <c r="H12" s="292">
        <f>'Reporte Componentes R1'!J697</f>
        <v>0</v>
      </c>
      <c r="I12" s="292">
        <f>'Reporte Componentes R1'!K697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R1'!L697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R1'!M697</f>
        <v>0</v>
      </c>
      <c r="V12" s="317">
        <f>'Reporte Componentes R1'!N697</f>
        <v>0</v>
      </c>
      <c r="W12" s="317">
        <f>'Reporte Componentes R1'!O697</f>
        <v>0</v>
      </c>
      <c r="X12" s="317">
        <f>'Reporte Componentes R1'!P697</f>
        <v>0</v>
      </c>
      <c r="Y12" s="318">
        <f>'Reporte Componentes R1'!Q697</f>
        <v>0</v>
      </c>
      <c r="Z12" s="319">
        <f>L12*-1</f>
        <v>0</v>
      </c>
      <c r="AA12" s="320">
        <f>'Reporte Componentes R1'!R697+'Reporte Componentes R1'!V697+'Reporte Componentes R1'!U697</f>
        <v>0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0</v>
      </c>
      <c r="AE12" s="291">
        <f>'Reporte Componentes R1'!F698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11762381.269999998</v>
      </c>
      <c r="E29" s="292">
        <f>'Rem. Anticipos R2'!F181</f>
        <v>0</v>
      </c>
      <c r="F29" s="292">
        <f>'Rem. Anticipos R2'!G181</f>
        <v>0</v>
      </c>
      <c r="G29" s="292">
        <f>'Rem. Anticipos R2'!H181</f>
        <v>0</v>
      </c>
      <c r="H29" s="292">
        <f>'Rem. Anticipos R2'!I181</f>
        <v>0</v>
      </c>
      <c r="I29" s="292">
        <f>'Rem. Anticipos R2'!J181</f>
        <v>0</v>
      </c>
      <c r="J29" s="288">
        <v>0</v>
      </c>
      <c r="K29" s="295">
        <f t="shared" ref="K29:K31" si="7">D29-E29-F29-G29-H29-I29-J29</f>
        <v>11762381.269999998</v>
      </c>
      <c r="L29" s="294">
        <v>0</v>
      </c>
      <c r="M29" s="295">
        <f>K29-L29</f>
        <v>11762381.269999998</v>
      </c>
      <c r="N29" s="294">
        <f>'Rem. Anticipos R2'!K181</f>
        <v>0</v>
      </c>
      <c r="O29" s="295">
        <f t="shared" ref="O29:O32" si="8">M29+N29</f>
        <v>11762381.269999998</v>
      </c>
      <c r="Q29" s="306"/>
      <c r="S29" s="314">
        <v>2</v>
      </c>
      <c r="T29" s="315" t="s">
        <v>11</v>
      </c>
      <c r="U29" s="316">
        <f>'Rem. Anticipos R2'!L181</f>
        <v>0</v>
      </c>
      <c r="V29" s="317">
        <f>'Rem. Anticipos R2'!M181</f>
        <v>0</v>
      </c>
      <c r="W29" s="317">
        <f>'Rem. Anticipos R2'!N181</f>
        <v>0</v>
      </c>
      <c r="X29" s="317">
        <f>'Rem. Anticipos R2'!O181</f>
        <v>0</v>
      </c>
      <c r="Y29" s="318">
        <f>'Rem. Anticipos R2'!P181</f>
        <v>0</v>
      </c>
      <c r="Z29" s="319">
        <f>L29*-1</f>
        <v>0</v>
      </c>
      <c r="AA29" s="320">
        <f>'Rem. Anticipos R2'!Q181</f>
        <v>0</v>
      </c>
      <c r="AB29" s="294">
        <f>N29</f>
        <v>0</v>
      </c>
      <c r="AC29" s="320">
        <f>'Rem. Anticipos R2'!R181</f>
        <v>0</v>
      </c>
      <c r="AD29" s="291">
        <f>-J29+AE29</f>
        <v>-4401833.53</v>
      </c>
      <c r="AE29" s="291">
        <f>'Rem. Anticipos R2'!E182</f>
        <v>-4401833.53</v>
      </c>
      <c r="AF29" s="322">
        <f>SUM(U29:AD29)</f>
        <v>-4401833.53</v>
      </c>
      <c r="AG29" s="522">
        <f>(AF29-O29)</f>
        <v>-16164214.799999997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2089183.34</v>
      </c>
      <c r="E31" s="292">
        <f>'Rem. Anticipos R2'!F426</f>
        <v>0</v>
      </c>
      <c r="F31" s="292">
        <f>'Rem. Anticipos R2'!G426</f>
        <v>0</v>
      </c>
      <c r="G31" s="292">
        <f>'Rem. Anticipos R2'!H426</f>
        <v>0</v>
      </c>
      <c r="H31" s="292">
        <f>'Rem. Anticipos R2'!I426</f>
        <v>0</v>
      </c>
      <c r="I31" s="292">
        <f>'Rem. Anticipos R2'!J426</f>
        <v>0</v>
      </c>
      <c r="J31" s="288">
        <v>0</v>
      </c>
      <c r="K31" s="295">
        <f t="shared" si="7"/>
        <v>2089183.34</v>
      </c>
      <c r="L31" s="294">
        <v>0</v>
      </c>
      <c r="M31" s="295">
        <f>K31-L31</f>
        <v>2089183.34</v>
      </c>
      <c r="N31" s="294">
        <f>'Rem. Anticipos R2'!K426</f>
        <v>0</v>
      </c>
      <c r="O31" s="295">
        <f t="shared" si="8"/>
        <v>2089183.34</v>
      </c>
      <c r="Q31" s="306"/>
      <c r="S31" s="314">
        <v>4</v>
      </c>
      <c r="T31" s="315" t="s">
        <v>13</v>
      </c>
      <c r="U31" s="316">
        <f>'Rem. Anticipos R2'!L426</f>
        <v>0</v>
      </c>
      <c r="V31" s="317">
        <f>'Rem. Anticipos R2'!M426</f>
        <v>0</v>
      </c>
      <c r="W31" s="317">
        <f>'Rem. Anticipos R2'!N426</f>
        <v>0</v>
      </c>
      <c r="X31" s="317">
        <f>'Rem. Anticipos R2'!O426</f>
        <v>0</v>
      </c>
      <c r="Y31" s="318">
        <f>'Rem. Anticipos R2'!P426</f>
        <v>0</v>
      </c>
      <c r="Z31" s="319">
        <f>L31*-1</f>
        <v>0</v>
      </c>
      <c r="AA31" s="320">
        <f>'Rem. Anticipos R2'!Q426</f>
        <v>0</v>
      </c>
      <c r="AB31" s="294">
        <f>N31</f>
        <v>0</v>
      </c>
      <c r="AC31" s="320">
        <f>'Rem. Anticipos R2'!R426</f>
        <v>0</v>
      </c>
      <c r="AD31" s="291">
        <f t="shared" si="10"/>
        <v>41645.74</v>
      </c>
      <c r="AE31" s="291">
        <f>'Rem. Anticipos R2'!E427</f>
        <v>41645.74</v>
      </c>
      <c r="AF31" s="322">
        <f>SUM(U31:AD31)</f>
        <v>41645.74</v>
      </c>
      <c r="AG31" s="522">
        <f t="shared" si="11"/>
        <v>-2047537.6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13851564.609999998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13851564.609999998</v>
      </c>
      <c r="L33" s="301">
        <f t="shared" si="12"/>
        <v>0</v>
      </c>
      <c r="M33" s="302">
        <f t="shared" si="12"/>
        <v>13851564.609999998</v>
      </c>
      <c r="N33" s="301">
        <f t="shared" si="12"/>
        <v>0</v>
      </c>
      <c r="O33" s="302">
        <f t="shared" si="12"/>
        <v>13851564.609999998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-4360187.79</v>
      </c>
      <c r="AE33" s="290">
        <f>SUM(AE28:AE32)</f>
        <v>-4360187.79</v>
      </c>
      <c r="AF33" s="331">
        <f t="shared" si="13"/>
        <v>-4360187.79</v>
      </c>
      <c r="AG33" s="524">
        <f t="shared" si="13"/>
        <v>-18211752.399999999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309350</v>
      </c>
      <c r="E50" s="292">
        <f>'Reporte Componentes R1'!G699</f>
        <v>14115.53</v>
      </c>
      <c r="F50" s="292">
        <f>'Reporte Componentes R1'!H699</f>
        <v>7860.38</v>
      </c>
      <c r="G50" s="292">
        <f>'Reporte Componentes R1'!I699</f>
        <v>4733.42</v>
      </c>
      <c r="H50" s="292">
        <f>'Reporte Componentes R1'!J699</f>
        <v>53691.78</v>
      </c>
      <c r="I50" s="292">
        <f>'Reporte Componentes R1'!K699</f>
        <v>3705.22</v>
      </c>
      <c r="J50" s="288">
        <v>0</v>
      </c>
      <c r="K50" s="295">
        <f t="shared" si="16"/>
        <v>225243.66999999998</v>
      </c>
      <c r="L50" s="294">
        <v>0</v>
      </c>
      <c r="M50" s="295">
        <f>K50-L50</f>
        <v>225243.66999999998</v>
      </c>
      <c r="N50" s="294">
        <f>'Reporte Componentes R1'!L699</f>
        <v>0</v>
      </c>
      <c r="O50" s="295">
        <f t="shared" si="17"/>
        <v>225243.66999999998</v>
      </c>
      <c r="Q50" s="306"/>
      <c r="S50" s="314">
        <v>4</v>
      </c>
      <c r="T50" s="315" t="s">
        <v>13</v>
      </c>
      <c r="U50" s="316">
        <f>'Reporte Componentes R1'!M699</f>
        <v>27762.35</v>
      </c>
      <c r="V50" s="317">
        <f>'Reporte Componentes R1'!N699</f>
        <v>31827.74</v>
      </c>
      <c r="W50" s="317">
        <f>'Reporte Componentes R1'!O699</f>
        <v>169721.42</v>
      </c>
      <c r="X50" s="317">
        <f>'Reporte Componentes R1'!P699</f>
        <v>37127.96</v>
      </c>
      <c r="Y50" s="318">
        <f>'Reporte Componentes R1'!Q699</f>
        <v>6045.35</v>
      </c>
      <c r="Z50" s="319">
        <f>-L50</f>
        <v>0</v>
      </c>
      <c r="AA50" s="320">
        <f>'Reporte Componentes R1'!R699+'Reporte Componentes R1'!V699+'Reporte Componentes R1'!U699</f>
        <v>-6.48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-47234.67</v>
      </c>
      <c r="AE50" s="291">
        <f>'Reporte Componentes R1'!F700</f>
        <v>-47234.67</v>
      </c>
      <c r="AF50" s="322">
        <f t="shared" si="19"/>
        <v>225243.67000000004</v>
      </c>
      <c r="AG50" s="522">
        <f t="shared" si="20"/>
        <v>5.8207660913467407E-11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309350</v>
      </c>
      <c r="E52" s="290">
        <f t="shared" si="21"/>
        <v>14115.53</v>
      </c>
      <c r="F52" s="290">
        <f t="shared" si="21"/>
        <v>7860.38</v>
      </c>
      <c r="G52" s="290">
        <f t="shared" ref="G52" si="22">SUM(G47:G51)</f>
        <v>4733.42</v>
      </c>
      <c r="H52" s="290">
        <f t="shared" si="21"/>
        <v>53691.78</v>
      </c>
      <c r="I52" s="290">
        <f t="shared" si="21"/>
        <v>3705.22</v>
      </c>
      <c r="J52" s="290">
        <f t="shared" si="21"/>
        <v>0</v>
      </c>
      <c r="K52" s="300">
        <f t="shared" si="21"/>
        <v>225243.66999999998</v>
      </c>
      <c r="L52" s="301">
        <f t="shared" si="21"/>
        <v>0</v>
      </c>
      <c r="M52" s="302">
        <f t="shared" si="21"/>
        <v>225243.66999999998</v>
      </c>
      <c r="N52" s="301">
        <f t="shared" si="21"/>
        <v>0</v>
      </c>
      <c r="O52" s="302">
        <f t="shared" si="21"/>
        <v>225243.66999999998</v>
      </c>
      <c r="P52" s="329"/>
      <c r="Q52" s="306"/>
      <c r="S52" s="327"/>
      <c r="T52" s="328" t="s">
        <v>2</v>
      </c>
      <c r="U52" s="330">
        <f>SUM(U47:U51)</f>
        <v>27762.35</v>
      </c>
      <c r="V52" s="330">
        <f t="shared" ref="V52:AG52" si="23">SUM(V47:V51)</f>
        <v>31827.74</v>
      </c>
      <c r="W52" s="330">
        <f t="shared" si="23"/>
        <v>169721.42</v>
      </c>
      <c r="X52" s="330">
        <f t="shared" si="23"/>
        <v>37127.96</v>
      </c>
      <c r="Y52" s="330">
        <f t="shared" si="23"/>
        <v>6045.35</v>
      </c>
      <c r="Z52" s="290">
        <f t="shared" si="23"/>
        <v>0</v>
      </c>
      <c r="AA52" s="290">
        <f t="shared" si="23"/>
        <v>-6.48</v>
      </c>
      <c r="AB52" s="290">
        <f t="shared" si="23"/>
        <v>0</v>
      </c>
      <c r="AC52" s="290">
        <f t="shared" si="23"/>
        <v>0</v>
      </c>
      <c r="AD52" s="290">
        <f>SUM(AD47:AD51)</f>
        <v>-47234.67</v>
      </c>
      <c r="AE52" s="290">
        <f>SUM(AE47:AE51)</f>
        <v>-47234.67</v>
      </c>
      <c r="AF52" s="331">
        <f t="shared" si="23"/>
        <v>225243.67000000004</v>
      </c>
      <c r="AG52" s="524">
        <f t="shared" si="23"/>
        <v>5.8207660913467407E-11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272484.82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-554080</v>
      </c>
      <c r="E69" s="292">
        <f>'Reversion Pagos R4'!E335</f>
        <v>0</v>
      </c>
      <c r="F69" s="292">
        <f>'Reversion Pagos R4'!F335</f>
        <v>0</v>
      </c>
      <c r="G69" s="292">
        <f>'Reversion Pagos R4'!G335</f>
        <v>0</v>
      </c>
      <c r="H69" s="292">
        <f>'Reversion Pagos R4'!H335</f>
        <v>0</v>
      </c>
      <c r="I69" s="292">
        <f>'Reversion Pagos R4'!I335</f>
        <v>0</v>
      </c>
      <c r="J69" s="288">
        <v>0</v>
      </c>
      <c r="K69" s="295">
        <f t="shared" si="25"/>
        <v>-554080</v>
      </c>
      <c r="L69" s="294">
        <v>0</v>
      </c>
      <c r="M69" s="295">
        <f>K69-L69</f>
        <v>-554080</v>
      </c>
      <c r="N69" s="294">
        <f>'Reversion Pagos R4'!P335</f>
        <v>0</v>
      </c>
      <c r="O69" s="295">
        <f t="shared" si="26"/>
        <v>-554080</v>
      </c>
      <c r="Q69" s="306"/>
      <c r="S69" s="314">
        <v>4</v>
      </c>
      <c r="T69" s="315" t="s">
        <v>13</v>
      </c>
      <c r="U69" s="316">
        <f>'Reversion Pagos R4'!J335</f>
        <v>0</v>
      </c>
      <c r="V69" s="317">
        <f>'Reversion Pagos R4'!K335</f>
        <v>0</v>
      </c>
      <c r="W69" s="317">
        <f>'Reversion Pagos R4'!L335</f>
        <v>0</v>
      </c>
      <c r="X69" s="317">
        <f>'Reversion Pagos R4'!M335</f>
        <v>0</v>
      </c>
      <c r="Y69" s="318">
        <f>'Reversion Pagos R4'!N335</f>
        <v>0</v>
      </c>
      <c r="Z69" s="319">
        <f t="shared" si="27"/>
        <v>0</v>
      </c>
      <c r="AA69" s="320">
        <f>'Reversion Pagos R4'!O335</f>
        <v>0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0</v>
      </c>
      <c r="AE69" s="291">
        <f>'Reversion Pagos R4'!D336</f>
        <v>0</v>
      </c>
      <c r="AF69" s="322">
        <f>SUM(U69:AD69)</f>
        <v>0</v>
      </c>
      <c r="AG69" s="522">
        <f>(AF69-O69)</f>
        <v>554080</v>
      </c>
      <c r="AH69" s="1" t="b">
        <f t="shared" si="24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-554080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-554080</v>
      </c>
      <c r="L71" s="301">
        <f t="shared" si="32"/>
        <v>0</v>
      </c>
      <c r="M71" s="302">
        <f t="shared" si="32"/>
        <v>-554080</v>
      </c>
      <c r="N71" s="301">
        <f t="shared" si="32"/>
        <v>0</v>
      </c>
      <c r="O71" s="302">
        <f t="shared" si="32"/>
        <v>-554080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554080</v>
      </c>
      <c r="AH71" s="1" t="b">
        <f t="shared" si="24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11762381.269999998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11762381.269999998</v>
      </c>
      <c r="L105" s="294">
        <f>L10+L29+L48+L67+L86</f>
        <v>0</v>
      </c>
      <c r="M105" s="295">
        <f>K105-L105</f>
        <v>11762381.269999998</v>
      </c>
      <c r="N105" s="294">
        <f>N10+N29+N48+N67+N86</f>
        <v>0</v>
      </c>
      <c r="O105" s="295">
        <f t="shared" ref="O105:O108" si="47">M105+N105</f>
        <v>11762381.269999998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-4401833.53</v>
      </c>
      <c r="AE105" s="291">
        <f>AE10+AE29+AE48+AE67+AE86</f>
        <v>-4401833.53</v>
      </c>
      <c r="AF105" s="322">
        <f>SUM(U105:AD105)</f>
        <v>-4401833.53</v>
      </c>
      <c r="AG105" s="522">
        <f>AF105-O105</f>
        <v>-16164214.799999997</v>
      </c>
      <c r="AH105" s="1" t="b">
        <f t="shared" si="45"/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1844453.3399999999</v>
      </c>
      <c r="E107" s="292">
        <f t="shared" si="43"/>
        <v>14115.53</v>
      </c>
      <c r="F107" s="292">
        <f t="shared" si="43"/>
        <v>7860.38</v>
      </c>
      <c r="G107" s="292">
        <f t="shared" si="43"/>
        <v>4733.42</v>
      </c>
      <c r="H107" s="292">
        <f t="shared" si="43"/>
        <v>53691.78</v>
      </c>
      <c r="I107" s="292">
        <f t="shared" si="43"/>
        <v>3705.22</v>
      </c>
      <c r="J107" s="288">
        <f t="shared" si="43"/>
        <v>0</v>
      </c>
      <c r="K107" s="295">
        <f t="shared" si="46"/>
        <v>1760347.01</v>
      </c>
      <c r="L107" s="294">
        <f>L12+L31+L50+L69+L88</f>
        <v>0</v>
      </c>
      <c r="M107" s="295">
        <f>K107-L107</f>
        <v>1760347.01</v>
      </c>
      <c r="N107" s="294">
        <f>N12+N31+N50+N69+N88</f>
        <v>0</v>
      </c>
      <c r="O107" s="295">
        <f t="shared" si="47"/>
        <v>1760347.01</v>
      </c>
      <c r="Q107" s="306"/>
      <c r="S107" s="314">
        <v>4</v>
      </c>
      <c r="T107" s="315" t="s">
        <v>13</v>
      </c>
      <c r="U107" s="316">
        <f t="shared" si="44"/>
        <v>27762.35</v>
      </c>
      <c r="V107" s="317">
        <f t="shared" si="44"/>
        <v>31827.74</v>
      </c>
      <c r="W107" s="317">
        <f t="shared" si="44"/>
        <v>169721.42</v>
      </c>
      <c r="X107" s="317">
        <f t="shared" si="44"/>
        <v>37127.96</v>
      </c>
      <c r="Y107" s="318">
        <f t="shared" si="44"/>
        <v>6045.35</v>
      </c>
      <c r="Z107" s="319">
        <f t="shared" si="44"/>
        <v>0</v>
      </c>
      <c r="AA107" s="320">
        <f t="shared" si="44"/>
        <v>-6.48</v>
      </c>
      <c r="AB107" s="294">
        <f t="shared" si="44"/>
        <v>0</v>
      </c>
      <c r="AC107" s="320">
        <f t="shared" si="44"/>
        <v>0</v>
      </c>
      <c r="AD107" s="291">
        <f t="shared" si="48"/>
        <v>-5588.93</v>
      </c>
      <c r="AE107" s="291">
        <f>AE12+AE31+AE50+AE69+AE88</f>
        <v>-5588.93</v>
      </c>
      <c r="AF107" s="322">
        <f>SUM(U107:AD107)</f>
        <v>266889.41000000003</v>
      </c>
      <c r="AG107" s="522">
        <f>AF107-O107</f>
        <v>-1493457.6</v>
      </c>
      <c r="AH107" s="1" t="b">
        <f t="shared" si="45"/>
        <v>0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13606834.609999998</v>
      </c>
      <c r="E109" s="290">
        <f t="shared" si="49"/>
        <v>14115.53</v>
      </c>
      <c r="F109" s="290">
        <f t="shared" si="49"/>
        <v>7860.38</v>
      </c>
      <c r="G109" s="290">
        <f t="shared" si="49"/>
        <v>4733.42</v>
      </c>
      <c r="H109" s="290">
        <f t="shared" si="49"/>
        <v>53691.78</v>
      </c>
      <c r="I109" s="290">
        <f t="shared" si="49"/>
        <v>3705.22</v>
      </c>
      <c r="J109" s="290">
        <f t="shared" si="49"/>
        <v>0</v>
      </c>
      <c r="K109" s="300">
        <f t="shared" si="49"/>
        <v>13522728.279999997</v>
      </c>
      <c r="L109" s="301">
        <f t="shared" si="49"/>
        <v>0</v>
      </c>
      <c r="M109" s="302">
        <f t="shared" si="49"/>
        <v>13522728.279999997</v>
      </c>
      <c r="N109" s="301">
        <f t="shared" si="49"/>
        <v>0</v>
      </c>
      <c r="O109" s="302">
        <f t="shared" si="49"/>
        <v>13522728.279999997</v>
      </c>
      <c r="P109" s="329"/>
      <c r="Q109" s="306"/>
      <c r="S109" s="327"/>
      <c r="T109" s="328" t="s">
        <v>2</v>
      </c>
      <c r="U109" s="330">
        <f>SUM(U104:U108)</f>
        <v>27762.35</v>
      </c>
      <c r="V109" s="330">
        <f t="shared" ref="V109:AF109" si="50">SUM(V104:V108)</f>
        <v>31827.74</v>
      </c>
      <c r="W109" s="330">
        <f t="shared" si="50"/>
        <v>169721.42</v>
      </c>
      <c r="X109" s="330">
        <f t="shared" si="50"/>
        <v>37127.96</v>
      </c>
      <c r="Y109" s="330">
        <f t="shared" si="50"/>
        <v>6045.35</v>
      </c>
      <c r="Z109" s="290">
        <f t="shared" si="50"/>
        <v>0</v>
      </c>
      <c r="AA109" s="290">
        <f t="shared" si="50"/>
        <v>-6.48</v>
      </c>
      <c r="AB109" s="290">
        <f t="shared" si="50"/>
        <v>0</v>
      </c>
      <c r="AC109" s="290">
        <f t="shared" si="50"/>
        <v>0</v>
      </c>
      <c r="AD109" s="290">
        <f t="shared" si="50"/>
        <v>-4407422.46</v>
      </c>
      <c r="AE109" s="290">
        <f>SUM(AE104:AE108)</f>
        <v>-4407422.46</v>
      </c>
      <c r="AF109" s="331">
        <f t="shared" si="50"/>
        <v>-4134944.12</v>
      </c>
      <c r="AG109" s="524">
        <f>SUM(AG104:AG108)</f>
        <v>-17657672.399999999</v>
      </c>
      <c r="AH109" s="1" t="b">
        <f t="shared" si="45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272484.82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11762381.269999998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309350</v>
      </c>
      <c r="H128" s="340">
        <f>D31+N31</f>
        <v>2089183.34</v>
      </c>
      <c r="I128" s="288">
        <f>D88+N88</f>
        <v>0</v>
      </c>
      <c r="J128" s="288">
        <f t="shared" si="51"/>
        <v>-554080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309350</v>
      </c>
      <c r="H131" s="350">
        <f>SUM(H125:H130)</f>
        <v>13851564.609999998</v>
      </c>
      <c r="I131" s="350">
        <f>SUM(I125:I130)</f>
        <v>0</v>
      </c>
      <c r="J131" s="350">
        <f>SUM(J125:J130)</f>
        <v>-554080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11762381.269999998</v>
      </c>
      <c r="E143" s="18">
        <f>'Recaudo EAAB Reciprocidad'!F22</f>
        <v>0</v>
      </c>
      <c r="F143" s="18">
        <f>D29+N29</f>
        <v>11762381.269999998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11762381.269999998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1844453.3399999999</v>
      </c>
      <c r="E145" s="18">
        <f>'Recaudo EAAB Reciprocidad'!F24</f>
        <v>0</v>
      </c>
      <c r="F145" s="18">
        <f>D31+N31</f>
        <v>2089183.34</v>
      </c>
      <c r="G145" s="18">
        <f>D69+N69</f>
        <v>-554080</v>
      </c>
      <c r="H145" s="18">
        <f>D88+N88</f>
        <v>0</v>
      </c>
      <c r="I145" s="18">
        <f>('REPORTE RECAUDO x BANCO'!E69)</f>
        <v>0</v>
      </c>
      <c r="J145" s="18">
        <f t="shared" si="53"/>
        <v>309350</v>
      </c>
      <c r="K145" s="83">
        <f t="shared" si="53"/>
        <v>2089183.34</v>
      </c>
      <c r="L145" s="597">
        <f>D145-E145-F145-G145-J145-H145-I145</f>
        <v>-2.3283064365386963E-10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13606834.609999998</v>
      </c>
      <c r="E147" s="47">
        <f>SUM(E142:E146)</f>
        <v>0</v>
      </c>
      <c r="F147" s="47">
        <f t="shared" ref="F147:K147" si="55">SUM(F142:F146)</f>
        <v>13851564.609999998</v>
      </c>
      <c r="G147" s="47">
        <f t="shared" si="55"/>
        <v>-554080</v>
      </c>
      <c r="H147" s="47">
        <f t="shared" si="55"/>
        <v>0</v>
      </c>
      <c r="I147" s="47">
        <f t="shared" si="55"/>
        <v>0</v>
      </c>
      <c r="J147" s="47">
        <f t="shared" si="55"/>
        <v>309350</v>
      </c>
      <c r="K147" s="47">
        <f t="shared" si="55"/>
        <v>13851564.609999998</v>
      </c>
      <c r="L147" s="597">
        <f>SUM(L142:L146)</f>
        <v>-2.3283064365386963E-10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0</v>
      </c>
      <c r="D4" s="292">
        <f>'REMUNERACION Reciprocidad EAAB'!G126</f>
        <v>0</v>
      </c>
      <c r="E4" s="292">
        <f>'REMUNERACION Reciprocidad EAAB'!D29+'REMUNERACION Reciprocidad EAAB'!N29</f>
        <v>11762381.269999998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11762381.269999998</v>
      </c>
      <c r="I4" s="291">
        <f>'REMUNERACION Reciprocidad EAAB'!D105</f>
        <v>11762381.269999998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11762381.269999998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0</v>
      </c>
      <c r="D6" s="292">
        <f>'REMUNERACION Reciprocidad EAAB'!G128</f>
        <v>309350</v>
      </c>
      <c r="E6" s="292">
        <f>'REMUNERACION Reciprocidad EAAB'!D31+'REMUNERACION Reciprocidad EAAB'!N31</f>
        <v>2089183.34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2398533.34</v>
      </c>
      <c r="I6" s="291">
        <f>'REMUNERACION Reciprocidad EAAB'!D107</f>
        <v>1844453.3399999999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554080</v>
      </c>
      <c r="N6" s="318">
        <f t="shared" ref="N6:N7" si="3">SUM(I6:M6)</f>
        <v>2398533.34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309350</v>
      </c>
      <c r="E9" s="290">
        <f>SUM(E3:E8)</f>
        <v>13851564.609999998</v>
      </c>
      <c r="F9" s="290">
        <f t="shared" si="4"/>
        <v>0</v>
      </c>
      <c r="G9" s="290">
        <f t="shared" si="4"/>
        <v>0</v>
      </c>
      <c r="H9" s="290">
        <f t="shared" si="4"/>
        <v>14160914.609999998</v>
      </c>
      <c r="I9" s="290">
        <f t="shared" si="4"/>
        <v>13606834.609999998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554080</v>
      </c>
      <c r="N9" s="290">
        <f>SUM(N3:N8)</f>
        <v>14160914.609999998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46296</v>
      </c>
      <c r="J7" s="2" t="s">
        <v>28</v>
      </c>
      <c r="K7" s="9">
        <f>'REMUNERACION Reciprocidad EAAB'!K102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11762381.269999998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11762381.269999998</v>
      </c>
      <c r="L10" s="66">
        <f>'REMUNERACION Reciprocidad EAAB'!L105</f>
        <v>0</v>
      </c>
      <c r="M10" s="31">
        <f>K10-L10</f>
        <v>11762381.269999998</v>
      </c>
      <c r="N10" s="66">
        <f>'REMUNERACION Reciprocidad EAAB'!N105</f>
        <v>0</v>
      </c>
      <c r="O10" s="31">
        <f t="shared" ref="O10:O13" si="1">M10+N10</f>
        <v>11762381.269999998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-4401833.53</v>
      </c>
      <c r="AE10" s="66">
        <f>'REMUNERACION Reciprocidad EAAB'!AE105</f>
        <v>-4401833.53</v>
      </c>
      <c r="AF10" s="70">
        <f>SUM(U10:AD10)</f>
        <v>-4401833.53</v>
      </c>
      <c r="AG10" s="72">
        <f>AF10-O10</f>
        <v>-16164214.799999997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1844453.3399999999</v>
      </c>
      <c r="E12" s="66">
        <f>'REMUNERACION Reciprocidad EAAB'!E107</f>
        <v>14115.53</v>
      </c>
      <c r="F12" s="66">
        <f>'REMUNERACION Reciprocidad EAAB'!F107</f>
        <v>7860.38</v>
      </c>
      <c r="G12" s="66">
        <f>'REMUNERACION Reciprocidad EAAB'!G107</f>
        <v>4733.42</v>
      </c>
      <c r="H12" s="66">
        <f>'REMUNERACION Reciprocidad EAAB'!H107</f>
        <v>53691.78</v>
      </c>
      <c r="I12" s="66">
        <f>'REMUNERACION Reciprocidad EAAB'!I107</f>
        <v>3705.22</v>
      </c>
      <c r="J12" s="66">
        <f>'REMUNERACION Reciprocidad EAAB'!J107</f>
        <v>0</v>
      </c>
      <c r="K12" s="31">
        <f t="shared" si="0"/>
        <v>1760347.01</v>
      </c>
      <c r="L12" s="66">
        <f>'REMUNERACION Reciprocidad EAAB'!L107</f>
        <v>0</v>
      </c>
      <c r="M12" s="31">
        <f>K12-L12</f>
        <v>1760347.01</v>
      </c>
      <c r="N12" s="66">
        <f>'REMUNERACION Reciprocidad EAAB'!N107</f>
        <v>0</v>
      </c>
      <c r="O12" s="31">
        <f t="shared" si="1"/>
        <v>1760347.01</v>
      </c>
      <c r="Q12" s="4"/>
      <c r="S12" s="16">
        <v>4</v>
      </c>
      <c r="T12" s="62" t="s">
        <v>13</v>
      </c>
      <c r="U12" s="66">
        <f>'REMUNERACION Reciprocidad EAAB'!U107</f>
        <v>27762.35</v>
      </c>
      <c r="V12" s="66">
        <f>'REMUNERACION Reciprocidad EAAB'!V107</f>
        <v>31827.74</v>
      </c>
      <c r="W12" s="66">
        <f>'REMUNERACION Reciprocidad EAAB'!W107</f>
        <v>169721.42</v>
      </c>
      <c r="X12" s="66">
        <f>'REMUNERACION Reciprocidad EAAB'!X107</f>
        <v>37127.96</v>
      </c>
      <c r="Y12" s="66">
        <f>'REMUNERACION Reciprocidad EAAB'!Y107</f>
        <v>6045.35</v>
      </c>
      <c r="Z12" s="66">
        <f>'REMUNERACION Reciprocidad EAAB'!Z107</f>
        <v>0</v>
      </c>
      <c r="AA12" s="66">
        <f>'REMUNERACION Reciprocidad EAAB'!AA107</f>
        <v>-6.48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-5588.93</v>
      </c>
      <c r="AE12" s="66">
        <f>'REMUNERACION Reciprocidad EAAB'!AE107</f>
        <v>-5588.93</v>
      </c>
      <c r="AF12" s="70">
        <f>SUM(U12:AD12)</f>
        <v>266889.41000000003</v>
      </c>
      <c r="AG12" s="72">
        <f>AF12-O12</f>
        <v>-1493457.6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13606834.609999998</v>
      </c>
      <c r="E14" s="43">
        <f t="shared" si="3"/>
        <v>14115.53</v>
      </c>
      <c r="F14" s="43">
        <f t="shared" si="3"/>
        <v>7860.38</v>
      </c>
      <c r="G14" s="43">
        <f t="shared" si="3"/>
        <v>4733.42</v>
      </c>
      <c r="H14" s="43">
        <f t="shared" si="3"/>
        <v>53691.78</v>
      </c>
      <c r="I14" s="43">
        <f t="shared" si="3"/>
        <v>3705.22</v>
      </c>
      <c r="J14" s="43">
        <f t="shared" si="3"/>
        <v>0</v>
      </c>
      <c r="K14" s="32">
        <f t="shared" si="3"/>
        <v>13522728.279999997</v>
      </c>
      <c r="L14" s="23">
        <f t="shared" si="3"/>
        <v>0</v>
      </c>
      <c r="M14" s="76">
        <f t="shared" si="3"/>
        <v>13522728.279999997</v>
      </c>
      <c r="N14" s="23">
        <f t="shared" si="3"/>
        <v>0</v>
      </c>
      <c r="O14" s="76">
        <f t="shared" si="3"/>
        <v>13522728.279999997</v>
      </c>
      <c r="P14" s="2"/>
      <c r="Q14" s="4"/>
      <c r="S14" s="21"/>
      <c r="T14" s="22" t="s">
        <v>2</v>
      </c>
      <c r="U14" s="43">
        <f>SUM(U9:U13)</f>
        <v>27762.35</v>
      </c>
      <c r="V14" s="43">
        <f t="shared" ref="V14:AG14" si="4">SUM(V9:V13)</f>
        <v>31827.74</v>
      </c>
      <c r="W14" s="43">
        <f t="shared" si="4"/>
        <v>169721.42</v>
      </c>
      <c r="X14" s="43">
        <f t="shared" si="4"/>
        <v>37127.96</v>
      </c>
      <c r="Y14" s="43">
        <f t="shared" si="4"/>
        <v>6045.35</v>
      </c>
      <c r="Z14" s="43">
        <f t="shared" si="4"/>
        <v>0</v>
      </c>
      <c r="AA14" s="43">
        <f t="shared" si="4"/>
        <v>-6.48</v>
      </c>
      <c r="AB14" s="43">
        <f t="shared" si="4"/>
        <v>0</v>
      </c>
      <c r="AC14" s="43">
        <f t="shared" si="4"/>
        <v>0</v>
      </c>
      <c r="AD14" s="43">
        <f t="shared" si="4"/>
        <v>-4407422.46</v>
      </c>
      <c r="AE14" s="43">
        <f>SUM(AE9:AE13)</f>
        <v>-4407422.46</v>
      </c>
      <c r="AF14" s="68">
        <f t="shared" si="4"/>
        <v>-4134944.12</v>
      </c>
      <c r="AG14" s="43">
        <f t="shared" si="4"/>
        <v>-17657672.399999999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272484.82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46296</v>
      </c>
      <c r="J27" s="2" t="s">
        <v>28</v>
      </c>
      <c r="K27" s="9">
        <f>'REMUNERACION Reciprocidad EAAB'!K122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11762381.269999998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309350</v>
      </c>
      <c r="H33" s="340">
        <f>'REMUNERACION Reciprocidad EAAB'!H128</f>
        <v>2089183.34</v>
      </c>
      <c r="I33" s="288">
        <f>'REMUNERACION Reciprocidad EAAB'!I128</f>
        <v>0</v>
      </c>
      <c r="J33" s="288">
        <f>'REMUNERACION Reciprocidad EAAB'!J128</f>
        <v>-554080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309350</v>
      </c>
      <c r="H36" s="350">
        <f t="shared" si="5"/>
        <v>13851564.609999998</v>
      </c>
      <c r="I36" s="350">
        <f t="shared" si="5"/>
        <v>0</v>
      </c>
      <c r="J36" s="350">
        <f t="shared" si="5"/>
        <v>-554080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14471399690.9</v>
      </c>
      <c r="E9" s="292">
        <f>'Reporte Componentes R1'!G99</f>
        <v>808230383.38</v>
      </c>
      <c r="F9" s="292">
        <f>'Reporte Componentes R1'!H99</f>
        <v>450240430.11000001</v>
      </c>
      <c r="G9" s="292">
        <f>'Reporte Componentes R1'!I99</f>
        <v>239670565.69999999</v>
      </c>
      <c r="H9" s="292">
        <f>'Reporte Componentes R1'!J99</f>
        <v>4717756385.7200003</v>
      </c>
      <c r="I9" s="292">
        <f>'Reporte Componentes R1'!K99</f>
        <v>157336840.31</v>
      </c>
      <c r="J9" s="292">
        <f>'CONSOLIDADO_TOTAL RECAUDO'!J9</f>
        <v>2153950828.1600003</v>
      </c>
      <c r="K9" s="293">
        <f>D9-E9-F9-G9-H9-I9-J9</f>
        <v>5944214257.5199986</v>
      </c>
      <c r="L9" s="294">
        <f>'CONSOLIDADO_TOTAL RECAUDO'!L9</f>
        <v>189185987</v>
      </c>
      <c r="M9" s="293">
        <f>K9-L9</f>
        <v>5755028270.5199986</v>
      </c>
      <c r="N9" s="294">
        <f>'Reporte Componentes R1'!L99</f>
        <v>9937924.0999999996</v>
      </c>
      <c r="O9" s="293">
        <f>M9+N9</f>
        <v>5764966194.6199989</v>
      </c>
      <c r="Q9" s="306"/>
      <c r="S9" s="303">
        <v>1</v>
      </c>
      <c r="T9" s="304" t="s">
        <v>10</v>
      </c>
      <c r="U9" s="307">
        <f>'Reporte Componentes R1'!M99</f>
        <v>1381589612.9199998</v>
      </c>
      <c r="V9" s="308">
        <f>'Reporte Componentes R1'!N99</f>
        <v>1303026874.6500001</v>
      </c>
      <c r="W9" s="308">
        <f>'Reporte Componentes R1'!O99</f>
        <v>6211087021.9399996</v>
      </c>
      <c r="X9" s="308">
        <f>'Reporte Componentes R1'!P99</f>
        <v>2199244647.2399998</v>
      </c>
      <c r="Y9" s="309">
        <f>'Reporte Componentes R1'!Q99</f>
        <v>256848645.77000001</v>
      </c>
      <c r="Z9" s="310">
        <f>L9*-1</f>
        <v>-189185987</v>
      </c>
      <c r="AA9" s="311">
        <f>'Reporte Componentes R1'!R99+'Reporte Componentes R1'!V99+'Reporte Componentes R1'!U99</f>
        <v>-24225.34</v>
      </c>
      <c r="AB9" s="294">
        <f>N9</f>
        <v>9937924.0999999996</v>
      </c>
      <c r="AC9" s="311">
        <f>'Reporte Componentes R1'!T99+'Reporte Componentes R1'!W99+'Reporte Componentes R1'!X99+'Reporte Componentes R1'!Y99+'Reporte Componentes R1'!Z99+'Reporte Componentes R1'!S99</f>
        <v>149.04</v>
      </c>
      <c r="AD9" s="291">
        <f>-J9+AE9</f>
        <v>-5407558468.7000008</v>
      </c>
      <c r="AE9" s="291">
        <f>'Reporte Componentes R1'!F100</f>
        <v>-3253607640.54</v>
      </c>
      <c r="AF9" s="313">
        <f>SUM(U9:AD9)</f>
        <v>5764966194.6199989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10280213362.66</v>
      </c>
      <c r="E10" s="292">
        <f>'Reporte Componentes R1'!G333</f>
        <v>761018413.75</v>
      </c>
      <c r="F10" s="292">
        <f>'Reporte Componentes R1'!H333</f>
        <v>421539408.77999997</v>
      </c>
      <c r="G10" s="292">
        <f>'Reporte Componentes R1'!I333</f>
        <v>223598944.56999999</v>
      </c>
      <c r="H10" s="292">
        <f>'Reporte Componentes R1'!J333</f>
        <v>3457771027.23</v>
      </c>
      <c r="I10" s="292">
        <f>'Reporte Componentes R1'!K333</f>
        <v>123618520.53999999</v>
      </c>
      <c r="J10" s="292">
        <f>'CONSOLIDADO_TOTAL RECAUDO'!J10</f>
        <v>-4217145526.9099998</v>
      </c>
      <c r="K10" s="295">
        <f>D10-E10-F10-G10-H10-I10-J10</f>
        <v>9509812574.7000008</v>
      </c>
      <c r="L10" s="294">
        <f>'CONSOLIDADO_TOTAL RECAUDO'!L10</f>
        <v>266580255</v>
      </c>
      <c r="M10" s="295">
        <f>K10-L10</f>
        <v>9243232319.7000008</v>
      </c>
      <c r="N10" s="294">
        <f>'Reporte Componentes R1'!L333</f>
        <v>6722063.21</v>
      </c>
      <c r="O10" s="295">
        <f t="shared" ref="O10:O12" si="0">M10+N10</f>
        <v>9249954382.9099998</v>
      </c>
      <c r="Q10" s="306"/>
      <c r="S10" s="314">
        <v>2</v>
      </c>
      <c r="T10" s="315" t="s">
        <v>11</v>
      </c>
      <c r="U10" s="316">
        <f>'Reporte Componentes R1'!M333</f>
        <v>1083903765.4000001</v>
      </c>
      <c r="V10" s="317">
        <f>'Reporte Componentes R1'!N333</f>
        <v>1031752345.1600001</v>
      </c>
      <c r="W10" s="317">
        <f>'Reporte Componentes R1'!O333</f>
        <v>4903307713.3400002</v>
      </c>
      <c r="X10" s="317">
        <f>'Reporte Componentes R1'!P333</f>
        <v>1489981474</v>
      </c>
      <c r="Y10" s="318">
        <f>'Reporte Componentes R1'!Q333</f>
        <v>201832007.78999999</v>
      </c>
      <c r="Z10" s="319">
        <f>L10*-1</f>
        <v>-266580255</v>
      </c>
      <c r="AA10" s="320">
        <f>'Reporte Componentes R1'!R333+'Reporte Componentes R1'!V333+'Reporte Componentes R1'!U333</f>
        <v>-13258.12</v>
      </c>
      <c r="AB10" s="294">
        <f>N10</f>
        <v>6722063.21</v>
      </c>
      <c r="AC10" s="320">
        <f>'Reporte Componentes R1'!T333+'Reporte Componentes R1'!W333+'Reporte Componentes R1'!X333+'Reporte Componentes R1'!Y333+'Reporte Componentes R1'!Z333+'Reporte Componentes R1'!S333</f>
        <v>-48.93</v>
      </c>
      <c r="AD10" s="291">
        <f t="shared" ref="AD10:AD13" si="1">-J10+AE10</f>
        <v>799048576.05999994</v>
      </c>
      <c r="AE10" s="291">
        <f>'Reporte Componentes R1'!F334</f>
        <v>-3418096950.8499999</v>
      </c>
      <c r="AF10" s="322">
        <f>SUM(U10:AD10)</f>
        <v>9249954382.9099998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8384082826.1500006</v>
      </c>
      <c r="E11" s="292">
        <f>'Reporte Componentes R1'!G494</f>
        <v>519485736.51999998</v>
      </c>
      <c r="F11" s="292">
        <f>'Reporte Componentes R1'!H494</f>
        <v>289280679.71999997</v>
      </c>
      <c r="G11" s="292">
        <f>'Reporte Componentes R1'!I494</f>
        <v>153855222.93000001</v>
      </c>
      <c r="H11" s="292">
        <f>'Reporte Componentes R1'!J494</f>
        <v>2406618472.7000003</v>
      </c>
      <c r="I11" s="292">
        <f>'Reporte Componentes R1'!K494</f>
        <v>86333540.400000006</v>
      </c>
      <c r="J11" s="292">
        <f>'CONSOLIDADO_TOTAL RECAUDO'!J11</f>
        <v>-1288806337.0900002</v>
      </c>
      <c r="K11" s="295">
        <f t="shared" ref="K11:K13" si="3">D11-E11-F11-G11-H11-I11-J11</f>
        <v>6217315510.9700012</v>
      </c>
      <c r="L11" s="294">
        <f>'CONSOLIDADO_TOTAL RECAUDO'!L11</f>
        <v>154788535</v>
      </c>
      <c r="M11" s="295">
        <f>K11-L11</f>
        <v>6062526975.9700012</v>
      </c>
      <c r="N11" s="294">
        <f>'Reporte Componentes R1'!L494</f>
        <v>14494105.85</v>
      </c>
      <c r="O11" s="295">
        <f t="shared" si="0"/>
        <v>6077021081.8200016</v>
      </c>
      <c r="Q11" s="306"/>
      <c r="S11" s="314">
        <v>3</v>
      </c>
      <c r="T11" s="315" t="s">
        <v>12</v>
      </c>
      <c r="U11" s="316">
        <f>'Reporte Componentes R1'!M494</f>
        <v>757964762.67000008</v>
      </c>
      <c r="V11" s="317">
        <f>'Reporte Componentes R1'!N494</f>
        <v>717589277.52999997</v>
      </c>
      <c r="W11" s="317">
        <f>'Reporte Componentes R1'!O494</f>
        <v>3409164597.5999999</v>
      </c>
      <c r="X11" s="317">
        <f>'Reporte Componentes R1'!P494</f>
        <v>1230549027.6600001</v>
      </c>
      <c r="Y11" s="318">
        <f>'Reporte Componentes R1'!Q494</f>
        <v>140956999.82000002</v>
      </c>
      <c r="Z11" s="319">
        <f>L11*-1</f>
        <v>-154788535</v>
      </c>
      <c r="AA11" s="320">
        <f>'Reporte Componentes R1'!R494+'Reporte Componentes R1'!V494+'Reporte Componentes R1'!U494</f>
        <v>-82499.44</v>
      </c>
      <c r="AB11" s="294">
        <f>N11</f>
        <v>14494105.85</v>
      </c>
      <c r="AC11" s="320">
        <f>'Reporte Componentes R1'!T494+'Reporte Componentes R1'!W494+'Reporte Componentes R1'!X494+'Reporte Componentes R1'!Y494+'Reporte Componentes R1'!Z494+'Reporte Componentes R1'!S494</f>
        <v>1.1100000000000001</v>
      </c>
      <c r="AD11" s="291">
        <f t="shared" si="1"/>
        <v>-38826655.979999781</v>
      </c>
      <c r="AE11" s="291">
        <f>'Reporte Componentes R1'!F495</f>
        <v>-1327632993.0699999</v>
      </c>
      <c r="AF11" s="322">
        <f t="shared" ref="AF11:AF13" si="4">SUM(U11:AD11)</f>
        <v>6077021081.8200006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9882391541.1699982</v>
      </c>
      <c r="E12" s="292">
        <f>'Reporte Componentes R1'!G702</f>
        <v>552701389.09000003</v>
      </c>
      <c r="F12" s="292">
        <f>'Reporte Componentes R1'!H702</f>
        <v>306639269.15999997</v>
      </c>
      <c r="G12" s="292">
        <f>'Reporte Componentes R1'!I702</f>
        <v>163121346.86000001</v>
      </c>
      <c r="H12" s="292">
        <f>'Reporte Componentes R1'!J702</f>
        <v>2332342933.2199998</v>
      </c>
      <c r="I12" s="292">
        <f>'Reporte Componentes R1'!K702</f>
        <v>87818254.819999993</v>
      </c>
      <c r="J12" s="292">
        <f>'CONSOLIDADO_TOTAL RECAUDO'!J12</f>
        <v>61531953.689999998</v>
      </c>
      <c r="K12" s="295">
        <f>D12-E12-F12-G12-H12-I12-J12</f>
        <v>6378236394.329999</v>
      </c>
      <c r="L12" s="294">
        <f>'CONSOLIDADO_TOTAL RECAUDO'!L12</f>
        <v>120391083</v>
      </c>
      <c r="M12" s="295">
        <f>K12-L12</f>
        <v>6257845311.329999</v>
      </c>
      <c r="N12" s="294">
        <f>'Reporte Componentes R1'!L702</f>
        <v>7972372.8300000001</v>
      </c>
      <c r="O12" s="295">
        <f t="shared" si="0"/>
        <v>6265817684.1599989</v>
      </c>
      <c r="Q12" s="306"/>
      <c r="S12" s="314">
        <v>4</v>
      </c>
      <c r="T12" s="315" t="s">
        <v>13</v>
      </c>
      <c r="U12" s="316">
        <f>'Reporte Componentes R1'!M702</f>
        <v>769876014.52999997</v>
      </c>
      <c r="V12" s="317">
        <f>'Reporte Componentes R1'!N702</f>
        <v>729151010.75999999</v>
      </c>
      <c r="W12" s="317">
        <f>'Reporte Componentes R1'!O702</f>
        <v>3775108952.6199999</v>
      </c>
      <c r="X12" s="317">
        <f>'Reporte Componentes R1'!P702</f>
        <v>1463080272.1400001</v>
      </c>
      <c r="Y12" s="318">
        <f>'Reporte Componentes R1'!Q702</f>
        <v>143514452.23000002</v>
      </c>
      <c r="Z12" s="319">
        <f>L12*-1</f>
        <v>-120391083</v>
      </c>
      <c r="AA12" s="320">
        <f>'Reporte Componentes R1'!R702+'Reporte Componentes R1'!V702+'Reporte Componentes R1'!U702</f>
        <v>31622.18</v>
      </c>
      <c r="AB12" s="294">
        <f>N12</f>
        <v>7972372.8300000001</v>
      </c>
      <c r="AC12" s="320">
        <f>'Reporte Componentes R1'!T702+'Reporte Componentes R1'!W702+'Reporte Componentes R1'!X702+'Reporte Componentes R1'!Y702+'Reporte Componentes R1'!Z702+'Reporte Componentes R1'!S702</f>
        <v>189.23</v>
      </c>
      <c r="AD12" s="291">
        <f t="shared" si="1"/>
        <v>-502526119.36000001</v>
      </c>
      <c r="AE12" s="291">
        <f>'Reporte Componentes R1'!F703</f>
        <v>-440994165.67000002</v>
      </c>
      <c r="AF12" s="322">
        <f t="shared" si="4"/>
        <v>6265817684.1600008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7233177428.1300001</v>
      </c>
      <c r="E13" s="297">
        <f>'Reporte Componentes R1'!G821</f>
        <v>383226244.79000002</v>
      </c>
      <c r="F13" s="297">
        <f>'Reporte Componentes R1'!H821</f>
        <v>213399131.62</v>
      </c>
      <c r="G13" s="297">
        <f>'Reporte Componentes R1'!I821</f>
        <v>113487155.67</v>
      </c>
      <c r="H13" s="297">
        <f>'Reporte Componentes R1'!J821</f>
        <v>1813158921.0699999</v>
      </c>
      <c r="I13" s="297">
        <f>'Reporte Componentes R1'!K821</f>
        <v>60280537.299999997</v>
      </c>
      <c r="J13" s="292">
        <f>'CONSOLIDADO_TOTAL RECAUDO'!J13</f>
        <v>-1246473094.4099998</v>
      </c>
      <c r="K13" s="295">
        <f t="shared" si="3"/>
        <v>5896098532.0900002</v>
      </c>
      <c r="L13" s="294">
        <f>'CONSOLIDADO_TOTAL RECAUDO'!L13</f>
        <v>128990445</v>
      </c>
      <c r="M13" s="298">
        <f>K13-L13</f>
        <v>5767108087.0900002</v>
      </c>
      <c r="N13" s="299">
        <f>'Reporte Componentes R1'!L821</f>
        <v>10471696.869999999</v>
      </c>
      <c r="O13" s="298">
        <f>M13+N13</f>
        <v>5777579783.96</v>
      </c>
      <c r="Q13" s="306"/>
      <c r="S13" s="324">
        <v>5</v>
      </c>
      <c r="T13" s="325" t="s">
        <v>14</v>
      </c>
      <c r="U13" s="296">
        <f>'Reporte Componentes R1'!M821</f>
        <v>528865960.60000002</v>
      </c>
      <c r="V13" s="297">
        <f>'Reporte Componentes R1'!N821</f>
        <v>496788585.52999997</v>
      </c>
      <c r="W13" s="297">
        <f>'Reporte Componentes R1'!O821</f>
        <v>2555805599.5999999</v>
      </c>
      <c r="X13" s="297">
        <f>'Reporte Componentes R1'!P821</f>
        <v>1140353351.6900001</v>
      </c>
      <c r="Y13" s="289">
        <f>'Reporte Componentes R1'!Q821</f>
        <v>98362156.760000005</v>
      </c>
      <c r="Z13" s="319">
        <f>L13*-1</f>
        <v>-128990445</v>
      </c>
      <c r="AA13" s="320">
        <f>'Reporte Componentes R1'!R821+'Reporte Componentes R1'!V821+'Reporte Componentes R1'!U821</f>
        <v>11598.57</v>
      </c>
      <c r="AB13" s="294">
        <f>N13</f>
        <v>10471696.869999999</v>
      </c>
      <c r="AC13" s="320">
        <f>'Reporte Componentes R1'!T821+'Reporte Componentes R1'!W821+'Reporte Componentes R1'!X821+'Reporte Componentes R1'!Y821+'Reporte Componentes R1'!Z821+'Reporte Componentes R1'!S821</f>
        <v>4.82</v>
      </c>
      <c r="AD13" s="291">
        <f t="shared" si="1"/>
        <v>1075911274.52</v>
      </c>
      <c r="AE13" s="291">
        <f>'Reporte Componentes R1'!F822</f>
        <v>-170561819.88999999</v>
      </c>
      <c r="AF13" s="322">
        <f t="shared" si="4"/>
        <v>5777579783.9599991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50251264849.009995</v>
      </c>
      <c r="E14" s="290">
        <f t="shared" ref="E14:O14" si="5">SUM(E9:E13)</f>
        <v>3024662167.5300002</v>
      </c>
      <c r="F14" s="290">
        <f t="shared" si="5"/>
        <v>1681098919.3899999</v>
      </c>
      <c r="G14" s="290">
        <f t="shared" si="5"/>
        <v>893733235.73000002</v>
      </c>
      <c r="H14" s="290">
        <f t="shared" si="5"/>
        <v>14727647739.940001</v>
      </c>
      <c r="I14" s="290">
        <f t="shared" si="5"/>
        <v>515387693.37</v>
      </c>
      <c r="J14" s="290">
        <f t="shared" si="5"/>
        <v>-4536942176.5599995</v>
      </c>
      <c r="K14" s="300">
        <f t="shared" si="5"/>
        <v>33945677269.610001</v>
      </c>
      <c r="L14" s="301">
        <f>SUM(L9:L13)</f>
        <v>859936305</v>
      </c>
      <c r="M14" s="302">
        <f t="shared" si="5"/>
        <v>33085740964.610001</v>
      </c>
      <c r="N14" s="301">
        <f t="shared" si="5"/>
        <v>49598162.859999992</v>
      </c>
      <c r="O14" s="302">
        <f t="shared" si="5"/>
        <v>33135339127.469997</v>
      </c>
      <c r="P14" s="329"/>
      <c r="Q14" s="306"/>
      <c r="S14" s="327"/>
      <c r="T14" s="328" t="s">
        <v>2</v>
      </c>
      <c r="U14" s="330">
        <f>SUM(U9:U13)</f>
        <v>4522200116.1199999</v>
      </c>
      <c r="V14" s="330">
        <f t="shared" ref="V14:AF14" si="6">SUM(V9:V13)</f>
        <v>4278308093.6300001</v>
      </c>
      <c r="W14" s="330">
        <f t="shared" si="6"/>
        <v>20854473885.099998</v>
      </c>
      <c r="X14" s="330">
        <f t="shared" si="6"/>
        <v>7523208772.7299995</v>
      </c>
      <c r="Y14" s="330">
        <f t="shared" si="6"/>
        <v>841514262.37</v>
      </c>
      <c r="Z14" s="290">
        <f t="shared" si="6"/>
        <v>-859936305</v>
      </c>
      <c r="AA14" s="290">
        <f t="shared" si="6"/>
        <v>-76762.149999999994</v>
      </c>
      <c r="AB14" s="290">
        <f t="shared" si="6"/>
        <v>49598162.859999992</v>
      </c>
      <c r="AC14" s="290">
        <f t="shared" si="6"/>
        <v>295.27</v>
      </c>
      <c r="AD14" s="290">
        <f>SUM(AD9:AD13)</f>
        <v>-4073951393.4600005</v>
      </c>
      <c r="AE14" s="290">
        <f>SUM(AE9:AE13)</f>
        <v>-8610893570.0199986</v>
      </c>
      <c r="AF14" s="331">
        <f t="shared" si="6"/>
        <v>33135339127.469997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38019705129.950005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26731349.390000001</v>
      </c>
      <c r="E28" s="292">
        <f>'Rem. Anticipos R2'!F63</f>
        <v>0</v>
      </c>
      <c r="F28" s="292">
        <f>'Rem. Anticipos R2'!G63</f>
        <v>0</v>
      </c>
      <c r="G28" s="292">
        <f>'Rem. Anticipos R2'!H63</f>
        <v>0</v>
      </c>
      <c r="H28" s="292">
        <f>'Rem. Anticipos R2'!I63</f>
        <v>0</v>
      </c>
      <c r="I28" s="292">
        <f>'Rem. Anticipos R2'!J63</f>
        <v>0</v>
      </c>
      <c r="J28" s="289">
        <v>0</v>
      </c>
      <c r="K28" s="293">
        <f>D28-E28-F28-G28-H28-I28-J28</f>
        <v>26731349.390000001</v>
      </c>
      <c r="L28" s="294">
        <v>0</v>
      </c>
      <c r="M28" s="293">
        <f>K28-L28</f>
        <v>26731349.390000001</v>
      </c>
      <c r="N28" s="294">
        <f>'Rem. Anticipos R2'!K63</f>
        <v>0</v>
      </c>
      <c r="O28" s="293">
        <f>M28+N28</f>
        <v>26731349.390000001</v>
      </c>
      <c r="Q28" s="306"/>
      <c r="S28" s="303">
        <v>1</v>
      </c>
      <c r="T28" s="304" t="s">
        <v>10</v>
      </c>
      <c r="U28" s="307">
        <f>'Rem. Anticipos R2'!L63</f>
        <v>0</v>
      </c>
      <c r="V28" s="308">
        <f>'Rem. Anticipos R2'!M63</f>
        <v>0</v>
      </c>
      <c r="W28" s="308">
        <f>'Rem. Anticipos R2'!N63</f>
        <v>0</v>
      </c>
      <c r="X28" s="308">
        <f>'Rem. Anticipos R2'!O63</f>
        <v>0</v>
      </c>
      <c r="Y28" s="309">
        <f>'Rem. Anticipos R2'!P63</f>
        <v>0</v>
      </c>
      <c r="Z28" s="310">
        <f>L28*-1</f>
        <v>0</v>
      </c>
      <c r="AA28" s="311">
        <f>'Rem. Anticipos R2'!Q63</f>
        <v>0</v>
      </c>
      <c r="AB28" s="294">
        <f>N28</f>
        <v>0</v>
      </c>
      <c r="AC28" s="311">
        <f>'Rem. Anticipos R2'!R63</f>
        <v>0</v>
      </c>
      <c r="AD28" s="291">
        <f>-J28+AE28</f>
        <v>-1549869.38</v>
      </c>
      <c r="AE28" s="291">
        <f>'Rem. Anticipos R2'!E64</f>
        <v>-1549869.38</v>
      </c>
      <c r="AF28" s="313">
        <f>SUM(U28:AD28)</f>
        <v>-1549869.38</v>
      </c>
      <c r="AG28" s="311">
        <f>(AF28-O28)</f>
        <v>-28281218.77</v>
      </c>
      <c r="AH28" s="1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39342901.739999995</v>
      </c>
      <c r="E29" s="292">
        <f>'Rem. Anticipos R2'!F184</f>
        <v>0</v>
      </c>
      <c r="F29" s="292">
        <f>'Rem. Anticipos R2'!G184</f>
        <v>0</v>
      </c>
      <c r="G29" s="292">
        <f>'Rem. Anticipos R2'!H184</f>
        <v>0</v>
      </c>
      <c r="H29" s="292">
        <f>'Rem. Anticipos R2'!I184</f>
        <v>0</v>
      </c>
      <c r="I29" s="292">
        <f>'Rem. Anticipos R2'!J184</f>
        <v>0</v>
      </c>
      <c r="J29" s="288">
        <v>0</v>
      </c>
      <c r="K29" s="295">
        <f t="shared" ref="K29:K31" si="7">D29-E29-F29-G29-H29-I29-J29</f>
        <v>39342901.739999995</v>
      </c>
      <c r="L29" s="294">
        <v>0</v>
      </c>
      <c r="M29" s="295">
        <f>K29-L29</f>
        <v>39342901.739999995</v>
      </c>
      <c r="N29" s="294">
        <f>'Rem. Anticipos R2'!K184</f>
        <v>70736.95</v>
      </c>
      <c r="O29" s="295">
        <f t="shared" ref="O29:O32" si="8">M29+N29</f>
        <v>39413638.689999998</v>
      </c>
      <c r="Q29" s="306"/>
      <c r="S29" s="314">
        <v>2</v>
      </c>
      <c r="T29" s="315" t="s">
        <v>11</v>
      </c>
      <c r="U29" s="316">
        <f>'Rem. Anticipos R2'!L184</f>
        <v>0</v>
      </c>
      <c r="V29" s="317">
        <f>'Rem. Anticipos R2'!M184</f>
        <v>0</v>
      </c>
      <c r="W29" s="317">
        <f>'Rem. Anticipos R2'!N184</f>
        <v>0</v>
      </c>
      <c r="X29" s="317">
        <f>'Rem. Anticipos R2'!O184</f>
        <v>0</v>
      </c>
      <c r="Y29" s="318">
        <f>'Rem. Anticipos R2'!P184</f>
        <v>0</v>
      </c>
      <c r="Z29" s="319">
        <f>L29*-1</f>
        <v>0</v>
      </c>
      <c r="AA29" s="320">
        <f>'Rem. Anticipos R2'!Q184</f>
        <v>0</v>
      </c>
      <c r="AB29" s="294">
        <f>N29</f>
        <v>70736.95</v>
      </c>
      <c r="AC29" s="320">
        <f>'Rem. Anticipos R2'!R184</f>
        <v>0</v>
      </c>
      <c r="AD29" s="291">
        <f>-J29+AE29</f>
        <v>-19130403.640000001</v>
      </c>
      <c r="AE29" s="291">
        <f>'Rem. Anticipos R2'!E185</f>
        <v>-19130403.640000001</v>
      </c>
      <c r="AF29" s="322">
        <f>SUM(U29:AD29)</f>
        <v>-19059666.690000001</v>
      </c>
      <c r="AG29" s="323">
        <f>(AF29-O29)</f>
        <v>-58473305.379999995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12369060.75</v>
      </c>
      <c r="E30" s="292">
        <f>'Rem. Anticipos R2'!F305</f>
        <v>0</v>
      </c>
      <c r="F30" s="292">
        <f>'Rem. Anticipos R2'!G305</f>
        <v>0</v>
      </c>
      <c r="G30" s="292">
        <f>'Rem. Anticipos R2'!H305</f>
        <v>0</v>
      </c>
      <c r="H30" s="292">
        <f>'Rem. Anticipos R2'!I305</f>
        <v>0</v>
      </c>
      <c r="I30" s="292">
        <f>'Rem. Anticipos R2'!J305</f>
        <v>0</v>
      </c>
      <c r="J30" s="288">
        <v>0</v>
      </c>
      <c r="K30" s="295">
        <f t="shared" si="7"/>
        <v>12369060.75</v>
      </c>
      <c r="L30" s="294">
        <v>0</v>
      </c>
      <c r="M30" s="295">
        <f>K30-L30</f>
        <v>12369060.75</v>
      </c>
      <c r="N30" s="294">
        <f>'Rem. Anticipos R2'!K305</f>
        <v>16082.29</v>
      </c>
      <c r="O30" s="295">
        <f t="shared" si="8"/>
        <v>12385143.039999999</v>
      </c>
      <c r="Q30" s="306"/>
      <c r="S30" s="314">
        <v>3</v>
      </c>
      <c r="T30" s="315" t="s">
        <v>12</v>
      </c>
      <c r="U30" s="316">
        <f>'Rem. Anticipos R2'!L305</f>
        <v>0</v>
      </c>
      <c r="V30" s="317">
        <f>'Rem. Anticipos R2'!M305</f>
        <v>0</v>
      </c>
      <c r="W30" s="317">
        <f>'Rem. Anticipos R2'!N305</f>
        <v>0</v>
      </c>
      <c r="X30" s="317">
        <f>'Rem. Anticipos R2'!O305</f>
        <v>0</v>
      </c>
      <c r="Y30" s="318">
        <f>'Rem. Anticipos R2'!P305</f>
        <v>0</v>
      </c>
      <c r="Z30" s="319">
        <f>L30*-1</f>
        <v>0</v>
      </c>
      <c r="AA30" s="320">
        <f>'Rem. Anticipos R2'!Q305</f>
        <v>0</v>
      </c>
      <c r="AB30" s="294">
        <f>N30</f>
        <v>16082.29</v>
      </c>
      <c r="AC30" s="320">
        <f>'Rem. Anticipos R2'!R305</f>
        <v>0</v>
      </c>
      <c r="AD30" s="291">
        <f t="shared" ref="AD30:AD32" si="10">-J30+AE30</f>
        <v>-4432926.82</v>
      </c>
      <c r="AE30" s="291">
        <f>'Rem. Anticipos R2'!E306</f>
        <v>-4432926.82</v>
      </c>
      <c r="AF30" s="322">
        <f>SUM(U30:AD30)</f>
        <v>-4416844.53</v>
      </c>
      <c r="AG30" s="323">
        <f t="shared" ref="AG30:AG31" si="11">(AF30-O30)</f>
        <v>-16801987.57</v>
      </c>
      <c r="AH30" s="1" t="b">
        <f t="shared" si="9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23742361.280000001</v>
      </c>
      <c r="E31" s="292">
        <f>'Rem. Anticipos R2'!F429</f>
        <v>0</v>
      </c>
      <c r="F31" s="292">
        <f>'Rem. Anticipos R2'!G429</f>
        <v>0</v>
      </c>
      <c r="G31" s="292">
        <f>'Rem. Anticipos R2'!H429</f>
        <v>0</v>
      </c>
      <c r="H31" s="292">
        <f>'Rem. Anticipos R2'!I429</f>
        <v>0</v>
      </c>
      <c r="I31" s="292">
        <f>'Rem. Anticipos R2'!J429</f>
        <v>0</v>
      </c>
      <c r="J31" s="288">
        <v>0</v>
      </c>
      <c r="K31" s="295">
        <f t="shared" si="7"/>
        <v>23742361.280000001</v>
      </c>
      <c r="L31" s="294">
        <v>0</v>
      </c>
      <c r="M31" s="295">
        <f>K31-L31</f>
        <v>23742361.280000001</v>
      </c>
      <c r="N31" s="294">
        <f>'Rem. Anticipos R2'!K429</f>
        <v>0</v>
      </c>
      <c r="O31" s="295">
        <f t="shared" si="8"/>
        <v>23742361.280000001</v>
      </c>
      <c r="Q31" s="306"/>
      <c r="S31" s="314">
        <v>4</v>
      </c>
      <c r="T31" s="315" t="s">
        <v>13</v>
      </c>
      <c r="U31" s="316">
        <f>'Rem. Anticipos R2'!L429</f>
        <v>0</v>
      </c>
      <c r="V31" s="317">
        <f>'Rem. Anticipos R2'!M429</f>
        <v>0</v>
      </c>
      <c r="W31" s="317">
        <f>'Rem. Anticipos R2'!N429</f>
        <v>0</v>
      </c>
      <c r="X31" s="317">
        <f>'Rem. Anticipos R2'!O429</f>
        <v>0</v>
      </c>
      <c r="Y31" s="318">
        <f>'Rem. Anticipos R2'!P429</f>
        <v>0</v>
      </c>
      <c r="Z31" s="319">
        <f>L31*-1</f>
        <v>0</v>
      </c>
      <c r="AA31" s="320">
        <f>'Rem. Anticipos R2'!Q429</f>
        <v>0</v>
      </c>
      <c r="AB31" s="294">
        <f>N31</f>
        <v>0</v>
      </c>
      <c r="AC31" s="320">
        <f>'Rem. Anticipos R2'!R429</f>
        <v>0</v>
      </c>
      <c r="AD31" s="291">
        <f t="shared" si="10"/>
        <v>84110.96</v>
      </c>
      <c r="AE31" s="291">
        <f>'Rem. Anticipos R2'!E430</f>
        <v>84110.96</v>
      </c>
      <c r="AF31" s="322">
        <f>SUM(U31:AD31)</f>
        <v>84110.96</v>
      </c>
      <c r="AG31" s="323">
        <f t="shared" si="11"/>
        <v>-23658250.32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9192655.3300000001</v>
      </c>
      <c r="E32" s="297">
        <f>'Rem. Anticipos R2'!F516</f>
        <v>0</v>
      </c>
      <c r="F32" s="297">
        <f>'Rem. Anticipos R2'!G516</f>
        <v>0</v>
      </c>
      <c r="G32" s="297">
        <f>'Rem. Anticipos R2'!H516</f>
        <v>0</v>
      </c>
      <c r="H32" s="297">
        <f>'Rem. Anticipos R2'!I516</f>
        <v>0</v>
      </c>
      <c r="I32" s="297">
        <f>'Rem. Anticipos R2'!J516</f>
        <v>0</v>
      </c>
      <c r="J32" s="289">
        <v>0</v>
      </c>
      <c r="K32" s="295">
        <f>D32-E32-F32-G32-H32-I32-J32</f>
        <v>9192655.3300000001</v>
      </c>
      <c r="L32" s="294">
        <v>0</v>
      </c>
      <c r="M32" s="298">
        <f>K32-L32</f>
        <v>9192655.3300000001</v>
      </c>
      <c r="N32" s="299">
        <f>'Rem. Anticipos R2'!K516</f>
        <v>0</v>
      </c>
      <c r="O32" s="298">
        <f t="shared" si="8"/>
        <v>9192655.3300000001</v>
      </c>
      <c r="Q32" s="306"/>
      <c r="S32" s="324">
        <v>5</v>
      </c>
      <c r="T32" s="325" t="s">
        <v>14</v>
      </c>
      <c r="U32" s="296">
        <f>'Rem. Anticipos R2'!L516</f>
        <v>0</v>
      </c>
      <c r="V32" s="297">
        <f>'Rem. Anticipos R2'!M516</f>
        <v>0</v>
      </c>
      <c r="W32" s="297">
        <f>'Rem. Anticipos R2'!N516</f>
        <v>0</v>
      </c>
      <c r="X32" s="297">
        <f>'Rem. Anticipos R2'!O516</f>
        <v>0</v>
      </c>
      <c r="Y32" s="289">
        <f>'Rem. Anticipos R2'!P516</f>
        <v>0</v>
      </c>
      <c r="Z32" s="319">
        <f>L32*-1</f>
        <v>0</v>
      </c>
      <c r="AA32" s="320">
        <f>'Rem. Anticipos R2'!Q516</f>
        <v>0</v>
      </c>
      <c r="AB32" s="294">
        <f>N32</f>
        <v>0</v>
      </c>
      <c r="AC32" s="320">
        <f>'Rem. Anticipos R2'!R516</f>
        <v>0</v>
      </c>
      <c r="AD32" s="291">
        <f t="shared" si="10"/>
        <v>48766.77</v>
      </c>
      <c r="AE32" s="291">
        <f>'Rem. Anticipos R2'!E517</f>
        <v>48766.77</v>
      </c>
      <c r="AF32" s="322">
        <f>SUM(U32:AD32)</f>
        <v>48766.77</v>
      </c>
      <c r="AG32" s="326">
        <f>(AF32-O32)</f>
        <v>-9143888.5600000005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111378328.48999999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111378328.48999999</v>
      </c>
      <c r="L33" s="301">
        <f t="shared" si="12"/>
        <v>0</v>
      </c>
      <c r="M33" s="302">
        <f t="shared" si="12"/>
        <v>111378328.48999999</v>
      </c>
      <c r="N33" s="301">
        <f t="shared" si="12"/>
        <v>86819.239999999991</v>
      </c>
      <c r="O33" s="302">
        <f t="shared" si="12"/>
        <v>111465147.73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86819.239999999991</v>
      </c>
      <c r="AC33" s="290">
        <f t="shared" ref="AC33" si="14">SUM(AC28:AC32)</f>
        <v>0</v>
      </c>
      <c r="AD33" s="290">
        <f>SUM(AD28:AD32)</f>
        <v>-24980322.109999999</v>
      </c>
      <c r="AE33" s="290">
        <f>SUM(AE28:AE32)</f>
        <v>-24980322.109999999</v>
      </c>
      <c r="AF33" s="331">
        <f t="shared" si="13"/>
        <v>-24893502.870000001</v>
      </c>
      <c r="AG33" s="332">
        <f t="shared" si="13"/>
        <v>-136358650.59999999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513960</v>
      </c>
      <c r="E47" s="292">
        <f>'Reporte Componentes R1'!G101</f>
        <v>23589.91</v>
      </c>
      <c r="F47" s="292">
        <f>'Reporte Componentes R1'!H101</f>
        <v>13315.42</v>
      </c>
      <c r="G47" s="292">
        <f>'Reporte Componentes R1'!I101</f>
        <v>6990.72</v>
      </c>
      <c r="H47" s="292">
        <f>'Reporte Componentes R1'!J101</f>
        <v>120363.97</v>
      </c>
      <c r="I47" s="292">
        <f>'Reporte Componentes R1'!K101</f>
        <v>5305.85</v>
      </c>
      <c r="J47" s="289">
        <v>0</v>
      </c>
      <c r="K47" s="293">
        <f>D47-E47-F47-G47-H47-I47-J47</f>
        <v>344394.13000000012</v>
      </c>
      <c r="L47" s="294">
        <v>0</v>
      </c>
      <c r="M47" s="293">
        <f>K47-L47</f>
        <v>344394.13000000012</v>
      </c>
      <c r="N47" s="294">
        <f>'Reporte Componentes R1'!L101</f>
        <v>0</v>
      </c>
      <c r="O47" s="293">
        <f>M47+N47</f>
        <v>344394.13000000012</v>
      </c>
      <c r="Q47" s="306"/>
      <c r="S47" s="303">
        <v>1</v>
      </c>
      <c r="T47" s="304" t="s">
        <v>10</v>
      </c>
      <c r="U47" s="307">
        <f>'Reporte Componentes R1'!M101</f>
        <v>46542.54</v>
      </c>
      <c r="V47" s="308">
        <f>'Reporte Componentes R1'!N101</f>
        <v>44798.14</v>
      </c>
      <c r="W47" s="308">
        <f>'Reporte Componentes R1'!O101</f>
        <v>212067.75</v>
      </c>
      <c r="X47" s="308">
        <f>'Reporte Componentes R1'!P101</f>
        <v>64428.39</v>
      </c>
      <c r="Y47" s="309">
        <f>'Reporte Componentes R1'!Q101</f>
        <v>8656.8700000000008</v>
      </c>
      <c r="Z47" s="310">
        <f>-L47</f>
        <v>0</v>
      </c>
      <c r="AA47" s="320">
        <f>'Reporte Componentes R1'!R101+'Reporte Componentes R1'!V101+'Reporte Componentes R1'!U101</f>
        <v>0.08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-32099.64</v>
      </c>
      <c r="AE47" s="291">
        <f>'Reporte Componentes R1'!F102</f>
        <v>-32099.64</v>
      </c>
      <c r="AF47" s="313">
        <f>SUM(U47:AD47)</f>
        <v>344394.13</v>
      </c>
      <c r="AG47" s="311">
        <f>(AF47-O47)</f>
        <v>-1.1641532182693481E-10</v>
      </c>
      <c r="AH47" s="1" t="b">
        <f>INT(AG47)=0</f>
        <v>0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9240820</v>
      </c>
      <c r="E48" s="292">
        <f>'Reporte Componentes R1'!G335</f>
        <v>619369.35</v>
      </c>
      <c r="F48" s="292">
        <f>'Reporte Componentes R1'!H335</f>
        <v>348940.76</v>
      </c>
      <c r="G48" s="292">
        <f>'Reporte Componentes R1'!I335</f>
        <v>186556.4</v>
      </c>
      <c r="H48" s="292">
        <f>'Reporte Componentes R1'!J335</f>
        <v>2777266.1</v>
      </c>
      <c r="I48" s="292">
        <f>'Reporte Componentes R1'!K335</f>
        <v>74214.44</v>
      </c>
      <c r="J48" s="288">
        <v>0</v>
      </c>
      <c r="K48" s="295">
        <f t="shared" ref="K48:K51" si="15">D48-E48-F48-G48-H48-I48-J48</f>
        <v>5234472.95</v>
      </c>
      <c r="L48" s="294">
        <v>0</v>
      </c>
      <c r="M48" s="295">
        <f>K48-L48</f>
        <v>5234472.95</v>
      </c>
      <c r="N48" s="294">
        <f>'Reporte Componentes R1'!L335</f>
        <v>0</v>
      </c>
      <c r="O48" s="295">
        <f t="shared" ref="O48:O51" si="16">M48+N48</f>
        <v>5234472.95</v>
      </c>
      <c r="Q48" s="306"/>
      <c r="S48" s="314">
        <v>2</v>
      </c>
      <c r="T48" s="315" t="s">
        <v>11</v>
      </c>
      <c r="U48" s="316">
        <f>'Reporte Componentes R1'!M335</f>
        <v>651004.74</v>
      </c>
      <c r="V48" s="317">
        <f>'Reporte Componentes R1'!N335</f>
        <v>869550.37</v>
      </c>
      <c r="W48" s="317">
        <f>'Reporte Componentes R1'!O335</f>
        <v>4207125.5599999996</v>
      </c>
      <c r="X48" s="317">
        <f>'Reporte Componentes R1'!P335</f>
        <v>1231696.32</v>
      </c>
      <c r="Y48" s="318">
        <f>'Reporte Componentes R1'!Q335</f>
        <v>122327.65</v>
      </c>
      <c r="Z48" s="319">
        <f>-L48</f>
        <v>0</v>
      </c>
      <c r="AA48" s="320">
        <f>'Reporte Componentes R1'!R335+'Reporte Componentes R1'!V335+'Reporte Componentes R1'!U335</f>
        <v>-111.65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0.04</v>
      </c>
      <c r="AD48" s="291">
        <f t="shared" ref="AD48:AD51" si="17">-J48+AE48</f>
        <v>-1847120.08</v>
      </c>
      <c r="AE48" s="291">
        <f>'Reporte Componentes R1'!F336</f>
        <v>-1847120.08</v>
      </c>
      <c r="AF48" s="322">
        <f>SUM(U48:AD48)</f>
        <v>5234472.95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0</v>
      </c>
      <c r="E49" s="292">
        <f>'Reporte Componentes R1'!G496</f>
        <v>0</v>
      </c>
      <c r="F49" s="292">
        <f>'Reporte Componentes R1'!H496</f>
        <v>0</v>
      </c>
      <c r="G49" s="292">
        <f>'Reporte Componentes R1'!I496</f>
        <v>0</v>
      </c>
      <c r="H49" s="292">
        <f>'Reporte Componentes R1'!J496</f>
        <v>0</v>
      </c>
      <c r="I49" s="292">
        <f>'Reporte Componentes R1'!K496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R1'!L496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R1'!M496</f>
        <v>0</v>
      </c>
      <c r="V49" s="317">
        <f>'Reporte Componentes R1'!N496</f>
        <v>0</v>
      </c>
      <c r="W49" s="317">
        <f>'Reporte Componentes R1'!O496</f>
        <v>0</v>
      </c>
      <c r="X49" s="317">
        <f>'Reporte Componentes R1'!P496</f>
        <v>0</v>
      </c>
      <c r="Y49" s="318">
        <f>'Reporte Componentes R1'!Q496</f>
        <v>0</v>
      </c>
      <c r="Z49" s="319">
        <f>-L49</f>
        <v>0</v>
      </c>
      <c r="AA49" s="320">
        <f>'Reporte Componentes R1'!R496+'Reporte Componentes R1'!V496+'Reporte Componentes R1'!U496</f>
        <v>0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0</v>
      </c>
      <c r="AE49" s="291">
        <f>'Reporte Componentes R1'!F497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20397090</v>
      </c>
      <c r="E50" s="292">
        <f>'Reporte Componentes R1'!G704</f>
        <v>1227244.8600000001</v>
      </c>
      <c r="F50" s="292">
        <f>'Reporte Componentes R1'!H704</f>
        <v>691386.19</v>
      </c>
      <c r="G50" s="292">
        <f>'Reporte Componentes R1'!I704</f>
        <v>369846.57</v>
      </c>
      <c r="H50" s="292">
        <f>'Reporte Componentes R1'!J704</f>
        <v>4959152.18</v>
      </c>
      <c r="I50" s="292">
        <f>'Reporte Componentes R1'!K704</f>
        <v>146012.85</v>
      </c>
      <c r="J50" s="288">
        <v>0</v>
      </c>
      <c r="K50" s="295">
        <f t="shared" si="15"/>
        <v>13003447.35</v>
      </c>
      <c r="L50" s="294">
        <v>0</v>
      </c>
      <c r="M50" s="295">
        <f>K50-L50</f>
        <v>13003447.35</v>
      </c>
      <c r="N50" s="294">
        <f>'Reporte Componentes R1'!L704</f>
        <v>0</v>
      </c>
      <c r="O50" s="295">
        <f t="shared" si="16"/>
        <v>13003447.35</v>
      </c>
      <c r="Q50" s="306"/>
      <c r="S50" s="314">
        <v>4</v>
      </c>
      <c r="T50" s="315" t="s">
        <v>13</v>
      </c>
      <c r="U50" s="316">
        <f>'Reporte Componentes R1'!M704</f>
        <v>1272582.42</v>
      </c>
      <c r="V50" s="317">
        <f>'Reporte Componentes R1'!N704</f>
        <v>1586745.82</v>
      </c>
      <c r="W50" s="317">
        <f>'Reporte Componentes R1'!O704</f>
        <v>8184557.6900000004</v>
      </c>
      <c r="X50" s="317">
        <f>'Reporte Componentes R1'!P704</f>
        <v>3280785.35</v>
      </c>
      <c r="Y50" s="318">
        <f>'Reporte Componentes R1'!Q704</f>
        <v>239656.33</v>
      </c>
      <c r="Z50" s="319">
        <f>-L50</f>
        <v>0</v>
      </c>
      <c r="AA50" s="320">
        <f>'Reporte Componentes R1'!R704+'Reporte Componentes R1'!V704+'Reporte Componentes R1'!U704</f>
        <v>-3.29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-1560876.97</v>
      </c>
      <c r="AE50" s="291">
        <f>'Reporte Componentes R1'!F705</f>
        <v>-1560876.97</v>
      </c>
      <c r="AF50" s="322">
        <f t="shared" si="19"/>
        <v>13003447.35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30151870</v>
      </c>
      <c r="E52" s="290">
        <f t="shared" si="21"/>
        <v>1870204.12</v>
      </c>
      <c r="F52" s="290">
        <f t="shared" si="21"/>
        <v>1053642.3699999999</v>
      </c>
      <c r="G52" s="290">
        <f t="shared" ref="G52" si="22">SUM(G47:G51)</f>
        <v>563393.68999999994</v>
      </c>
      <c r="H52" s="290">
        <f t="shared" si="21"/>
        <v>7856782.25</v>
      </c>
      <c r="I52" s="290">
        <f t="shared" si="21"/>
        <v>225533.14</v>
      </c>
      <c r="J52" s="290">
        <f t="shared" si="21"/>
        <v>0</v>
      </c>
      <c r="K52" s="300">
        <f t="shared" si="21"/>
        <v>18582314.43</v>
      </c>
      <c r="L52" s="301">
        <f t="shared" si="21"/>
        <v>0</v>
      </c>
      <c r="M52" s="302">
        <f t="shared" si="21"/>
        <v>18582314.43</v>
      </c>
      <c r="N52" s="301">
        <f t="shared" si="21"/>
        <v>0</v>
      </c>
      <c r="O52" s="302">
        <f t="shared" si="21"/>
        <v>18582314.43</v>
      </c>
      <c r="P52" s="329"/>
      <c r="Q52" s="306"/>
      <c r="S52" s="327"/>
      <c r="T52" s="328" t="s">
        <v>2</v>
      </c>
      <c r="U52" s="330">
        <f>SUM(U47:U51)</f>
        <v>1970129.7</v>
      </c>
      <c r="V52" s="330">
        <f t="shared" ref="V52:AG52" si="23">SUM(V47:V51)</f>
        <v>2501094.33</v>
      </c>
      <c r="W52" s="330">
        <f t="shared" si="23"/>
        <v>12603751</v>
      </c>
      <c r="X52" s="330">
        <f t="shared" si="23"/>
        <v>4576910.0600000005</v>
      </c>
      <c r="Y52" s="330">
        <f t="shared" si="23"/>
        <v>370640.85</v>
      </c>
      <c r="Z52" s="290">
        <f t="shared" si="23"/>
        <v>0</v>
      </c>
      <c r="AA52" s="290">
        <f t="shared" si="23"/>
        <v>-114.86000000000001</v>
      </c>
      <c r="AB52" s="290">
        <f t="shared" si="23"/>
        <v>0</v>
      </c>
      <c r="AC52" s="290">
        <f t="shared" si="23"/>
        <v>0.04</v>
      </c>
      <c r="AD52" s="290">
        <f>SUM(AD47:AD51)</f>
        <v>-3440096.69</v>
      </c>
      <c r="AE52" s="290">
        <f>SUM(AE47:AE51)</f>
        <v>-3440096.69</v>
      </c>
      <c r="AF52" s="331">
        <f t="shared" si="23"/>
        <v>18582314.43</v>
      </c>
      <c r="AG52" s="332">
        <f t="shared" si="23"/>
        <v>-1.1641532182693481E-10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22022525.940000005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-3698870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309">
        <v>0</v>
      </c>
      <c r="K66" s="293">
        <f>D66-E66-F66-G66-H66-I66-J66</f>
        <v>-3698870</v>
      </c>
      <c r="L66" s="294">
        <v>0</v>
      </c>
      <c r="M66" s="293">
        <f>K66-L66</f>
        <v>-3698870</v>
      </c>
      <c r="N66" s="294">
        <f>'Reversion Pagos R4'!P85</f>
        <v>0</v>
      </c>
      <c r="O66" s="293">
        <f>M66+N66</f>
        <v>-3698870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9">
        <f>'Reversion Pagos R4'!N85</f>
        <v>0</v>
      </c>
      <c r="Z66" s="310">
        <f>-L66</f>
        <v>0</v>
      </c>
      <c r="AA66" s="311">
        <f>+'Reversion Pagos R4'!O85</f>
        <v>0</v>
      </c>
      <c r="AB66" s="294">
        <f>N66</f>
        <v>0</v>
      </c>
      <c r="AC66" s="311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3698870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-20858585.449999999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-20858585.449999999</v>
      </c>
      <c r="L67" s="294">
        <v>0</v>
      </c>
      <c r="M67" s="295">
        <f>K67-L67</f>
        <v>-20858585.449999999</v>
      </c>
      <c r="N67" s="294">
        <f>'Reversion Pagos R4'!P186</f>
        <v>0</v>
      </c>
      <c r="O67" s="295">
        <f t="shared" ref="O67:O70" si="25">M67+N67</f>
        <v>-20858585.449999999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20858585.449999999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-2259272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-2259272</v>
      </c>
      <c r="L68" s="294">
        <v>0</v>
      </c>
      <c r="M68" s="295">
        <f>K68-L68</f>
        <v>-2259272</v>
      </c>
      <c r="N68" s="294">
        <f>'Reversion Pagos R4'!P223</f>
        <v>0</v>
      </c>
      <c r="O68" s="295">
        <f t="shared" si="25"/>
        <v>-2259272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2259272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-39633253.399999999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-39633253.399999999</v>
      </c>
      <c r="L69" s="294">
        <v>0</v>
      </c>
      <c r="M69" s="295">
        <f>K69-L69</f>
        <v>-39633253.399999999</v>
      </c>
      <c r="N69" s="294">
        <f>'Reversion Pagos R4'!P338</f>
        <v>0</v>
      </c>
      <c r="O69" s="295">
        <f t="shared" si="25"/>
        <v>-39633253.399999999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39633253.399999999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-3964157</v>
      </c>
      <c r="E70" s="297">
        <f>'Reversion Pagos R4'!E379</f>
        <v>0</v>
      </c>
      <c r="F70" s="297">
        <f>'Reversion Pagos R4'!F379</f>
        <v>0</v>
      </c>
      <c r="G70" s="297">
        <f>'Reversion Pagos R4'!G379</f>
        <v>0</v>
      </c>
      <c r="H70" s="297">
        <f>'Reversion Pagos R4'!H379</f>
        <v>0</v>
      </c>
      <c r="I70" s="297">
        <f>'Reversion Pagos R4'!I379</f>
        <v>0</v>
      </c>
      <c r="J70" s="289">
        <v>0</v>
      </c>
      <c r="K70" s="295">
        <f t="shared" si="24"/>
        <v>-3964157</v>
      </c>
      <c r="L70" s="294">
        <v>0</v>
      </c>
      <c r="M70" s="298">
        <f>K70-L70</f>
        <v>-3964157</v>
      </c>
      <c r="N70" s="294">
        <f>'Reversion Pagos R4'!P379</f>
        <v>0</v>
      </c>
      <c r="O70" s="298">
        <f t="shared" si="25"/>
        <v>-3964157</v>
      </c>
      <c r="Q70" s="306"/>
      <c r="S70" s="324">
        <v>5</v>
      </c>
      <c r="T70" s="325" t="s">
        <v>14</v>
      </c>
      <c r="U70" s="296">
        <f>'Reversion Pagos R4'!J379</f>
        <v>0</v>
      </c>
      <c r="V70" s="297">
        <f>'Reversion Pagos R4'!K379</f>
        <v>0</v>
      </c>
      <c r="W70" s="297">
        <f>'Reversion Pagos R4'!L379</f>
        <v>0</v>
      </c>
      <c r="X70" s="297">
        <f>'Reversion Pagos R4'!M379</f>
        <v>0</v>
      </c>
      <c r="Y70" s="289">
        <f>'Reversion Pagos R4'!N379</f>
        <v>0</v>
      </c>
      <c r="Z70" s="319">
        <f t="shared" si="26"/>
        <v>0</v>
      </c>
      <c r="AA70" s="320">
        <f>'Reversion Pagos R4'!O379</f>
        <v>0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0</v>
      </c>
      <c r="AE70" s="291">
        <f>'Reversion Pagos R4'!D380</f>
        <v>0</v>
      </c>
      <c r="AF70" s="322">
        <f t="shared" si="30"/>
        <v>0</v>
      </c>
      <c r="AG70" s="326">
        <f t="shared" si="31"/>
        <v>3964157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-70414137.849999994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-70414137.849999994</v>
      </c>
      <c r="L71" s="301">
        <f t="shared" si="32"/>
        <v>0</v>
      </c>
      <c r="M71" s="302">
        <f t="shared" si="32"/>
        <v>-70414137.849999994</v>
      </c>
      <c r="N71" s="301">
        <f t="shared" si="32"/>
        <v>0</v>
      </c>
      <c r="O71" s="302">
        <f t="shared" si="32"/>
        <v>-70414137.849999994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70414137.849999994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14494946130.289999</v>
      </c>
      <c r="E104" s="292">
        <f t="shared" si="43"/>
        <v>808253973.28999996</v>
      </c>
      <c r="F104" s="292">
        <f t="shared" si="43"/>
        <v>450253745.53000003</v>
      </c>
      <c r="G104" s="292">
        <f t="shared" si="43"/>
        <v>239677556.41999999</v>
      </c>
      <c r="H104" s="292">
        <f t="shared" si="43"/>
        <v>4717876749.6900005</v>
      </c>
      <c r="I104" s="292">
        <f t="shared" si="43"/>
        <v>157342146.16</v>
      </c>
      <c r="J104" s="292">
        <f t="shared" si="43"/>
        <v>2153950828.1600003</v>
      </c>
      <c r="K104" s="293">
        <f>D104-E104-F104-G104-H104-I104-J104</f>
        <v>5967591131.039999</v>
      </c>
      <c r="L104" s="294">
        <f>L9+L28+L47+L66+L85</f>
        <v>189185987</v>
      </c>
      <c r="M104" s="293">
        <f>K104-L104</f>
        <v>5778405144.039999</v>
      </c>
      <c r="N104" s="294">
        <f>N9+N28+N47+N66+N85</f>
        <v>9937924.0999999996</v>
      </c>
      <c r="O104" s="293">
        <f>M104+N104</f>
        <v>5788343068.1399994</v>
      </c>
      <c r="Q104" s="306"/>
      <c r="S104" s="303">
        <v>1</v>
      </c>
      <c r="T104" s="304" t="s">
        <v>10</v>
      </c>
      <c r="U104" s="307">
        <f t="shared" ref="U104:AB108" si="44">U9+U28+U47+U66+U85</f>
        <v>1381636155.4599998</v>
      </c>
      <c r="V104" s="308">
        <f t="shared" si="44"/>
        <v>1303071672.7900002</v>
      </c>
      <c r="W104" s="308">
        <f t="shared" si="44"/>
        <v>6211299089.6899996</v>
      </c>
      <c r="X104" s="308">
        <f t="shared" si="44"/>
        <v>2199309075.6299996</v>
      </c>
      <c r="Y104" s="309">
        <f t="shared" si="44"/>
        <v>256857302.64000002</v>
      </c>
      <c r="Z104" s="310">
        <f t="shared" si="44"/>
        <v>-189185987</v>
      </c>
      <c r="AA104" s="311">
        <f>AA9+AA28+AA47+AA66+AA85</f>
        <v>-24225.26</v>
      </c>
      <c r="AB104" s="294">
        <f>AB9+AB28+AB47+AB66+AB85</f>
        <v>9937924.0999999996</v>
      </c>
      <c r="AC104" s="311">
        <f>AC9+AC28+AC47+AC66+AC85</f>
        <v>149.04</v>
      </c>
      <c r="AD104" s="291">
        <f>-J104+AE104</f>
        <v>-5409140437.7200003</v>
      </c>
      <c r="AE104" s="291">
        <f>AE9+AE28+AE47+AE66+AE85</f>
        <v>-3255189609.5599999</v>
      </c>
      <c r="AF104" s="313">
        <f>SUM(U104:AD104)</f>
        <v>5763760719.369998</v>
      </c>
      <c r="AG104" s="311">
        <f>AF104-O104</f>
        <v>-24582348.770001411</v>
      </c>
      <c r="AH104" s="1" t="b">
        <f>INT(AG104)=0</f>
        <v>0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10307938498.949999</v>
      </c>
      <c r="E105" s="292">
        <f t="shared" si="43"/>
        <v>761637783.10000002</v>
      </c>
      <c r="F105" s="292">
        <f t="shared" si="43"/>
        <v>421888349.53999996</v>
      </c>
      <c r="G105" s="292">
        <f t="shared" si="43"/>
        <v>223785500.97</v>
      </c>
      <c r="H105" s="292">
        <f t="shared" si="43"/>
        <v>3460548293.3299999</v>
      </c>
      <c r="I105" s="292">
        <f t="shared" si="43"/>
        <v>123692734.97999999</v>
      </c>
      <c r="J105" s="292">
        <f t="shared" si="43"/>
        <v>-4217145526.9099998</v>
      </c>
      <c r="K105" s="295">
        <f t="shared" ref="K105:K108" si="45">D105-E105-F105-G105-H105-I105-J105</f>
        <v>9533531363.9399986</v>
      </c>
      <c r="L105" s="294">
        <f>L10+L29+L48+L67+L86</f>
        <v>266580255</v>
      </c>
      <c r="M105" s="295">
        <f>K105-L105</f>
        <v>9266951108.9399986</v>
      </c>
      <c r="N105" s="294">
        <f>N10+N29+N48+N67+N86</f>
        <v>6792800.1600000001</v>
      </c>
      <c r="O105" s="295">
        <f t="shared" ref="O105:O108" si="46">M105+N105</f>
        <v>9273743909.0999985</v>
      </c>
      <c r="Q105" s="306"/>
      <c r="S105" s="314">
        <v>2</v>
      </c>
      <c r="T105" s="315" t="s">
        <v>11</v>
      </c>
      <c r="U105" s="316">
        <f t="shared" si="44"/>
        <v>1084554770.1400001</v>
      </c>
      <c r="V105" s="317">
        <f t="shared" si="44"/>
        <v>1032621895.5300001</v>
      </c>
      <c r="W105" s="317">
        <f t="shared" si="44"/>
        <v>4907514838.9000006</v>
      </c>
      <c r="X105" s="317">
        <f t="shared" si="44"/>
        <v>1491213170.3199999</v>
      </c>
      <c r="Y105" s="318">
        <f t="shared" si="44"/>
        <v>201954335.44</v>
      </c>
      <c r="Z105" s="319">
        <f t="shared" si="44"/>
        <v>-266580255</v>
      </c>
      <c r="AA105" s="320">
        <f t="shared" si="44"/>
        <v>-13369.77</v>
      </c>
      <c r="AB105" s="294">
        <f t="shared" si="44"/>
        <v>6792800.1600000001</v>
      </c>
      <c r="AC105" s="320">
        <f t="shared" ref="AC105" si="47">AC10+AC29+AC48+AC67+AC86</f>
        <v>-48.89</v>
      </c>
      <c r="AD105" s="291">
        <f t="shared" ref="AD105:AD106" si="48">-J105+AE105</f>
        <v>778071052.34000015</v>
      </c>
      <c r="AE105" s="291">
        <f>AE10+AE29+AE48+AE67+AE86</f>
        <v>-3439074474.5699997</v>
      </c>
      <c r="AF105" s="322">
        <f>SUM(U105:AD105)</f>
        <v>9236129189.1699982</v>
      </c>
      <c r="AG105" s="323">
        <f>AF105-O105</f>
        <v>-37614719.930000305</v>
      </c>
      <c r="AH105" s="1" t="b">
        <f t="shared" ref="AH105:AH109" si="49">INT(AG105)=0</f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8394192614.9000006</v>
      </c>
      <c r="E106" s="292">
        <f t="shared" si="43"/>
        <v>519485736.51999998</v>
      </c>
      <c r="F106" s="292">
        <f t="shared" si="43"/>
        <v>289280679.71999997</v>
      </c>
      <c r="G106" s="292">
        <f t="shared" si="43"/>
        <v>153855222.93000001</v>
      </c>
      <c r="H106" s="292">
        <f t="shared" si="43"/>
        <v>2406618472.7000003</v>
      </c>
      <c r="I106" s="292">
        <f t="shared" si="43"/>
        <v>86333540.400000006</v>
      </c>
      <c r="J106" s="292">
        <f t="shared" si="43"/>
        <v>-1288806337.0900002</v>
      </c>
      <c r="K106" s="295">
        <f t="shared" si="45"/>
        <v>6227425299.7200012</v>
      </c>
      <c r="L106" s="294">
        <f>L11+L30+L49+L68+L87</f>
        <v>154788535</v>
      </c>
      <c r="M106" s="295">
        <f>K106-L106</f>
        <v>6072636764.7200012</v>
      </c>
      <c r="N106" s="294">
        <f>N11+N30+N49+N68+N87</f>
        <v>14510188.139999999</v>
      </c>
      <c r="O106" s="295">
        <f t="shared" si="46"/>
        <v>6087146952.8600016</v>
      </c>
      <c r="Q106" s="306"/>
      <c r="S106" s="314">
        <v>3</v>
      </c>
      <c r="T106" s="315" t="s">
        <v>12</v>
      </c>
      <c r="U106" s="316">
        <f t="shared" si="44"/>
        <v>757964762.67000008</v>
      </c>
      <c r="V106" s="317">
        <f t="shared" si="44"/>
        <v>717589277.52999997</v>
      </c>
      <c r="W106" s="317">
        <f t="shared" si="44"/>
        <v>3409164597.5999999</v>
      </c>
      <c r="X106" s="317">
        <f t="shared" si="44"/>
        <v>1230549027.6600001</v>
      </c>
      <c r="Y106" s="318">
        <f t="shared" si="44"/>
        <v>140956999.82000002</v>
      </c>
      <c r="Z106" s="319">
        <f t="shared" si="44"/>
        <v>-154788535</v>
      </c>
      <c r="AA106" s="320">
        <f t="shared" si="44"/>
        <v>-82499.44</v>
      </c>
      <c r="AB106" s="294">
        <f t="shared" si="44"/>
        <v>14510188.139999999</v>
      </c>
      <c r="AC106" s="320">
        <f t="shared" ref="AC106" si="50">AC11+AC30+AC49+AC68+AC87</f>
        <v>1.1100000000000001</v>
      </c>
      <c r="AD106" s="291">
        <f t="shared" si="48"/>
        <v>-43259582.799999714</v>
      </c>
      <c r="AE106" s="291">
        <f>AE11+AE30+AE49+AE68+AE87</f>
        <v>-1332065919.8899999</v>
      </c>
      <c r="AF106" s="322">
        <f>SUM(U106:AD106)</f>
        <v>6072604237.2900009</v>
      </c>
      <c r="AG106" s="323">
        <f>AF106-O106</f>
        <v>-14542715.570000648</v>
      </c>
      <c r="AH106" s="1" t="b">
        <f t="shared" si="49"/>
        <v>0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9886897739.0499992</v>
      </c>
      <c r="E107" s="292">
        <f t="shared" si="43"/>
        <v>553928633.95000005</v>
      </c>
      <c r="F107" s="292">
        <f t="shared" si="43"/>
        <v>307330655.34999996</v>
      </c>
      <c r="G107" s="292">
        <f t="shared" si="43"/>
        <v>163491193.43000001</v>
      </c>
      <c r="H107" s="292">
        <f t="shared" si="43"/>
        <v>2337302085.3999996</v>
      </c>
      <c r="I107" s="292">
        <f t="shared" si="43"/>
        <v>87964267.669999987</v>
      </c>
      <c r="J107" s="292">
        <f t="shared" si="43"/>
        <v>61531953.689999998</v>
      </c>
      <c r="K107" s="295">
        <f t="shared" si="45"/>
        <v>6375348949.5599985</v>
      </c>
      <c r="L107" s="294">
        <f>L12+L31+L50+L69+L88</f>
        <v>120391083</v>
      </c>
      <c r="M107" s="295">
        <f>K107-L107</f>
        <v>6254957866.5599985</v>
      </c>
      <c r="N107" s="294">
        <f>N12+N31+N50+N69+N88</f>
        <v>7972372.8300000001</v>
      </c>
      <c r="O107" s="295">
        <f>M107+N107</f>
        <v>6262930239.3899984</v>
      </c>
      <c r="Q107" s="306"/>
      <c r="S107" s="314">
        <v>4</v>
      </c>
      <c r="T107" s="315" t="s">
        <v>13</v>
      </c>
      <c r="U107" s="316">
        <f t="shared" si="44"/>
        <v>771148596.94999993</v>
      </c>
      <c r="V107" s="317">
        <f t="shared" si="44"/>
        <v>730737756.58000004</v>
      </c>
      <c r="W107" s="317">
        <f t="shared" si="44"/>
        <v>3783293510.3099999</v>
      </c>
      <c r="X107" s="317">
        <f t="shared" si="44"/>
        <v>1466361057.49</v>
      </c>
      <c r="Y107" s="318">
        <f t="shared" si="44"/>
        <v>143754108.56000003</v>
      </c>
      <c r="Z107" s="319">
        <f t="shared" si="44"/>
        <v>-120391083</v>
      </c>
      <c r="AA107" s="320">
        <f>AA12+AA31+AA50+AA69+AA88</f>
        <v>31618.89</v>
      </c>
      <c r="AB107" s="294">
        <f t="shared" si="44"/>
        <v>7972372.8300000001</v>
      </c>
      <c r="AC107" s="320">
        <f t="shared" ref="AC107" si="51">AC12+AC31+AC50+AC69+AC88</f>
        <v>189.23</v>
      </c>
      <c r="AD107" s="291">
        <f t="shared" ref="AD107" si="52">-J107+AE107</f>
        <v>-504002885.37000006</v>
      </c>
      <c r="AE107" s="291">
        <f>AE12+AE31+AE50+AE69+AE88</f>
        <v>-442470931.68000007</v>
      </c>
      <c r="AF107" s="322">
        <f t="shared" ref="AF107:AF108" si="53">SUM(U107:AD107)</f>
        <v>6278905242.4700003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7238405926.46</v>
      </c>
      <c r="E108" s="297">
        <f t="shared" si="43"/>
        <v>383226244.79000002</v>
      </c>
      <c r="F108" s="297">
        <f t="shared" si="43"/>
        <v>213399131.62</v>
      </c>
      <c r="G108" s="297">
        <f t="shared" si="43"/>
        <v>113487155.67</v>
      </c>
      <c r="H108" s="297">
        <f t="shared" si="43"/>
        <v>1813158921.0699999</v>
      </c>
      <c r="I108" s="297">
        <f t="shared" si="43"/>
        <v>60280537.299999997</v>
      </c>
      <c r="J108" s="297">
        <f t="shared" si="43"/>
        <v>-1246473094.4099998</v>
      </c>
      <c r="K108" s="295">
        <f t="shared" si="45"/>
        <v>5901327030.4200001</v>
      </c>
      <c r="L108" s="294">
        <f>L13+L32+L51+L70+L89</f>
        <v>128990445</v>
      </c>
      <c r="M108" s="298">
        <f>K108-L108</f>
        <v>5772336585.4200001</v>
      </c>
      <c r="N108" s="299">
        <f>N13+N32+N51+N70+N89</f>
        <v>10471696.869999999</v>
      </c>
      <c r="O108" s="298">
        <f t="shared" si="46"/>
        <v>5782808282.29</v>
      </c>
      <c r="Q108" s="306"/>
      <c r="S108" s="324">
        <v>5</v>
      </c>
      <c r="T108" s="325" t="s">
        <v>14</v>
      </c>
      <c r="U108" s="296">
        <f t="shared" si="44"/>
        <v>528865960.60000002</v>
      </c>
      <c r="V108" s="297">
        <f t="shared" si="44"/>
        <v>496788585.52999997</v>
      </c>
      <c r="W108" s="297">
        <f t="shared" si="44"/>
        <v>2555805599.5999999</v>
      </c>
      <c r="X108" s="297">
        <f t="shared" si="44"/>
        <v>1140353351.6900001</v>
      </c>
      <c r="Y108" s="289">
        <f t="shared" si="44"/>
        <v>98362156.760000005</v>
      </c>
      <c r="Z108" s="319">
        <f t="shared" si="44"/>
        <v>-128990445</v>
      </c>
      <c r="AA108" s="320">
        <f t="shared" si="44"/>
        <v>11598.57</v>
      </c>
      <c r="AB108" s="294">
        <f t="shared" si="44"/>
        <v>10471696.869999999</v>
      </c>
      <c r="AC108" s="320">
        <f t="shared" ref="AC108" si="54">AC13+AC32+AC51+AC70+AC89</f>
        <v>4.82</v>
      </c>
      <c r="AD108" s="291">
        <f>-J108+AE108</f>
        <v>1075960041.29</v>
      </c>
      <c r="AE108" s="291">
        <f>AE13+AE32+AE51+AE70+AE89</f>
        <v>-170513053.11999997</v>
      </c>
      <c r="AF108" s="322">
        <f t="shared" si="53"/>
        <v>5777628550.7299995</v>
      </c>
      <c r="AG108" s="326">
        <f>AF108-O108</f>
        <v>-5179731.5600004196</v>
      </c>
      <c r="AH108" s="1" t="b">
        <f t="shared" si="49"/>
        <v>0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50322380909.650002</v>
      </c>
      <c r="E109" s="290">
        <f t="shared" ref="E109:O109" si="55">SUM(E104:E108)</f>
        <v>3026532371.6499996</v>
      </c>
      <c r="F109" s="290">
        <f t="shared" si="55"/>
        <v>1682152561.7599998</v>
      </c>
      <c r="G109" s="290">
        <f t="shared" si="55"/>
        <v>894296629.41999996</v>
      </c>
      <c r="H109" s="290">
        <f t="shared" si="55"/>
        <v>14735504522.190001</v>
      </c>
      <c r="I109" s="290">
        <f t="shared" si="55"/>
        <v>515613226.50999993</v>
      </c>
      <c r="J109" s="290">
        <f t="shared" si="55"/>
        <v>-4536942176.5599995</v>
      </c>
      <c r="K109" s="300">
        <f t="shared" si="55"/>
        <v>34005223774.679993</v>
      </c>
      <c r="L109" s="301">
        <f t="shared" si="55"/>
        <v>859936305</v>
      </c>
      <c r="M109" s="302">
        <f t="shared" si="55"/>
        <v>33145287469.679993</v>
      </c>
      <c r="N109" s="301">
        <f>SUM(N104:N108)</f>
        <v>49684982.099999994</v>
      </c>
      <c r="O109" s="302">
        <f t="shared" si="55"/>
        <v>33194972451.779999</v>
      </c>
      <c r="P109" s="329"/>
      <c r="Q109" s="306"/>
      <c r="S109" s="327"/>
      <c r="T109" s="328" t="s">
        <v>2</v>
      </c>
      <c r="U109" s="330">
        <f>SUM(U104:U108)</f>
        <v>4524170245.8199997</v>
      </c>
      <c r="V109" s="330">
        <f t="shared" ref="V109:AF109" si="56">SUM(V104:V108)</f>
        <v>4280809187.96</v>
      </c>
      <c r="W109" s="330">
        <f t="shared" si="56"/>
        <v>20867077636.099998</v>
      </c>
      <c r="X109" s="330">
        <f t="shared" si="56"/>
        <v>7527785682.789999</v>
      </c>
      <c r="Y109" s="330">
        <f t="shared" si="56"/>
        <v>841884903.22000015</v>
      </c>
      <c r="Z109" s="290">
        <f t="shared" si="56"/>
        <v>-859936305</v>
      </c>
      <c r="AA109" s="290">
        <f t="shared" si="56"/>
        <v>-76877.010000000009</v>
      </c>
      <c r="AB109" s="290">
        <f t="shared" si="56"/>
        <v>49684982.099999994</v>
      </c>
      <c r="AC109" s="290">
        <f t="shared" si="56"/>
        <v>295.31</v>
      </c>
      <c r="AD109" s="290">
        <f t="shared" si="56"/>
        <v>-4102371812.2600002</v>
      </c>
      <c r="AE109" s="290">
        <f>SUM(AE104:AE108)</f>
        <v>-8639313988.8199997</v>
      </c>
      <c r="AF109" s="331">
        <f t="shared" si="56"/>
        <v>33129027939.029999</v>
      </c>
      <c r="AG109" s="332">
        <f>SUM(AG104:AG108)</f>
        <v>-81919515.830002785</v>
      </c>
      <c r="AH109" s="1" t="b">
        <f t="shared" si="49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38041727655.889999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29606547</v>
      </c>
      <c r="E125" s="111">
        <v>0</v>
      </c>
      <c r="G125" s="336">
        <f>D47+N47</f>
        <v>513960</v>
      </c>
      <c r="H125" s="310">
        <f>D28+N28</f>
        <v>26731349.390000001</v>
      </c>
      <c r="I125" s="309">
        <f>D85+N85</f>
        <v>0</v>
      </c>
      <c r="J125" s="309">
        <f>D66+N66</f>
        <v>-3698870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22325147.129999999</v>
      </c>
      <c r="E126" s="74">
        <v>0</v>
      </c>
      <c r="G126" s="339">
        <f>D48+N48</f>
        <v>9240820</v>
      </c>
      <c r="H126" s="340">
        <f>D29+N29</f>
        <v>39413638.689999998</v>
      </c>
      <c r="I126" s="288">
        <f>D86+N86</f>
        <v>0</v>
      </c>
      <c r="J126" s="288">
        <f t="shared" ref="J126:J129" si="57">D67+N67</f>
        <v>-20858585.449999999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8845080</v>
      </c>
      <c r="E127" s="74">
        <v>0</v>
      </c>
      <c r="G127" s="339">
        <f>D49+N49</f>
        <v>0</v>
      </c>
      <c r="H127" s="340">
        <f>D30+N30</f>
        <v>12385143.039999999</v>
      </c>
      <c r="I127" s="288">
        <f>D87+N87</f>
        <v>0</v>
      </c>
      <c r="J127" s="288">
        <f t="shared" si="57"/>
        <v>-2259272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42284806</v>
      </c>
      <c r="E128" s="74">
        <v>0</v>
      </c>
      <c r="G128" s="339">
        <f>D50+N50</f>
        <v>20397090</v>
      </c>
      <c r="H128" s="340">
        <f>D31+N31</f>
        <v>23742361.280000001</v>
      </c>
      <c r="I128" s="288">
        <f>D88+N88</f>
        <v>0</v>
      </c>
      <c r="J128" s="288">
        <f t="shared" si="57"/>
        <v>-39633253.399999999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5249580</v>
      </c>
      <c r="E129" s="139">
        <v>0</v>
      </c>
      <c r="G129" s="339">
        <f>D51+N51</f>
        <v>0</v>
      </c>
      <c r="H129" s="340">
        <f>D32+N32</f>
        <v>9192655.3300000001</v>
      </c>
      <c r="I129" s="288">
        <f>D89+N89</f>
        <v>0</v>
      </c>
      <c r="J129" s="288">
        <f t="shared" si="57"/>
        <v>-3964157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108311160.13</v>
      </c>
      <c r="E131" s="107">
        <f>SUM(E125:E130)</f>
        <v>0</v>
      </c>
      <c r="F131" s="45"/>
      <c r="G131" s="350">
        <f t="shared" ref="G131" si="58">SUM(G125:G129)</f>
        <v>30151870</v>
      </c>
      <c r="H131" s="350">
        <f>SUM(H125:H130)</f>
        <v>111465147.73</v>
      </c>
      <c r="I131" s="350">
        <f>SUM(I125:I130)</f>
        <v>0</v>
      </c>
      <c r="J131" s="350">
        <f>SUM(J125:J130)</f>
        <v>-70414137.849999994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14534490601.389999</v>
      </c>
      <c r="E142" s="110">
        <f>'Recaudo ENEL'!F21</f>
        <v>0</v>
      </c>
      <c r="F142" s="110">
        <f>D28+N28</f>
        <v>26731349.390000001</v>
      </c>
      <c r="G142" s="110">
        <f>D66+N66</f>
        <v>-3698870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513960</v>
      </c>
      <c r="K142" s="111">
        <f t="shared" si="59"/>
        <v>26731349.390000001</v>
      </c>
      <c r="L142" s="525">
        <f>D142-E142-F142-G142-J142-H142-I142</f>
        <v>14510944162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10337056446.239998</v>
      </c>
      <c r="E143" s="18">
        <f>'Recaudo ENEL'!F22</f>
        <v>0</v>
      </c>
      <c r="F143" s="18">
        <f>D29+N29</f>
        <v>39413638.689999998</v>
      </c>
      <c r="G143" s="18">
        <f>D67+N67</f>
        <v>-20858585.449999999</v>
      </c>
      <c r="H143" s="18">
        <f>D86+N86</f>
        <v>0</v>
      </c>
      <c r="I143" s="18">
        <f>('REPORTE RECAUDO x BANCO'!E65)</f>
        <v>1345550</v>
      </c>
      <c r="J143" s="18">
        <f t="shared" si="59"/>
        <v>9240820</v>
      </c>
      <c r="K143" s="83">
        <f t="shared" si="59"/>
        <v>39413638.689999998</v>
      </c>
      <c r="L143" s="525">
        <f>D143-E143-F143-G143-J143-H143-I143</f>
        <v>10307915022.999998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8417547883.0400009</v>
      </c>
      <c r="E144" s="18">
        <f>'Recaudo ENEL'!F23</f>
        <v>0</v>
      </c>
      <c r="F144" s="18">
        <f>D30+N30</f>
        <v>12385143.039999999</v>
      </c>
      <c r="G144" s="18">
        <f>D68+N68</f>
        <v>-2259272</v>
      </c>
      <c r="H144" s="18">
        <f>D87+N87</f>
        <v>0</v>
      </c>
      <c r="I144" s="18">
        <f>('REPORTE RECAUDO x BANCO'!E67)</f>
        <v>464422</v>
      </c>
      <c r="J144" s="18">
        <f t="shared" si="59"/>
        <v>0</v>
      </c>
      <c r="K144" s="83">
        <f t="shared" si="59"/>
        <v>12385143.039999999</v>
      </c>
      <c r="L144" s="525">
        <f>D144-E144-F144-G144-J144-H144-I144</f>
        <v>8406957590.000001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9937154917.8799992</v>
      </c>
      <c r="E145" s="18">
        <f>'Recaudo ENEL'!F24</f>
        <v>0</v>
      </c>
      <c r="F145" s="18">
        <f>D31+N31</f>
        <v>23742361.280000001</v>
      </c>
      <c r="G145" s="18">
        <f>D69+N69</f>
        <v>-39633253.399999999</v>
      </c>
      <c r="H145" s="18">
        <f>D88+N88</f>
        <v>0</v>
      </c>
      <c r="I145" s="18">
        <f>('REPORTE RECAUDO x BANCO'!E70)</f>
        <v>218584</v>
      </c>
      <c r="J145" s="18">
        <f t="shared" si="59"/>
        <v>20397090</v>
      </c>
      <c r="K145" s="83">
        <f t="shared" si="59"/>
        <v>23742361.280000001</v>
      </c>
      <c r="L145" s="525">
        <f>D145-E145-F145-G145-J145-H145-I145</f>
        <v>9932430135.9999981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7254127203.3299999</v>
      </c>
      <c r="E146" s="18">
        <f>'Recaudo ENEL'!F25</f>
        <v>0</v>
      </c>
      <c r="F146" s="134">
        <f>D32+N32</f>
        <v>9192655.3300000001</v>
      </c>
      <c r="G146" s="134">
        <f>D70+N70</f>
        <v>-3964157</v>
      </c>
      <c r="H146" s="134">
        <f>D89+N89</f>
        <v>0</v>
      </c>
      <c r="I146" s="134">
        <f>('REPORTE RECAUDO x BANCO'!E72)</f>
        <v>687220</v>
      </c>
      <c r="J146" s="134">
        <f t="shared" si="59"/>
        <v>0</v>
      </c>
      <c r="K146" s="136">
        <f t="shared" si="59"/>
        <v>9192655.3300000001</v>
      </c>
      <c r="L146" s="525">
        <f>D146-E146-F146-G146-J146-H146-I146</f>
        <v>7248211485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50480377051.879997</v>
      </c>
      <c r="E147" s="47">
        <f>SUM(E142:E146)</f>
        <v>0</v>
      </c>
      <c r="F147" s="47">
        <f t="shared" ref="F147:K147" si="61">SUM(F142:F146)</f>
        <v>111465147.73</v>
      </c>
      <c r="G147" s="47">
        <f t="shared" si="61"/>
        <v>-70414137.849999994</v>
      </c>
      <c r="H147" s="47">
        <f t="shared" si="61"/>
        <v>0</v>
      </c>
      <c r="I147" s="47">
        <f t="shared" si="61"/>
        <v>2715776</v>
      </c>
      <c r="J147" s="47">
        <f t="shared" si="61"/>
        <v>30151870</v>
      </c>
      <c r="K147" s="47">
        <f t="shared" si="61"/>
        <v>111465147.73</v>
      </c>
      <c r="L147" s="525">
        <f>SUM(L142:L146)</f>
        <v>50406458396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14510944162</v>
      </c>
      <c r="D3" s="292">
        <f>REMUNERACION_ENEL!G125</f>
        <v>513960</v>
      </c>
      <c r="E3" s="292">
        <f>REMUNERACION_ENEL!D28+REMUNERACION_ENEL!N28</f>
        <v>26731349.390000001</v>
      </c>
      <c r="F3" s="292">
        <f>REMUNERACION_ENEL!I142</f>
        <v>0</v>
      </c>
      <c r="G3" s="292">
        <f>REMUNERACION_ENEL!H142</f>
        <v>0</v>
      </c>
      <c r="H3" s="340">
        <f>SUM(C3:G3)</f>
        <v>14538189471.389999</v>
      </c>
      <c r="I3" s="291">
        <f>REMUNERACION_ENEL!D104</f>
        <v>14494946130.289999</v>
      </c>
      <c r="J3" s="292">
        <f>REMUNERACION_ENEL!N104</f>
        <v>9937924.0999999996</v>
      </c>
      <c r="K3" s="292">
        <f>REMUNERACION_ENEL!D125</f>
        <v>29606547</v>
      </c>
      <c r="L3" s="353">
        <f>REMUNERACION_ENEL!E125</f>
        <v>0</v>
      </c>
      <c r="M3" s="292">
        <f>-REMUNERACION_ENEL!D66-REMUNERACION_ENEL!N66</f>
        <v>3698870</v>
      </c>
      <c r="N3" s="288">
        <f>SUM(I3:M3)</f>
        <v>14538189471.389999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10307915023</v>
      </c>
      <c r="D4" s="292">
        <f>REMUNERACION_ENEL!G126</f>
        <v>9240820</v>
      </c>
      <c r="E4" s="292">
        <f>REMUNERACION_ENEL!D29+REMUNERACION_ENEL!N29</f>
        <v>39413638.689999998</v>
      </c>
      <c r="F4" s="292">
        <f>REMUNERACION_ENEL!I143</f>
        <v>1345550</v>
      </c>
      <c r="G4" s="292">
        <f>REMUNERACION_ENEL!H143</f>
        <v>0</v>
      </c>
      <c r="H4" s="340">
        <f t="shared" ref="H4:H8" si="1">SUM(C4:G4)</f>
        <v>10357915031.690001</v>
      </c>
      <c r="I4" s="291">
        <f>REMUNERACION_ENEL!D105</f>
        <v>10307938498.949999</v>
      </c>
      <c r="J4" s="292">
        <f>REMUNERACION_ENEL!N105</f>
        <v>6792800.1600000001</v>
      </c>
      <c r="K4" s="292">
        <f>REMUNERACION_ENEL!D126</f>
        <v>22325147.129999999</v>
      </c>
      <c r="L4" s="353">
        <f>REMUNERACION_ENEL!E126</f>
        <v>0</v>
      </c>
      <c r="M4" s="292">
        <f>-REMUNERACION_ENEL!D67-REMUNERACION_ENEL!N67</f>
        <v>20858585.449999999</v>
      </c>
      <c r="N4" s="318">
        <f>SUM(I4:M4)</f>
        <v>10357915031.689999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8406957590</v>
      </c>
      <c r="D5" s="292">
        <f>REMUNERACION_ENEL!G127</f>
        <v>0</v>
      </c>
      <c r="E5" s="292">
        <f>REMUNERACION_ENEL!D30+REMUNERACION_ENEL!N30</f>
        <v>12385143.039999999</v>
      </c>
      <c r="F5" s="292">
        <f>REMUNERACION_ENEL!I144</f>
        <v>464422</v>
      </c>
      <c r="G5" s="292">
        <f>REMUNERACION_ENEL!H144</f>
        <v>0</v>
      </c>
      <c r="H5" s="340">
        <f t="shared" si="1"/>
        <v>8419807155.04</v>
      </c>
      <c r="I5" s="291">
        <f>REMUNERACION_ENEL!D106</f>
        <v>8394192614.9000006</v>
      </c>
      <c r="J5" s="292">
        <f>REMUNERACION_ENEL!N106</f>
        <v>14510188.139999999</v>
      </c>
      <c r="K5" s="292">
        <f>REMUNERACION_ENEL!D127</f>
        <v>8845080</v>
      </c>
      <c r="L5" s="353">
        <f>REMUNERACION_ENEL!E127</f>
        <v>0</v>
      </c>
      <c r="M5" s="292">
        <f>-REMUNERACION_ENEL!D68-REMUNERACION_ENEL!N68</f>
        <v>2259272</v>
      </c>
      <c r="N5" s="318">
        <f>SUM(I5:M5)</f>
        <v>8419807155.0400009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9932430136</v>
      </c>
      <c r="D6" s="292">
        <f>REMUNERACION_ENEL!G128</f>
        <v>20397090</v>
      </c>
      <c r="E6" s="292">
        <f>REMUNERACION_ENEL!D31+REMUNERACION_ENEL!N31</f>
        <v>23742361.280000001</v>
      </c>
      <c r="F6" s="292">
        <f>REMUNERACION_ENEL!I145</f>
        <v>218584</v>
      </c>
      <c r="G6" s="292">
        <f>REMUNERACION_ENEL!H145</f>
        <v>0</v>
      </c>
      <c r="H6" s="340">
        <f t="shared" si="1"/>
        <v>9976788171.2800007</v>
      </c>
      <c r="I6" s="291">
        <f>REMUNERACION_ENEL!D107</f>
        <v>9886897739.0499992</v>
      </c>
      <c r="J6" s="292">
        <f>REMUNERACION_ENEL!N107</f>
        <v>7972372.8300000001</v>
      </c>
      <c r="K6" s="292">
        <f>REMUNERACION_ENEL!D128</f>
        <v>42284806</v>
      </c>
      <c r="L6" s="353">
        <f>REMUNERACION_ENEL!E128</f>
        <v>0</v>
      </c>
      <c r="M6" s="292">
        <f>-REMUNERACION_ENEL!D69-REMUNERACION_ENEL!N69</f>
        <v>39633253.399999999</v>
      </c>
      <c r="N6" s="318">
        <f t="shared" ref="N6:N7" si="3">SUM(I6:M6)</f>
        <v>9976788171.2799988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7248211485</v>
      </c>
      <c r="D7" s="292">
        <f>REMUNERACION_ENEL!G129</f>
        <v>0</v>
      </c>
      <c r="E7" s="292">
        <f>REMUNERACION_ENEL!D32+REMUNERACION_ENEL!N32</f>
        <v>9192655.3300000001</v>
      </c>
      <c r="F7" s="292">
        <f>REMUNERACION_ENEL!I146</f>
        <v>687220</v>
      </c>
      <c r="G7" s="292">
        <f>REMUNERACION_ENEL!H146</f>
        <v>0</v>
      </c>
      <c r="H7" s="340">
        <f t="shared" si="1"/>
        <v>7258091360.3299999</v>
      </c>
      <c r="I7" s="291">
        <f>REMUNERACION_ENEL!D108</f>
        <v>7238405926.46</v>
      </c>
      <c r="J7" s="292">
        <f>REMUNERACION_ENEL!N108</f>
        <v>10471696.869999999</v>
      </c>
      <c r="K7" s="292">
        <f>REMUNERACION_ENEL!D129</f>
        <v>5249580</v>
      </c>
      <c r="L7" s="353">
        <f>REMUNERACION_ENEL!E129</f>
        <v>0</v>
      </c>
      <c r="M7" s="292">
        <f>-REMUNERACION_ENEL!D70-REMUNERACION_ENEL!N70</f>
        <v>3964157</v>
      </c>
      <c r="N7" s="318">
        <f t="shared" si="3"/>
        <v>7258091360.3299999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50406458396</v>
      </c>
      <c r="D9" s="290">
        <f t="shared" ref="D9:M9" si="4">SUM(D3:D8)</f>
        <v>30151870</v>
      </c>
      <c r="E9" s="290">
        <f t="shared" si="4"/>
        <v>111465147.73</v>
      </c>
      <c r="F9" s="290">
        <f t="shared" si="4"/>
        <v>2715776</v>
      </c>
      <c r="G9" s="290">
        <f t="shared" si="4"/>
        <v>0</v>
      </c>
      <c r="H9" s="290">
        <f t="shared" si="4"/>
        <v>50550791189.730003</v>
      </c>
      <c r="I9" s="290">
        <f t="shared" si="4"/>
        <v>50322380909.650002</v>
      </c>
      <c r="J9" s="290">
        <f t="shared" si="4"/>
        <v>49684982.099999994</v>
      </c>
      <c r="K9" s="290">
        <f t="shared" si="4"/>
        <v>108311160.13</v>
      </c>
      <c r="L9" s="290">
        <f t="shared" si="4"/>
        <v>0</v>
      </c>
      <c r="M9" s="290">
        <f t="shared" si="4"/>
        <v>70414137.849999994</v>
      </c>
      <c r="N9" s="290">
        <f>SUM(N3:N8)</f>
        <v>50550791189.729996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50406458396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46296</v>
      </c>
      <c r="J7" s="2" t="s">
        <v>28</v>
      </c>
      <c r="K7" s="9">
        <f>REMUNERACION_ENEL!K102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14494946130.289999</v>
      </c>
      <c r="E9" s="66">
        <f>REMUNERACION_ENEL!E104</f>
        <v>808253973.28999996</v>
      </c>
      <c r="F9" s="66">
        <f>REMUNERACION_ENEL!F104</f>
        <v>450253745.53000003</v>
      </c>
      <c r="G9" s="66">
        <f>REMUNERACION_ENEL!G104</f>
        <v>239677556.41999999</v>
      </c>
      <c r="H9" s="66">
        <f>REMUNERACION_ENEL!H104</f>
        <v>4717876749.6900005</v>
      </c>
      <c r="I9" s="66">
        <f>REMUNERACION_ENEL!I104</f>
        <v>157342146.16</v>
      </c>
      <c r="J9" s="66">
        <f>REMUNERACION_ENEL!J104</f>
        <v>2153950828.1600003</v>
      </c>
      <c r="K9" s="30">
        <f>D9-E9-F9-G9-H9-I9-J9</f>
        <v>5967591131.039999</v>
      </c>
      <c r="L9" s="66">
        <f>REMUNERACION_ENEL!L104</f>
        <v>189185987</v>
      </c>
      <c r="M9" s="30">
        <f>K9-L9</f>
        <v>5778405144.039999</v>
      </c>
      <c r="N9" s="66">
        <f>REMUNERACION_ENEL!N104</f>
        <v>9937924.0999999996</v>
      </c>
      <c r="O9" s="30">
        <f>M9+N9</f>
        <v>5788343068.1399994</v>
      </c>
      <c r="Q9" s="4"/>
      <c r="S9" s="14">
        <v>1</v>
      </c>
      <c r="T9" s="61" t="s">
        <v>10</v>
      </c>
      <c r="U9" s="66">
        <f>REMUNERACION_ENEL!U104</f>
        <v>1381636155.4599998</v>
      </c>
      <c r="V9" s="66">
        <f>REMUNERACION_ENEL!V104</f>
        <v>1303071672.7900002</v>
      </c>
      <c r="W9" s="66">
        <f>REMUNERACION_ENEL!W104</f>
        <v>6211299089.6899996</v>
      </c>
      <c r="X9" s="66">
        <f>REMUNERACION_ENEL!X104</f>
        <v>2199309075.6299996</v>
      </c>
      <c r="Y9" s="66">
        <f>REMUNERACION_ENEL!Y104</f>
        <v>256857302.64000002</v>
      </c>
      <c r="Z9" s="66">
        <f>REMUNERACION_ENEL!Z104</f>
        <v>-189185987</v>
      </c>
      <c r="AA9" s="66">
        <f>REMUNERACION_ENEL!AA104</f>
        <v>-24225.26</v>
      </c>
      <c r="AB9" s="66">
        <f>REMUNERACION_ENEL!AB104</f>
        <v>9937924.0999999996</v>
      </c>
      <c r="AC9" s="66">
        <f>REMUNERACION_ENEL!AC104</f>
        <v>149.04</v>
      </c>
      <c r="AD9" s="66">
        <f>REMUNERACION_ENEL!AD104</f>
        <v>-5409140437.7200003</v>
      </c>
      <c r="AE9" s="66">
        <f>REMUNERACION_ENEL!AE104</f>
        <v>-3255189609.5599999</v>
      </c>
      <c r="AF9" s="69">
        <f>SUM(U9:AD9)</f>
        <v>5763760719.369998</v>
      </c>
      <c r="AG9" s="71">
        <f>AF9-O9</f>
        <v>-24582348.770001411</v>
      </c>
      <c r="AH9" s="1" t="b">
        <f>INT(AG9)=0</f>
        <v>0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10307938498.949999</v>
      </c>
      <c r="E10" s="66">
        <f>REMUNERACION_ENEL!E105</f>
        <v>761637783.10000002</v>
      </c>
      <c r="F10" s="66">
        <f>REMUNERACION_ENEL!F105</f>
        <v>421888349.53999996</v>
      </c>
      <c r="G10" s="66">
        <f>REMUNERACION_ENEL!G105</f>
        <v>223785500.97</v>
      </c>
      <c r="H10" s="66">
        <f>REMUNERACION_ENEL!H105</f>
        <v>3460548293.3299999</v>
      </c>
      <c r="I10" s="66">
        <f>REMUNERACION_ENEL!I105</f>
        <v>123692734.97999999</v>
      </c>
      <c r="J10" s="66">
        <f>REMUNERACION_ENEL!J105</f>
        <v>-4217145526.9099998</v>
      </c>
      <c r="K10" s="31">
        <f t="shared" ref="K10:K13" si="0">D10-E10-F10-G10-H10-I10-J10</f>
        <v>9533531363.9399986</v>
      </c>
      <c r="L10" s="66">
        <f>REMUNERACION_ENEL!L105</f>
        <v>266580255</v>
      </c>
      <c r="M10" s="31">
        <f>K10-L10</f>
        <v>9266951108.9399986</v>
      </c>
      <c r="N10" s="66">
        <f>REMUNERACION_ENEL!N105</f>
        <v>6792800.1600000001</v>
      </c>
      <c r="O10" s="31">
        <f t="shared" ref="O10:O13" si="1">M10+N10</f>
        <v>9273743909.0999985</v>
      </c>
      <c r="Q10" s="4"/>
      <c r="S10" s="16">
        <v>2</v>
      </c>
      <c r="T10" s="62" t="s">
        <v>11</v>
      </c>
      <c r="U10" s="66">
        <f>REMUNERACION_ENEL!U105</f>
        <v>1084554770.1400001</v>
      </c>
      <c r="V10" s="66">
        <f>REMUNERACION_ENEL!V105</f>
        <v>1032621895.5300001</v>
      </c>
      <c r="W10" s="66">
        <f>REMUNERACION_ENEL!W105</f>
        <v>4907514838.9000006</v>
      </c>
      <c r="X10" s="66">
        <f>REMUNERACION_ENEL!X105</f>
        <v>1491213170.3199999</v>
      </c>
      <c r="Y10" s="66">
        <f>REMUNERACION_ENEL!Y105</f>
        <v>201954335.44</v>
      </c>
      <c r="Z10" s="66">
        <f>REMUNERACION_ENEL!Z105</f>
        <v>-266580255</v>
      </c>
      <c r="AA10" s="66">
        <f>REMUNERACION_ENEL!AA105</f>
        <v>-13369.77</v>
      </c>
      <c r="AB10" s="66">
        <f>REMUNERACION_ENEL!AB105</f>
        <v>6792800.1600000001</v>
      </c>
      <c r="AC10" s="66">
        <f>REMUNERACION_ENEL!AC105</f>
        <v>-48.89</v>
      </c>
      <c r="AD10" s="66">
        <f>REMUNERACION_ENEL!AD105</f>
        <v>778071052.34000015</v>
      </c>
      <c r="AE10" s="66">
        <f>REMUNERACION_ENEL!AE105</f>
        <v>-3439074474.5699997</v>
      </c>
      <c r="AF10" s="70">
        <f>SUM(U10:AD10)</f>
        <v>9236129189.1699982</v>
      </c>
      <c r="AG10" s="72">
        <f>AF10-O10</f>
        <v>-37614719.930000305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8394192614.9000006</v>
      </c>
      <c r="E11" s="66">
        <f>REMUNERACION_ENEL!E106</f>
        <v>519485736.51999998</v>
      </c>
      <c r="F11" s="66">
        <f>REMUNERACION_ENEL!F106</f>
        <v>289280679.71999997</v>
      </c>
      <c r="G11" s="66">
        <f>REMUNERACION_ENEL!G106</f>
        <v>153855222.93000001</v>
      </c>
      <c r="H11" s="66">
        <f>REMUNERACION_ENEL!H106</f>
        <v>2406618472.7000003</v>
      </c>
      <c r="I11" s="66">
        <f>REMUNERACION_ENEL!I106</f>
        <v>86333540.400000006</v>
      </c>
      <c r="J11" s="66">
        <f>REMUNERACION_ENEL!J106</f>
        <v>-1288806337.0900002</v>
      </c>
      <c r="K11" s="31">
        <f t="shared" si="0"/>
        <v>6227425299.7200012</v>
      </c>
      <c r="L11" s="66">
        <f>REMUNERACION_ENEL!L106</f>
        <v>154788535</v>
      </c>
      <c r="M11" s="31">
        <f>K11-L11</f>
        <v>6072636764.7200012</v>
      </c>
      <c r="N11" s="66">
        <f>REMUNERACION_ENEL!N106</f>
        <v>14510188.139999999</v>
      </c>
      <c r="O11" s="31">
        <f t="shared" si="1"/>
        <v>6087146952.8600016</v>
      </c>
      <c r="Q11" s="4"/>
      <c r="S11" s="16">
        <v>3</v>
      </c>
      <c r="T11" s="62" t="s">
        <v>12</v>
      </c>
      <c r="U11" s="66">
        <f>REMUNERACION_ENEL!U106</f>
        <v>757964762.67000008</v>
      </c>
      <c r="V11" s="66">
        <f>REMUNERACION_ENEL!V106</f>
        <v>717589277.52999997</v>
      </c>
      <c r="W11" s="66">
        <f>REMUNERACION_ENEL!W106</f>
        <v>3409164597.5999999</v>
      </c>
      <c r="X11" s="66">
        <f>REMUNERACION_ENEL!X106</f>
        <v>1230549027.6600001</v>
      </c>
      <c r="Y11" s="66">
        <f>REMUNERACION_ENEL!Y106</f>
        <v>140956999.82000002</v>
      </c>
      <c r="Z11" s="66">
        <f>REMUNERACION_ENEL!Z106</f>
        <v>-154788535</v>
      </c>
      <c r="AA11" s="66">
        <f>REMUNERACION_ENEL!AA106</f>
        <v>-82499.44</v>
      </c>
      <c r="AB11" s="66">
        <f>REMUNERACION_ENEL!AB106</f>
        <v>14510188.139999999</v>
      </c>
      <c r="AC11" s="66">
        <f>REMUNERACION_ENEL!AC106</f>
        <v>1.1100000000000001</v>
      </c>
      <c r="AD11" s="66">
        <f>REMUNERACION_ENEL!AD106</f>
        <v>-43259582.799999714</v>
      </c>
      <c r="AE11" s="66">
        <f>REMUNERACION_ENEL!AE106</f>
        <v>-1332065919.8899999</v>
      </c>
      <c r="AF11" s="70">
        <f>SUM(U11:AD11)</f>
        <v>6072604237.2900009</v>
      </c>
      <c r="AG11" s="72">
        <f>AF11-O11</f>
        <v>-14542715.570000648</v>
      </c>
      <c r="AH11" s="1" t="b">
        <f t="shared" si="2"/>
        <v>0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9886897739.0499992</v>
      </c>
      <c r="E12" s="66">
        <f>REMUNERACION_ENEL!E107</f>
        <v>553928633.95000005</v>
      </c>
      <c r="F12" s="66">
        <f>REMUNERACION_ENEL!F107</f>
        <v>307330655.34999996</v>
      </c>
      <c r="G12" s="66">
        <f>REMUNERACION_ENEL!G107</f>
        <v>163491193.43000001</v>
      </c>
      <c r="H12" s="66">
        <f>REMUNERACION_ENEL!H107</f>
        <v>2337302085.3999996</v>
      </c>
      <c r="I12" s="66">
        <f>REMUNERACION_ENEL!I107</f>
        <v>87964267.669999987</v>
      </c>
      <c r="J12" s="66">
        <f>REMUNERACION_ENEL!J107</f>
        <v>61531953.689999998</v>
      </c>
      <c r="K12" s="31">
        <f t="shared" si="0"/>
        <v>6375348949.5599985</v>
      </c>
      <c r="L12" s="66">
        <f>REMUNERACION_ENEL!L107</f>
        <v>120391083</v>
      </c>
      <c r="M12" s="31">
        <f>K12-L12</f>
        <v>6254957866.5599985</v>
      </c>
      <c r="N12" s="66">
        <f>REMUNERACION_ENEL!N107</f>
        <v>7972372.8300000001</v>
      </c>
      <c r="O12" s="31">
        <f t="shared" si="1"/>
        <v>6262930239.3899984</v>
      </c>
      <c r="Q12" s="4"/>
      <c r="S12" s="16">
        <v>4</v>
      </c>
      <c r="T12" s="62" t="s">
        <v>13</v>
      </c>
      <c r="U12" s="66">
        <f>REMUNERACION_ENEL!U107</f>
        <v>771148596.94999993</v>
      </c>
      <c r="V12" s="66">
        <f>REMUNERACION_ENEL!V107</f>
        <v>730737756.58000004</v>
      </c>
      <c r="W12" s="66">
        <f>REMUNERACION_ENEL!W107</f>
        <v>3783293510.3099999</v>
      </c>
      <c r="X12" s="66">
        <f>REMUNERACION_ENEL!X107</f>
        <v>1466361057.49</v>
      </c>
      <c r="Y12" s="66">
        <f>REMUNERACION_ENEL!Y107</f>
        <v>143754108.56000003</v>
      </c>
      <c r="Z12" s="66">
        <f>REMUNERACION_ENEL!Z107</f>
        <v>-120391083</v>
      </c>
      <c r="AA12" s="66">
        <f>REMUNERACION_ENEL!AA107</f>
        <v>31618.89</v>
      </c>
      <c r="AB12" s="66">
        <f>REMUNERACION_ENEL!AB107</f>
        <v>7972372.8300000001</v>
      </c>
      <c r="AC12" s="66">
        <f>REMUNERACION_ENEL!AC107</f>
        <v>189.23</v>
      </c>
      <c r="AD12" s="66">
        <f>REMUNERACION_ENEL!AD107</f>
        <v>-504002885.37000006</v>
      </c>
      <c r="AE12" s="66">
        <f>REMUNERACION_ENEL!AE107</f>
        <v>-442470931.68000007</v>
      </c>
      <c r="AF12" s="70">
        <f>SUM(U12:AD12)</f>
        <v>6278905242.4700003</v>
      </c>
      <c r="AG12" s="72">
        <f>AF12-O12</f>
        <v>15975003.080001831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7238405926.46</v>
      </c>
      <c r="E13" s="66">
        <f>REMUNERACION_ENEL!E108</f>
        <v>383226244.79000002</v>
      </c>
      <c r="F13" s="66">
        <f>REMUNERACION_ENEL!F108</f>
        <v>213399131.62</v>
      </c>
      <c r="G13" s="66">
        <f>REMUNERACION_ENEL!G108</f>
        <v>113487155.67</v>
      </c>
      <c r="H13" s="66">
        <f>REMUNERACION_ENEL!H108</f>
        <v>1813158921.0699999</v>
      </c>
      <c r="I13" s="66">
        <f>REMUNERACION_ENEL!I108</f>
        <v>60280537.299999997</v>
      </c>
      <c r="J13" s="66">
        <f>REMUNERACION_ENEL!J108</f>
        <v>-1246473094.4099998</v>
      </c>
      <c r="K13" s="31">
        <f t="shared" si="0"/>
        <v>5901327030.4200001</v>
      </c>
      <c r="L13" s="66">
        <f>REMUNERACION_ENEL!L108</f>
        <v>128990445</v>
      </c>
      <c r="M13" s="40">
        <f>K13-L13</f>
        <v>5772336585.4200001</v>
      </c>
      <c r="N13" s="66">
        <f>REMUNERACION_ENEL!N108</f>
        <v>10471696.869999999</v>
      </c>
      <c r="O13" s="40">
        <f t="shared" si="1"/>
        <v>5782808282.29</v>
      </c>
      <c r="Q13" s="4"/>
      <c r="S13" s="19">
        <v>5</v>
      </c>
      <c r="T13" s="63" t="s">
        <v>14</v>
      </c>
      <c r="U13" s="66">
        <f>REMUNERACION_ENEL!U108</f>
        <v>528865960.60000002</v>
      </c>
      <c r="V13" s="66">
        <f>REMUNERACION_ENEL!V108</f>
        <v>496788585.52999997</v>
      </c>
      <c r="W13" s="66">
        <f>REMUNERACION_ENEL!W108</f>
        <v>2555805599.5999999</v>
      </c>
      <c r="X13" s="66">
        <f>REMUNERACION_ENEL!X108</f>
        <v>1140353351.6900001</v>
      </c>
      <c r="Y13" s="66">
        <f>REMUNERACION_ENEL!Y108</f>
        <v>98362156.760000005</v>
      </c>
      <c r="Z13" s="66">
        <f>REMUNERACION_ENEL!Z108</f>
        <v>-128990445</v>
      </c>
      <c r="AA13" s="66">
        <f>REMUNERACION_ENEL!AA108</f>
        <v>11598.57</v>
      </c>
      <c r="AB13" s="66">
        <f>REMUNERACION_ENEL!AB108</f>
        <v>10471696.869999999</v>
      </c>
      <c r="AC13" s="66">
        <f>REMUNERACION_ENEL!AC108</f>
        <v>4.82</v>
      </c>
      <c r="AD13" s="66">
        <f>REMUNERACION_ENEL!AD108</f>
        <v>1075960041.29</v>
      </c>
      <c r="AE13" s="66">
        <f>REMUNERACION_ENEL!AE108</f>
        <v>-170513053.11999997</v>
      </c>
      <c r="AF13" s="70">
        <f>SUM(U13:AD13)</f>
        <v>5777628550.7299995</v>
      </c>
      <c r="AG13" s="72">
        <f>AF13-O13</f>
        <v>-5179731.5600004196</v>
      </c>
      <c r="AH13" s="1" t="b">
        <f t="shared" si="2"/>
        <v>0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50322380909.650002</v>
      </c>
      <c r="E14" s="43">
        <f t="shared" si="3"/>
        <v>3026532371.6499996</v>
      </c>
      <c r="F14" s="43">
        <f t="shared" si="3"/>
        <v>1682152561.7599998</v>
      </c>
      <c r="G14" s="43">
        <f t="shared" si="3"/>
        <v>894296629.41999996</v>
      </c>
      <c r="H14" s="43">
        <f t="shared" si="3"/>
        <v>14735504522.190001</v>
      </c>
      <c r="I14" s="43">
        <f t="shared" si="3"/>
        <v>515613226.50999993</v>
      </c>
      <c r="J14" s="43">
        <f t="shared" si="3"/>
        <v>-4536942176.5599995</v>
      </c>
      <c r="K14" s="32">
        <f t="shared" si="3"/>
        <v>34005223774.679993</v>
      </c>
      <c r="L14" s="23">
        <f t="shared" si="3"/>
        <v>859936305</v>
      </c>
      <c r="M14" s="76">
        <f t="shared" si="3"/>
        <v>33145287469.679993</v>
      </c>
      <c r="N14" s="23">
        <f t="shared" si="3"/>
        <v>49684982.099999994</v>
      </c>
      <c r="O14" s="76">
        <f t="shared" si="3"/>
        <v>33194972451.779999</v>
      </c>
      <c r="P14" s="2"/>
      <c r="Q14" s="4"/>
      <c r="S14" s="21"/>
      <c r="T14" s="22" t="s">
        <v>2</v>
      </c>
      <c r="U14" s="43">
        <f>SUM(U9:U13)</f>
        <v>4524170245.8199997</v>
      </c>
      <c r="V14" s="43">
        <f t="shared" ref="V14:AG14" si="4">SUM(V9:V13)</f>
        <v>4280809187.96</v>
      </c>
      <c r="W14" s="43">
        <f t="shared" si="4"/>
        <v>20867077636.099998</v>
      </c>
      <c r="X14" s="43">
        <f t="shared" si="4"/>
        <v>7527785682.789999</v>
      </c>
      <c r="Y14" s="43">
        <f t="shared" si="4"/>
        <v>841884903.22000015</v>
      </c>
      <c r="Z14" s="43">
        <f t="shared" si="4"/>
        <v>-859936305</v>
      </c>
      <c r="AA14" s="43">
        <f t="shared" si="4"/>
        <v>-76877.010000000009</v>
      </c>
      <c r="AB14" s="43">
        <f t="shared" si="4"/>
        <v>49684982.099999994</v>
      </c>
      <c r="AC14" s="43">
        <f t="shared" si="4"/>
        <v>295.31</v>
      </c>
      <c r="AD14" s="43">
        <f t="shared" si="4"/>
        <v>-4102371812.2600002</v>
      </c>
      <c r="AE14" s="43">
        <f>SUM(AE9:AE13)</f>
        <v>-8639313988.8199997</v>
      </c>
      <c r="AF14" s="68">
        <f t="shared" si="4"/>
        <v>33129027939.029999</v>
      </c>
      <c r="AG14" s="43">
        <f t="shared" si="4"/>
        <v>-65944512.750000954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38041727655.889999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46296</v>
      </c>
      <c r="J27" s="2" t="s">
        <v>28</v>
      </c>
      <c r="K27" s="9">
        <f>REMUNERACION_ENEL!K122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29606547</v>
      </c>
      <c r="E30" s="111">
        <f>REMUNERACION_ENEL!E125</f>
        <v>0</v>
      </c>
      <c r="G30" s="336">
        <f>REMUNERACION_ENEL!G125</f>
        <v>513960</v>
      </c>
      <c r="H30" s="310">
        <f>REMUNERACION_ENEL!H125</f>
        <v>26731349.390000001</v>
      </c>
      <c r="I30" s="309">
        <f>REMUNERACION_ENEL!I125</f>
        <v>0</v>
      </c>
      <c r="J30" s="309">
        <f>REMUNERACION_ENEL!J125</f>
        <v>-3698870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22325147.129999999</v>
      </c>
      <c r="E31" s="74">
        <f>REMUNERACION_ENEL!E126</f>
        <v>0</v>
      </c>
      <c r="G31" s="339">
        <f>REMUNERACION_ENEL!G126</f>
        <v>9240820</v>
      </c>
      <c r="H31" s="340">
        <f>REMUNERACION_ENEL!H126</f>
        <v>39413638.689999998</v>
      </c>
      <c r="I31" s="288">
        <f>REMUNERACION_ENEL!I126</f>
        <v>0</v>
      </c>
      <c r="J31" s="288">
        <f>REMUNERACION_ENEL!J126</f>
        <v>-20858585.449999999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8845080</v>
      </c>
      <c r="E32" s="74">
        <f>REMUNERACION_ENEL!E127</f>
        <v>0</v>
      </c>
      <c r="G32" s="339">
        <f>REMUNERACION_ENEL!G127</f>
        <v>0</v>
      </c>
      <c r="H32" s="340">
        <f>REMUNERACION_ENEL!H127</f>
        <v>12385143.039999999</v>
      </c>
      <c r="I32" s="288">
        <f>REMUNERACION_ENEL!I127</f>
        <v>0</v>
      </c>
      <c r="J32" s="288">
        <f>REMUNERACION_ENEL!J127</f>
        <v>-2259272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42284806</v>
      </c>
      <c r="E33" s="74">
        <f>REMUNERACION_ENEL!E128</f>
        <v>0</v>
      </c>
      <c r="G33" s="339">
        <f>REMUNERACION_ENEL!G128</f>
        <v>20397090</v>
      </c>
      <c r="H33" s="340">
        <f>REMUNERACION_ENEL!H128</f>
        <v>23742361.280000001</v>
      </c>
      <c r="I33" s="288">
        <f>REMUNERACION_ENEL!I128</f>
        <v>0</v>
      </c>
      <c r="J33" s="288">
        <f>REMUNERACION_ENEL!J128</f>
        <v>-39633253.399999999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5249580</v>
      </c>
      <c r="E34" s="139">
        <f>REMUNERACION_ENEL!E129</f>
        <v>0</v>
      </c>
      <c r="G34" s="339">
        <f>REMUNERACION_ENEL!G129</f>
        <v>0</v>
      </c>
      <c r="H34" s="340">
        <f>REMUNERACION_ENEL!H129</f>
        <v>9192655.3300000001</v>
      </c>
      <c r="I34" s="288">
        <f>REMUNERACION_ENEL!I129</f>
        <v>0</v>
      </c>
      <c r="J34" s="288">
        <f>REMUNERACION_ENEL!J129</f>
        <v>-3964157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108311160.13</v>
      </c>
      <c r="E36" s="107">
        <f>REMUNERACION_ENEL!E131</f>
        <v>0</v>
      </c>
      <c r="F36" s="45"/>
      <c r="G36" s="350">
        <f t="shared" ref="G36:L36" si="6">SUM(G30:G34)</f>
        <v>30151870</v>
      </c>
      <c r="H36" s="350">
        <f t="shared" si="6"/>
        <v>111465147.73</v>
      </c>
      <c r="I36" s="350">
        <f t="shared" si="6"/>
        <v>0</v>
      </c>
      <c r="J36" s="350">
        <f t="shared" si="6"/>
        <v>-70414137.849999994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139510580</v>
      </c>
      <c r="E13" s="296">
        <f>'Reporte Componentes R1'!G826</f>
        <v>8666290.4399999995</v>
      </c>
      <c r="F13" s="296">
        <f>'Reporte Componentes R1'!H826</f>
        <v>4836297.78</v>
      </c>
      <c r="G13" s="296">
        <f>'Reporte Componentes R1'!I826</f>
        <v>2584164.52</v>
      </c>
      <c r="H13" s="296">
        <f>'Reporte Componentes R1'!J826</f>
        <v>38419843.039999999</v>
      </c>
      <c r="I13" s="296">
        <f>'Reporte Componentes R1'!K826</f>
        <v>1269098.3899999999</v>
      </c>
      <c r="J13" s="296">
        <v>0</v>
      </c>
      <c r="K13" s="295">
        <f t="shared" si="0"/>
        <v>83734885.829999998</v>
      </c>
      <c r="L13" s="294">
        <v>0</v>
      </c>
      <c r="M13" s="298">
        <f>K13-L13</f>
        <v>83734885.829999998</v>
      </c>
      <c r="N13" s="299">
        <f>'Reporte Componentes R1'!L826</f>
        <v>0</v>
      </c>
      <c r="O13" s="298">
        <f>M13+N13</f>
        <v>83734885.829999998</v>
      </c>
      <c r="Q13" s="306"/>
      <c r="S13" s="324">
        <v>5</v>
      </c>
      <c r="T13" s="325" t="s">
        <v>14</v>
      </c>
      <c r="U13" s="296">
        <f>'Reporte Componentes R1'!M826</f>
        <v>11146402.07</v>
      </c>
      <c r="V13" s="296">
        <f>'Reporte Componentes R1'!N826</f>
        <v>10565640.77</v>
      </c>
      <c r="W13" s="296">
        <f>'Reporte Componentes R1'!O826</f>
        <v>54685399.630000003</v>
      </c>
      <c r="X13" s="296">
        <f>'Reporte Componentes R1'!P826</f>
        <v>25943616.440000001</v>
      </c>
      <c r="Y13" s="296">
        <f>'Reporte Componentes R1'!Q826</f>
        <v>2070340.36</v>
      </c>
      <c r="Z13" s="319">
        <f>L13*-1</f>
        <v>0</v>
      </c>
      <c r="AA13" s="320">
        <f>'Reporte Componentes R1'!R826+'Reporte Componentes R1'!V826+'Reporte Componentes R1'!U826</f>
        <v>-206.46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-0.01</v>
      </c>
      <c r="AD13" s="291">
        <f t="shared" si="2"/>
        <v>-20676306.969999999</v>
      </c>
      <c r="AE13" s="291">
        <f>'Reporte Componentes R1'!F827</f>
        <v>-20676306.969999999</v>
      </c>
      <c r="AF13" s="322">
        <f t="shared" si="4"/>
        <v>83734885.829999998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139510580</v>
      </c>
      <c r="E14" s="290">
        <f t="shared" ref="E14:O14" si="5">SUM(E9:E13)</f>
        <v>8666290.4399999995</v>
      </c>
      <c r="F14" s="290">
        <f t="shared" si="5"/>
        <v>4836297.78</v>
      </c>
      <c r="G14" s="290">
        <f t="shared" si="5"/>
        <v>2584164.52</v>
      </c>
      <c r="H14" s="290">
        <f t="shared" si="5"/>
        <v>38419843.039999999</v>
      </c>
      <c r="I14" s="290">
        <f t="shared" si="5"/>
        <v>1269098.3899999999</v>
      </c>
      <c r="J14" s="290">
        <f t="shared" si="5"/>
        <v>0</v>
      </c>
      <c r="K14" s="300">
        <f t="shared" si="5"/>
        <v>83734885.829999998</v>
      </c>
      <c r="L14" s="301">
        <f>SUM(L9:L13)</f>
        <v>0</v>
      </c>
      <c r="M14" s="302">
        <f t="shared" si="5"/>
        <v>83734885.829999998</v>
      </c>
      <c r="N14" s="301">
        <f t="shared" si="5"/>
        <v>0</v>
      </c>
      <c r="O14" s="302">
        <f t="shared" si="5"/>
        <v>83734885.829999998</v>
      </c>
      <c r="P14" s="329"/>
      <c r="Q14" s="306"/>
      <c r="S14" s="327"/>
      <c r="T14" s="328" t="s">
        <v>2</v>
      </c>
      <c r="U14" s="330">
        <f>SUM(U9:U13)</f>
        <v>11146402.07</v>
      </c>
      <c r="V14" s="330">
        <f t="shared" ref="V14:AF14" si="6">SUM(V9:V13)</f>
        <v>10565640.77</v>
      </c>
      <c r="W14" s="330">
        <f t="shared" si="6"/>
        <v>54685399.630000003</v>
      </c>
      <c r="X14" s="330">
        <f t="shared" si="6"/>
        <v>25943616.440000001</v>
      </c>
      <c r="Y14" s="330">
        <f t="shared" si="6"/>
        <v>2070340.36</v>
      </c>
      <c r="Z14" s="290">
        <f t="shared" si="6"/>
        <v>0</v>
      </c>
      <c r="AA14" s="290">
        <f t="shared" si="6"/>
        <v>-206.46</v>
      </c>
      <c r="AB14" s="290">
        <f t="shared" si="6"/>
        <v>0</v>
      </c>
      <c r="AC14" s="290">
        <f t="shared" si="6"/>
        <v>-0.01</v>
      </c>
      <c r="AD14" s="290">
        <f>SUM(AD9:AD13)</f>
        <v>-20676306.969999999</v>
      </c>
      <c r="AE14" s="290">
        <f>SUM(AE9:AE13)</f>
        <v>-20676306.969999999</v>
      </c>
      <c r="AF14" s="331">
        <f t="shared" si="6"/>
        <v>83734885.829999998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139510580</v>
      </c>
      <c r="E108" s="297">
        <f t="shared" si="40"/>
        <v>8666290.4399999995</v>
      </c>
      <c r="F108" s="297">
        <f t="shared" si="40"/>
        <v>4836297.78</v>
      </c>
      <c r="G108" s="297">
        <f t="shared" si="40"/>
        <v>2584164.52</v>
      </c>
      <c r="H108" s="297">
        <f t="shared" si="40"/>
        <v>38419843.039999999</v>
      </c>
      <c r="I108" s="297">
        <f t="shared" si="40"/>
        <v>1269098.3899999999</v>
      </c>
      <c r="J108" s="297">
        <f t="shared" si="40"/>
        <v>0</v>
      </c>
      <c r="K108" s="295">
        <f t="shared" si="42"/>
        <v>83734885.829999998</v>
      </c>
      <c r="L108" s="294">
        <f>L13+L32+L51+L70+L89</f>
        <v>0</v>
      </c>
      <c r="M108" s="298">
        <f>K108-L108</f>
        <v>83734885.829999998</v>
      </c>
      <c r="N108" s="299">
        <f>N13+N32+N51+N70+N89</f>
        <v>0</v>
      </c>
      <c r="O108" s="298">
        <f t="shared" si="43"/>
        <v>83734885.829999998</v>
      </c>
      <c r="Q108" s="306"/>
      <c r="S108" s="324">
        <v>5</v>
      </c>
      <c r="T108" s="325" t="s">
        <v>14</v>
      </c>
      <c r="U108" s="296">
        <f t="shared" si="41"/>
        <v>11146402.07</v>
      </c>
      <c r="V108" s="297">
        <f t="shared" si="41"/>
        <v>10565640.77</v>
      </c>
      <c r="W108" s="297">
        <f t="shared" si="41"/>
        <v>54685399.630000003</v>
      </c>
      <c r="X108" s="297">
        <f t="shared" si="41"/>
        <v>25943616.440000001</v>
      </c>
      <c r="Y108" s="289">
        <f t="shared" si="41"/>
        <v>2070340.36</v>
      </c>
      <c r="Z108" s="319">
        <f t="shared" si="41"/>
        <v>0</v>
      </c>
      <c r="AA108" s="320">
        <f t="shared" si="41"/>
        <v>-206.46</v>
      </c>
      <c r="AB108" s="294">
        <f t="shared" si="41"/>
        <v>0</v>
      </c>
      <c r="AC108" s="320">
        <f t="shared" si="41"/>
        <v>-0.01</v>
      </c>
      <c r="AD108" s="291">
        <f>-J108+AE108</f>
        <v>-20676306.969999999</v>
      </c>
      <c r="AE108" s="291">
        <f>AE13+AE32+AE51+AE70+AE89</f>
        <v>-20676306.969999999</v>
      </c>
      <c r="AF108" s="322">
        <f>SUM(U108:AD108)</f>
        <v>83734885.829999998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139510580</v>
      </c>
      <c r="E109" s="290">
        <f t="shared" si="46"/>
        <v>8666290.4399999995</v>
      </c>
      <c r="F109" s="290">
        <f t="shared" si="46"/>
        <v>4836297.78</v>
      </c>
      <c r="G109" s="290">
        <f t="shared" si="46"/>
        <v>2584164.52</v>
      </c>
      <c r="H109" s="290">
        <f t="shared" si="46"/>
        <v>38419843.039999999</v>
      </c>
      <c r="I109" s="290">
        <f t="shared" si="46"/>
        <v>1269098.3899999999</v>
      </c>
      <c r="J109" s="290">
        <f t="shared" si="46"/>
        <v>0</v>
      </c>
      <c r="K109" s="300">
        <f t="shared" si="46"/>
        <v>83734885.829999998</v>
      </c>
      <c r="L109" s="301">
        <f t="shared" si="46"/>
        <v>0</v>
      </c>
      <c r="M109" s="302">
        <f t="shared" si="46"/>
        <v>83734885.829999998</v>
      </c>
      <c r="N109" s="301">
        <f t="shared" si="46"/>
        <v>0</v>
      </c>
      <c r="O109" s="302">
        <f t="shared" si="46"/>
        <v>83734885.829999998</v>
      </c>
      <c r="P109" s="329"/>
      <c r="Q109" s="306"/>
      <c r="S109" s="327"/>
      <c r="T109" s="328" t="s">
        <v>2</v>
      </c>
      <c r="U109" s="330">
        <f>SUM(U104:U108)</f>
        <v>11146402.07</v>
      </c>
      <c r="V109" s="330">
        <f t="shared" ref="V109:AF109" si="47">SUM(V104:V108)</f>
        <v>10565640.77</v>
      </c>
      <c r="W109" s="330">
        <f t="shared" si="47"/>
        <v>54685399.630000003</v>
      </c>
      <c r="X109" s="330">
        <f t="shared" si="47"/>
        <v>25943616.440000001</v>
      </c>
      <c r="Y109" s="330">
        <f t="shared" si="47"/>
        <v>2070340.36</v>
      </c>
      <c r="Z109" s="290">
        <f t="shared" si="47"/>
        <v>0</v>
      </c>
      <c r="AA109" s="290">
        <f t="shared" si="47"/>
        <v>-206.46</v>
      </c>
      <c r="AB109" s="290">
        <f t="shared" si="47"/>
        <v>0</v>
      </c>
      <c r="AC109" s="290">
        <f t="shared" si="47"/>
        <v>-0.01</v>
      </c>
      <c r="AD109" s="290">
        <f t="shared" si="47"/>
        <v>-20676306.969999999</v>
      </c>
      <c r="AE109" s="290">
        <f>SUM(AE104:AE108)</f>
        <v>-20676306.969999999</v>
      </c>
      <c r="AF109" s="331">
        <f t="shared" si="47"/>
        <v>83734885.829999998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104411399.27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914180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914180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140424760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140424760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140424760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140424760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140424760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140424760</v>
      </c>
      <c r="I7" s="291">
        <f>REMUNERACION_ENERBIT!D108</f>
        <v>139510580</v>
      </c>
      <c r="J7" s="292">
        <f>REMUNERACION_ENERBIT!N108</f>
        <v>0</v>
      </c>
      <c r="K7" s="292">
        <f>REMUNERACION_ENERBIT!D129</f>
        <v>914180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140424760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140424760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140424760</v>
      </c>
      <c r="I9" s="290">
        <f t="shared" si="4"/>
        <v>139510580</v>
      </c>
      <c r="J9" s="290">
        <f t="shared" si="4"/>
        <v>0</v>
      </c>
      <c r="K9" s="290">
        <f t="shared" si="4"/>
        <v>914180</v>
      </c>
      <c r="L9" s="290">
        <f t="shared" si="4"/>
        <v>0</v>
      </c>
      <c r="M9" s="290">
        <f t="shared" si="4"/>
        <v>0</v>
      </c>
      <c r="N9" s="290">
        <f>SUM(N3:N8)</f>
        <v>140424760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140424760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46296</v>
      </c>
      <c r="J7" s="2" t="s">
        <v>28</v>
      </c>
      <c r="K7" s="9">
        <f>REMUNERACION_ENERBIT!K102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139510580</v>
      </c>
      <c r="E13" s="66">
        <f>REMUNERACION_ENERBIT!E108</f>
        <v>8666290.4399999995</v>
      </c>
      <c r="F13" s="66">
        <f>REMUNERACION_ENERBIT!F108</f>
        <v>4836297.78</v>
      </c>
      <c r="G13" s="66">
        <f>REMUNERACION_ENERBIT!G108</f>
        <v>2584164.52</v>
      </c>
      <c r="H13" s="66">
        <f>REMUNERACION_ENERBIT!H108</f>
        <v>38419843.039999999</v>
      </c>
      <c r="I13" s="66">
        <f>REMUNERACION_ENERBIT!I108</f>
        <v>1269098.3899999999</v>
      </c>
      <c r="J13" s="66">
        <f>REMUNERACION_ENERBIT!J108</f>
        <v>0</v>
      </c>
      <c r="K13" s="31">
        <f t="shared" si="0"/>
        <v>83734885.829999998</v>
      </c>
      <c r="L13" s="66">
        <f>REMUNERACION_ENERBIT!L108</f>
        <v>0</v>
      </c>
      <c r="M13" s="40">
        <f>K13-L13</f>
        <v>83734885.829999998</v>
      </c>
      <c r="N13" s="66">
        <f>REMUNERACION_ENERBIT!N108</f>
        <v>0</v>
      </c>
      <c r="O13" s="40">
        <f t="shared" si="1"/>
        <v>83734885.829999998</v>
      </c>
      <c r="Q13" s="4"/>
      <c r="S13" s="19">
        <v>5</v>
      </c>
      <c r="T13" s="63" t="s">
        <v>14</v>
      </c>
      <c r="U13" s="66">
        <f>REMUNERACION_ENERBIT!U108</f>
        <v>11146402.07</v>
      </c>
      <c r="V13" s="66">
        <f>REMUNERACION_ENERBIT!V108</f>
        <v>10565640.77</v>
      </c>
      <c r="W13" s="66">
        <f>REMUNERACION_ENERBIT!W108</f>
        <v>54685399.630000003</v>
      </c>
      <c r="X13" s="66">
        <f>REMUNERACION_ENERBIT!X108</f>
        <v>25943616.440000001</v>
      </c>
      <c r="Y13" s="66">
        <f>REMUNERACION_ENERBIT!Y108</f>
        <v>2070340.36</v>
      </c>
      <c r="Z13" s="66">
        <f>REMUNERACION_ENERBIT!Z108</f>
        <v>0</v>
      </c>
      <c r="AA13" s="66">
        <f>REMUNERACION_ENERBIT!AA108</f>
        <v>-206.46</v>
      </c>
      <c r="AB13" s="66">
        <f>REMUNERACION_ENERBIT!AB108</f>
        <v>0</v>
      </c>
      <c r="AC13" s="66">
        <f>REMUNERACION_ENERBIT!AC108</f>
        <v>-0.01</v>
      </c>
      <c r="AD13" s="66">
        <f>REMUNERACION_ENERBIT!AD108</f>
        <v>-20676306.969999999</v>
      </c>
      <c r="AE13" s="66">
        <f>REMUNERACION_ENERBIT!AE108</f>
        <v>-20676306.969999999</v>
      </c>
      <c r="AF13" s="70">
        <f>SUM(U13:AD13)</f>
        <v>83734885.829999998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139510580</v>
      </c>
      <c r="E14" s="43">
        <f t="shared" si="3"/>
        <v>8666290.4399999995</v>
      </c>
      <c r="F14" s="43">
        <f t="shared" si="3"/>
        <v>4836297.78</v>
      </c>
      <c r="G14" s="43">
        <f t="shared" si="3"/>
        <v>2584164.52</v>
      </c>
      <c r="H14" s="43">
        <f t="shared" si="3"/>
        <v>38419843.039999999</v>
      </c>
      <c r="I14" s="43">
        <f t="shared" si="3"/>
        <v>1269098.3899999999</v>
      </c>
      <c r="J14" s="43">
        <f t="shared" si="3"/>
        <v>0</v>
      </c>
      <c r="K14" s="32">
        <f t="shared" si="3"/>
        <v>83734885.829999998</v>
      </c>
      <c r="L14" s="23">
        <f t="shared" si="3"/>
        <v>0</v>
      </c>
      <c r="M14" s="76">
        <f t="shared" si="3"/>
        <v>83734885.829999998</v>
      </c>
      <c r="N14" s="23">
        <f t="shared" si="3"/>
        <v>0</v>
      </c>
      <c r="O14" s="76">
        <f t="shared" si="3"/>
        <v>83734885.829999998</v>
      </c>
      <c r="P14" s="2"/>
      <c r="Q14" s="4"/>
      <c r="S14" s="21"/>
      <c r="T14" s="22" t="s">
        <v>2</v>
      </c>
      <c r="U14" s="43">
        <f>SUM(U9:U13)</f>
        <v>11146402.07</v>
      </c>
      <c r="V14" s="43">
        <f t="shared" ref="V14:AG14" si="4">SUM(V9:V13)</f>
        <v>10565640.77</v>
      </c>
      <c r="W14" s="43">
        <f t="shared" si="4"/>
        <v>54685399.630000003</v>
      </c>
      <c r="X14" s="43">
        <f t="shared" si="4"/>
        <v>25943616.440000001</v>
      </c>
      <c r="Y14" s="43">
        <f t="shared" si="4"/>
        <v>2070340.36</v>
      </c>
      <c r="Z14" s="43">
        <f t="shared" si="4"/>
        <v>0</v>
      </c>
      <c r="AA14" s="43">
        <f t="shared" si="4"/>
        <v>-206.46</v>
      </c>
      <c r="AB14" s="43">
        <f t="shared" si="4"/>
        <v>0</v>
      </c>
      <c r="AC14" s="43">
        <f t="shared" si="4"/>
        <v>-0.01</v>
      </c>
      <c r="AD14" s="43">
        <f t="shared" si="4"/>
        <v>-20676306.969999999</v>
      </c>
      <c r="AE14" s="43">
        <f>SUM(AE9:AE13)</f>
        <v>-20676306.969999999</v>
      </c>
      <c r="AF14" s="68">
        <f t="shared" si="4"/>
        <v>83734885.829999998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104411399.27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46296</v>
      </c>
      <c r="J27" s="2" t="s">
        <v>28</v>
      </c>
      <c r="K27" s="9">
        <f>REMUNERACION_ENERBIT!K122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914180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914180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343622283.84999996</v>
      </c>
      <c r="E9" s="292">
        <f>'Reporte Componentes R1'!G109</f>
        <v>33575652.270000003</v>
      </c>
      <c r="F9" s="292">
        <f>'Reporte Componentes R1'!H109</f>
        <v>18677541.399999999</v>
      </c>
      <c r="G9" s="292">
        <f>'Reporte Componentes R1'!I109</f>
        <v>9986351.4199999999</v>
      </c>
      <c r="H9" s="292">
        <f>'Reporte Componentes R1'!J109</f>
        <v>39089724.609999999</v>
      </c>
      <c r="I9" s="292">
        <f>'Reporte Componentes R1'!K109</f>
        <v>1161132.96</v>
      </c>
      <c r="J9" s="288">
        <v>0</v>
      </c>
      <c r="K9" s="293">
        <f>D9-E9-F9-G9-H9-I9-J9</f>
        <v>241131881.18999997</v>
      </c>
      <c r="L9" s="294">
        <v>0</v>
      </c>
      <c r="M9" s="293">
        <f>K9-L9</f>
        <v>241131881.18999997</v>
      </c>
      <c r="N9" s="294">
        <f>'Reporte Componentes R1'!L109</f>
        <v>9993768.9299999997</v>
      </c>
      <c r="O9" s="293">
        <f>M9+N9</f>
        <v>251125650.11999997</v>
      </c>
      <c r="Q9" s="306"/>
      <c r="S9" s="303">
        <v>1</v>
      </c>
      <c r="T9" s="304" t="s">
        <v>10</v>
      </c>
      <c r="U9" s="307">
        <f>'Reporte Componentes R1'!M109</f>
        <v>10145988.310000001</v>
      </c>
      <c r="V9" s="308">
        <f>'Reporte Componentes R1'!N109</f>
        <v>12931732.52</v>
      </c>
      <c r="W9" s="308">
        <f>'Reporte Componentes R1'!O109</f>
        <v>61145164.829999998</v>
      </c>
      <c r="X9" s="308">
        <f>'Reporte Componentes R1'!P109</f>
        <v>91644421.670000002</v>
      </c>
      <c r="Y9" s="309">
        <f>'Reporte Componentes R1'!Q109</f>
        <v>1896218.09</v>
      </c>
      <c r="Z9" s="310">
        <f>L9*-1</f>
        <v>0</v>
      </c>
      <c r="AA9" s="311">
        <f>'Reporte Componentes R1'!R109+'Reporte Componentes R1'!V109+'Reporte Componentes R1'!U109</f>
        <v>-3576.32</v>
      </c>
      <c r="AB9" s="294">
        <f>N9</f>
        <v>9993768.9299999997</v>
      </c>
      <c r="AC9" s="311">
        <f>'Reporte Componentes R1'!T109+'Reporte Componentes R1'!W109+'Reporte Componentes R1'!X109+'Reporte Componentes R1'!Y109+'Reporte Componentes R1'!Z109+'Reporte Componentes R1'!S109</f>
        <v>0.09</v>
      </c>
      <c r="AD9" s="291">
        <f>-J9+AE9</f>
        <v>63371932</v>
      </c>
      <c r="AE9" s="291">
        <f>'Reporte Componentes R1'!F110</f>
        <v>63371932</v>
      </c>
      <c r="AF9" s="313">
        <f>SUM(U9:AD9)</f>
        <v>251125650.12</v>
      </c>
      <c r="AG9" s="311">
        <f>(AF9-O9)</f>
        <v>2.9802322387695313E-8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938887942.42999995</v>
      </c>
      <c r="E10" s="292">
        <f>'Reporte Componentes R1'!G343</f>
        <v>112235893.08000001</v>
      </c>
      <c r="F10" s="292">
        <f>'Reporte Componentes R1'!H343</f>
        <v>61923523.419999994</v>
      </c>
      <c r="G10" s="292">
        <f>'Reporte Componentes R1'!I343</f>
        <v>32710708.530000001</v>
      </c>
      <c r="H10" s="292">
        <f>'Reporte Componentes R1'!J343</f>
        <v>115849534.41</v>
      </c>
      <c r="I10" s="292">
        <f>'Reporte Componentes R1'!K343</f>
        <v>3009246.5900000003</v>
      </c>
      <c r="J10" s="288">
        <v>0</v>
      </c>
      <c r="K10" s="295">
        <f t="shared" ref="K10:K13" si="0">D10-E10-F10-G10-H10-I10-J10</f>
        <v>613159036.39999998</v>
      </c>
      <c r="L10" s="294">
        <v>0</v>
      </c>
      <c r="M10" s="295">
        <f>K10-L10</f>
        <v>613159036.39999998</v>
      </c>
      <c r="N10" s="294">
        <f>'Reporte Componentes R1'!L343</f>
        <v>3112272.6</v>
      </c>
      <c r="O10" s="295">
        <f t="shared" ref="O10:O12" si="1">M10+N10</f>
        <v>616271309</v>
      </c>
      <c r="Q10" s="306"/>
      <c r="S10" s="314">
        <v>2</v>
      </c>
      <c r="T10" s="315" t="s">
        <v>11</v>
      </c>
      <c r="U10" s="316">
        <f>'Reporte Componentes R1'!M343</f>
        <v>27095534.309999999</v>
      </c>
      <c r="V10" s="317">
        <f>'Reporte Componentes R1'!N343</f>
        <v>36403592.039999999</v>
      </c>
      <c r="W10" s="317">
        <f>'Reporte Componentes R1'!O343</f>
        <v>171364252.19999999</v>
      </c>
      <c r="X10" s="317">
        <f>'Reporte Componentes R1'!P343</f>
        <v>222821524.41</v>
      </c>
      <c r="Y10" s="318">
        <f>'Reporte Componentes R1'!Q343</f>
        <v>4929952.6100000003</v>
      </c>
      <c r="Z10" s="319">
        <f>L10*-1</f>
        <v>0</v>
      </c>
      <c r="AA10" s="320">
        <f>'Reporte Componentes R1'!R343+'Reporte Componentes R1'!V343+'Reporte Componentes R1'!U343</f>
        <v>-946.54</v>
      </c>
      <c r="AB10" s="294">
        <f>N10</f>
        <v>3112272.6</v>
      </c>
      <c r="AC10" s="320">
        <f>'Reporte Componentes R1'!T343+'Reporte Componentes R1'!W343+'Reporte Componentes R1'!X343+'Reporte Componentes R1'!Y343+'Reporte Componentes R1'!Z343+'Reporte Componentes R1'!S343</f>
        <v>-56258.879999999997</v>
      </c>
      <c r="AD10" s="291">
        <f t="shared" ref="AD10:AD13" si="2">-J10+AE10</f>
        <v>150601386.25</v>
      </c>
      <c r="AE10" s="291">
        <f>'Reporte Componentes R1'!F344</f>
        <v>150601386.25</v>
      </c>
      <c r="AF10" s="322">
        <f>SUM(U10:AD10)</f>
        <v>616271309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427389334.19</v>
      </c>
      <c r="E11" s="292">
        <f>'Reporte Componentes R1'!G504</f>
        <v>49563321.700000003</v>
      </c>
      <c r="F11" s="292">
        <f>'Reporte Componentes R1'!H504</f>
        <v>27986809.16</v>
      </c>
      <c r="G11" s="292">
        <f>'Reporte Componentes R1'!I504</f>
        <v>14662575.93</v>
      </c>
      <c r="H11" s="292">
        <f>'Reporte Componentes R1'!J504</f>
        <v>22403066.969999999</v>
      </c>
      <c r="I11" s="292">
        <f>'Reporte Componentes R1'!K504</f>
        <v>650470.14</v>
      </c>
      <c r="J11" s="288">
        <v>0</v>
      </c>
      <c r="K11" s="295">
        <f t="shared" si="0"/>
        <v>312123090.28999996</v>
      </c>
      <c r="L11" s="294">
        <v>0</v>
      </c>
      <c r="M11" s="295">
        <f>K11-L11</f>
        <v>312123090.28999996</v>
      </c>
      <c r="N11" s="294">
        <f>'Reporte Componentes R1'!L504</f>
        <v>4811611.8099999996</v>
      </c>
      <c r="O11" s="295">
        <f t="shared" si="1"/>
        <v>316934702.09999996</v>
      </c>
      <c r="Q11" s="306"/>
      <c r="S11" s="314">
        <v>3</v>
      </c>
      <c r="T11" s="315" t="s">
        <v>12</v>
      </c>
      <c r="U11" s="316">
        <f>'Reporte Componentes R1'!M504</f>
        <v>5717940.3899999997</v>
      </c>
      <c r="V11" s="317">
        <f>'Reporte Componentes R1'!N504</f>
        <v>7429546.7400000002</v>
      </c>
      <c r="W11" s="317">
        <f>'Reporte Componentes R1'!O504</f>
        <v>35091268.950000003</v>
      </c>
      <c r="X11" s="317">
        <f>'Reporte Componentes R1'!P504</f>
        <v>117367146.56</v>
      </c>
      <c r="Y11" s="318">
        <f>'Reporte Componentes R1'!Q504</f>
        <v>1068975.6200000001</v>
      </c>
      <c r="Z11" s="319">
        <f>L11*-1</f>
        <v>0</v>
      </c>
      <c r="AA11" s="320">
        <f>'Reporte Componentes R1'!R504+'Reporte Componentes R1'!V504+'Reporte Componentes R1'!U504</f>
        <v>794.57</v>
      </c>
      <c r="AB11" s="294">
        <f>N11</f>
        <v>4811611.8099999996</v>
      </c>
      <c r="AC11" s="320">
        <f>'Reporte Componentes R1'!T504+'Reporte Componentes R1'!W504+'Reporte Componentes R1'!X504+'Reporte Componentes R1'!Y504+'Reporte Componentes R1'!Z504+'Reporte Componentes R1'!S504</f>
        <v>-41621.01</v>
      </c>
      <c r="AD11" s="291">
        <f t="shared" si="2"/>
        <v>145489038.47</v>
      </c>
      <c r="AE11" s="291">
        <f>'Reporte Componentes R1'!F505</f>
        <v>145489038.47</v>
      </c>
      <c r="AF11" s="322">
        <f t="shared" ref="AF11:AF13" si="4">SUM(U11:AD11)</f>
        <v>316934702.10000002</v>
      </c>
      <c r="AG11" s="323">
        <f>(AF11-O11)</f>
        <v>5.9604644775390625E-8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591576272.25</v>
      </c>
      <c r="E12" s="292">
        <f>'Reporte Componentes R1'!G712</f>
        <v>51968608.700000003</v>
      </c>
      <c r="F12" s="292">
        <f>'Reporte Componentes R1'!H712</f>
        <v>28536202.579999998</v>
      </c>
      <c r="G12" s="292">
        <f>'Reporte Componentes R1'!I712</f>
        <v>15601614.379999999</v>
      </c>
      <c r="H12" s="292">
        <f>'Reporte Componentes R1'!J712</f>
        <v>63842506.890000001</v>
      </c>
      <c r="I12" s="292">
        <f>'Reporte Componentes R1'!K712</f>
        <v>1834230.87</v>
      </c>
      <c r="J12" s="288">
        <v>0</v>
      </c>
      <c r="K12" s="295">
        <f t="shared" si="0"/>
        <v>429793108.82999998</v>
      </c>
      <c r="L12" s="294">
        <v>0</v>
      </c>
      <c r="M12" s="295">
        <f>K12-L12</f>
        <v>429793108.82999998</v>
      </c>
      <c r="N12" s="294">
        <f>'Reporte Componentes R1'!L712</f>
        <v>670762.75</v>
      </c>
      <c r="O12" s="295">
        <f t="shared" si="1"/>
        <v>430463871.57999998</v>
      </c>
      <c r="Q12" s="306"/>
      <c r="S12" s="314">
        <v>4</v>
      </c>
      <c r="T12" s="315" t="s">
        <v>13</v>
      </c>
      <c r="U12" s="316">
        <f>'Reporte Componentes R1'!M712</f>
        <v>15938453.139999999</v>
      </c>
      <c r="V12" s="317">
        <f>'Reporte Componentes R1'!N712</f>
        <v>20773252.469999999</v>
      </c>
      <c r="W12" s="317">
        <f>'Reporte Componentes R1'!O712</f>
        <v>105437282.53999999</v>
      </c>
      <c r="X12" s="317">
        <f>'Reporte Componentes R1'!P712</f>
        <v>137627703.06</v>
      </c>
      <c r="Y12" s="318">
        <f>'Reporte Componentes R1'!Q712</f>
        <v>3013452.85</v>
      </c>
      <c r="Z12" s="319">
        <f>L12*-1</f>
        <v>0</v>
      </c>
      <c r="AA12" s="320">
        <f>'Reporte Componentes R1'!R712+'Reporte Componentes R1'!V712+'Reporte Componentes R1'!U712</f>
        <v>320.17</v>
      </c>
      <c r="AB12" s="294">
        <f>N12</f>
        <v>670762.75</v>
      </c>
      <c r="AC12" s="320">
        <f>'Reporte Componentes R1'!T712+'Reporte Componentes R1'!W712+'Reporte Componentes R1'!X712+'Reporte Componentes R1'!Y712+'Reporte Componentes R1'!Z712+'Reporte Componentes R1'!S712</f>
        <v>0.19999999999999998</v>
      </c>
      <c r="AD12" s="291">
        <f t="shared" si="2"/>
        <v>147002644.40000001</v>
      </c>
      <c r="AE12" s="291">
        <f>'Reporte Componentes R1'!F713</f>
        <v>147002644.40000001</v>
      </c>
      <c r="AF12" s="322">
        <f t="shared" si="4"/>
        <v>430463871.58000004</v>
      </c>
      <c r="AG12" s="323">
        <f>(AF12-O12)</f>
        <v>5.9604644775390625E-8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171565271.81</v>
      </c>
      <c r="E13" s="297">
        <f>'Reporte Componentes R1'!G831</f>
        <v>16252936.57</v>
      </c>
      <c r="F13" s="297">
        <f>'Reporte Componentes R1'!H831</f>
        <v>8882611.3300000001</v>
      </c>
      <c r="G13" s="297">
        <f>'Reporte Componentes R1'!I831</f>
        <v>4769708.84</v>
      </c>
      <c r="H13" s="297">
        <f>'Reporte Componentes R1'!J831</f>
        <v>12689130.529999999</v>
      </c>
      <c r="I13" s="297">
        <f>'Reporte Componentes R1'!K831</f>
        <v>523491.14</v>
      </c>
      <c r="J13" s="289">
        <v>0</v>
      </c>
      <c r="K13" s="295">
        <f t="shared" si="0"/>
        <v>128447393.39999999</v>
      </c>
      <c r="L13" s="294">
        <v>0</v>
      </c>
      <c r="M13" s="298">
        <f>K13-L13</f>
        <v>128447393.39999999</v>
      </c>
      <c r="N13" s="299">
        <f>'Reporte Componentes R1'!L831</f>
        <v>1908241.19</v>
      </c>
      <c r="O13" s="298">
        <f>M13+N13</f>
        <v>130355634.58999999</v>
      </c>
      <c r="Q13" s="306"/>
      <c r="S13" s="324">
        <v>5</v>
      </c>
      <c r="T13" s="325" t="s">
        <v>14</v>
      </c>
      <c r="U13" s="296">
        <f>'Reporte Componentes R1'!M831</f>
        <v>4671973.0999999996</v>
      </c>
      <c r="V13" s="297">
        <f>'Reporte Componentes R1'!N831</f>
        <v>5604579.4400000004</v>
      </c>
      <c r="W13" s="297">
        <f>'Reporte Componentes R1'!O831</f>
        <v>30069445.420000002</v>
      </c>
      <c r="X13" s="297">
        <f>'Reporte Componentes R1'!P831</f>
        <v>48380758.240000002</v>
      </c>
      <c r="Y13" s="289">
        <f>'Reporte Componentes R1'!Q831</f>
        <v>859953.88</v>
      </c>
      <c r="Z13" s="319">
        <f>L13*-1</f>
        <v>0</v>
      </c>
      <c r="AA13" s="320">
        <f>'Reporte Componentes R1'!R831+'Reporte Componentes R1'!V831+'Reporte Componentes R1'!U831</f>
        <v>-712.59</v>
      </c>
      <c r="AB13" s="294">
        <f>N13</f>
        <v>1908241.19</v>
      </c>
      <c r="AC13" s="320">
        <f>'Reporte Componentes R1'!T831+'Reporte Componentes R1'!W831+'Reporte Componentes R1'!X831+'Reporte Componentes R1'!Y831+'Reporte Componentes R1'!Z831+'Reporte Componentes R1'!S831</f>
        <v>4.9999999999999996E-2</v>
      </c>
      <c r="AD13" s="291">
        <f t="shared" si="2"/>
        <v>38861395.859999999</v>
      </c>
      <c r="AE13" s="291">
        <f>'Reporte Componentes R1'!F832</f>
        <v>38861395.859999999</v>
      </c>
      <c r="AF13" s="322">
        <f t="shared" si="4"/>
        <v>130355634.58999999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2473041104.5300002</v>
      </c>
      <c r="E14" s="290">
        <f t="shared" ref="E14:O14" si="5">SUM(E9:E13)</f>
        <v>263596412.31999999</v>
      </c>
      <c r="F14" s="290">
        <f t="shared" si="5"/>
        <v>146006687.89000002</v>
      </c>
      <c r="G14" s="290">
        <f t="shared" si="5"/>
        <v>77730959.100000009</v>
      </c>
      <c r="H14" s="290">
        <f t="shared" si="5"/>
        <v>253873963.41</v>
      </c>
      <c r="I14" s="290">
        <f t="shared" si="5"/>
        <v>7178571.7000000002</v>
      </c>
      <c r="J14" s="290">
        <f t="shared" si="5"/>
        <v>0</v>
      </c>
      <c r="K14" s="300">
        <f t="shared" si="5"/>
        <v>1724654510.1099999</v>
      </c>
      <c r="L14" s="301">
        <f>SUM(L9:L13)</f>
        <v>0</v>
      </c>
      <c r="M14" s="302">
        <f t="shared" si="5"/>
        <v>1724654510.1099999</v>
      </c>
      <c r="N14" s="301">
        <f t="shared" si="5"/>
        <v>20496657.280000001</v>
      </c>
      <c r="O14" s="302">
        <f t="shared" si="5"/>
        <v>1745151167.3899999</v>
      </c>
      <c r="P14" s="329"/>
      <c r="Q14" s="306"/>
      <c r="S14" s="327"/>
      <c r="T14" s="328" t="s">
        <v>2</v>
      </c>
      <c r="U14" s="330">
        <f>SUM(U9:U13)</f>
        <v>63569889.25</v>
      </c>
      <c r="V14" s="330">
        <f t="shared" ref="V14:AF14" si="6">SUM(V9:V13)</f>
        <v>83142703.210000008</v>
      </c>
      <c r="W14" s="330">
        <f t="shared" si="6"/>
        <v>403107413.94</v>
      </c>
      <c r="X14" s="330">
        <f t="shared" si="6"/>
        <v>617841553.94000006</v>
      </c>
      <c r="Y14" s="330">
        <f t="shared" si="6"/>
        <v>11768553.050000001</v>
      </c>
      <c r="Z14" s="290">
        <f t="shared" si="6"/>
        <v>0</v>
      </c>
      <c r="AA14" s="290">
        <f t="shared" si="6"/>
        <v>-4120.71</v>
      </c>
      <c r="AB14" s="290">
        <f t="shared" si="6"/>
        <v>20496657.280000001</v>
      </c>
      <c r="AC14" s="290">
        <f t="shared" si="6"/>
        <v>-97879.55</v>
      </c>
      <c r="AD14" s="290">
        <f>SUM(AD9:AD13)</f>
        <v>545326396.98000002</v>
      </c>
      <c r="AE14" s="290">
        <f>SUM(AE9:AE13)</f>
        <v>545326396.98000002</v>
      </c>
      <c r="AF14" s="331">
        <f t="shared" si="6"/>
        <v>1745151167.3900001</v>
      </c>
      <c r="AG14" s="332">
        <f>SUM(AG9:AG13)</f>
        <v>1.4901161193847656E-7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1179430113.3900001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3856721.63</v>
      </c>
      <c r="E28" s="292">
        <f>'Rem. Anticipos R2'!F69</f>
        <v>0</v>
      </c>
      <c r="F28" s="292">
        <f>'Rem. Anticipos R2'!G69</f>
        <v>0</v>
      </c>
      <c r="G28" s="292">
        <f>'Rem. Anticipos R2'!H69</f>
        <v>0</v>
      </c>
      <c r="H28" s="292">
        <f>'Rem. Anticipos R2'!I69</f>
        <v>0</v>
      </c>
      <c r="I28" s="292">
        <f>'Rem. Anticipos R2'!J69</f>
        <v>0</v>
      </c>
      <c r="J28" s="288">
        <v>0</v>
      </c>
      <c r="K28" s="293">
        <f>D28-E28-F28-G28-H28-I28-J28</f>
        <v>3856721.63</v>
      </c>
      <c r="L28" s="294">
        <v>0</v>
      </c>
      <c r="M28" s="293">
        <f>K28-L28</f>
        <v>3856721.63</v>
      </c>
      <c r="N28" s="294">
        <f>'Rem. Anticipos R2'!K69</f>
        <v>0</v>
      </c>
      <c r="O28" s="293">
        <f>M28+N28</f>
        <v>3856721.63</v>
      </c>
      <c r="Q28" s="306"/>
      <c r="S28" s="303">
        <v>1</v>
      </c>
      <c r="T28" s="304" t="s">
        <v>10</v>
      </c>
      <c r="U28" s="307">
        <f>'Rem. Anticipos R2'!L69</f>
        <v>0</v>
      </c>
      <c r="V28" s="308">
        <f>'Rem. Anticipos R2'!M69</f>
        <v>0</v>
      </c>
      <c r="W28" s="308">
        <f>'Rem. Anticipos R2'!N69</f>
        <v>0</v>
      </c>
      <c r="X28" s="308">
        <f>'Rem. Anticipos R2'!O69</f>
        <v>0</v>
      </c>
      <c r="Y28" s="308">
        <f>'Rem. Anticipos R2'!P69</f>
        <v>0</v>
      </c>
      <c r="Z28" s="310">
        <f>L28*-1</f>
        <v>0</v>
      </c>
      <c r="AA28" s="311">
        <f>'Rem. Anticipos R2'!Q69</f>
        <v>0</v>
      </c>
      <c r="AB28" s="294">
        <f>N28</f>
        <v>0</v>
      </c>
      <c r="AC28" s="311">
        <f>'Rem. Anticipos R2'!R69</f>
        <v>0</v>
      </c>
      <c r="AD28" s="291">
        <f>-J28+AE28</f>
        <v>861197.98</v>
      </c>
      <c r="AE28" s="291">
        <f>'Rem. Anticipos R2'!E70</f>
        <v>861197.98</v>
      </c>
      <c r="AF28" s="313">
        <f>SUM(U28:AD28)</f>
        <v>861197.98</v>
      </c>
      <c r="AG28" s="311">
        <f>(AF28-O28)</f>
        <v>-2995523.65</v>
      </c>
      <c r="AH28" s="1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44529691.310000002</v>
      </c>
      <c r="E29" s="292">
        <f>'Rem. Anticipos R2'!F190</f>
        <v>0</v>
      </c>
      <c r="F29" s="292">
        <f>'Rem. Anticipos R2'!G190</f>
        <v>0</v>
      </c>
      <c r="G29" s="292">
        <f>'Rem. Anticipos R2'!H190</f>
        <v>0</v>
      </c>
      <c r="H29" s="292">
        <f>'Rem. Anticipos R2'!I190</f>
        <v>0</v>
      </c>
      <c r="I29" s="292">
        <f>'Rem. Anticipos R2'!J190</f>
        <v>0</v>
      </c>
      <c r="J29" s="288">
        <v>0</v>
      </c>
      <c r="K29" s="295">
        <f t="shared" ref="K29:K31" si="7">D29-E29-F29-G29-H29-I29-J29</f>
        <v>44529691.310000002</v>
      </c>
      <c r="L29" s="294">
        <v>0</v>
      </c>
      <c r="M29" s="295">
        <f>K29-L29</f>
        <v>44529691.310000002</v>
      </c>
      <c r="N29" s="294">
        <f>'Rem. Anticipos R2'!K190</f>
        <v>0</v>
      </c>
      <c r="O29" s="295">
        <f t="shared" ref="O29:O32" si="8">M29+N29</f>
        <v>44529691.310000002</v>
      </c>
      <c r="Q29" s="306"/>
      <c r="S29" s="314">
        <v>2</v>
      </c>
      <c r="T29" s="315" t="s">
        <v>11</v>
      </c>
      <c r="U29" s="316">
        <f>'Rem. Anticipos R2'!L190</f>
        <v>0</v>
      </c>
      <c r="V29" s="317">
        <f>'Rem. Anticipos R2'!M190</f>
        <v>0</v>
      </c>
      <c r="W29" s="317">
        <f>'Rem. Anticipos R2'!N190</f>
        <v>0</v>
      </c>
      <c r="X29" s="317">
        <f>'Rem. Anticipos R2'!O190</f>
        <v>0</v>
      </c>
      <c r="Y29" s="318">
        <f>'Rem. Anticipos R2'!P190</f>
        <v>0</v>
      </c>
      <c r="Z29" s="319">
        <f>L29*-1</f>
        <v>0</v>
      </c>
      <c r="AA29" s="320">
        <f>'Rem. Anticipos R2'!Q190</f>
        <v>0</v>
      </c>
      <c r="AB29" s="294">
        <f>N29</f>
        <v>0</v>
      </c>
      <c r="AC29" s="320">
        <f>'Rem. Anticipos R2'!R190</f>
        <v>0</v>
      </c>
      <c r="AD29" s="291">
        <f>-J29+AE29</f>
        <v>2827527.77</v>
      </c>
      <c r="AE29" s="291">
        <f>'Rem. Anticipos R2'!E191</f>
        <v>2827527.77</v>
      </c>
      <c r="AF29" s="322">
        <f>SUM(U29:AD29)</f>
        <v>2827527.77</v>
      </c>
      <c r="AG29" s="323">
        <f>(AF29-O29)</f>
        <v>-41702163.539999999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2205351.2800000003</v>
      </c>
      <c r="E30" s="292">
        <f>'Rem. Anticipos R2'!F311</f>
        <v>0</v>
      </c>
      <c r="F30" s="292">
        <f>'Rem. Anticipos R2'!G311</f>
        <v>0</v>
      </c>
      <c r="G30" s="292">
        <f>'Rem. Anticipos R2'!H311</f>
        <v>0</v>
      </c>
      <c r="H30" s="292">
        <f>'Rem. Anticipos R2'!I311</f>
        <v>0</v>
      </c>
      <c r="I30" s="292">
        <f>'Rem. Anticipos R2'!J311</f>
        <v>0</v>
      </c>
      <c r="J30" s="288">
        <v>0</v>
      </c>
      <c r="K30" s="295">
        <f t="shared" si="7"/>
        <v>2205351.2800000003</v>
      </c>
      <c r="L30" s="294">
        <v>0</v>
      </c>
      <c r="M30" s="295">
        <f>K30-L30</f>
        <v>2205351.2800000003</v>
      </c>
      <c r="N30" s="294">
        <f>'Rem. Anticipos R2'!K311</f>
        <v>0</v>
      </c>
      <c r="O30" s="295">
        <f t="shared" si="8"/>
        <v>2205351.2800000003</v>
      </c>
      <c r="Q30" s="306"/>
      <c r="S30" s="314">
        <v>3</v>
      </c>
      <c r="T30" s="315" t="s">
        <v>12</v>
      </c>
      <c r="U30" s="316">
        <f>'Rem. Anticipos R2'!L311</f>
        <v>0</v>
      </c>
      <c r="V30" s="317">
        <f>'Rem. Anticipos R2'!M311</f>
        <v>0</v>
      </c>
      <c r="W30" s="317">
        <f>'Rem. Anticipos R2'!N311</f>
        <v>0</v>
      </c>
      <c r="X30" s="317">
        <f>'Rem. Anticipos R2'!O311</f>
        <v>0</v>
      </c>
      <c r="Y30" s="318">
        <f>'Rem. Anticipos R2'!P311</f>
        <v>0</v>
      </c>
      <c r="Z30" s="319">
        <f>L30*-1</f>
        <v>0</v>
      </c>
      <c r="AA30" s="320">
        <f>'Rem. Anticipos R2'!Q311</f>
        <v>0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565581.06000000006</v>
      </c>
      <c r="AE30" s="291">
        <f>'Rem. Anticipos R2'!E312</f>
        <v>565581.06000000006</v>
      </c>
      <c r="AF30" s="322">
        <f>SUM(U30:AD30)</f>
        <v>565581.06000000006</v>
      </c>
      <c r="AG30" s="323">
        <f t="shared" ref="AG30:AG31" si="11">(AF30-O30)</f>
        <v>-1639770.2200000002</v>
      </c>
      <c r="AH30" s="1" t="b">
        <f t="shared" si="9"/>
        <v>0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3374812.45</v>
      </c>
      <c r="E31" s="292">
        <f>'Rem. Anticipos R2'!F435</f>
        <v>0</v>
      </c>
      <c r="F31" s="292">
        <f>'Rem. Anticipos R2'!G435</f>
        <v>0</v>
      </c>
      <c r="G31" s="292">
        <f>'Rem. Anticipos R2'!H435</f>
        <v>0</v>
      </c>
      <c r="H31" s="292">
        <f>'Rem. Anticipos R2'!I435</f>
        <v>0</v>
      </c>
      <c r="I31" s="292">
        <f>'Rem. Anticipos R2'!J435</f>
        <v>0</v>
      </c>
      <c r="J31" s="288">
        <v>0</v>
      </c>
      <c r="K31" s="295">
        <f t="shared" si="7"/>
        <v>3374812.45</v>
      </c>
      <c r="L31" s="294">
        <v>0</v>
      </c>
      <c r="M31" s="295">
        <f>K31-L31</f>
        <v>3374812.45</v>
      </c>
      <c r="N31" s="294">
        <f>'Rem. Anticipos R2'!K435</f>
        <v>0</v>
      </c>
      <c r="O31" s="295">
        <f t="shared" si="8"/>
        <v>3374812.45</v>
      </c>
      <c r="Q31" s="306"/>
      <c r="S31" s="314">
        <v>4</v>
      </c>
      <c r="T31" s="315" t="s">
        <v>13</v>
      </c>
      <c r="U31" s="316">
        <f>'Rem. Anticipos R2'!L435</f>
        <v>0</v>
      </c>
      <c r="V31" s="317">
        <f>'Rem. Anticipos R2'!M435</f>
        <v>0</v>
      </c>
      <c r="W31" s="317">
        <f>'Rem. Anticipos R2'!N435</f>
        <v>0</v>
      </c>
      <c r="X31" s="317">
        <f>'Rem. Anticipos R2'!O435</f>
        <v>0</v>
      </c>
      <c r="Y31" s="318">
        <f>'Rem. Anticipos R2'!P435</f>
        <v>0</v>
      </c>
      <c r="Z31" s="319">
        <f>L31*-1</f>
        <v>0</v>
      </c>
      <c r="AA31" s="320">
        <f>'Rem. Anticipos R2'!Q435</f>
        <v>0</v>
      </c>
      <c r="AB31" s="294">
        <f>N31</f>
        <v>0</v>
      </c>
      <c r="AC31" s="320">
        <f>'Rem. Anticipos R2'!R435</f>
        <v>0</v>
      </c>
      <c r="AD31" s="291">
        <f t="shared" si="10"/>
        <v>256843.5</v>
      </c>
      <c r="AE31" s="291">
        <f>'Rem. Anticipos R2'!E436</f>
        <v>256843.5</v>
      </c>
      <c r="AF31" s="322">
        <f>SUM(U31:AD31)</f>
        <v>256843.5</v>
      </c>
      <c r="AG31" s="323">
        <f t="shared" si="11"/>
        <v>-3117968.95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1186886.72</v>
      </c>
      <c r="E32" s="297">
        <f>'Rem. Anticipos R2'!F522</f>
        <v>0</v>
      </c>
      <c r="F32" s="297">
        <f>'Rem. Anticipos R2'!G522</f>
        <v>0</v>
      </c>
      <c r="G32" s="297">
        <f>'Rem. Anticipos R2'!H522</f>
        <v>0</v>
      </c>
      <c r="H32" s="297">
        <f>'Rem. Anticipos R2'!I522</f>
        <v>0</v>
      </c>
      <c r="I32" s="297">
        <f>'Rem. Anticipos R2'!J522</f>
        <v>0</v>
      </c>
      <c r="J32" s="289">
        <v>0</v>
      </c>
      <c r="K32" s="295">
        <f>D32-E32-F32-G32-H32-I32-J32</f>
        <v>1186886.72</v>
      </c>
      <c r="L32" s="294">
        <v>0</v>
      </c>
      <c r="M32" s="298">
        <f>K32-L32</f>
        <v>1186886.72</v>
      </c>
      <c r="N32" s="299">
        <f>'Rem. Anticipos R2'!K522</f>
        <v>0</v>
      </c>
      <c r="O32" s="298">
        <f t="shared" si="8"/>
        <v>1186886.72</v>
      </c>
      <c r="Q32" s="306"/>
      <c r="S32" s="324">
        <v>5</v>
      </c>
      <c r="T32" s="325" t="s">
        <v>14</v>
      </c>
      <c r="U32" s="296">
        <f>'Rem. Anticipos R2'!L522</f>
        <v>0</v>
      </c>
      <c r="V32" s="297">
        <f>'Rem. Anticipos R2'!M522</f>
        <v>0</v>
      </c>
      <c r="W32" s="297">
        <f>'Rem. Anticipos R2'!N522</f>
        <v>0</v>
      </c>
      <c r="X32" s="297">
        <f>'Rem. Anticipos R2'!O522</f>
        <v>0</v>
      </c>
      <c r="Y32" s="289">
        <f>'Rem. Anticipos R2'!P522</f>
        <v>0</v>
      </c>
      <c r="Z32" s="319">
        <f>L32*-1</f>
        <v>0</v>
      </c>
      <c r="AA32" s="320">
        <f>'Rem. Anticipos R2'!Q522</f>
        <v>0</v>
      </c>
      <c r="AB32" s="294">
        <f>N32</f>
        <v>0</v>
      </c>
      <c r="AC32" s="320">
        <f>'Rem. Anticipos R2'!R522</f>
        <v>0</v>
      </c>
      <c r="AD32" s="291">
        <f t="shared" si="10"/>
        <v>-82090.850000000006</v>
      </c>
      <c r="AE32" s="291">
        <f>'Rem. Anticipos R2'!E523</f>
        <v>-82090.850000000006</v>
      </c>
      <c r="AF32" s="322">
        <f>SUM(U32:AD32)</f>
        <v>-82090.850000000006</v>
      </c>
      <c r="AG32" s="326">
        <f>(AF32-O32)</f>
        <v>-1268977.57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55153463.390000008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55153463.390000008</v>
      </c>
      <c r="L33" s="301">
        <f t="shared" si="12"/>
        <v>0</v>
      </c>
      <c r="M33" s="302">
        <f t="shared" si="12"/>
        <v>55153463.390000008</v>
      </c>
      <c r="N33" s="301">
        <f t="shared" si="12"/>
        <v>0</v>
      </c>
      <c r="O33" s="302">
        <f t="shared" si="12"/>
        <v>55153463.390000008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4429059.4600000009</v>
      </c>
      <c r="AE33" s="290">
        <f>SUM(AE28:AE32)</f>
        <v>4429059.4600000009</v>
      </c>
      <c r="AF33" s="331">
        <f t="shared" si="13"/>
        <v>4429059.4600000009</v>
      </c>
      <c r="AG33" s="332">
        <f t="shared" si="13"/>
        <v>-50724403.93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134910</v>
      </c>
      <c r="E47" s="292">
        <f>'Reporte Componentes R1'!G111</f>
        <v>5633.68</v>
      </c>
      <c r="F47" s="292">
        <f>'Reporte Componentes R1'!H111</f>
        <v>3143.05</v>
      </c>
      <c r="G47" s="292">
        <f>'Reporte Componentes R1'!I111</f>
        <v>1669.5</v>
      </c>
      <c r="H47" s="292">
        <f>'Reporte Componentes R1'!J111</f>
        <v>21061.5</v>
      </c>
      <c r="I47" s="292">
        <f>'Reporte Componentes R1'!K111</f>
        <v>519.69000000000005</v>
      </c>
      <c r="J47" s="288">
        <v>0</v>
      </c>
      <c r="K47" s="293">
        <f>D47-E47-F47-G47-H47-I47-J47</f>
        <v>102882.58</v>
      </c>
      <c r="L47" s="294">
        <v>0</v>
      </c>
      <c r="M47" s="293">
        <f>K47-L47</f>
        <v>102882.58</v>
      </c>
      <c r="N47" s="294">
        <f>'Reporte Componentes R1'!L111</f>
        <v>0</v>
      </c>
      <c r="O47" s="293">
        <f>M47+N47</f>
        <v>102882.58</v>
      </c>
      <c r="Q47" s="306"/>
      <c r="S47" s="303">
        <v>1</v>
      </c>
      <c r="T47" s="304" t="s">
        <v>10</v>
      </c>
      <c r="U47" s="307">
        <f>'Reporte Componentes R1'!M111</f>
        <v>4558.83</v>
      </c>
      <c r="V47" s="308">
        <f>'Reporte Componentes R1'!N111</f>
        <v>6480.54</v>
      </c>
      <c r="W47" s="308">
        <f>'Reporte Componentes R1'!O111</f>
        <v>30680.68</v>
      </c>
      <c r="X47" s="308">
        <f>'Reporte Componentes R1'!P111</f>
        <v>15386.96</v>
      </c>
      <c r="Y47" s="309">
        <f>'Reporte Componentes R1'!Q111</f>
        <v>847.96</v>
      </c>
      <c r="Z47" s="310">
        <f>-L47</f>
        <v>0</v>
      </c>
      <c r="AA47" s="311">
        <f>'Reporte Componentes R1'!R111+'Reporte Componentes R1'!V111+'Reporte Componentes R1'!U111</f>
        <v>5.04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44922.57</v>
      </c>
      <c r="AE47" s="291">
        <f>'Reporte Componentes R1'!F112</f>
        <v>44922.57</v>
      </c>
      <c r="AF47" s="313">
        <f>SUM(U47:AD47)</f>
        <v>102882.58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464154</v>
      </c>
      <c r="E48" s="292">
        <f>'Reporte Componentes R1'!G345</f>
        <v>32467.9</v>
      </c>
      <c r="F48" s="292">
        <f>'Reporte Componentes R1'!H345</f>
        <v>18320.34</v>
      </c>
      <c r="G48" s="292">
        <f>'Reporte Componentes R1'!I345</f>
        <v>9708.74</v>
      </c>
      <c r="H48" s="292">
        <f>'Reporte Componentes R1'!J345</f>
        <v>158800.41</v>
      </c>
      <c r="I48" s="292">
        <f>'Reporte Componentes R1'!K345</f>
        <v>5058.2700000000004</v>
      </c>
      <c r="J48" s="288">
        <v>0</v>
      </c>
      <c r="K48" s="295">
        <f t="shared" ref="K48:K51" si="14">D48-E48-F48-G48-H48-I48-J48</f>
        <v>239798.33999999997</v>
      </c>
      <c r="L48" s="294">
        <v>0</v>
      </c>
      <c r="M48" s="295">
        <f>K48-L48</f>
        <v>239798.33999999997</v>
      </c>
      <c r="N48" s="294">
        <f>'Reporte Componentes R1'!L345</f>
        <v>0</v>
      </c>
      <c r="O48" s="295">
        <f t="shared" ref="O48:O51" si="15">M48+N48</f>
        <v>239798.33999999997</v>
      </c>
      <c r="Q48" s="306"/>
      <c r="S48" s="314">
        <v>2</v>
      </c>
      <c r="T48" s="315" t="s">
        <v>11</v>
      </c>
      <c r="U48" s="316">
        <f>'Reporte Componentes R1'!M345</f>
        <v>44370.67</v>
      </c>
      <c r="V48" s="317">
        <f>'Reporte Componentes R1'!N345</f>
        <v>56323.6</v>
      </c>
      <c r="W48" s="317">
        <f>'Reporte Componentes R1'!O345</f>
        <v>269309.02</v>
      </c>
      <c r="X48" s="317">
        <f>'Reporte Componentes R1'!P345</f>
        <v>63520.61</v>
      </c>
      <c r="Y48" s="318">
        <f>'Reporte Componentes R1'!Q345</f>
        <v>8252.9599999999991</v>
      </c>
      <c r="Z48" s="319">
        <f>-L48</f>
        <v>0</v>
      </c>
      <c r="AA48" s="320">
        <f>'Reporte Componentes R1'!R345+'Reporte Componentes R1'!V345+'Reporte Componentes R1'!U345</f>
        <v>10.02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-201988.54</v>
      </c>
      <c r="AE48" s="291">
        <f>'Reporte Componentes R1'!F346</f>
        <v>-201988.54</v>
      </c>
      <c r="AF48" s="322">
        <f>SUM(U48:AD48)</f>
        <v>239798.34000000005</v>
      </c>
      <c r="AG48" s="323">
        <f>(AF48-O48)</f>
        <v>8.7311491370201111E-11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0</v>
      </c>
      <c r="E49" s="292">
        <f>'Reporte Componentes R1'!G506</f>
        <v>0</v>
      </c>
      <c r="F49" s="292">
        <f>'Reporte Componentes R1'!H506</f>
        <v>0</v>
      </c>
      <c r="G49" s="292">
        <f>'Reporte Componentes R1'!I506</f>
        <v>0</v>
      </c>
      <c r="H49" s="292">
        <f>'Reporte Componentes R1'!J506</f>
        <v>0</v>
      </c>
      <c r="I49" s="292">
        <f>'Reporte Componentes R1'!K506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R1'!L506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R1'!M506</f>
        <v>0</v>
      </c>
      <c r="V49" s="317">
        <f>'Reporte Componentes R1'!N506</f>
        <v>0</v>
      </c>
      <c r="W49" s="317">
        <f>'Reporte Componentes R1'!O506</f>
        <v>0</v>
      </c>
      <c r="X49" s="317">
        <f>'Reporte Componentes R1'!P506</f>
        <v>0</v>
      </c>
      <c r="Y49" s="318">
        <f>'Reporte Componentes R1'!Q506</f>
        <v>0</v>
      </c>
      <c r="Z49" s="319">
        <f>-L49</f>
        <v>0</v>
      </c>
      <c r="AA49" s="320">
        <f>'Reporte Componentes R1'!R506+'Reporte Componentes R1'!V506+'Reporte Componentes R1'!U506</f>
        <v>0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0</v>
      </c>
      <c r="AE49" s="291">
        <f>'Reporte Componentes R1'!F507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850737</v>
      </c>
      <c r="E50" s="292">
        <f>'Reporte Componentes R1'!G714</f>
        <v>37397.25</v>
      </c>
      <c r="F50" s="292">
        <f>'Reporte Componentes R1'!H714</f>
        <v>20551.86</v>
      </c>
      <c r="G50" s="292">
        <f>'Reporte Componentes R1'!I714</f>
        <v>11070.59</v>
      </c>
      <c r="H50" s="292">
        <f>'Reporte Componentes R1'!J714</f>
        <v>168521.2</v>
      </c>
      <c r="I50" s="292">
        <f>'Reporte Componentes R1'!K714</f>
        <v>5808.01</v>
      </c>
      <c r="J50" s="288">
        <v>0</v>
      </c>
      <c r="K50" s="295">
        <f t="shared" si="14"/>
        <v>607388.09000000008</v>
      </c>
      <c r="L50" s="294">
        <v>0</v>
      </c>
      <c r="M50" s="295">
        <f>K50-L50</f>
        <v>607388.09000000008</v>
      </c>
      <c r="N50" s="294">
        <f>'Reporte Componentes R1'!L714</f>
        <v>0</v>
      </c>
      <c r="O50" s="295">
        <f t="shared" si="15"/>
        <v>607388.09000000008</v>
      </c>
      <c r="Q50" s="306"/>
      <c r="S50" s="314">
        <v>4</v>
      </c>
      <c r="T50" s="315" t="s">
        <v>13</v>
      </c>
      <c r="U50" s="316">
        <f>'Reporte Componentes R1'!M714</f>
        <v>50947.53</v>
      </c>
      <c r="V50" s="317">
        <f>'Reporte Componentes R1'!N714</f>
        <v>50975.040000000001</v>
      </c>
      <c r="W50" s="317">
        <f>'Reporte Componentes R1'!O714</f>
        <v>263164.76</v>
      </c>
      <c r="X50" s="317">
        <f>'Reporte Componentes R1'!P714</f>
        <v>99117.6</v>
      </c>
      <c r="Y50" s="318">
        <f>'Reporte Componentes R1'!Q714</f>
        <v>9476.14</v>
      </c>
      <c r="Z50" s="319">
        <f>-L50</f>
        <v>0</v>
      </c>
      <c r="AA50" s="320">
        <f>'Reporte Componentes R1'!R714+'Reporte Componentes R1'!V714+'Reporte Componentes R1'!U714</f>
        <v>0.72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133706.29999999999</v>
      </c>
      <c r="AE50" s="291">
        <f>'Reporte Componentes R1'!F715</f>
        <v>133706.29999999999</v>
      </c>
      <c r="AF50" s="322">
        <f t="shared" si="18"/>
        <v>607388.09000000008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0</v>
      </c>
      <c r="E51" s="297">
        <f>'Reporte Componentes R1'!G833</f>
        <v>0</v>
      </c>
      <c r="F51" s="297">
        <f>'Reporte Componentes R1'!H833</f>
        <v>0</v>
      </c>
      <c r="G51" s="297">
        <f>'Reporte Componentes R1'!I833</f>
        <v>0</v>
      </c>
      <c r="H51" s="297">
        <f>'Reporte Componentes R1'!J833</f>
        <v>0</v>
      </c>
      <c r="I51" s="297">
        <f>'Reporte Componentes R1'!K833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R1'!L833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R1'!M833</f>
        <v>0</v>
      </c>
      <c r="V51" s="297">
        <f>'Reporte Componentes R1'!N833</f>
        <v>0</v>
      </c>
      <c r="W51" s="297">
        <f>'Reporte Componentes R1'!O833</f>
        <v>0</v>
      </c>
      <c r="X51" s="297">
        <f>'Reporte Componentes R1'!P833</f>
        <v>0</v>
      </c>
      <c r="Y51" s="289">
        <f>'Reporte Componentes R1'!Q833</f>
        <v>0</v>
      </c>
      <c r="Z51" s="319">
        <f>-L51</f>
        <v>0</v>
      </c>
      <c r="AA51" s="320">
        <f>'Reporte Componentes R1'!R833+'Reporte Componentes R1'!V833+'Reporte Componentes R1'!U833</f>
        <v>0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0</v>
      </c>
      <c r="AE51" s="291">
        <f>'Reporte Componentes R1'!F834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1449801</v>
      </c>
      <c r="E52" s="290">
        <f t="shared" si="20"/>
        <v>75498.83</v>
      </c>
      <c r="F52" s="290">
        <f t="shared" si="20"/>
        <v>42015.25</v>
      </c>
      <c r="G52" s="290">
        <f t="shared" ref="G52" si="21">SUM(G47:G51)</f>
        <v>22448.83</v>
      </c>
      <c r="H52" s="290">
        <f t="shared" si="20"/>
        <v>348383.11</v>
      </c>
      <c r="I52" s="290">
        <f t="shared" si="20"/>
        <v>11385.970000000001</v>
      </c>
      <c r="J52" s="290">
        <f t="shared" si="20"/>
        <v>0</v>
      </c>
      <c r="K52" s="300">
        <f t="shared" si="20"/>
        <v>950069.01</v>
      </c>
      <c r="L52" s="301">
        <f t="shared" si="20"/>
        <v>0</v>
      </c>
      <c r="M52" s="302">
        <f t="shared" si="20"/>
        <v>950069.01</v>
      </c>
      <c r="N52" s="301">
        <f t="shared" si="20"/>
        <v>0</v>
      </c>
      <c r="O52" s="302">
        <f t="shared" si="20"/>
        <v>950069.01</v>
      </c>
      <c r="P52" s="329"/>
      <c r="Q52" s="306"/>
      <c r="S52" s="327"/>
      <c r="T52" s="328" t="s">
        <v>2</v>
      </c>
      <c r="U52" s="330">
        <f>SUM(U47:U51)</f>
        <v>99877.03</v>
      </c>
      <c r="V52" s="330">
        <f t="shared" ref="V52:AG52" si="22">SUM(V47:V51)</f>
        <v>113779.18</v>
      </c>
      <c r="W52" s="330">
        <f t="shared" si="22"/>
        <v>563154.46</v>
      </c>
      <c r="X52" s="330">
        <f t="shared" si="22"/>
        <v>178025.17</v>
      </c>
      <c r="Y52" s="330">
        <f t="shared" si="22"/>
        <v>18577.059999999998</v>
      </c>
      <c r="Z52" s="290">
        <f t="shared" si="22"/>
        <v>0</v>
      </c>
      <c r="AA52" s="290">
        <f t="shared" si="22"/>
        <v>15.78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-23359.670000000013</v>
      </c>
      <c r="AE52" s="290">
        <f>SUM(AE47:AE51)</f>
        <v>-23359.670000000013</v>
      </c>
      <c r="AF52" s="331">
        <f t="shared" si="22"/>
        <v>950069.01000000013</v>
      </c>
      <c r="AG52" s="332">
        <f t="shared" si="22"/>
        <v>8.7311491370201111E-11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973412.89999999991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-134910</v>
      </c>
      <c r="E66" s="292">
        <f>'Reversion Pagos R4'!E91</f>
        <v>0</v>
      </c>
      <c r="F66" s="292">
        <f>'Reversion Pagos R4'!F91</f>
        <v>0</v>
      </c>
      <c r="G66" s="292">
        <f>'Reversion Pagos R4'!G91</f>
        <v>0</v>
      </c>
      <c r="H66" s="292">
        <f>'Reversion Pagos R4'!H91</f>
        <v>0</v>
      </c>
      <c r="I66" s="292">
        <f>'Reversion Pagos R4'!I91</f>
        <v>0</v>
      </c>
      <c r="J66" s="288">
        <v>0</v>
      </c>
      <c r="K66" s="293">
        <f>D66-E66-F66-G66-H66-I66-J66</f>
        <v>-134910</v>
      </c>
      <c r="L66" s="294">
        <v>0</v>
      </c>
      <c r="M66" s="293">
        <f>K66-L66</f>
        <v>-134910</v>
      </c>
      <c r="N66" s="294">
        <f>'Reversion Pagos R4'!P91</f>
        <v>0</v>
      </c>
      <c r="O66" s="293">
        <f>M66+N66</f>
        <v>-134910</v>
      </c>
      <c r="Q66" s="306"/>
      <c r="S66" s="303">
        <v>1</v>
      </c>
      <c r="T66" s="304" t="s">
        <v>10</v>
      </c>
      <c r="U66" s="307">
        <f>'Reversion Pagos R4'!J91</f>
        <v>0</v>
      </c>
      <c r="V66" s="308">
        <f>'Reversion Pagos R4'!K91</f>
        <v>0</v>
      </c>
      <c r="W66" s="308">
        <f>'Reversion Pagos R4'!L91</f>
        <v>0</v>
      </c>
      <c r="X66" s="308">
        <f>'Reversion Pagos R4'!M91</f>
        <v>0</v>
      </c>
      <c r="Y66" s="308">
        <f>'Reversion Pagos R4'!N91</f>
        <v>0</v>
      </c>
      <c r="Z66" s="310">
        <f>-L66</f>
        <v>0</v>
      </c>
      <c r="AA66" s="320">
        <f>'Reversion Pagos R4'!O91</f>
        <v>0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0</v>
      </c>
      <c r="AG66" s="311">
        <f>(AF66-O66)</f>
        <v>134910</v>
      </c>
      <c r="AH66" s="1" t="b">
        <f>INT(AG66)=0</f>
        <v>0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-945063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-945063</v>
      </c>
      <c r="L67" s="294">
        <v>0</v>
      </c>
      <c r="M67" s="295">
        <f>K67-L67</f>
        <v>-945063</v>
      </c>
      <c r="N67" s="294">
        <f>'Reversion Pagos R4'!P192</f>
        <v>0</v>
      </c>
      <c r="O67" s="295">
        <f t="shared" ref="O67:O70" si="25">M67+N67</f>
        <v>-945063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945063</v>
      </c>
      <c r="AH67" s="1" t="b">
        <f t="shared" ref="AH67:AH71" si="29">INT(AG67)=0</f>
        <v>0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0</v>
      </c>
      <c r="E68" s="292">
        <f>'Reversion Pagos R4'!E229</f>
        <v>0</v>
      </c>
      <c r="F68" s="292">
        <f>'Reversion Pagos R4'!F229</f>
        <v>0</v>
      </c>
      <c r="G68" s="292">
        <f>'Reversion Pagos R4'!G229</f>
        <v>0</v>
      </c>
      <c r="H68" s="292">
        <f>'Reversion Pagos R4'!H229</f>
        <v>0</v>
      </c>
      <c r="I68" s="292">
        <f>'Reversion Pagos R4'!I229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R4'!P229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R4'!J229</f>
        <v>0</v>
      </c>
      <c r="V68" s="317">
        <f>'Reversion Pagos R4'!K229</f>
        <v>0</v>
      </c>
      <c r="W68" s="317">
        <f>'Reversion Pagos R4'!L229</f>
        <v>0</v>
      </c>
      <c r="X68" s="317">
        <f>'Reversion Pagos R4'!M229</f>
        <v>0</v>
      </c>
      <c r="Y68" s="318">
        <f>'Reversion Pagos R4'!N229</f>
        <v>0</v>
      </c>
      <c r="Z68" s="319">
        <f t="shared" si="26"/>
        <v>0</v>
      </c>
      <c r="AA68" s="320">
        <f>'Reversion Pagos R4'!O229</f>
        <v>0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0</v>
      </c>
      <c r="AE68" s="291">
        <f>'Reversion Pagos R4'!D230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-1371252</v>
      </c>
      <c r="E69" s="292">
        <f>'Reversion Pagos R4'!E344</f>
        <v>0</v>
      </c>
      <c r="F69" s="292">
        <f>'Reversion Pagos R4'!F344</f>
        <v>0</v>
      </c>
      <c r="G69" s="292">
        <f>'Reversion Pagos R4'!G344</f>
        <v>0</v>
      </c>
      <c r="H69" s="292">
        <f>'Reversion Pagos R4'!H344</f>
        <v>0</v>
      </c>
      <c r="I69" s="292">
        <f>'Reversion Pagos R4'!I344</f>
        <v>0</v>
      </c>
      <c r="J69" s="288">
        <v>0</v>
      </c>
      <c r="K69" s="295">
        <f t="shared" si="24"/>
        <v>-1371252</v>
      </c>
      <c r="L69" s="294">
        <v>0</v>
      </c>
      <c r="M69" s="295">
        <f>K69-L69</f>
        <v>-1371252</v>
      </c>
      <c r="N69" s="294">
        <f>'Reversion Pagos R4'!P344</f>
        <v>0</v>
      </c>
      <c r="O69" s="295">
        <f t="shared" si="25"/>
        <v>-1371252</v>
      </c>
      <c r="Q69" s="306"/>
      <c r="S69" s="314">
        <v>4</v>
      </c>
      <c r="T69" s="315" t="s">
        <v>13</v>
      </c>
      <c r="U69" s="316">
        <f>'Reversion Pagos R4'!J344</f>
        <v>0</v>
      </c>
      <c r="V69" s="317">
        <f>'Reversion Pagos R4'!K344</f>
        <v>0</v>
      </c>
      <c r="W69" s="317">
        <f>'Reversion Pagos R4'!L344</f>
        <v>0</v>
      </c>
      <c r="X69" s="317">
        <f>'Reversion Pagos R4'!M344</f>
        <v>0</v>
      </c>
      <c r="Y69" s="318">
        <f>'Reversion Pagos R4'!N344</f>
        <v>0</v>
      </c>
      <c r="Z69" s="319">
        <f t="shared" si="26"/>
        <v>0</v>
      </c>
      <c r="AA69" s="320">
        <f>'Reversion Pagos R4'!O344</f>
        <v>0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0</v>
      </c>
      <c r="AE69" s="291">
        <f>'Reversion Pagos R4'!D345</f>
        <v>0</v>
      </c>
      <c r="AF69" s="322">
        <f>SUM(U69:AD69)</f>
        <v>0</v>
      </c>
      <c r="AG69" s="323">
        <f>(AF69-O69)</f>
        <v>1371252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0</v>
      </c>
      <c r="E70" s="297">
        <f>'Reversion Pagos R4'!E385</f>
        <v>0</v>
      </c>
      <c r="F70" s="297">
        <f>'Reversion Pagos R4'!F385</f>
        <v>0</v>
      </c>
      <c r="G70" s="297">
        <f>'Reversion Pagos R4'!G385</f>
        <v>0</v>
      </c>
      <c r="H70" s="297">
        <f>'Reversion Pagos R4'!H385</f>
        <v>0</v>
      </c>
      <c r="I70" s="297">
        <f>'Reversion Pagos R4'!I385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R4'!P385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R4'!J385</f>
        <v>0</v>
      </c>
      <c r="V70" s="297">
        <f>'Reversion Pagos R4'!K385</f>
        <v>0</v>
      </c>
      <c r="W70" s="297">
        <f>'Reversion Pagos R4'!L385</f>
        <v>0</v>
      </c>
      <c r="X70" s="297">
        <f>'Reversion Pagos R4'!M385</f>
        <v>0</v>
      </c>
      <c r="Y70" s="289">
        <f>'Reversion Pagos R4'!N385</f>
        <v>0</v>
      </c>
      <c r="Z70" s="319">
        <f t="shared" si="26"/>
        <v>0</v>
      </c>
      <c r="AA70" s="320">
        <f>'Reversion Pagos R4'!O385</f>
        <v>0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0</v>
      </c>
      <c r="AE70" s="291">
        <f>'Reversion Pagos R4'!D386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-2451225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-2451225</v>
      </c>
      <c r="L71" s="301">
        <f t="shared" si="32"/>
        <v>0</v>
      </c>
      <c r="M71" s="302">
        <f t="shared" si="32"/>
        <v>-2451225</v>
      </c>
      <c r="N71" s="301">
        <f t="shared" si="32"/>
        <v>0</v>
      </c>
      <c r="O71" s="302">
        <f t="shared" si="32"/>
        <v>-2451225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2451225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347479005.47999996</v>
      </c>
      <c r="E104" s="292">
        <f t="shared" si="40"/>
        <v>33581285.950000003</v>
      </c>
      <c r="F104" s="292">
        <f t="shared" si="40"/>
        <v>18680684.449999999</v>
      </c>
      <c r="G104" s="292">
        <f t="shared" si="40"/>
        <v>9988020.9199999999</v>
      </c>
      <c r="H104" s="292">
        <f t="shared" si="40"/>
        <v>39110786.109999999</v>
      </c>
      <c r="I104" s="292">
        <f t="shared" si="40"/>
        <v>1161652.6499999999</v>
      </c>
      <c r="J104" s="288">
        <f t="shared" si="40"/>
        <v>0</v>
      </c>
      <c r="K104" s="293">
        <f>D104-E104-F104-G104-H104-I104-J104</f>
        <v>244956575.39999995</v>
      </c>
      <c r="L104" s="294">
        <f>L9+L28+L47+L66+L85</f>
        <v>0</v>
      </c>
      <c r="M104" s="293">
        <f>K104-L104</f>
        <v>244956575.39999995</v>
      </c>
      <c r="N104" s="294">
        <f>N9+N28+N47+N66+N85</f>
        <v>9993768.9299999997</v>
      </c>
      <c r="O104" s="293">
        <f>M104+N104</f>
        <v>254950344.32999995</v>
      </c>
      <c r="Q104" s="306"/>
      <c r="S104" s="303">
        <v>1</v>
      </c>
      <c r="T104" s="304" t="s">
        <v>10</v>
      </c>
      <c r="U104" s="307">
        <f t="shared" ref="U104:AB108" si="41">U9+U28+U47+U66+U85</f>
        <v>10150547.140000001</v>
      </c>
      <c r="V104" s="308">
        <f t="shared" si="41"/>
        <v>12938213.059999999</v>
      </c>
      <c r="W104" s="308">
        <f t="shared" si="41"/>
        <v>61175845.509999998</v>
      </c>
      <c r="X104" s="308">
        <f t="shared" si="41"/>
        <v>91659808.629999995</v>
      </c>
      <c r="Y104" s="309">
        <f t="shared" si="41"/>
        <v>1897066.05</v>
      </c>
      <c r="Z104" s="310">
        <f t="shared" si="41"/>
        <v>0</v>
      </c>
      <c r="AA104" s="311">
        <f t="shared" si="41"/>
        <v>-3571.28</v>
      </c>
      <c r="AB104" s="294">
        <f t="shared" si="41"/>
        <v>9993768.9299999997</v>
      </c>
      <c r="AC104" s="312">
        <f t="shared" ref="AC104" si="42">AC9+AC28+AC47+AC66+AC85</f>
        <v>0.09</v>
      </c>
      <c r="AD104" s="291">
        <f>-J104+AE104</f>
        <v>64278052.549999997</v>
      </c>
      <c r="AE104" s="291">
        <f>AE9+AE28+AE47+AE66+AE85</f>
        <v>64278052.549999997</v>
      </c>
      <c r="AF104" s="313">
        <f>SUM(U104:AD104)</f>
        <v>252089730.68000001</v>
      </c>
      <c r="AG104" s="311">
        <f>AF104-O104</f>
        <v>-2860613.6499999464</v>
      </c>
      <c r="AH104" s="1" t="b">
        <f>INT(AG104)=0</f>
        <v>0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982936724.74000001</v>
      </c>
      <c r="E105" s="292">
        <f t="shared" si="40"/>
        <v>112268360.98000002</v>
      </c>
      <c r="F105" s="292">
        <f t="shared" si="40"/>
        <v>61941843.759999998</v>
      </c>
      <c r="G105" s="292">
        <f t="shared" si="40"/>
        <v>32720417.27</v>
      </c>
      <c r="H105" s="292">
        <f t="shared" si="40"/>
        <v>116008334.81999999</v>
      </c>
      <c r="I105" s="292">
        <f t="shared" si="40"/>
        <v>3014304.8600000003</v>
      </c>
      <c r="J105" s="288">
        <f t="shared" si="40"/>
        <v>0</v>
      </c>
      <c r="K105" s="295">
        <f t="shared" ref="K105:K108" si="43">D105-E105-F105-G105-H105-I105-J105</f>
        <v>656983463.05000007</v>
      </c>
      <c r="L105" s="294">
        <f>L10+L29+L48+L67+L86</f>
        <v>0</v>
      </c>
      <c r="M105" s="295">
        <f>K105-L105</f>
        <v>656983463.05000007</v>
      </c>
      <c r="N105" s="294">
        <f>N10+N29+N48+N67+N86</f>
        <v>3112272.6</v>
      </c>
      <c r="O105" s="295">
        <f t="shared" ref="O105:O108" si="44">M105+N105</f>
        <v>660095735.6500001</v>
      </c>
      <c r="Q105" s="306"/>
      <c r="S105" s="314">
        <v>2</v>
      </c>
      <c r="T105" s="315" t="s">
        <v>11</v>
      </c>
      <c r="U105" s="316">
        <f t="shared" si="41"/>
        <v>27139904.98</v>
      </c>
      <c r="V105" s="317">
        <f t="shared" si="41"/>
        <v>36459915.640000001</v>
      </c>
      <c r="W105" s="317">
        <f t="shared" si="41"/>
        <v>171633561.22</v>
      </c>
      <c r="X105" s="317">
        <f t="shared" si="41"/>
        <v>222885045.02000001</v>
      </c>
      <c r="Y105" s="318">
        <f t="shared" si="41"/>
        <v>4938205.57</v>
      </c>
      <c r="Z105" s="319">
        <f t="shared" si="41"/>
        <v>0</v>
      </c>
      <c r="AA105" s="320">
        <f t="shared" si="41"/>
        <v>-936.52</v>
      </c>
      <c r="AB105" s="294">
        <f t="shared" si="41"/>
        <v>3112272.6</v>
      </c>
      <c r="AC105" s="321">
        <f t="shared" ref="AC105" si="45">AC10+AC29+AC48+AC67+AC86</f>
        <v>-56258.879999999997</v>
      </c>
      <c r="AD105" s="291">
        <f t="shared" ref="AD105:AD107" si="46">-J105+AE105</f>
        <v>153226925.48000002</v>
      </c>
      <c r="AE105" s="291">
        <f>AE10+AE29+AE48+AE67+AE86</f>
        <v>153226925.48000002</v>
      </c>
      <c r="AF105" s="322">
        <f>SUM(U105:AD105)</f>
        <v>619338635.11000013</v>
      </c>
      <c r="AG105" s="323">
        <f>AF105-O105</f>
        <v>-40757100.539999962</v>
      </c>
      <c r="AH105" s="1" t="b">
        <f t="shared" ref="AH105:AH109" si="47">INT(AG105)=0</f>
        <v>0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429594685.46999997</v>
      </c>
      <c r="E106" s="292">
        <f t="shared" si="40"/>
        <v>49563321.700000003</v>
      </c>
      <c r="F106" s="292">
        <f t="shared" si="40"/>
        <v>27986809.16</v>
      </c>
      <c r="G106" s="292">
        <f t="shared" si="40"/>
        <v>14662575.93</v>
      </c>
      <c r="H106" s="292">
        <f t="shared" si="40"/>
        <v>22403066.969999999</v>
      </c>
      <c r="I106" s="292">
        <f t="shared" si="40"/>
        <v>650470.14</v>
      </c>
      <c r="J106" s="288">
        <f t="shared" si="40"/>
        <v>0</v>
      </c>
      <c r="K106" s="295">
        <f t="shared" si="43"/>
        <v>314328441.56999993</v>
      </c>
      <c r="L106" s="294">
        <f>L11+L30+L49+L68+L87</f>
        <v>0</v>
      </c>
      <c r="M106" s="295">
        <f>K106-L106</f>
        <v>314328441.56999993</v>
      </c>
      <c r="N106" s="294">
        <f>N11+N30+N49+N68+N87</f>
        <v>4811611.8099999996</v>
      </c>
      <c r="O106" s="295">
        <f t="shared" si="44"/>
        <v>319140053.37999994</v>
      </c>
      <c r="Q106" s="306"/>
      <c r="S106" s="314">
        <v>3</v>
      </c>
      <c r="T106" s="315" t="s">
        <v>12</v>
      </c>
      <c r="U106" s="316">
        <f t="shared" si="41"/>
        <v>5717940.3899999997</v>
      </c>
      <c r="V106" s="317">
        <f t="shared" si="41"/>
        <v>7429546.7400000002</v>
      </c>
      <c r="W106" s="317">
        <f t="shared" si="41"/>
        <v>35091268.950000003</v>
      </c>
      <c r="X106" s="317">
        <f t="shared" si="41"/>
        <v>117367146.56</v>
      </c>
      <c r="Y106" s="318">
        <f t="shared" si="41"/>
        <v>1068975.6200000001</v>
      </c>
      <c r="Z106" s="319">
        <f t="shared" si="41"/>
        <v>0</v>
      </c>
      <c r="AA106" s="320">
        <f t="shared" si="41"/>
        <v>794.57</v>
      </c>
      <c r="AB106" s="294">
        <f t="shared" si="41"/>
        <v>4811611.8099999996</v>
      </c>
      <c r="AC106" s="321">
        <f t="shared" ref="AC106" si="48">AC11+AC30+AC49+AC68+AC87</f>
        <v>-41621.01</v>
      </c>
      <c r="AD106" s="291">
        <f t="shared" si="46"/>
        <v>146054619.53</v>
      </c>
      <c r="AE106" s="291">
        <f>AE11+AE30+AE49+AE68+AE87</f>
        <v>146054619.53</v>
      </c>
      <c r="AF106" s="322">
        <f>SUM(U106:AD106)</f>
        <v>317500283.15999997</v>
      </c>
      <c r="AG106" s="323">
        <f>AF106-O106</f>
        <v>-1639770.219999969</v>
      </c>
      <c r="AH106" s="1" t="b">
        <f t="shared" si="47"/>
        <v>0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594430569.70000005</v>
      </c>
      <c r="E107" s="292">
        <f t="shared" si="40"/>
        <v>52006005.950000003</v>
      </c>
      <c r="F107" s="292">
        <f t="shared" si="40"/>
        <v>28556754.439999998</v>
      </c>
      <c r="G107" s="292">
        <f t="shared" si="40"/>
        <v>15612684.969999999</v>
      </c>
      <c r="H107" s="292">
        <f t="shared" si="40"/>
        <v>64011028.090000004</v>
      </c>
      <c r="I107" s="292">
        <f t="shared" si="40"/>
        <v>1840038.8800000001</v>
      </c>
      <c r="J107" s="288">
        <f t="shared" si="40"/>
        <v>0</v>
      </c>
      <c r="K107" s="295">
        <f t="shared" si="43"/>
        <v>432404057.37</v>
      </c>
      <c r="L107" s="294">
        <f>L12+L31+L50+L69+L88</f>
        <v>0</v>
      </c>
      <c r="M107" s="295">
        <f>K107-L107</f>
        <v>432404057.37</v>
      </c>
      <c r="N107" s="294">
        <f>N12+N31+N50+N69+N88</f>
        <v>670762.75</v>
      </c>
      <c r="O107" s="295">
        <f t="shared" si="44"/>
        <v>433074820.12</v>
      </c>
      <c r="Q107" s="306"/>
      <c r="S107" s="314">
        <v>4</v>
      </c>
      <c r="T107" s="315" t="s">
        <v>13</v>
      </c>
      <c r="U107" s="316">
        <f t="shared" si="41"/>
        <v>15989400.669999998</v>
      </c>
      <c r="V107" s="317">
        <f t="shared" si="41"/>
        <v>20824227.509999998</v>
      </c>
      <c r="W107" s="317">
        <f t="shared" si="41"/>
        <v>105700447.3</v>
      </c>
      <c r="X107" s="317">
        <f t="shared" si="41"/>
        <v>137726820.66</v>
      </c>
      <c r="Y107" s="318">
        <f t="shared" si="41"/>
        <v>3022928.99</v>
      </c>
      <c r="Z107" s="319">
        <f t="shared" si="41"/>
        <v>0</v>
      </c>
      <c r="AA107" s="320">
        <f t="shared" si="41"/>
        <v>320.89000000000004</v>
      </c>
      <c r="AB107" s="294">
        <f t="shared" si="41"/>
        <v>670762.75</v>
      </c>
      <c r="AC107" s="321">
        <f t="shared" ref="AC107" si="49">AC12+AC31+AC50+AC69+AC88</f>
        <v>0.19999999999999998</v>
      </c>
      <c r="AD107" s="291">
        <f t="shared" si="46"/>
        <v>147393194.20000002</v>
      </c>
      <c r="AE107" s="291">
        <f>AE12+AE31+AE50+AE69+AE88</f>
        <v>147393194.20000002</v>
      </c>
      <c r="AF107" s="322">
        <f>SUM(U107:AD107)</f>
        <v>431328103.16999996</v>
      </c>
      <c r="AG107" s="323">
        <f>AF107-O107</f>
        <v>-1746716.9500000477</v>
      </c>
      <c r="AH107" s="1" t="b">
        <f t="shared" si="47"/>
        <v>0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172752158.53</v>
      </c>
      <c r="E108" s="297">
        <f t="shared" si="40"/>
        <v>16252936.57</v>
      </c>
      <c r="F108" s="297">
        <f t="shared" si="40"/>
        <v>8882611.3300000001</v>
      </c>
      <c r="G108" s="297">
        <f t="shared" si="40"/>
        <v>4769708.84</v>
      </c>
      <c r="H108" s="297">
        <f t="shared" si="40"/>
        <v>12689130.529999999</v>
      </c>
      <c r="I108" s="297">
        <f t="shared" si="40"/>
        <v>523491.14</v>
      </c>
      <c r="J108" s="289">
        <f t="shared" si="40"/>
        <v>0</v>
      </c>
      <c r="K108" s="295">
        <f t="shared" si="43"/>
        <v>129634280.11999999</v>
      </c>
      <c r="L108" s="294">
        <f>L13+L32+L51+L70+L89</f>
        <v>0</v>
      </c>
      <c r="M108" s="298">
        <f>K108-L108</f>
        <v>129634280.11999999</v>
      </c>
      <c r="N108" s="299">
        <f>N13+N32+N51+N70+N89</f>
        <v>1908241.19</v>
      </c>
      <c r="O108" s="298">
        <f t="shared" si="44"/>
        <v>131542521.30999999</v>
      </c>
      <c r="Q108" s="306"/>
      <c r="S108" s="324">
        <v>5</v>
      </c>
      <c r="T108" s="325" t="s">
        <v>14</v>
      </c>
      <c r="U108" s="296">
        <f t="shared" si="41"/>
        <v>4671973.0999999996</v>
      </c>
      <c r="V108" s="297">
        <f t="shared" si="41"/>
        <v>5604579.4400000004</v>
      </c>
      <c r="W108" s="297">
        <f t="shared" si="41"/>
        <v>30069445.420000002</v>
      </c>
      <c r="X108" s="297">
        <f t="shared" si="41"/>
        <v>48380758.240000002</v>
      </c>
      <c r="Y108" s="289">
        <f t="shared" si="41"/>
        <v>859953.88</v>
      </c>
      <c r="Z108" s="319">
        <f t="shared" si="41"/>
        <v>0</v>
      </c>
      <c r="AA108" s="320">
        <f t="shared" si="41"/>
        <v>-712.59</v>
      </c>
      <c r="AB108" s="294">
        <f t="shared" si="41"/>
        <v>1908241.19</v>
      </c>
      <c r="AC108" s="321">
        <f t="shared" ref="AC108" si="50">AC13+AC32+AC51+AC70+AC89</f>
        <v>4.9999999999999996E-2</v>
      </c>
      <c r="AD108" s="291">
        <f>-J108+AE108</f>
        <v>38779305.009999998</v>
      </c>
      <c r="AE108" s="291">
        <f>AE13+AE32+AE51+AE70+AE89</f>
        <v>38779305.009999998</v>
      </c>
      <c r="AF108" s="322">
        <f>SUM(U108:AD108)</f>
        <v>130273543.73999998</v>
      </c>
      <c r="AG108" s="326">
        <f>AF108-O108</f>
        <v>-1268977.5700000077</v>
      </c>
      <c r="AH108" s="1" t="b">
        <f t="shared" si="47"/>
        <v>0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2527193143.9200006</v>
      </c>
      <c r="E109" s="290">
        <f t="shared" ref="E109:O109" si="51">SUM(E104:E108)</f>
        <v>263671911.14999998</v>
      </c>
      <c r="F109" s="290">
        <f t="shared" si="51"/>
        <v>146048703.14000002</v>
      </c>
      <c r="G109" s="290">
        <f t="shared" si="51"/>
        <v>77753407.930000007</v>
      </c>
      <c r="H109" s="290">
        <f t="shared" si="51"/>
        <v>254222346.52000001</v>
      </c>
      <c r="I109" s="290">
        <f t="shared" si="51"/>
        <v>7189957.6699999999</v>
      </c>
      <c r="J109" s="290">
        <f t="shared" si="51"/>
        <v>0</v>
      </c>
      <c r="K109" s="300">
        <f t="shared" si="51"/>
        <v>1778306817.5099998</v>
      </c>
      <c r="L109" s="301">
        <f t="shared" si="51"/>
        <v>0</v>
      </c>
      <c r="M109" s="302">
        <f t="shared" si="51"/>
        <v>1778306817.5099998</v>
      </c>
      <c r="N109" s="301">
        <f>SUM(N104:N108)</f>
        <v>20496657.280000001</v>
      </c>
      <c r="O109" s="302">
        <f t="shared" si="51"/>
        <v>1798803474.79</v>
      </c>
      <c r="P109" s="329"/>
      <c r="Q109" s="306"/>
      <c r="S109" s="327"/>
      <c r="T109" s="328" t="s">
        <v>2</v>
      </c>
      <c r="U109" s="330">
        <f>SUM(U104:U108)</f>
        <v>63669766.280000009</v>
      </c>
      <c r="V109" s="330">
        <f t="shared" ref="V109:AF109" si="52">SUM(V104:V108)</f>
        <v>83256482.390000001</v>
      </c>
      <c r="W109" s="330">
        <f t="shared" si="52"/>
        <v>403670568.40000004</v>
      </c>
      <c r="X109" s="330">
        <f t="shared" si="52"/>
        <v>618019579.11000001</v>
      </c>
      <c r="Y109" s="330">
        <f t="shared" si="52"/>
        <v>11787130.110000001</v>
      </c>
      <c r="Z109" s="290">
        <f t="shared" si="52"/>
        <v>0</v>
      </c>
      <c r="AA109" s="290">
        <f t="shared" si="52"/>
        <v>-4104.93</v>
      </c>
      <c r="AB109" s="470">
        <f t="shared" si="52"/>
        <v>20496657.280000001</v>
      </c>
      <c r="AC109" s="290">
        <f t="shared" ref="AC109" si="53">SUM(AC104:AC108)</f>
        <v>-97879.55</v>
      </c>
      <c r="AD109" s="290">
        <f t="shared" si="52"/>
        <v>549732096.7700001</v>
      </c>
      <c r="AE109" s="290">
        <f>SUM(AE104:AE108)</f>
        <v>549732096.7700001</v>
      </c>
      <c r="AF109" s="331">
        <f t="shared" si="52"/>
        <v>1750530295.8600004</v>
      </c>
      <c r="AG109" s="332">
        <f>SUM(AG104:AG108)</f>
        <v>-48273178.929999933</v>
      </c>
      <c r="AH109" s="1" t="b">
        <f t="shared" si="47"/>
        <v>0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1180403526.29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17250690.219999999</v>
      </c>
      <c r="E125" s="309">
        <v>0</v>
      </c>
      <c r="G125" s="336">
        <f>D47+N47</f>
        <v>134910</v>
      </c>
      <c r="H125" s="310">
        <f>D28+N28</f>
        <v>3856721.63</v>
      </c>
      <c r="I125" s="309">
        <f>D85+N85</f>
        <v>0</v>
      </c>
      <c r="J125" s="309">
        <f>D66+N66</f>
        <v>-134910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29950514.969999999</v>
      </c>
      <c r="E126" s="288">
        <v>0</v>
      </c>
      <c r="G126" s="339">
        <f>D48+N48</f>
        <v>464154</v>
      </c>
      <c r="H126" s="340">
        <f>D29+N29</f>
        <v>44529691.310000002</v>
      </c>
      <c r="I126" s="288">
        <f>D86+N86</f>
        <v>0</v>
      </c>
      <c r="J126" s="288">
        <f t="shared" ref="J126:J129" si="54">D67+N67</f>
        <v>-945063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4909289</v>
      </c>
      <c r="E127" s="288">
        <v>0</v>
      </c>
      <c r="G127" s="339">
        <f>D49+N49</f>
        <v>0</v>
      </c>
      <c r="H127" s="340">
        <f>D30+N30</f>
        <v>2205351.2800000003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7416134</v>
      </c>
      <c r="E128" s="288">
        <v>0</v>
      </c>
      <c r="G128" s="339">
        <f>D50+N50</f>
        <v>850737</v>
      </c>
      <c r="H128" s="340">
        <f>D31+N31</f>
        <v>3374812.45</v>
      </c>
      <c r="I128" s="288">
        <f>D88+N88</f>
        <v>0</v>
      </c>
      <c r="J128" s="288">
        <f t="shared" si="54"/>
        <v>-1371252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2432240</v>
      </c>
      <c r="E129" s="344">
        <v>0</v>
      </c>
      <c r="G129" s="339">
        <f>D51+N51</f>
        <v>0</v>
      </c>
      <c r="H129" s="340">
        <f>D32+N32</f>
        <v>1186886.72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61958868.189999998</v>
      </c>
      <c r="E131" s="350">
        <f>SUM(E125:E130)</f>
        <v>0</v>
      </c>
      <c r="F131" s="351"/>
      <c r="G131" s="350">
        <f t="shared" ref="G131" si="55">SUM(G125:G129)</f>
        <v>1449801</v>
      </c>
      <c r="H131" s="350">
        <f>SUM(H125:H130)</f>
        <v>55153463.390000008</v>
      </c>
      <c r="I131" s="350">
        <f>SUM(I125:I130)</f>
        <v>0</v>
      </c>
      <c r="J131" s="350">
        <f>SUM(J125:J130)</f>
        <v>-2451225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374723464.63</v>
      </c>
      <c r="E142" s="110">
        <f>'Recaudo Directa Occidente'!F21</f>
        <v>0</v>
      </c>
      <c r="F142" s="110">
        <f>D28+N28</f>
        <v>3856721.63</v>
      </c>
      <c r="G142" s="110">
        <f>D66+N66</f>
        <v>-134910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134910</v>
      </c>
      <c r="K142" s="111">
        <f t="shared" si="56"/>
        <v>3856721.63</v>
      </c>
      <c r="L142" s="525">
        <f>D142-E142-F142-G142-J142-H142-I142</f>
        <v>370866743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1015999512.3100001</v>
      </c>
      <c r="E143" s="18">
        <f>'Recaudo Directa Occidente'!F22</f>
        <v>0</v>
      </c>
      <c r="F143" s="18">
        <f>D29+N29</f>
        <v>44529691.310000002</v>
      </c>
      <c r="G143" s="18">
        <f>D67+N67</f>
        <v>-945063</v>
      </c>
      <c r="H143" s="18">
        <f>D86+N86</f>
        <v>0</v>
      </c>
      <c r="I143" s="18">
        <f>('REPORTE RECAUDO x BANCO'!E76)</f>
        <v>0</v>
      </c>
      <c r="J143" s="18">
        <f t="shared" si="56"/>
        <v>464154</v>
      </c>
      <c r="K143" s="83">
        <f t="shared" si="56"/>
        <v>44529691.310000002</v>
      </c>
      <c r="L143" s="525">
        <f>D143-E143-F143-G143-J143-H143-I143</f>
        <v>971950730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439315586.27999997</v>
      </c>
      <c r="E144" s="18">
        <f>'Recaudo Directa Occidente'!F23</f>
        <v>0</v>
      </c>
      <c r="F144" s="18">
        <f>D30+N30</f>
        <v>2205351.2800000003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2205351.2800000003</v>
      </c>
      <c r="L144" s="525">
        <f>D144-E144-F144-G144-J144-H144-I144</f>
        <v>437110235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602517466.45000005</v>
      </c>
      <c r="E145" s="18">
        <f>'Recaudo Directa Occidente'!F24</f>
        <v>0</v>
      </c>
      <c r="F145" s="18">
        <f>D31+N31</f>
        <v>3374812.45</v>
      </c>
      <c r="G145" s="18">
        <f>D69+N69</f>
        <v>-1371252</v>
      </c>
      <c r="H145" s="18">
        <f>D88+N88</f>
        <v>0</v>
      </c>
      <c r="I145" s="18">
        <f>('REPORTE RECAUDO x BANCO'!E78)</f>
        <v>0</v>
      </c>
      <c r="J145" s="18">
        <f t="shared" si="56"/>
        <v>850737</v>
      </c>
      <c r="K145" s="83">
        <f t="shared" si="56"/>
        <v>3374812.45</v>
      </c>
      <c r="L145" s="525">
        <f>D145-E145-F145-G145-J145-H145-I145</f>
        <v>599663169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177092639.72</v>
      </c>
      <c r="E146" s="18">
        <f>'Recaudo Directa Occidente'!F25</f>
        <v>0</v>
      </c>
      <c r="F146" s="134">
        <f>D32+N32</f>
        <v>1186886.72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1186886.72</v>
      </c>
      <c r="L146" s="525">
        <f>D146-E146-F146-G146-J146-H146-I146</f>
        <v>175905753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2609648669.3899999</v>
      </c>
      <c r="E147" s="47">
        <f>SUM(E142:E146)</f>
        <v>0</v>
      </c>
      <c r="F147" s="47">
        <f t="shared" ref="F147:K147" si="58">SUM(F142:F146)</f>
        <v>55153463.390000008</v>
      </c>
      <c r="G147" s="47">
        <f t="shared" si="58"/>
        <v>-2451225</v>
      </c>
      <c r="H147" s="47">
        <f t="shared" si="58"/>
        <v>0</v>
      </c>
      <c r="I147" s="47">
        <f t="shared" si="58"/>
        <v>0</v>
      </c>
      <c r="J147" s="47">
        <f t="shared" si="58"/>
        <v>1449801</v>
      </c>
      <c r="K147" s="47">
        <f t="shared" si="58"/>
        <v>55153463.390000008</v>
      </c>
      <c r="L147" s="525">
        <f>SUM(L142:L146)</f>
        <v>2555496630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370866743</v>
      </c>
      <c r="D3" s="292">
        <f>'REMUNERACION_OCCIDENTE_ Directa'!G125</f>
        <v>134910</v>
      </c>
      <c r="E3" s="292">
        <f>'REMUNERACION_OCCIDENTE_ Directa'!D28+'REMUNERACION_OCCIDENTE_ Directa'!N28</f>
        <v>3856721.63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374858374.63</v>
      </c>
      <c r="I3" s="291">
        <f>'REMUNERACION_OCCIDENTE_ Directa'!D104</f>
        <v>347479005.47999996</v>
      </c>
      <c r="J3" s="292">
        <f>'REMUNERACION_OCCIDENTE_ Directa'!N104</f>
        <v>9993768.9299999997</v>
      </c>
      <c r="K3" s="292">
        <f>'REMUNERACION_OCCIDENTE_ Directa'!D125</f>
        <v>17250690.219999999</v>
      </c>
      <c r="L3" s="353">
        <f>'REMUNERACION_OCCIDENTE_ Directa'!E125</f>
        <v>0</v>
      </c>
      <c r="M3" s="292">
        <f>-'REMUNERACION_OCCIDENTE_ Directa'!D66-'REMUNERACION_OCCIDENTE_ Directa'!N66</f>
        <v>134910</v>
      </c>
      <c r="N3" s="288">
        <f>SUM(I3:M3)</f>
        <v>374858374.63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971950730</v>
      </c>
      <c r="D4" s="292">
        <f>'REMUNERACION_OCCIDENTE_ Directa'!G126</f>
        <v>464154</v>
      </c>
      <c r="E4" s="292">
        <f>'REMUNERACION_OCCIDENTE_ Directa'!D29+'REMUNERACION_OCCIDENTE_ Directa'!N29</f>
        <v>44529691.310000002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1016944575.3099999</v>
      </c>
      <c r="I4" s="291">
        <f>'REMUNERACION_OCCIDENTE_ Directa'!D105</f>
        <v>982936724.74000001</v>
      </c>
      <c r="J4" s="292">
        <f>'REMUNERACION_OCCIDENTE_ Directa'!N105</f>
        <v>3112272.6</v>
      </c>
      <c r="K4" s="292">
        <f>'REMUNERACION_OCCIDENTE_ Directa'!D126</f>
        <v>29950514.969999999</v>
      </c>
      <c r="L4" s="353">
        <f>'REMUNERACION_OCCIDENTE_ Directa'!E126</f>
        <v>0</v>
      </c>
      <c r="M4" s="292">
        <f>-'REMUNERACION_OCCIDENTE_ Directa'!D67-'REMUNERACION_OCCIDENTE_ Directa'!N67</f>
        <v>945063</v>
      </c>
      <c r="N4" s="318">
        <f>SUM(I4:M4)</f>
        <v>1016944575.3100001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437110235</v>
      </c>
      <c r="D5" s="292">
        <f>'REMUNERACION_OCCIDENTE_ Directa'!G127</f>
        <v>0</v>
      </c>
      <c r="E5" s="292">
        <f>'REMUNERACION_OCCIDENTE_ Directa'!D30+'REMUNERACION_OCCIDENTE_ Directa'!N30</f>
        <v>2205351.2800000003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439315586.27999997</v>
      </c>
      <c r="I5" s="291">
        <f>'REMUNERACION_OCCIDENTE_ Directa'!D106</f>
        <v>429594685.46999997</v>
      </c>
      <c r="J5" s="292">
        <f>'REMUNERACION_OCCIDENTE_ Directa'!N106</f>
        <v>4811611.8099999996</v>
      </c>
      <c r="K5" s="292">
        <f>'REMUNERACION_OCCIDENTE_ Directa'!D127</f>
        <v>4909289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439315586.27999997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599663169</v>
      </c>
      <c r="D6" s="292">
        <f>'REMUNERACION_OCCIDENTE_ Directa'!G128</f>
        <v>850737</v>
      </c>
      <c r="E6" s="292">
        <f>'REMUNERACION_OCCIDENTE_ Directa'!D31+'REMUNERACION_OCCIDENTE_ Directa'!N31</f>
        <v>3374812.45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603888718.45000005</v>
      </c>
      <c r="I6" s="291">
        <f>'REMUNERACION_OCCIDENTE_ Directa'!D107</f>
        <v>594430569.70000005</v>
      </c>
      <c r="J6" s="292">
        <f>'REMUNERACION_OCCIDENTE_ Directa'!N107</f>
        <v>670762.75</v>
      </c>
      <c r="K6" s="292">
        <f>'REMUNERACION_OCCIDENTE_ Directa'!D128</f>
        <v>7416134</v>
      </c>
      <c r="L6" s="353">
        <f>'REMUNERACION_OCCIDENTE_ Directa'!E128</f>
        <v>0</v>
      </c>
      <c r="M6" s="292">
        <f>-'REMUNERACION_OCCIDENTE_ Directa'!D69-'REMUNERACION_OCCIDENTE_ Directa'!N69</f>
        <v>1371252</v>
      </c>
      <c r="N6" s="318">
        <f t="shared" ref="N6:N7" si="3">SUM(I6:M6)</f>
        <v>603888718.45000005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175905753</v>
      </c>
      <c r="D7" s="292">
        <f>'REMUNERACION_OCCIDENTE_ Directa'!G129</f>
        <v>0</v>
      </c>
      <c r="E7" s="292">
        <f>'REMUNERACION_OCCIDENTE_ Directa'!D32+'REMUNERACION_OCCIDENTE_ Directa'!N32</f>
        <v>1186886.72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177092639.72</v>
      </c>
      <c r="I7" s="291">
        <f>'REMUNERACION_OCCIDENTE_ Directa'!D108</f>
        <v>172752158.53</v>
      </c>
      <c r="J7" s="292">
        <f>'REMUNERACION_OCCIDENTE_ Directa'!N108</f>
        <v>1908241.19</v>
      </c>
      <c r="K7" s="292">
        <f>'REMUNERACION_OCCIDENTE_ Directa'!D129</f>
        <v>2432240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177092639.72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2555496630</v>
      </c>
      <c r="D9" s="290">
        <f t="shared" ref="D9:M9" si="4">SUM(D3:D8)</f>
        <v>1449801</v>
      </c>
      <c r="E9" s="290">
        <f>SUM(E3:E8)</f>
        <v>55153463.390000008</v>
      </c>
      <c r="F9" s="290">
        <f t="shared" si="4"/>
        <v>0</v>
      </c>
      <c r="G9" s="290">
        <f t="shared" si="4"/>
        <v>0</v>
      </c>
      <c r="H9" s="290">
        <f t="shared" si="4"/>
        <v>2612099894.3899999</v>
      </c>
      <c r="I9" s="290">
        <f t="shared" si="4"/>
        <v>2527193143.9200006</v>
      </c>
      <c r="J9" s="290">
        <f t="shared" si="4"/>
        <v>20496657.280000001</v>
      </c>
      <c r="K9" s="290">
        <f t="shared" si="4"/>
        <v>61958868.189999998</v>
      </c>
      <c r="L9" s="290">
        <f t="shared" si="4"/>
        <v>0</v>
      </c>
      <c r="M9" s="290">
        <f t="shared" si="4"/>
        <v>2451225</v>
      </c>
      <c r="N9" s="290">
        <f>SUM(N3:N8)</f>
        <v>2612099894.3899999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2555496630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46296</v>
      </c>
      <c r="J7" s="2" t="s">
        <v>28</v>
      </c>
      <c r="K7" s="9">
        <f>'REMUNERACION_OCCIDENTE_ Directa'!K102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347479005.47999996</v>
      </c>
      <c r="E9" s="66">
        <f>'REMUNERACION_OCCIDENTE_ Directa'!E104</f>
        <v>33581285.950000003</v>
      </c>
      <c r="F9" s="66">
        <f>'REMUNERACION_OCCIDENTE_ Directa'!F104</f>
        <v>18680684.449999999</v>
      </c>
      <c r="G9" s="66">
        <f>'REMUNERACION_OCCIDENTE_ Directa'!G104</f>
        <v>9988020.9199999999</v>
      </c>
      <c r="H9" s="66">
        <f>'REMUNERACION_OCCIDENTE_ Directa'!H104</f>
        <v>39110786.109999999</v>
      </c>
      <c r="I9" s="66">
        <f>'REMUNERACION_OCCIDENTE_ Directa'!I104</f>
        <v>1161652.6499999999</v>
      </c>
      <c r="J9" s="66">
        <f>'REMUNERACION_OCCIDENTE_ Directa'!J104</f>
        <v>0</v>
      </c>
      <c r="K9" s="30">
        <f>D9-E9-F9-G9-H9-I9-J9</f>
        <v>244956575.39999995</v>
      </c>
      <c r="L9" s="66">
        <f>'REMUNERACION_OCCIDENTE_ Directa'!L104</f>
        <v>0</v>
      </c>
      <c r="M9" s="30">
        <f>K9-L9</f>
        <v>244956575.39999995</v>
      </c>
      <c r="N9" s="66">
        <f>'REMUNERACION_OCCIDENTE_ Directa'!N104</f>
        <v>9993768.9299999997</v>
      </c>
      <c r="O9" s="30">
        <f>M9+N9</f>
        <v>254950344.32999995</v>
      </c>
      <c r="Q9" s="4"/>
      <c r="S9" s="14">
        <v>1</v>
      </c>
      <c r="T9" s="61" t="s">
        <v>10</v>
      </c>
      <c r="U9" s="66">
        <f>'REMUNERACION_OCCIDENTE_ Directa'!U104</f>
        <v>10150547.140000001</v>
      </c>
      <c r="V9" s="66">
        <f>'REMUNERACION_OCCIDENTE_ Directa'!V104</f>
        <v>12938213.059999999</v>
      </c>
      <c r="W9" s="66">
        <f>'REMUNERACION_OCCIDENTE_ Directa'!W104</f>
        <v>61175845.509999998</v>
      </c>
      <c r="X9" s="66">
        <f>'REMUNERACION_OCCIDENTE_ Directa'!X104</f>
        <v>91659808.629999995</v>
      </c>
      <c r="Y9" s="66">
        <f>'REMUNERACION_OCCIDENTE_ Directa'!Y104</f>
        <v>1897066.05</v>
      </c>
      <c r="Z9" s="66">
        <f>'REMUNERACION_OCCIDENTE_ Directa'!Z104</f>
        <v>0</v>
      </c>
      <c r="AA9" s="66">
        <f>'REMUNERACION_OCCIDENTE_ Directa'!AA104</f>
        <v>-3571.28</v>
      </c>
      <c r="AB9" s="66">
        <f>'REMUNERACION_OCCIDENTE_ Directa'!AB104</f>
        <v>9993768.9299999997</v>
      </c>
      <c r="AC9" s="66">
        <f>'REMUNERACION_OCCIDENTE_ Directa'!AC104</f>
        <v>0.09</v>
      </c>
      <c r="AD9" s="66">
        <f>'REMUNERACION_OCCIDENTE_ Directa'!AD104</f>
        <v>64278052.549999997</v>
      </c>
      <c r="AE9" s="66">
        <f>'REMUNERACION_OCCIDENTE_ Directa'!AE104</f>
        <v>64278052.549999997</v>
      </c>
      <c r="AF9" s="69">
        <f>SUM(U9:AD9)</f>
        <v>252089730.68000001</v>
      </c>
      <c r="AG9" s="71">
        <f>AF9-O9</f>
        <v>-2860613.6499999464</v>
      </c>
      <c r="AH9" s="1" t="b">
        <f>INT(AG9)=0</f>
        <v>0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982936724.74000001</v>
      </c>
      <c r="E10" s="66">
        <f>'REMUNERACION_OCCIDENTE_ Directa'!E105</f>
        <v>112268360.98000002</v>
      </c>
      <c r="F10" s="66">
        <f>'REMUNERACION_OCCIDENTE_ Directa'!F105</f>
        <v>61941843.759999998</v>
      </c>
      <c r="G10" s="66">
        <f>'REMUNERACION_OCCIDENTE_ Directa'!G105</f>
        <v>32720417.27</v>
      </c>
      <c r="H10" s="66">
        <f>'REMUNERACION_OCCIDENTE_ Directa'!H105</f>
        <v>116008334.81999999</v>
      </c>
      <c r="I10" s="66">
        <f>'REMUNERACION_OCCIDENTE_ Directa'!I105</f>
        <v>3014304.8600000003</v>
      </c>
      <c r="J10" s="66">
        <f>'REMUNERACION_OCCIDENTE_ Directa'!J105</f>
        <v>0</v>
      </c>
      <c r="K10" s="31">
        <f t="shared" ref="K10:K13" si="0">D10-E10-F10-G10-H10-I10-J10</f>
        <v>656983463.05000007</v>
      </c>
      <c r="L10" s="66">
        <f>'REMUNERACION_OCCIDENTE_ Directa'!L105</f>
        <v>0</v>
      </c>
      <c r="M10" s="31">
        <f>K10-L10</f>
        <v>656983463.05000007</v>
      </c>
      <c r="N10" s="66">
        <f>'REMUNERACION_OCCIDENTE_ Directa'!N105</f>
        <v>3112272.6</v>
      </c>
      <c r="O10" s="31">
        <f t="shared" ref="O10:O13" si="1">M10+N10</f>
        <v>660095735.6500001</v>
      </c>
      <c r="Q10" s="4"/>
      <c r="S10" s="16">
        <v>2</v>
      </c>
      <c r="T10" s="62" t="s">
        <v>11</v>
      </c>
      <c r="U10" s="66">
        <f>'REMUNERACION_OCCIDENTE_ Directa'!U105</f>
        <v>27139904.98</v>
      </c>
      <c r="V10" s="66">
        <f>'REMUNERACION_OCCIDENTE_ Directa'!V105</f>
        <v>36459915.640000001</v>
      </c>
      <c r="W10" s="66">
        <f>'REMUNERACION_OCCIDENTE_ Directa'!W105</f>
        <v>171633561.22</v>
      </c>
      <c r="X10" s="66">
        <f>'REMUNERACION_OCCIDENTE_ Directa'!X105</f>
        <v>222885045.02000001</v>
      </c>
      <c r="Y10" s="66">
        <f>'REMUNERACION_OCCIDENTE_ Directa'!Y105</f>
        <v>4938205.57</v>
      </c>
      <c r="Z10" s="66">
        <f>'REMUNERACION_OCCIDENTE_ Directa'!Z105</f>
        <v>0</v>
      </c>
      <c r="AA10" s="66">
        <f>'REMUNERACION_OCCIDENTE_ Directa'!AA105</f>
        <v>-936.52</v>
      </c>
      <c r="AB10" s="66">
        <f>'REMUNERACION_OCCIDENTE_ Directa'!AB105</f>
        <v>3112272.6</v>
      </c>
      <c r="AC10" s="66">
        <f>'REMUNERACION_OCCIDENTE_ Directa'!AC105</f>
        <v>-56258.879999999997</v>
      </c>
      <c r="AD10" s="66">
        <f>'REMUNERACION_OCCIDENTE_ Directa'!AD105</f>
        <v>153226925.48000002</v>
      </c>
      <c r="AE10" s="66">
        <f>'REMUNERACION_OCCIDENTE_ Directa'!AE105</f>
        <v>153226925.48000002</v>
      </c>
      <c r="AF10" s="70">
        <f>SUM(U10:AD10)</f>
        <v>619338635.11000013</v>
      </c>
      <c r="AG10" s="72">
        <f>AF10-O10</f>
        <v>-40757100.539999962</v>
      </c>
      <c r="AH10" s="1" t="b">
        <f t="shared" ref="AH10:AH14" si="2">INT(AG10)=0</f>
        <v>0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429594685.46999997</v>
      </c>
      <c r="E11" s="66">
        <f>'REMUNERACION_OCCIDENTE_ Directa'!E106</f>
        <v>49563321.700000003</v>
      </c>
      <c r="F11" s="66">
        <f>'REMUNERACION_OCCIDENTE_ Directa'!F106</f>
        <v>27986809.16</v>
      </c>
      <c r="G11" s="66">
        <f>'REMUNERACION_OCCIDENTE_ Directa'!G106</f>
        <v>14662575.93</v>
      </c>
      <c r="H11" s="66">
        <f>'REMUNERACION_OCCIDENTE_ Directa'!H106</f>
        <v>22403066.969999999</v>
      </c>
      <c r="I11" s="66">
        <f>'REMUNERACION_OCCIDENTE_ Directa'!I106</f>
        <v>650470.14</v>
      </c>
      <c r="J11" s="66">
        <f>'REMUNERACION_OCCIDENTE_ Directa'!J106</f>
        <v>0</v>
      </c>
      <c r="K11" s="31">
        <f t="shared" si="0"/>
        <v>314328441.56999993</v>
      </c>
      <c r="L11" s="66">
        <f>'REMUNERACION_OCCIDENTE_ Directa'!L106</f>
        <v>0</v>
      </c>
      <c r="M11" s="31">
        <f>K11-L11</f>
        <v>314328441.56999993</v>
      </c>
      <c r="N11" s="66">
        <f>'REMUNERACION_OCCIDENTE_ Directa'!N106</f>
        <v>4811611.8099999996</v>
      </c>
      <c r="O11" s="31">
        <f t="shared" si="1"/>
        <v>319140053.37999994</v>
      </c>
      <c r="Q11" s="4"/>
      <c r="S11" s="16">
        <v>3</v>
      </c>
      <c r="T11" s="62" t="s">
        <v>12</v>
      </c>
      <c r="U11" s="66">
        <f>'REMUNERACION_OCCIDENTE_ Directa'!U106</f>
        <v>5717940.3899999997</v>
      </c>
      <c r="V11" s="66">
        <f>'REMUNERACION_OCCIDENTE_ Directa'!V106</f>
        <v>7429546.7400000002</v>
      </c>
      <c r="W11" s="66">
        <f>'REMUNERACION_OCCIDENTE_ Directa'!W106</f>
        <v>35091268.950000003</v>
      </c>
      <c r="X11" s="66">
        <f>'REMUNERACION_OCCIDENTE_ Directa'!X106</f>
        <v>117367146.56</v>
      </c>
      <c r="Y11" s="66">
        <f>'REMUNERACION_OCCIDENTE_ Directa'!Y106</f>
        <v>1068975.6200000001</v>
      </c>
      <c r="Z11" s="66">
        <f>'REMUNERACION_OCCIDENTE_ Directa'!Z106</f>
        <v>0</v>
      </c>
      <c r="AA11" s="66">
        <f>'REMUNERACION_OCCIDENTE_ Directa'!AA106</f>
        <v>794.57</v>
      </c>
      <c r="AB11" s="66">
        <f>'REMUNERACION_OCCIDENTE_ Directa'!AB106</f>
        <v>4811611.8099999996</v>
      </c>
      <c r="AC11" s="66">
        <f>'REMUNERACION_OCCIDENTE_ Directa'!AC106</f>
        <v>-41621.01</v>
      </c>
      <c r="AD11" s="66">
        <f>'REMUNERACION_OCCIDENTE_ Directa'!AD106</f>
        <v>146054619.53</v>
      </c>
      <c r="AE11" s="66">
        <f>'REMUNERACION_OCCIDENTE_ Directa'!AE106</f>
        <v>146054619.53</v>
      </c>
      <c r="AF11" s="70">
        <f>SUM(U11:AD11)</f>
        <v>317500283.15999997</v>
      </c>
      <c r="AG11" s="72">
        <f>AF11-O11</f>
        <v>-1639770.219999969</v>
      </c>
      <c r="AH11" s="1" t="b">
        <f t="shared" si="2"/>
        <v>0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594430569.70000005</v>
      </c>
      <c r="E12" s="66">
        <f>'REMUNERACION_OCCIDENTE_ Directa'!E107</f>
        <v>52006005.950000003</v>
      </c>
      <c r="F12" s="66">
        <f>'REMUNERACION_OCCIDENTE_ Directa'!F107</f>
        <v>28556754.439999998</v>
      </c>
      <c r="G12" s="66">
        <f>'REMUNERACION_OCCIDENTE_ Directa'!G107</f>
        <v>15612684.969999999</v>
      </c>
      <c r="H12" s="66">
        <f>'REMUNERACION_OCCIDENTE_ Directa'!H107</f>
        <v>64011028.090000004</v>
      </c>
      <c r="I12" s="66">
        <f>'REMUNERACION_OCCIDENTE_ Directa'!I107</f>
        <v>1840038.8800000001</v>
      </c>
      <c r="J12" s="66">
        <f>'REMUNERACION_OCCIDENTE_ Directa'!J107</f>
        <v>0</v>
      </c>
      <c r="K12" s="31">
        <f t="shared" si="0"/>
        <v>432404057.37</v>
      </c>
      <c r="L12" s="66">
        <f>'REMUNERACION_OCCIDENTE_ Directa'!L107</f>
        <v>0</v>
      </c>
      <c r="M12" s="31">
        <f>K12-L12</f>
        <v>432404057.37</v>
      </c>
      <c r="N12" s="66">
        <f>'REMUNERACION_OCCIDENTE_ Directa'!N107</f>
        <v>670762.75</v>
      </c>
      <c r="O12" s="31">
        <f t="shared" si="1"/>
        <v>433074820.12</v>
      </c>
      <c r="Q12" s="4"/>
      <c r="S12" s="16">
        <v>4</v>
      </c>
      <c r="T12" s="62" t="s">
        <v>13</v>
      </c>
      <c r="U12" s="66">
        <f>'REMUNERACION_OCCIDENTE_ Directa'!U107</f>
        <v>15989400.669999998</v>
      </c>
      <c r="V12" s="66">
        <f>'REMUNERACION_OCCIDENTE_ Directa'!V107</f>
        <v>20824227.509999998</v>
      </c>
      <c r="W12" s="66">
        <f>'REMUNERACION_OCCIDENTE_ Directa'!W107</f>
        <v>105700447.3</v>
      </c>
      <c r="X12" s="66">
        <f>'REMUNERACION_OCCIDENTE_ Directa'!X107</f>
        <v>137726820.66</v>
      </c>
      <c r="Y12" s="66">
        <f>'REMUNERACION_OCCIDENTE_ Directa'!Y107</f>
        <v>3022928.99</v>
      </c>
      <c r="Z12" s="66">
        <f>'REMUNERACION_OCCIDENTE_ Directa'!Z107</f>
        <v>0</v>
      </c>
      <c r="AA12" s="66">
        <f>'REMUNERACION_OCCIDENTE_ Directa'!AA107</f>
        <v>320.89000000000004</v>
      </c>
      <c r="AB12" s="66">
        <f>'REMUNERACION_OCCIDENTE_ Directa'!AB107</f>
        <v>670762.75</v>
      </c>
      <c r="AC12" s="66">
        <f>'REMUNERACION_OCCIDENTE_ Directa'!AC107</f>
        <v>0.19999999999999998</v>
      </c>
      <c r="AD12" s="66">
        <f>'REMUNERACION_OCCIDENTE_ Directa'!AD107</f>
        <v>147393194.20000002</v>
      </c>
      <c r="AE12" s="66">
        <f>'REMUNERACION_OCCIDENTE_ Directa'!AE107</f>
        <v>147393194.20000002</v>
      </c>
      <c r="AF12" s="70">
        <f>SUM(U12:AD12)</f>
        <v>431328103.16999996</v>
      </c>
      <c r="AG12" s="72">
        <f>AF12-O12</f>
        <v>-1746716.9500000477</v>
      </c>
      <c r="AH12" s="1" t="b">
        <f t="shared" si="2"/>
        <v>0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172752158.53</v>
      </c>
      <c r="E13" s="66">
        <f>'REMUNERACION_OCCIDENTE_ Directa'!E108</f>
        <v>16252936.57</v>
      </c>
      <c r="F13" s="66">
        <f>'REMUNERACION_OCCIDENTE_ Directa'!F108</f>
        <v>8882611.3300000001</v>
      </c>
      <c r="G13" s="66">
        <f>'REMUNERACION_OCCIDENTE_ Directa'!G108</f>
        <v>4769708.84</v>
      </c>
      <c r="H13" s="66">
        <f>'REMUNERACION_OCCIDENTE_ Directa'!H108</f>
        <v>12689130.529999999</v>
      </c>
      <c r="I13" s="66">
        <f>'REMUNERACION_OCCIDENTE_ Directa'!I108</f>
        <v>523491.14</v>
      </c>
      <c r="J13" s="66">
        <f>'REMUNERACION_OCCIDENTE_ Directa'!J108</f>
        <v>0</v>
      </c>
      <c r="K13" s="31">
        <f t="shared" si="0"/>
        <v>129634280.11999999</v>
      </c>
      <c r="L13" s="66">
        <f>'REMUNERACION_OCCIDENTE_ Directa'!L108</f>
        <v>0</v>
      </c>
      <c r="M13" s="40">
        <f>K13-L13</f>
        <v>129634280.11999999</v>
      </c>
      <c r="N13" s="66">
        <f>'REMUNERACION_OCCIDENTE_ Directa'!N108</f>
        <v>1908241.19</v>
      </c>
      <c r="O13" s="40">
        <f t="shared" si="1"/>
        <v>131542521.30999999</v>
      </c>
      <c r="Q13" s="4"/>
      <c r="S13" s="19">
        <v>5</v>
      </c>
      <c r="T13" s="63" t="s">
        <v>14</v>
      </c>
      <c r="U13" s="66">
        <f>'REMUNERACION_OCCIDENTE_ Directa'!U108</f>
        <v>4671973.0999999996</v>
      </c>
      <c r="V13" s="66">
        <f>'REMUNERACION_OCCIDENTE_ Directa'!V108</f>
        <v>5604579.4400000004</v>
      </c>
      <c r="W13" s="66">
        <f>'REMUNERACION_OCCIDENTE_ Directa'!W108</f>
        <v>30069445.420000002</v>
      </c>
      <c r="X13" s="66">
        <f>'REMUNERACION_OCCIDENTE_ Directa'!X108</f>
        <v>48380758.240000002</v>
      </c>
      <c r="Y13" s="66">
        <f>'REMUNERACION_OCCIDENTE_ Directa'!Y108</f>
        <v>859953.88</v>
      </c>
      <c r="Z13" s="66">
        <f>'REMUNERACION_OCCIDENTE_ Directa'!Z108</f>
        <v>0</v>
      </c>
      <c r="AA13" s="66">
        <f>'REMUNERACION_OCCIDENTE_ Directa'!AA108</f>
        <v>-712.59</v>
      </c>
      <c r="AB13" s="66">
        <f>'REMUNERACION_OCCIDENTE_ Directa'!AB108</f>
        <v>1908241.19</v>
      </c>
      <c r="AC13" s="66">
        <f>'REMUNERACION_OCCIDENTE_ Directa'!AC108</f>
        <v>4.9999999999999996E-2</v>
      </c>
      <c r="AD13" s="66">
        <f>'REMUNERACION_OCCIDENTE_ Directa'!AD108</f>
        <v>38779305.009999998</v>
      </c>
      <c r="AE13" s="66">
        <f>'REMUNERACION_OCCIDENTE_ Directa'!AE108</f>
        <v>38779305.009999998</v>
      </c>
      <c r="AF13" s="70">
        <f>SUM(U13:AD13)</f>
        <v>130273543.73999998</v>
      </c>
      <c r="AG13" s="369">
        <f>AF13-O13</f>
        <v>-1268977.5700000077</v>
      </c>
      <c r="AH13" s="1" t="b">
        <f t="shared" si="2"/>
        <v>0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2527193143.9200006</v>
      </c>
      <c r="E14" s="43">
        <f t="shared" si="3"/>
        <v>263671911.14999998</v>
      </c>
      <c r="F14" s="43">
        <f t="shared" si="3"/>
        <v>146048703.14000002</v>
      </c>
      <c r="G14" s="43">
        <f t="shared" si="3"/>
        <v>77753407.930000007</v>
      </c>
      <c r="H14" s="43">
        <f t="shared" si="3"/>
        <v>254222346.52000001</v>
      </c>
      <c r="I14" s="43">
        <f t="shared" si="3"/>
        <v>7189957.6699999999</v>
      </c>
      <c r="J14" s="43">
        <f t="shared" si="3"/>
        <v>0</v>
      </c>
      <c r="K14" s="32">
        <f t="shared" si="3"/>
        <v>1778306817.5099998</v>
      </c>
      <c r="L14" s="23">
        <f t="shared" si="3"/>
        <v>0</v>
      </c>
      <c r="M14" s="76">
        <f t="shared" si="3"/>
        <v>1778306817.5099998</v>
      </c>
      <c r="N14" s="23">
        <f t="shared" si="3"/>
        <v>20496657.280000001</v>
      </c>
      <c r="O14" s="76">
        <f t="shared" si="3"/>
        <v>1798803474.79</v>
      </c>
      <c r="P14" s="2"/>
      <c r="Q14" s="4"/>
      <c r="S14" s="21"/>
      <c r="T14" s="22" t="s">
        <v>119</v>
      </c>
      <c r="U14" s="43">
        <f>SUM(U9:U13)</f>
        <v>63669766.280000009</v>
      </c>
      <c r="V14" s="43">
        <f t="shared" ref="V14:AG14" si="4">SUM(V9:V13)</f>
        <v>83256482.390000001</v>
      </c>
      <c r="W14" s="43">
        <f t="shared" si="4"/>
        <v>403670568.40000004</v>
      </c>
      <c r="X14" s="43">
        <f t="shared" si="4"/>
        <v>618019579.11000001</v>
      </c>
      <c r="Y14" s="43">
        <f t="shared" si="4"/>
        <v>11787130.110000001</v>
      </c>
      <c r="Z14" s="43">
        <f t="shared" si="4"/>
        <v>0</v>
      </c>
      <c r="AA14" s="43">
        <f t="shared" si="4"/>
        <v>-4104.93</v>
      </c>
      <c r="AB14" s="43">
        <f t="shared" si="4"/>
        <v>20496657.280000001</v>
      </c>
      <c r="AC14" s="43">
        <f t="shared" si="4"/>
        <v>-97879.55</v>
      </c>
      <c r="AD14" s="43">
        <f t="shared" si="4"/>
        <v>549732096.7700001</v>
      </c>
      <c r="AE14" s="43">
        <f>SUM(AE9:AE13)</f>
        <v>549732096.7700001</v>
      </c>
      <c r="AF14" s="68">
        <f t="shared" si="4"/>
        <v>1750530295.8600004</v>
      </c>
      <c r="AG14" s="43">
        <f t="shared" si="4"/>
        <v>-48273178.929999933</v>
      </c>
      <c r="AH14" s="1" t="b">
        <f t="shared" si="2"/>
        <v>0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1180403526.29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46296</v>
      </c>
      <c r="J27" s="2" t="s">
        <v>28</v>
      </c>
      <c r="K27" s="9">
        <f>'REMUNERACION_OCCIDENTE_ Directa'!K122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17250690.219999999</v>
      </c>
      <c r="E30" s="111">
        <f>'REMUNERACION_OCCIDENTE_ Directa'!E125</f>
        <v>0</v>
      </c>
      <c r="G30" s="336">
        <f>'REMUNERACION_OCCIDENTE_ Directa'!G125</f>
        <v>134910</v>
      </c>
      <c r="H30" s="310">
        <f>'REMUNERACION_OCCIDENTE_ Directa'!H125</f>
        <v>3856721.63</v>
      </c>
      <c r="I30" s="309">
        <f>'REMUNERACION_OCCIDENTE_ Directa'!I125</f>
        <v>0</v>
      </c>
      <c r="J30" s="309">
        <f>'REMUNERACION_OCCIDENTE_ Directa'!J125</f>
        <v>-134910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29950514.969999999</v>
      </c>
      <c r="E31" s="74">
        <f>'REMUNERACION_OCCIDENTE_ Directa'!E126</f>
        <v>0</v>
      </c>
      <c r="G31" s="339">
        <f>'REMUNERACION_OCCIDENTE_ Directa'!G126</f>
        <v>464154</v>
      </c>
      <c r="H31" s="340">
        <f>'REMUNERACION_OCCIDENTE_ Directa'!H126</f>
        <v>44529691.310000002</v>
      </c>
      <c r="I31" s="288">
        <f>'REMUNERACION_OCCIDENTE_ Directa'!I126</f>
        <v>0</v>
      </c>
      <c r="J31" s="288">
        <f>'REMUNERACION_OCCIDENTE_ Directa'!J126</f>
        <v>-945063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4909289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2205351.2800000003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7416134</v>
      </c>
      <c r="E33" s="74">
        <f>'REMUNERACION_OCCIDENTE_ Directa'!E128</f>
        <v>0</v>
      </c>
      <c r="G33" s="339">
        <f>'REMUNERACION_OCCIDENTE_ Directa'!G128</f>
        <v>850737</v>
      </c>
      <c r="H33" s="340">
        <f>'REMUNERACION_OCCIDENTE_ Directa'!H128</f>
        <v>3374812.45</v>
      </c>
      <c r="I33" s="288">
        <f>'REMUNERACION_OCCIDENTE_ Directa'!I128</f>
        <v>0</v>
      </c>
      <c r="J33" s="288">
        <f>'REMUNERACION_OCCIDENTE_ Directa'!J128</f>
        <v>-1371252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2432240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1186886.72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61958868.189999998</v>
      </c>
      <c r="E36" s="107">
        <f>'REMUNERACION_OCCIDENTE_ Directa'!E131</f>
        <v>0</v>
      </c>
      <c r="F36" s="45"/>
      <c r="G36" s="350">
        <f t="shared" ref="G36:L36" si="6">SUM(G30:G34)</f>
        <v>1449801</v>
      </c>
      <c r="H36" s="350">
        <f t="shared" si="6"/>
        <v>55153463.390000008</v>
      </c>
      <c r="I36" s="350">
        <f t="shared" si="6"/>
        <v>0</v>
      </c>
      <c r="J36" s="350">
        <f t="shared" si="6"/>
        <v>-2451225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46296</v>
      </c>
      <c r="J7" s="2" t="s">
        <v>28</v>
      </c>
      <c r="K7" s="9">
        <f>'CONSOLIDADO_TOTAL RECAUDO'!K7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2026101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2026101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46296</v>
      </c>
      <c r="J26" s="2" t="s">
        <v>28</v>
      </c>
      <c r="K26" s="9">
        <f>K7</f>
        <v>46310</v>
      </c>
      <c r="O26" s="10"/>
      <c r="P26" s="2"/>
      <c r="Q26" s="4"/>
      <c r="S26" s="8"/>
      <c r="U26" s="1" t="str">
        <f>F26</f>
        <v>Fecha Desde:</v>
      </c>
      <c r="V26" s="9">
        <f>G26</f>
        <v>46296</v>
      </c>
      <c r="W26" s="1" t="s">
        <v>1</v>
      </c>
      <c r="X26" s="1" t="str">
        <f>J26</f>
        <v>Feha Hasta:</v>
      </c>
      <c r="Y26" s="9">
        <f>K26</f>
        <v>46310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2026101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2026101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46296</v>
      </c>
      <c r="J45" s="2" t="s">
        <v>28</v>
      </c>
      <c r="K45" s="9">
        <f>K7</f>
        <v>46310</v>
      </c>
      <c r="O45" s="10"/>
      <c r="P45" s="2"/>
      <c r="Q45" s="4"/>
      <c r="S45" s="8"/>
      <c r="U45" s="1" t="str">
        <f>F45</f>
        <v>Fecha Desde:</v>
      </c>
      <c r="V45" s="9">
        <f>G45</f>
        <v>46296</v>
      </c>
      <c r="W45" s="1" t="s">
        <v>1</v>
      </c>
      <c r="X45" s="1" t="str">
        <f>J45</f>
        <v>Feha Hasta:</v>
      </c>
      <c r="Y45" s="9">
        <f>K45</f>
        <v>46310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2026101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2026101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46296</v>
      </c>
      <c r="J64" s="2" t="s">
        <v>28</v>
      </c>
      <c r="K64" s="9">
        <f>K7</f>
        <v>46310</v>
      </c>
      <c r="O64" s="10"/>
      <c r="P64" s="2"/>
      <c r="Q64" s="4"/>
      <c r="S64" s="8"/>
      <c r="U64" s="1" t="str">
        <f>F64</f>
        <v>Fecha Desde:</v>
      </c>
      <c r="V64" s="9">
        <f>G64</f>
        <v>46296</v>
      </c>
      <c r="W64" s="1" t="s">
        <v>1</v>
      </c>
      <c r="X64" s="1" t="str">
        <f>J64</f>
        <v>Feha Hasta:</v>
      </c>
      <c r="Y64" s="9">
        <f>K64</f>
        <v>46310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2026101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2026101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46296</v>
      </c>
      <c r="J83" s="2" t="s">
        <v>28</v>
      </c>
      <c r="K83" s="9">
        <f>K7</f>
        <v>46310</v>
      </c>
      <c r="O83" s="10"/>
      <c r="P83" s="2"/>
      <c r="Q83" s="4"/>
      <c r="S83" s="8"/>
      <c r="U83" s="1" t="str">
        <f>F83</f>
        <v>Fecha Desde:</v>
      </c>
      <c r="V83" s="9">
        <f>G83</f>
        <v>46296</v>
      </c>
      <c r="W83" s="1" t="s">
        <v>1</v>
      </c>
      <c r="X83" s="1" t="str">
        <f>J83</f>
        <v>Feha Hasta:</v>
      </c>
      <c r="Y83" s="9">
        <f>K83</f>
        <v>46310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2026101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2026101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46296</v>
      </c>
      <c r="J102" s="2" t="s">
        <v>28</v>
      </c>
      <c r="K102" s="9">
        <f>K7</f>
        <v>46310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46296</v>
      </c>
      <c r="W102" s="1" t="s">
        <v>1</v>
      </c>
      <c r="X102" s="1" t="str">
        <f>J102</f>
        <v>Feha Hasta:</v>
      </c>
      <c r="Y102" s="9">
        <f>K102</f>
        <v>46310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2026101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46296</v>
      </c>
      <c r="J122" s="2" t="s">
        <v>28</v>
      </c>
      <c r="K122" s="9">
        <f>K7</f>
        <v>46310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2026101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2026101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46296</v>
      </c>
      <c r="J7" s="2" t="s">
        <v>28</v>
      </c>
      <c r="K7" s="9">
        <f>'CONSOLIDADO_TOTAL RECAUDO'!K102</f>
        <v>46310</v>
      </c>
      <c r="O7" s="10"/>
      <c r="P7" s="2"/>
      <c r="Q7" s="4"/>
      <c r="S7" s="8"/>
      <c r="U7" s="1" t="str">
        <f>F7</f>
        <v>Fecha Desde:</v>
      </c>
      <c r="V7" s="9">
        <f>G7</f>
        <v>46296</v>
      </c>
      <c r="W7" s="1" t="s">
        <v>1</v>
      </c>
      <c r="X7" s="1" t="str">
        <f>J7</f>
        <v>Feha Hasta:</v>
      </c>
      <c r="Y7" s="9">
        <f>K7</f>
        <v>46310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2026101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46296</v>
      </c>
      <c r="J27" s="2" t="s">
        <v>28</v>
      </c>
      <c r="K27" s="9">
        <f>'CONSOLIDADO_TOTAL RECAUDO'!K122</f>
        <v>46310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F19" sqref="F19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343</v>
      </c>
      <c r="F6" s="660" t="s">
        <v>230</v>
      </c>
    </row>
    <row r="7" spans="2:20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-14842425135.769999</v>
      </c>
      <c r="E23" s="648">
        <f>E9-'CONSOLIDADO_TOTAL RECAUDO'!E104</f>
        <v>-841835259.24000001</v>
      </c>
      <c r="F23" s="648">
        <f>F9-'CONSOLIDADO_TOTAL RECAUDO'!F104</f>
        <v>-468934429.98000002</v>
      </c>
      <c r="G23" s="648">
        <f>G9-'CONSOLIDADO_TOTAL RECAUDO'!G104</f>
        <v>-249665577.34</v>
      </c>
      <c r="H23" s="648">
        <f>H9-'CONSOLIDADO_TOTAL RECAUDO'!H104</f>
        <v>-4756987535.8000011</v>
      </c>
      <c r="I23" s="648">
        <f>I9-'CONSOLIDADO_TOTAL RECAUDO'!I104</f>
        <v>-158503798.81</v>
      </c>
      <c r="J23" s="648">
        <f>J9-'CONSOLIDADO_TOTAL RECAUDO'!J104</f>
        <v>-2153950828.1600003</v>
      </c>
      <c r="K23" s="648">
        <f>K9-'CONSOLIDADO_TOTAL RECAUDO'!K104</f>
        <v>-6212547706.4399967</v>
      </c>
      <c r="L23" s="648">
        <f>L9-'CONSOLIDADO_TOTAL RECAUDO'!L104</f>
        <v>-189185987</v>
      </c>
      <c r="M23" s="648">
        <f>M9-'CONSOLIDADO_TOTAL RECAUDO'!M104</f>
        <v>-6023361719.4399967</v>
      </c>
      <c r="N23" s="648">
        <f>N9-'CONSOLIDADO_TOTAL RECAUDO'!N104</f>
        <v>-19931693.030000001</v>
      </c>
      <c r="O23" s="648">
        <f>O9-'CONSOLIDADO_TOTAL RECAUDO'!O104</f>
        <v>-6043293412.4699965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-11302637604.959999</v>
      </c>
      <c r="E24" s="648">
        <f>E10-'CONSOLIDADO_TOTAL RECAUDO'!E105</f>
        <v>-873906144.08000004</v>
      </c>
      <c r="F24" s="648">
        <f>F10-'CONSOLIDADO_TOTAL RECAUDO'!F105</f>
        <v>-483830193.30000001</v>
      </c>
      <c r="G24" s="648">
        <f>G10-'CONSOLIDADO_TOTAL RECAUDO'!G105</f>
        <v>-256505918.23999998</v>
      </c>
      <c r="H24" s="648">
        <f>H10-'CONSOLIDADO_TOTAL RECAUDO'!H105</f>
        <v>-3576556628.1500001</v>
      </c>
      <c r="I24" s="648">
        <f>I10-'CONSOLIDADO_TOTAL RECAUDO'!I105</f>
        <v>-126707039.83999999</v>
      </c>
      <c r="J24" s="648">
        <f>J10-'CONSOLIDADO_TOTAL RECAUDO'!J105</f>
        <v>4217145526.9099998</v>
      </c>
      <c r="K24" s="648">
        <f>K10-'CONSOLIDADO_TOTAL RECAUDO'!K105</f>
        <v>-10202277208.26</v>
      </c>
      <c r="L24" s="648">
        <f>L10-'CONSOLIDADO_TOTAL RECAUDO'!L105</f>
        <v>-266580255</v>
      </c>
      <c r="M24" s="648">
        <f>M10-'CONSOLIDADO_TOTAL RECAUDO'!M105</f>
        <v>-9935696953.2600002</v>
      </c>
      <c r="N24" s="648">
        <f>N10-'CONSOLIDADO_TOTAL RECAUDO'!N105</f>
        <v>-9905072.7599999998</v>
      </c>
      <c r="O24" s="648">
        <f>O10-'CONSOLIDADO_TOTAL RECAUDO'!O105</f>
        <v>-9945602026.0200005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-8823787300.3700008</v>
      </c>
      <c r="E25" s="648">
        <f>E11-'CONSOLIDADO_TOTAL RECAUDO'!E106</f>
        <v>-569049058.22000003</v>
      </c>
      <c r="F25" s="648">
        <f>F11-'CONSOLIDADO_TOTAL RECAUDO'!F106</f>
        <v>-317267488.88</v>
      </c>
      <c r="G25" s="648">
        <f>G11-'CONSOLIDADO_TOTAL RECAUDO'!G106</f>
        <v>-168517798.86000001</v>
      </c>
      <c r="H25" s="648">
        <f>H11-'CONSOLIDADO_TOTAL RECAUDO'!H106</f>
        <v>-2429021539.6700001</v>
      </c>
      <c r="I25" s="648">
        <f>I11-'CONSOLIDADO_TOTAL RECAUDO'!I106</f>
        <v>-86984010.540000007</v>
      </c>
      <c r="J25" s="648">
        <f>J11-'CONSOLIDADO_TOTAL RECAUDO'!J106</f>
        <v>1288806337.0900002</v>
      </c>
      <c r="K25" s="648">
        <f>K11-'CONSOLIDADO_TOTAL RECAUDO'!K106</f>
        <v>-6541753741.2900009</v>
      </c>
      <c r="L25" s="648">
        <f>L11-'CONSOLIDADO_TOTAL RECAUDO'!L106</f>
        <v>-154788535</v>
      </c>
      <c r="M25" s="648">
        <f>M11-'CONSOLIDADO_TOTAL RECAUDO'!M106</f>
        <v>-6386965206.2900009</v>
      </c>
      <c r="N25" s="648">
        <f>N11-'CONSOLIDADO_TOTAL RECAUDO'!N106</f>
        <v>-19321799.949999999</v>
      </c>
      <c r="O25" s="648">
        <f>O11-'CONSOLIDADO_TOTAL RECAUDO'!O106</f>
        <v>-6406287006.2400007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-10483172762.089998</v>
      </c>
      <c r="E26" s="648">
        <f>E12-'CONSOLIDADO_TOTAL RECAUDO'!E107</f>
        <v>-605948755.42999995</v>
      </c>
      <c r="F26" s="648">
        <f>F12-'CONSOLIDADO_TOTAL RECAUDO'!F107</f>
        <v>-335895270.16999996</v>
      </c>
      <c r="G26" s="648">
        <f>G12-'CONSOLIDADO_TOTAL RECAUDO'!G107</f>
        <v>-179108611.82000002</v>
      </c>
      <c r="H26" s="648">
        <f>H12-'CONSOLIDADO_TOTAL RECAUDO'!H107</f>
        <v>-2401366805.27</v>
      </c>
      <c r="I26" s="648">
        <f>I12-'CONSOLIDADO_TOTAL RECAUDO'!I107</f>
        <v>-89808011.769999996</v>
      </c>
      <c r="J26" s="648">
        <f>J12-'CONSOLIDADO_TOTAL RECAUDO'!J107</f>
        <v>-61531953.689999998</v>
      </c>
      <c r="K26" s="648">
        <f>K12-'CONSOLIDADO_TOTAL RECAUDO'!K107</f>
        <v>-6809513353.9399977</v>
      </c>
      <c r="L26" s="648">
        <f>L12-'CONSOLIDADO_TOTAL RECAUDO'!L107</f>
        <v>-120391083</v>
      </c>
      <c r="M26" s="648">
        <f>M12-'CONSOLIDADO_TOTAL RECAUDO'!M107</f>
        <v>-6689122270.9399977</v>
      </c>
      <c r="N26" s="648">
        <f>N12-'CONSOLIDADO_TOTAL RECAUDO'!N107</f>
        <v>-8643135.5800000001</v>
      </c>
      <c r="O26" s="648">
        <f>O12-'CONSOLIDADO_TOTAL RECAUDO'!O107</f>
        <v>-6697765406.5199976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-7550668664.9899998</v>
      </c>
      <c r="E27" s="648">
        <f>E13-'CONSOLIDADO_TOTAL RECAUDO'!E108</f>
        <v>-408145471.80000001</v>
      </c>
      <c r="F27" s="648">
        <f>F13-'CONSOLIDADO_TOTAL RECAUDO'!F108</f>
        <v>-227118040.72999999</v>
      </c>
      <c r="G27" s="648">
        <f>G13-'CONSOLIDADO_TOTAL RECAUDO'!G108</f>
        <v>-120841029.03</v>
      </c>
      <c r="H27" s="648">
        <f>H13-'CONSOLIDADO_TOTAL RECAUDO'!H108</f>
        <v>-1864267894.6400001</v>
      </c>
      <c r="I27" s="648">
        <f>I13-'CONSOLIDADO_TOTAL RECAUDO'!I108</f>
        <v>-62073126.829999998</v>
      </c>
      <c r="J27" s="648">
        <f>J13-'CONSOLIDADO_TOTAL RECAUDO'!J108</f>
        <v>1246473094.4099998</v>
      </c>
      <c r="K27" s="648">
        <f>K13-'CONSOLIDADO_TOTAL RECAUDO'!K108</f>
        <v>-6114696196.3699999</v>
      </c>
      <c r="L27" s="648">
        <f>L13-'CONSOLIDADO_TOTAL RECAUDO'!L108</f>
        <v>-128990445</v>
      </c>
      <c r="M27" s="648">
        <f>M13-'CONSOLIDADO_TOTAL RECAUDO'!M108</f>
        <v>-5985705751.3699999</v>
      </c>
      <c r="N27" s="648">
        <f>N13-'CONSOLIDADO_TOTAL RECAUDO'!N108</f>
        <v>-12379938.060000001</v>
      </c>
      <c r="O27" s="648">
        <f>O13-'CONSOLIDADO_TOTAL RECAUDO'!O108</f>
        <v>-5998085689.4300003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-53002691468.179993</v>
      </c>
      <c r="E28" s="648">
        <f>E14-'CONSOLIDADO_TOTAL RECAUDO'!E109</f>
        <v>-3298884688.77</v>
      </c>
      <c r="F28" s="648">
        <f>F14-'CONSOLIDADO_TOTAL RECAUDO'!F109</f>
        <v>-1833045423.0599999</v>
      </c>
      <c r="G28" s="648">
        <f>G14-'CONSOLIDADO_TOTAL RECAUDO'!G109</f>
        <v>-974638935.29000008</v>
      </c>
      <c r="H28" s="648">
        <f>H14-'CONSOLIDADO_TOTAL RECAUDO'!H109</f>
        <v>-15028200403.530001</v>
      </c>
      <c r="I28" s="648">
        <f>I14-'CONSOLIDADO_TOTAL RECAUDO'!I109</f>
        <v>-524075987.78999996</v>
      </c>
      <c r="J28" s="648">
        <f>J14-'CONSOLIDADO_TOTAL RECAUDO'!J109</f>
        <v>4536942176.5599995</v>
      </c>
      <c r="K28" s="648">
        <f>K14-'CONSOLIDADO_TOTAL RECAUDO'!K109</f>
        <v>-35880788206.299995</v>
      </c>
      <c r="L28" s="648">
        <f>L14-'CONSOLIDADO_TOTAL RECAUDO'!L109</f>
        <v>-859936305</v>
      </c>
      <c r="M28" s="648">
        <f>M14-'CONSOLIDADO_TOTAL RECAUDO'!M109</f>
        <v>-35020851901.299995</v>
      </c>
      <c r="N28" s="648">
        <f>N14-'CONSOLIDADO_TOTAL RECAUDO'!N109</f>
        <v>-70181639.379999995</v>
      </c>
      <c r="O28" s="648">
        <f>O14-'CONSOLIDADO_TOTAL RECAUDO'!O109</f>
        <v>-35091033540.679993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0</v>
      </c>
      <c r="E32" s="651" t="b">
        <f>+E23+'Reporte Componentes R1'!G89+'Rem. Anticipos R2'!F57+'Reversion Pagos R4'!E79+'Reporte Componentes R1'!G91+'AJUSTES - SF-T'!E47=E9</f>
        <v>0</v>
      </c>
      <c r="F32" s="651" t="b">
        <f>+F23+'Reporte Componentes R1'!H89+'Rem. Anticipos R2'!G57+'Reversion Pagos R4'!F79+'Reporte Componentes R1'!H91+'AJUSTES - SF-T'!F47=F9</f>
        <v>0</v>
      </c>
      <c r="G32" s="651" t="b">
        <f>+G23+'Reporte Componentes R1'!I89+'Rem. Anticipos R2'!H57+'Reversion Pagos R4'!G79+'Reporte Componentes R1'!I91+'AJUSTES - SF-T'!G47=G9</f>
        <v>0</v>
      </c>
      <c r="H32" s="651" t="b">
        <f>+H23+'Reporte Componentes R1'!J89+'Rem. Anticipos R2'!I57+'Reversion Pagos R4'!H79+'Reporte Componentes R1'!J91+'AJUSTES - SF-T'!H47=H9</f>
        <v>0</v>
      </c>
      <c r="I32" s="651" t="b">
        <f>+I23+'Reporte Componentes R1'!K89+'Rem. Anticipos R2'!J57+'Reversion Pagos R4'!I79+'Reporte Componentes R1'!K91+'AJUSTES - SF-T'!I47=I9</f>
        <v>0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f>
        <v>0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0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0</v>
      </c>
      <c r="G33" s="651" t="b">
        <f>+G24+'Reporte Componentes R1'!I323+'Rem. Anticipos R2'!H178+'Reversion Pagos R4'!G180+'Reporte Componentes R1'!I325+'AJUSTES - SF-T'!G48=G10</f>
        <v>0</v>
      </c>
      <c r="H33" s="651" t="b">
        <f>+H24+'Reporte Componentes R1'!J323+'Rem. Anticipos R2'!I178+'Reversion Pagos R4'!H180+'Reporte Componentes R1'!J325+'AJUSTES - SF-T'!H48=H10</f>
        <v>0</v>
      </c>
      <c r="I33" s="651" t="b">
        <f>+I24+'Reporte Componentes R1'!K323+'Rem. Anticipos R2'!J178+'Reversion Pagos R4'!I180+'Reporte Componentes R1'!K325+'AJUSTES - SF-T'!I48=I10</f>
        <v>0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0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f>
        <v>0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0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f>
        <v>0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0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f>
        <v>0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0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0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f>
        <v>0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343</v>
      </c>
      <c r="F6" s="660" t="s">
        <v>230</v>
      </c>
    </row>
    <row r="7" spans="2:15" customFormat="1" x14ac:dyDescent="0.25">
      <c r="C7" s="660" t="s">
        <v>231</v>
      </c>
      <c r="D7" s="660" t="s">
        <v>344</v>
      </c>
      <c r="F7" s="660" t="s">
        <v>27</v>
      </c>
      <c r="G7" s="660" t="s">
        <v>341</v>
      </c>
      <c r="I7" s="660" t="s">
        <v>232</v>
      </c>
      <c r="J7" s="660" t="s">
        <v>342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-1391786702.5999999</v>
      </c>
      <c r="E16" s="648">
        <f>E9-'CONSOLIDADO_TOTAL RECAUDO'!V104</f>
        <v>-1316009885.8500001</v>
      </c>
      <c r="F16" s="648">
        <f>F9-'CONSOLIDADO_TOTAL RECAUDO'!W104</f>
        <v>-6272474935.1999998</v>
      </c>
      <c r="G16" s="648">
        <f>G9-'CONSOLIDADO_TOTAL RECAUDO'!X104</f>
        <v>-2290968884.2599998</v>
      </c>
      <c r="H16" s="648">
        <f>H9-'CONSOLIDADO_TOTAL RECAUDO'!Y104</f>
        <v>-258754368.69000003</v>
      </c>
      <c r="I16" s="648">
        <f>I9-'CONSOLIDADO_TOTAL RECAUDO'!Z104</f>
        <v>189185987</v>
      </c>
      <c r="J16" s="648">
        <f>J9-'CONSOLIDADO_TOTAL RECAUDO'!AA104-'CONSOLIDADO_TOTAL RECAUDO'!AC104</f>
        <v>27647.41</v>
      </c>
      <c r="K16" s="648">
        <f>K9-'CONSOLIDADO_TOTAL RECAUDO'!AB104</f>
        <v>-19931693.030000001</v>
      </c>
      <c r="L16" s="648">
        <f>L9-'CONSOLIDADO_TOTAL RECAUDO'!AE104</f>
        <v>3190911557.0100002</v>
      </c>
      <c r="M16" s="648">
        <f>M9-'CONSOLIDADO_TOTAL RECAUDO'!AD104</f>
        <v>5344862385.1700001</v>
      </c>
      <c r="N16" s="648">
        <f>N9-'CONSOLIDADO_TOTAL RECAUDO'!AF104</f>
        <v>-6015850450.0499992</v>
      </c>
      <c r="O16" s="648">
        <f>O9-'CONSOLIDADO_TOTAL RECAUDO'!AG104</f>
        <v>27442962.419997215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-1111694675.1200001</v>
      </c>
      <c r="E17" s="648">
        <f>E10-'CONSOLIDADO_TOTAL RECAUDO'!V105</f>
        <v>-1069081811.17</v>
      </c>
      <c r="F17" s="648">
        <f>F10-'CONSOLIDADO_TOTAL RECAUDO'!W105</f>
        <v>-5079148400.1199999</v>
      </c>
      <c r="G17" s="648">
        <f>G10-'CONSOLIDADO_TOTAL RECAUDO'!X105</f>
        <v>-1714098215.3400002</v>
      </c>
      <c r="H17" s="648">
        <f>H10-'CONSOLIDADO_TOTAL RECAUDO'!Y105</f>
        <v>-206892541.01000002</v>
      </c>
      <c r="I17" s="648">
        <f>I10-'CONSOLIDADO_TOTAL RECAUDO'!Z105</f>
        <v>266580255</v>
      </c>
      <c r="J17" s="648">
        <f>J10-'CONSOLIDADO_TOTAL RECAUDO'!AA105-'CONSOLIDADO_TOTAL RECAUDO'!AC105</f>
        <v>70614.06</v>
      </c>
      <c r="K17" s="648">
        <f>K10-'CONSOLIDADO_TOTAL RECAUDO'!AB105</f>
        <v>-9905072.7599999998</v>
      </c>
      <c r="L17" s="648">
        <f>L10-'CONSOLIDADO_TOTAL RECAUDO'!AE105</f>
        <v>3290249382.6199999</v>
      </c>
      <c r="M17" s="648">
        <f>M10-'CONSOLIDADO_TOTAL RECAUDO'!AD105</f>
        <v>-926896144.28999996</v>
      </c>
      <c r="N17" s="648">
        <f>N10-'CONSOLIDADO_TOTAL RECAUDO'!AF105</f>
        <v>-9851065990.75</v>
      </c>
      <c r="O17" s="648">
        <f>O10-'CONSOLIDADO_TOTAL RECAUDO'!AG105</f>
        <v>94536035.270000458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-763682703.06000006</v>
      </c>
      <c r="E18" s="648">
        <f>E11-'CONSOLIDADO_TOTAL RECAUDO'!V106</f>
        <v>-725018824.26999998</v>
      </c>
      <c r="F18" s="648">
        <f>F11-'CONSOLIDADO_TOTAL RECAUDO'!W106</f>
        <v>-3444255866.5499997</v>
      </c>
      <c r="G18" s="648">
        <f>G11-'CONSOLIDADO_TOTAL RECAUDO'!X106</f>
        <v>-1347916174.22</v>
      </c>
      <c r="H18" s="648">
        <f>H11-'CONSOLIDADO_TOTAL RECAUDO'!Y106</f>
        <v>-142025975.44000003</v>
      </c>
      <c r="I18" s="648">
        <f>I11-'CONSOLIDADO_TOTAL RECAUDO'!Z106</f>
        <v>154788535</v>
      </c>
      <c r="J18" s="648">
        <f>J11-'CONSOLIDADO_TOTAL RECAUDO'!AA106-'CONSOLIDADO_TOTAL RECAUDO'!AC106</f>
        <v>123324.76999999999</v>
      </c>
      <c r="K18" s="648">
        <f>K11-'CONSOLIDADO_TOTAL RECAUDO'!AB106</f>
        <v>-19321799.949999999</v>
      </c>
      <c r="L18" s="648">
        <f>L11-'CONSOLIDADO_TOTAL RECAUDO'!AE106</f>
        <v>1186011300.3599999</v>
      </c>
      <c r="M18" s="648">
        <f>M11-'CONSOLIDADO_TOTAL RECAUDO'!AD106</f>
        <v>-102795036.73000026</v>
      </c>
      <c r="N18" s="648">
        <f>N11-'CONSOLIDADO_TOTAL RECAUDO'!AF106</f>
        <v>-6390104520.4499998</v>
      </c>
      <c r="O18" s="648">
        <f>O11-'CONSOLIDADO_TOTAL RECAUDO'!AG106</f>
        <v>16182485.790000916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-787165759.97000003</v>
      </c>
      <c r="E19" s="648">
        <f>E12-'CONSOLIDADO_TOTAL RECAUDO'!V107</f>
        <v>-751593811.83000004</v>
      </c>
      <c r="F19" s="648">
        <f>F12-'CONSOLIDADO_TOTAL RECAUDO'!W107</f>
        <v>-3889163679.0299997</v>
      </c>
      <c r="G19" s="648">
        <f>G12-'CONSOLIDADO_TOTAL RECAUDO'!X107</f>
        <v>-1604125006.1100001</v>
      </c>
      <c r="H19" s="648">
        <f>H12-'CONSOLIDADO_TOTAL RECAUDO'!Y107</f>
        <v>-146783082.90000001</v>
      </c>
      <c r="I19" s="648">
        <f>I12-'CONSOLIDADO_TOTAL RECAUDO'!Z107</f>
        <v>120391083</v>
      </c>
      <c r="J19" s="648">
        <f>J12-'CONSOLIDADO_TOTAL RECAUDO'!AA107-'CONSOLIDADO_TOTAL RECAUDO'!AC107</f>
        <v>-32122.73</v>
      </c>
      <c r="K19" s="648">
        <f>K12-'CONSOLIDADO_TOTAL RECAUDO'!AB107</f>
        <v>-8643135.5800000001</v>
      </c>
      <c r="L19" s="648">
        <f>L12-'CONSOLIDADO_TOTAL RECAUDO'!AE107</f>
        <v>295083326.40999997</v>
      </c>
      <c r="M19" s="648">
        <f>M12-'CONSOLIDADO_TOTAL RECAUDO'!AD107</f>
        <v>356615280.09999996</v>
      </c>
      <c r="N19" s="648">
        <f>N12-'CONSOLIDADO_TOTAL RECAUDO'!AF107</f>
        <v>-6710500235.0500002</v>
      </c>
      <c r="O19" s="648">
        <f>O12-'CONSOLIDADO_TOTAL RECAUDO'!AG107</f>
        <v>-12734828.530002594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-544684335.76999998</v>
      </c>
      <c r="E20" s="648">
        <f>E13-'CONSOLIDADO_TOTAL RECAUDO'!V108</f>
        <v>-512958805.74000001</v>
      </c>
      <c r="F20" s="648">
        <f>F13-'CONSOLIDADO_TOTAL RECAUDO'!W108</f>
        <v>-2640560444.6500001</v>
      </c>
      <c r="G20" s="648">
        <f>G13-'CONSOLIDADO_TOTAL RECAUDO'!X108</f>
        <v>-1214677726.3699999</v>
      </c>
      <c r="H20" s="648">
        <f>H13-'CONSOLIDADO_TOTAL RECAUDO'!Y108</f>
        <v>-101292451</v>
      </c>
      <c r="I20" s="648">
        <f>I13-'CONSOLIDADO_TOTAL RECAUDO'!Z108</f>
        <v>128990445</v>
      </c>
      <c r="J20" s="648">
        <f>J13-'CONSOLIDADO_TOTAL RECAUDO'!AA108-'CONSOLIDADO_TOTAL RECAUDO'!AC108</f>
        <v>-10684.380000000001</v>
      </c>
      <c r="K20" s="648">
        <f>K13-'CONSOLIDADO_TOTAL RECAUDO'!AB108</f>
        <v>-12379938.060000001</v>
      </c>
      <c r="L20" s="648">
        <f>L13-'CONSOLIDADO_TOTAL RECAUDO'!AE108</f>
        <v>152410055.08000001</v>
      </c>
      <c r="M20" s="648">
        <f>M13-'CONSOLIDADO_TOTAL RECAUDO'!AD108</f>
        <v>-1094063039.3299999</v>
      </c>
      <c r="N20" s="648">
        <f>N13-'CONSOLIDADO_TOTAL RECAUDO'!AF108</f>
        <v>-5991636980.3000002</v>
      </c>
      <c r="O20" s="648">
        <f>O13-'CONSOLIDADO_TOTAL RECAUDO'!AG108</f>
        <v>6448709.1300001144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-4599014176.5200005</v>
      </c>
      <c r="E21" s="648">
        <f>E14-'CONSOLIDADO_TOTAL RECAUDO'!V109</f>
        <v>-4374663138.8599997</v>
      </c>
      <c r="F21" s="648">
        <f>F14-'CONSOLIDADO_TOTAL RECAUDO'!W109</f>
        <v>-21325603325.549999</v>
      </c>
      <c r="G21" s="648">
        <f>G14-'CONSOLIDADO_TOTAL RECAUDO'!X109</f>
        <v>-8171786006.3000002</v>
      </c>
      <c r="H21" s="648">
        <f>H14-'CONSOLIDADO_TOTAL RECAUDO'!Y109</f>
        <v>-855748419.04000008</v>
      </c>
      <c r="I21" s="648">
        <f>I14-'CONSOLIDADO_TOTAL RECAUDO'!Z109</f>
        <v>859936305</v>
      </c>
      <c r="J21" s="648">
        <f>J14-'CONSOLIDADO_TOTAL RECAUDO'!AA109-'CONSOLIDADO_TOTAL RECAUDO'!AC109</f>
        <v>178779.13</v>
      </c>
      <c r="K21" s="648">
        <f>K14-'CONSOLIDADO_TOTAL RECAUDO'!AB109</f>
        <v>-70181639.379999995</v>
      </c>
      <c r="L21" s="648">
        <f>L14-'CONSOLIDADO_TOTAL RECAUDO'!AE109</f>
        <v>8114665621.4799995</v>
      </c>
      <c r="M21" s="648">
        <f>M14-'CONSOLIDADO_TOTAL RECAUDO'!AD109</f>
        <v>3577723444.9200001</v>
      </c>
      <c r="N21" s="648">
        <f>N14-'CONSOLIDADO_TOTAL RECAUDO'!AF109</f>
        <v>-34959158176.599998</v>
      </c>
      <c r="O21" s="648">
        <f>O14-'CONSOLIDADO_TOTAL RECAUDO'!AG109</f>
        <v>131875364.07999611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+DetRetri2026101!N32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+DetRetri2026101!N33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+DetRetri2026101!N34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-1.4901161193847656E-8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+DetRetri2026101!N35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+DetRetri2026101!N36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1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0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0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0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0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14842425135.769999</v>
      </c>
      <c r="E9" s="292">
        <f>'CONSOLIDADO_TOTAL RECAUDO'!E104</f>
        <v>841835259.24000001</v>
      </c>
      <c r="F9" s="292">
        <f>'CONSOLIDADO_TOTAL RECAUDO'!F104</f>
        <v>468934429.98000002</v>
      </c>
      <c r="G9" s="292">
        <f>'CONSOLIDADO_TOTAL RECAUDO'!G104</f>
        <v>249665577.34</v>
      </c>
      <c r="H9" s="292">
        <f>'CONSOLIDADO_TOTAL RECAUDO'!H104</f>
        <v>4756987535.8000011</v>
      </c>
      <c r="I9" s="292">
        <f>'CONSOLIDADO_TOTAL RECAUDO'!I104</f>
        <v>158503798.81</v>
      </c>
      <c r="J9" s="288">
        <f>'CONSOLIDADO_TOTAL RECAUDO'!J104</f>
        <v>2153950828.1600003</v>
      </c>
      <c r="K9" s="293">
        <f>'CONSOLIDADO_TOTAL RECAUDO'!K104</f>
        <v>6212547706.4399967</v>
      </c>
      <c r="L9" s="294">
        <f>'CONSOLIDADO_TOTAL RECAUDO'!L104</f>
        <v>189185987</v>
      </c>
      <c r="M9" s="293">
        <f>'CONSOLIDADO_TOTAL RECAUDO'!M104</f>
        <v>6023361719.4399967</v>
      </c>
      <c r="N9" s="294">
        <f>'CONSOLIDADO_TOTAL RECAUDO'!N104</f>
        <v>19931693.030000001</v>
      </c>
      <c r="O9" s="293">
        <f>'CONSOLIDADO_TOTAL RECAUDO'!O104</f>
        <v>6043293412.4699965</v>
      </c>
      <c r="Q9" s="306"/>
      <c r="S9" s="303">
        <v>1</v>
      </c>
      <c r="T9" s="304" t="s">
        <v>10</v>
      </c>
      <c r="U9" s="307">
        <f>'CONSOLIDADO_TOTAL RECAUDO'!U104</f>
        <v>1391786702.5999999</v>
      </c>
      <c r="V9" s="308">
        <f>'CONSOLIDADO_TOTAL RECAUDO'!V104</f>
        <v>1316009885.8500001</v>
      </c>
      <c r="W9" s="308">
        <f>'CONSOLIDADO_TOTAL RECAUDO'!W104</f>
        <v>6272474935.1999998</v>
      </c>
      <c r="X9" s="308">
        <f>'CONSOLIDADO_TOTAL RECAUDO'!X104</f>
        <v>2290968884.2599998</v>
      </c>
      <c r="Y9" s="309">
        <f>'CONSOLIDADO_TOTAL RECAUDO'!Y104</f>
        <v>258754368.69000003</v>
      </c>
      <c r="Z9" s="310">
        <f>'CONSOLIDADO_TOTAL RECAUDO'!Z104</f>
        <v>-189185987</v>
      </c>
      <c r="AA9" s="311">
        <f>'CONSOLIDADO_TOTAL RECAUDO'!AA104</f>
        <v>-27796.54</v>
      </c>
      <c r="AB9" s="294">
        <f>'CONSOLIDADO_TOTAL RECAUDO'!AB104</f>
        <v>19931693.030000001</v>
      </c>
      <c r="AC9" s="311">
        <f>'CONSOLIDADO_TOTAL RECAUDO'!AC104</f>
        <v>149.13</v>
      </c>
      <c r="AD9" s="291">
        <f>'CONSOLIDADO_TOTAL RECAUDO'!AD104</f>
        <v>-5344862385.1700001</v>
      </c>
      <c r="AE9" s="291">
        <f>'CONSOLIDADO_TOTAL RECAUDO'!AE104</f>
        <v>-3190911557.0100002</v>
      </c>
      <c r="AF9" s="313">
        <f>'CONSOLIDADO_TOTAL RECAUDO'!AF104</f>
        <v>6015850450.0499992</v>
      </c>
      <c r="AG9" s="521">
        <f>'CONSOLIDADO_TOTAL RECAUDO'!AG104</f>
        <v>-27442962.419997215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11302637604.959999</v>
      </c>
      <c r="E10" s="292">
        <f>'CONSOLIDADO_TOTAL RECAUDO'!E105</f>
        <v>873906144.08000004</v>
      </c>
      <c r="F10" s="292">
        <f>'CONSOLIDADO_TOTAL RECAUDO'!F105</f>
        <v>483830193.30000001</v>
      </c>
      <c r="G10" s="292">
        <f>'CONSOLIDADO_TOTAL RECAUDO'!G105</f>
        <v>256505918.23999998</v>
      </c>
      <c r="H10" s="292">
        <f>'CONSOLIDADO_TOTAL RECAUDO'!H105</f>
        <v>3576556628.1500001</v>
      </c>
      <c r="I10" s="292">
        <f>'CONSOLIDADO_TOTAL RECAUDO'!I105</f>
        <v>126707039.83999999</v>
      </c>
      <c r="J10" s="288">
        <f>'CONSOLIDADO_TOTAL RECAUDO'!J105</f>
        <v>-4217145526.9099998</v>
      </c>
      <c r="K10" s="295">
        <f>'CONSOLIDADO_TOTAL RECAUDO'!K105</f>
        <v>10202277208.26</v>
      </c>
      <c r="L10" s="294">
        <f>'CONSOLIDADO_TOTAL RECAUDO'!L105</f>
        <v>266580255</v>
      </c>
      <c r="M10" s="295">
        <f>'CONSOLIDADO_TOTAL RECAUDO'!M105</f>
        <v>9935696953.2600002</v>
      </c>
      <c r="N10" s="294">
        <f>'CONSOLIDADO_TOTAL RECAUDO'!N105</f>
        <v>9905072.7599999998</v>
      </c>
      <c r="O10" s="295">
        <f>'CONSOLIDADO_TOTAL RECAUDO'!O105</f>
        <v>9945602026.0200005</v>
      </c>
      <c r="Q10" s="306"/>
      <c r="S10" s="314">
        <v>2</v>
      </c>
      <c r="T10" s="315" t="s">
        <v>11</v>
      </c>
      <c r="U10" s="316">
        <f>'CONSOLIDADO_TOTAL RECAUDO'!U105</f>
        <v>1111694675.1200001</v>
      </c>
      <c r="V10" s="317">
        <f>'CONSOLIDADO_TOTAL RECAUDO'!V105</f>
        <v>1069081811.17</v>
      </c>
      <c r="W10" s="317">
        <f>'CONSOLIDADO_TOTAL RECAUDO'!W105</f>
        <v>5079148400.1199999</v>
      </c>
      <c r="X10" s="317">
        <f>'CONSOLIDADO_TOTAL RECAUDO'!X105</f>
        <v>1714098215.3400002</v>
      </c>
      <c r="Y10" s="318">
        <f>'CONSOLIDADO_TOTAL RECAUDO'!Y105</f>
        <v>206892541.01000002</v>
      </c>
      <c r="Z10" s="319">
        <f>'CONSOLIDADO_TOTAL RECAUDO'!Z105</f>
        <v>-266580255</v>
      </c>
      <c r="AA10" s="320">
        <f>'CONSOLIDADO_TOTAL RECAUDO'!AA105</f>
        <v>-14306.289999999999</v>
      </c>
      <c r="AB10" s="294">
        <f>'CONSOLIDADO_TOTAL RECAUDO'!AB105</f>
        <v>9905072.7599999998</v>
      </c>
      <c r="AC10" s="320">
        <f>'CONSOLIDADO_TOTAL RECAUDO'!AC105</f>
        <v>-56307.77</v>
      </c>
      <c r="AD10" s="291">
        <f>'CONSOLIDADO_TOTAL RECAUDO'!AD105</f>
        <v>926896144.28999996</v>
      </c>
      <c r="AE10" s="291">
        <f>'CONSOLIDADO_TOTAL RECAUDO'!AE105</f>
        <v>-3290249382.6199999</v>
      </c>
      <c r="AF10" s="322">
        <f>'CONSOLIDADO_TOTAL RECAUDO'!AF105</f>
        <v>9851065990.75</v>
      </c>
      <c r="AG10" s="522">
        <f>'CONSOLIDADO_TOTAL RECAUDO'!AG105</f>
        <v>-94536035.270000458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8823787300.3700008</v>
      </c>
      <c r="E11" s="292">
        <f>'CONSOLIDADO_TOTAL RECAUDO'!E106</f>
        <v>569049058.22000003</v>
      </c>
      <c r="F11" s="292">
        <f>'CONSOLIDADO_TOTAL RECAUDO'!F106</f>
        <v>317267488.88</v>
      </c>
      <c r="G11" s="292">
        <f>'CONSOLIDADO_TOTAL RECAUDO'!G106</f>
        <v>168517798.86000001</v>
      </c>
      <c r="H11" s="292">
        <f>'CONSOLIDADO_TOTAL RECAUDO'!H106</f>
        <v>2429021539.6700001</v>
      </c>
      <c r="I11" s="292">
        <f>'CONSOLIDADO_TOTAL RECAUDO'!I106</f>
        <v>86984010.540000007</v>
      </c>
      <c r="J11" s="288">
        <f>'CONSOLIDADO_TOTAL RECAUDO'!J106</f>
        <v>-1288806337.0900002</v>
      </c>
      <c r="K11" s="295">
        <f>'CONSOLIDADO_TOTAL RECAUDO'!K106</f>
        <v>6541753741.2900009</v>
      </c>
      <c r="L11" s="294">
        <f>'CONSOLIDADO_TOTAL RECAUDO'!L106</f>
        <v>154788535</v>
      </c>
      <c r="M11" s="295">
        <f>'CONSOLIDADO_TOTAL RECAUDO'!M106</f>
        <v>6386965206.2900009</v>
      </c>
      <c r="N11" s="294">
        <f>'CONSOLIDADO_TOTAL RECAUDO'!N106</f>
        <v>19321799.949999999</v>
      </c>
      <c r="O11" s="295">
        <f>'CONSOLIDADO_TOTAL RECAUDO'!O106</f>
        <v>6406287006.2400007</v>
      </c>
      <c r="Q11" s="306"/>
      <c r="S11" s="314">
        <v>3</v>
      </c>
      <c r="T11" s="315" t="s">
        <v>12</v>
      </c>
      <c r="U11" s="316">
        <f>'CONSOLIDADO_TOTAL RECAUDO'!U106</f>
        <v>763682703.06000006</v>
      </c>
      <c r="V11" s="317">
        <f>'CONSOLIDADO_TOTAL RECAUDO'!V106</f>
        <v>725018824.26999998</v>
      </c>
      <c r="W11" s="317">
        <f>'CONSOLIDADO_TOTAL RECAUDO'!W106</f>
        <v>3444255866.5499997</v>
      </c>
      <c r="X11" s="317">
        <f>'CONSOLIDADO_TOTAL RECAUDO'!X106</f>
        <v>1347916174.22</v>
      </c>
      <c r="Y11" s="318">
        <f>'CONSOLIDADO_TOTAL RECAUDO'!Y106</f>
        <v>142025975.44000003</v>
      </c>
      <c r="Z11" s="319">
        <f>'CONSOLIDADO_TOTAL RECAUDO'!Z106</f>
        <v>-154788535</v>
      </c>
      <c r="AA11" s="320">
        <f>'CONSOLIDADO_TOTAL RECAUDO'!AA106</f>
        <v>-81704.87</v>
      </c>
      <c r="AB11" s="294">
        <f>'CONSOLIDADO_TOTAL RECAUDO'!AB106</f>
        <v>19321799.949999999</v>
      </c>
      <c r="AC11" s="320">
        <f>'CONSOLIDADO_TOTAL RECAUDO'!AC106</f>
        <v>-41619.9</v>
      </c>
      <c r="AD11" s="291">
        <f>'CONSOLIDADO_TOTAL RECAUDO'!AD106</f>
        <v>102795036.73000026</v>
      </c>
      <c r="AE11" s="291">
        <f>'CONSOLIDADO_TOTAL RECAUDO'!AE106</f>
        <v>-1186011300.3599999</v>
      </c>
      <c r="AF11" s="322">
        <f>'CONSOLIDADO_TOTAL RECAUDO'!AF106</f>
        <v>6390104520.4499998</v>
      </c>
      <c r="AG11" s="522">
        <f>'CONSOLIDADO_TOTAL RECAUDO'!AG106</f>
        <v>-16182485.790000916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10483172762.089998</v>
      </c>
      <c r="E12" s="292">
        <f>'CONSOLIDADO_TOTAL RECAUDO'!E107</f>
        <v>605948755.42999995</v>
      </c>
      <c r="F12" s="292">
        <f>'CONSOLIDADO_TOTAL RECAUDO'!F107</f>
        <v>335895270.16999996</v>
      </c>
      <c r="G12" s="292">
        <f>'CONSOLIDADO_TOTAL RECAUDO'!G107</f>
        <v>179108611.82000002</v>
      </c>
      <c r="H12" s="292">
        <f>'CONSOLIDADO_TOTAL RECAUDO'!H107</f>
        <v>2401366805.27</v>
      </c>
      <c r="I12" s="292">
        <f>'CONSOLIDADO_TOTAL RECAUDO'!I107</f>
        <v>89808011.769999996</v>
      </c>
      <c r="J12" s="288">
        <f>'CONSOLIDADO_TOTAL RECAUDO'!J107</f>
        <v>61531953.689999998</v>
      </c>
      <c r="K12" s="295">
        <f>'CONSOLIDADO_TOTAL RECAUDO'!K107</f>
        <v>6809513353.9399977</v>
      </c>
      <c r="L12" s="294">
        <f>'CONSOLIDADO_TOTAL RECAUDO'!L107</f>
        <v>120391083</v>
      </c>
      <c r="M12" s="295">
        <f>'CONSOLIDADO_TOTAL RECAUDO'!M107</f>
        <v>6689122270.9399977</v>
      </c>
      <c r="N12" s="294">
        <f>'CONSOLIDADO_TOTAL RECAUDO'!N107</f>
        <v>8643135.5800000001</v>
      </c>
      <c r="O12" s="295">
        <f>'CONSOLIDADO_TOTAL RECAUDO'!O107</f>
        <v>6697765406.5199976</v>
      </c>
      <c r="Q12" s="306"/>
      <c r="S12" s="314">
        <v>4</v>
      </c>
      <c r="T12" s="315" t="s">
        <v>13</v>
      </c>
      <c r="U12" s="316">
        <f>'CONSOLIDADO_TOTAL RECAUDO'!U107</f>
        <v>787165759.97000003</v>
      </c>
      <c r="V12" s="317">
        <f>'CONSOLIDADO_TOTAL RECAUDO'!V107</f>
        <v>751593811.83000004</v>
      </c>
      <c r="W12" s="317">
        <f>'CONSOLIDADO_TOTAL RECAUDO'!W107</f>
        <v>3889163679.0299997</v>
      </c>
      <c r="X12" s="317">
        <f>'CONSOLIDADO_TOTAL RECAUDO'!X107</f>
        <v>1604125006.1100001</v>
      </c>
      <c r="Y12" s="318">
        <f>'CONSOLIDADO_TOTAL RECAUDO'!Y107</f>
        <v>146783082.90000001</v>
      </c>
      <c r="Z12" s="319">
        <f>'CONSOLIDADO_TOTAL RECAUDO'!Z107</f>
        <v>-120391083</v>
      </c>
      <c r="AA12" s="320">
        <f>'CONSOLIDADO_TOTAL RECAUDO'!AA107</f>
        <v>31933.3</v>
      </c>
      <c r="AB12" s="294">
        <f>'CONSOLIDADO_TOTAL RECAUDO'!AB107</f>
        <v>8643135.5800000001</v>
      </c>
      <c r="AC12" s="320">
        <f>'CONSOLIDADO_TOTAL RECAUDO'!AC107</f>
        <v>189.43</v>
      </c>
      <c r="AD12" s="291">
        <f>'CONSOLIDADO_TOTAL RECAUDO'!AD107</f>
        <v>-356615280.09999996</v>
      </c>
      <c r="AE12" s="291">
        <f>'CONSOLIDADO_TOTAL RECAUDO'!AE107</f>
        <v>-295083326.40999997</v>
      </c>
      <c r="AF12" s="322">
        <f>'CONSOLIDADO_TOTAL RECAUDO'!AF107</f>
        <v>6710500235.0500002</v>
      </c>
      <c r="AG12" s="522">
        <f>'CONSOLIDADO_TOTAL RECAUDO'!AG107</f>
        <v>12734828.530002594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7550668664.9899998</v>
      </c>
      <c r="E13" s="297">
        <f>'CONSOLIDADO_TOTAL RECAUDO'!E108</f>
        <v>408145471.80000001</v>
      </c>
      <c r="F13" s="297">
        <f>'CONSOLIDADO_TOTAL RECAUDO'!F108</f>
        <v>227118040.72999999</v>
      </c>
      <c r="G13" s="297">
        <f>'CONSOLIDADO_TOTAL RECAUDO'!G108</f>
        <v>120841029.03</v>
      </c>
      <c r="H13" s="297">
        <f>'CONSOLIDADO_TOTAL RECAUDO'!H108</f>
        <v>1864267894.6400001</v>
      </c>
      <c r="I13" s="297">
        <f>'CONSOLIDADO_TOTAL RECAUDO'!I108</f>
        <v>62073126.829999998</v>
      </c>
      <c r="J13" s="289">
        <f>'CONSOLIDADO_TOTAL RECAUDO'!J108</f>
        <v>-1246473094.4099998</v>
      </c>
      <c r="K13" s="295">
        <f>'CONSOLIDADO_TOTAL RECAUDO'!K108</f>
        <v>6114696196.3699999</v>
      </c>
      <c r="L13" s="294">
        <f>'CONSOLIDADO_TOTAL RECAUDO'!L108</f>
        <v>128990445</v>
      </c>
      <c r="M13" s="298">
        <f>'CONSOLIDADO_TOTAL RECAUDO'!M108</f>
        <v>5985705751.3699999</v>
      </c>
      <c r="N13" s="299">
        <f>'CONSOLIDADO_TOTAL RECAUDO'!N108</f>
        <v>12379938.060000001</v>
      </c>
      <c r="O13" s="298">
        <f>'CONSOLIDADO_TOTAL RECAUDO'!O108</f>
        <v>5998085689.4300003</v>
      </c>
      <c r="Q13" s="306"/>
      <c r="S13" s="324">
        <v>5</v>
      </c>
      <c r="T13" s="325" t="s">
        <v>14</v>
      </c>
      <c r="U13" s="296">
        <f>'CONSOLIDADO_TOTAL RECAUDO'!U108</f>
        <v>544684335.76999998</v>
      </c>
      <c r="V13" s="297">
        <f>'CONSOLIDADO_TOTAL RECAUDO'!V108</f>
        <v>512958805.74000001</v>
      </c>
      <c r="W13" s="297">
        <f>'CONSOLIDADO_TOTAL RECAUDO'!W108</f>
        <v>2640560444.6500001</v>
      </c>
      <c r="X13" s="297">
        <f>'CONSOLIDADO_TOTAL RECAUDO'!X108</f>
        <v>1214677726.3699999</v>
      </c>
      <c r="Y13" s="289">
        <f>'CONSOLIDADO_TOTAL RECAUDO'!Y108</f>
        <v>101292451</v>
      </c>
      <c r="Z13" s="319">
        <f>'CONSOLIDADO_TOTAL RECAUDO'!Z108</f>
        <v>-128990445</v>
      </c>
      <c r="AA13" s="320">
        <f>'CONSOLIDADO_TOTAL RECAUDO'!AA108</f>
        <v>10679.52</v>
      </c>
      <c r="AB13" s="294">
        <f>'CONSOLIDADO_TOTAL RECAUDO'!AB108</f>
        <v>12379938.060000001</v>
      </c>
      <c r="AC13" s="320">
        <f>'CONSOLIDADO_TOTAL RECAUDO'!AC108</f>
        <v>4.8600000000000003</v>
      </c>
      <c r="AD13" s="291">
        <f>'CONSOLIDADO_TOTAL RECAUDO'!AD108</f>
        <v>1094063039.3299999</v>
      </c>
      <c r="AE13" s="291">
        <f>'CONSOLIDADO_TOTAL RECAUDO'!AE108</f>
        <v>-152410055.08000001</v>
      </c>
      <c r="AF13" s="322">
        <f>'CONSOLIDADO_TOTAL RECAUDO'!AF108</f>
        <v>5991636980.3000002</v>
      </c>
      <c r="AG13" s="523">
        <f>'CONSOLIDADO_TOTAL RECAUDO'!AG108</f>
        <v>-6448709.1300001144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53002691468.179993</v>
      </c>
      <c r="E14" s="290">
        <f>'CONSOLIDADO_TOTAL RECAUDO'!E109</f>
        <v>3298884688.77</v>
      </c>
      <c r="F14" s="290">
        <f>'CONSOLIDADO_TOTAL RECAUDO'!F109</f>
        <v>1833045423.0599999</v>
      </c>
      <c r="G14" s="290">
        <f>'CONSOLIDADO_TOTAL RECAUDO'!G109</f>
        <v>974638935.29000008</v>
      </c>
      <c r="H14" s="290">
        <f>'CONSOLIDADO_TOTAL RECAUDO'!H109</f>
        <v>15028200403.530001</v>
      </c>
      <c r="I14" s="290">
        <f>'CONSOLIDADO_TOTAL RECAUDO'!I109</f>
        <v>524075987.78999996</v>
      </c>
      <c r="J14" s="290">
        <f>'CONSOLIDADO_TOTAL RECAUDO'!J109</f>
        <v>-4536942176.5599995</v>
      </c>
      <c r="K14" s="300">
        <f>'CONSOLIDADO_TOTAL RECAUDO'!K109</f>
        <v>35880788206.299995</v>
      </c>
      <c r="L14" s="301">
        <f>'CONSOLIDADO_TOTAL RECAUDO'!L109</f>
        <v>859936305</v>
      </c>
      <c r="M14" s="302">
        <f>'CONSOLIDADO_TOTAL RECAUDO'!M109</f>
        <v>35020851901.299995</v>
      </c>
      <c r="N14" s="301">
        <f>'CONSOLIDADO_TOTAL RECAUDO'!N109</f>
        <v>70181639.379999995</v>
      </c>
      <c r="O14" s="302">
        <f>'CONSOLIDADO_TOTAL RECAUDO'!O109</f>
        <v>35091033540.679993</v>
      </c>
      <c r="P14" s="329"/>
      <c r="Q14" s="306"/>
      <c r="S14" s="327"/>
      <c r="T14" s="328" t="s">
        <v>2</v>
      </c>
      <c r="U14" s="330">
        <f>'CONSOLIDADO_TOTAL RECAUDO'!U109</f>
        <v>4599014176.5200005</v>
      </c>
      <c r="V14" s="330">
        <f>'CONSOLIDADO_TOTAL RECAUDO'!V109</f>
        <v>4374663138.8599997</v>
      </c>
      <c r="W14" s="330">
        <f>'CONSOLIDADO_TOTAL RECAUDO'!W109</f>
        <v>21325603325.549999</v>
      </c>
      <c r="X14" s="330">
        <f>'CONSOLIDADO_TOTAL RECAUDO'!X109</f>
        <v>8171786006.3000002</v>
      </c>
      <c r="Y14" s="330">
        <f>'CONSOLIDADO_TOTAL RECAUDO'!Y109</f>
        <v>855748419.04000008</v>
      </c>
      <c r="Z14" s="290">
        <f>'CONSOLIDADO_TOTAL RECAUDO'!Z109</f>
        <v>-859936305</v>
      </c>
      <c r="AA14" s="290">
        <f>'CONSOLIDADO_TOTAL RECAUDO'!AA109</f>
        <v>-81194.87999999999</v>
      </c>
      <c r="AB14" s="290">
        <f>'CONSOLIDADO_TOTAL RECAUDO'!AB109</f>
        <v>70181639.379999995</v>
      </c>
      <c r="AC14" s="290">
        <f>'CONSOLIDADO_TOTAL RECAUDO'!AC109</f>
        <v>-97584.250000000015</v>
      </c>
      <c r="AD14" s="290">
        <f>'CONSOLIDADO_TOTAL RECAUDO'!AD109</f>
        <v>-3577723444.9200001</v>
      </c>
      <c r="AE14" s="290">
        <f>'CONSOLIDADO_TOTAL RECAUDO'!AE109</f>
        <v>-8114665621.4799995</v>
      </c>
      <c r="AF14" s="331">
        <f>'CONSOLIDADO_TOTAL RECAUDO'!AF109</f>
        <v>34959158176.599998</v>
      </c>
      <c r="AG14" s="524">
        <f>'CONSOLIDADO_TOTAL RECAUDO'!AG109</f>
        <v>-131875364.07999611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11762381.269999998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11762381.269999998</v>
      </c>
      <c r="L27" s="294">
        <f>'REMUNERACION Reciprocidad EAAB'!L105</f>
        <v>0</v>
      </c>
      <c r="M27" s="295">
        <f>'REMUNERACION Reciprocidad EAAB'!M105</f>
        <v>11762381.269999998</v>
      </c>
      <c r="N27" s="294">
        <f>'REMUNERACION Reciprocidad EAAB'!N105</f>
        <v>0</v>
      </c>
      <c r="O27" s="295">
        <f>'REMUNERACION Reciprocidad EAAB'!O105</f>
        <v>11762381.269999998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-4401833.53</v>
      </c>
      <c r="AE27" s="291">
        <f>'REMUNERACION Reciprocidad EAAB'!AE105</f>
        <v>-4401833.53</v>
      </c>
      <c r="AF27" s="322">
        <f>'REMUNERACION Reciprocidad EAAB'!AF105</f>
        <v>-4401833.53</v>
      </c>
      <c r="AG27" s="522">
        <f>'REMUNERACION Reciprocidad EAAB'!AG105</f>
        <v>-16164214.799999997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1844453.3399999999</v>
      </c>
      <c r="E29" s="292">
        <f>'REMUNERACION Reciprocidad EAAB'!E107</f>
        <v>14115.53</v>
      </c>
      <c r="F29" s="292">
        <f>'REMUNERACION Reciprocidad EAAB'!F107</f>
        <v>7860.38</v>
      </c>
      <c r="G29" s="292">
        <f>'REMUNERACION Reciprocidad EAAB'!G107</f>
        <v>4733.42</v>
      </c>
      <c r="H29" s="292">
        <f>'REMUNERACION Reciprocidad EAAB'!H107</f>
        <v>53691.78</v>
      </c>
      <c r="I29" s="292">
        <f>'REMUNERACION Reciprocidad EAAB'!I107</f>
        <v>3705.22</v>
      </c>
      <c r="J29" s="288">
        <f>'REMUNERACION Reciprocidad EAAB'!J107</f>
        <v>0</v>
      </c>
      <c r="K29" s="295">
        <f>'REMUNERACION Reciprocidad EAAB'!K107</f>
        <v>1760347.01</v>
      </c>
      <c r="L29" s="294">
        <f>'REMUNERACION Reciprocidad EAAB'!L107</f>
        <v>0</v>
      </c>
      <c r="M29" s="295">
        <f>'REMUNERACION Reciprocidad EAAB'!M107</f>
        <v>1760347.01</v>
      </c>
      <c r="N29" s="294">
        <f>'REMUNERACION Reciprocidad EAAB'!N107</f>
        <v>0</v>
      </c>
      <c r="O29" s="295">
        <f>'REMUNERACION Reciprocidad EAAB'!O107</f>
        <v>1760347.01</v>
      </c>
      <c r="Q29" s="306"/>
      <c r="S29" s="314">
        <v>4</v>
      </c>
      <c r="T29" s="315" t="s">
        <v>13</v>
      </c>
      <c r="U29" s="316">
        <f>'REMUNERACION Reciprocidad EAAB'!U107</f>
        <v>27762.35</v>
      </c>
      <c r="V29" s="317">
        <f>'REMUNERACION Reciprocidad EAAB'!V107</f>
        <v>31827.74</v>
      </c>
      <c r="W29" s="317">
        <f>'REMUNERACION Reciprocidad EAAB'!W107</f>
        <v>169721.42</v>
      </c>
      <c r="X29" s="317">
        <f>'REMUNERACION Reciprocidad EAAB'!X107</f>
        <v>37127.96</v>
      </c>
      <c r="Y29" s="318">
        <f>'REMUNERACION Reciprocidad EAAB'!Y107</f>
        <v>6045.35</v>
      </c>
      <c r="Z29" s="319">
        <f>'REMUNERACION Reciprocidad EAAB'!Z107</f>
        <v>0</v>
      </c>
      <c r="AA29" s="320">
        <f>'REMUNERACION Reciprocidad EAAB'!AA107</f>
        <v>-6.48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-5588.93</v>
      </c>
      <c r="AE29" s="291">
        <f>'REMUNERACION Reciprocidad EAAB'!AE107</f>
        <v>-5588.93</v>
      </c>
      <c r="AF29" s="322">
        <f>'REMUNERACION Reciprocidad EAAB'!AF107</f>
        <v>266889.41000000003</v>
      </c>
      <c r="AG29" s="522">
        <f>'REMUNERACION Reciprocidad EAAB'!AG107</f>
        <v>-1493457.6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13606834.609999998</v>
      </c>
      <c r="E31" s="290">
        <f>'REMUNERACION Reciprocidad EAAB'!E109</f>
        <v>14115.53</v>
      </c>
      <c r="F31" s="290">
        <f>'REMUNERACION Reciprocidad EAAB'!F109</f>
        <v>7860.38</v>
      </c>
      <c r="G31" s="290">
        <f>'REMUNERACION Reciprocidad EAAB'!G109</f>
        <v>4733.42</v>
      </c>
      <c r="H31" s="290">
        <f>'REMUNERACION Reciprocidad EAAB'!H109</f>
        <v>53691.78</v>
      </c>
      <c r="I31" s="290">
        <f>'REMUNERACION Reciprocidad EAAB'!I109</f>
        <v>3705.22</v>
      </c>
      <c r="J31" s="290">
        <f>'REMUNERACION Reciprocidad EAAB'!J109</f>
        <v>0</v>
      </c>
      <c r="K31" s="300">
        <f>'REMUNERACION Reciprocidad EAAB'!K109</f>
        <v>13522728.279999997</v>
      </c>
      <c r="L31" s="301">
        <f>'REMUNERACION Reciprocidad EAAB'!L109</f>
        <v>0</v>
      </c>
      <c r="M31" s="302">
        <f>'REMUNERACION Reciprocidad EAAB'!M109</f>
        <v>13522728.279999997</v>
      </c>
      <c r="N31" s="301">
        <f>'REMUNERACION Reciprocidad EAAB'!N109</f>
        <v>0</v>
      </c>
      <c r="O31" s="302">
        <f>'REMUNERACION Reciprocidad EAAB'!O109</f>
        <v>13522728.279999997</v>
      </c>
      <c r="P31" s="329"/>
      <c r="Q31" s="306"/>
      <c r="S31" s="327"/>
      <c r="T31" s="328" t="s">
        <v>2</v>
      </c>
      <c r="U31" s="330">
        <f>'REMUNERACION Reciprocidad EAAB'!U109</f>
        <v>27762.35</v>
      </c>
      <c r="V31" s="330">
        <f>'REMUNERACION Reciprocidad EAAB'!V109</f>
        <v>31827.74</v>
      </c>
      <c r="W31" s="330">
        <f>'REMUNERACION Reciprocidad EAAB'!W109</f>
        <v>169721.42</v>
      </c>
      <c r="X31" s="330">
        <f>'REMUNERACION Reciprocidad EAAB'!X109</f>
        <v>37127.96</v>
      </c>
      <c r="Y31" s="330">
        <f>'REMUNERACION Reciprocidad EAAB'!Y109</f>
        <v>6045.35</v>
      </c>
      <c r="Z31" s="290">
        <f>'REMUNERACION Reciprocidad EAAB'!Z109</f>
        <v>0</v>
      </c>
      <c r="AA31" s="290">
        <f>'REMUNERACION Reciprocidad EAAB'!AA109</f>
        <v>-6.48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-4407422.46</v>
      </c>
      <c r="AE31" s="290">
        <f>'REMUNERACION Reciprocidad EAAB'!AE109</f>
        <v>-4407422.46</v>
      </c>
      <c r="AF31" s="331">
        <f>'REMUNERACION Reciprocidad EAAB'!AF109</f>
        <v>-4134944.12</v>
      </c>
      <c r="AG31" s="524">
        <f>'REMUNERACION Reciprocidad EAAB'!AG109</f>
        <v>-17657672.399999999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14494946130.289999</v>
      </c>
      <c r="E43" s="292">
        <f>REMUNERACION_ENEL!E104</f>
        <v>808253973.28999996</v>
      </c>
      <c r="F43" s="292">
        <f>REMUNERACION_ENEL!F104</f>
        <v>450253745.53000003</v>
      </c>
      <c r="G43" s="292">
        <f>REMUNERACION_ENEL!G104</f>
        <v>239677556.41999999</v>
      </c>
      <c r="H43" s="292">
        <f>REMUNERACION_ENEL!H104</f>
        <v>4717876749.6900005</v>
      </c>
      <c r="I43" s="292">
        <f>REMUNERACION_ENEL!I104</f>
        <v>157342146.16</v>
      </c>
      <c r="J43" s="288">
        <f>REMUNERACION_ENEL!J104</f>
        <v>2153950828.1600003</v>
      </c>
      <c r="K43" s="293">
        <f>REMUNERACION_ENEL!K104</f>
        <v>5967591131.039999</v>
      </c>
      <c r="L43" s="294">
        <f>REMUNERACION_ENEL!L104</f>
        <v>189185987</v>
      </c>
      <c r="M43" s="293">
        <f>REMUNERACION_ENEL!M104</f>
        <v>5778405144.039999</v>
      </c>
      <c r="N43" s="294">
        <f>REMUNERACION_ENEL!N104</f>
        <v>9937924.0999999996</v>
      </c>
      <c r="O43" s="293">
        <f>REMUNERACION_ENEL!O104</f>
        <v>5788343068.1399994</v>
      </c>
      <c r="Q43" s="306"/>
      <c r="S43" s="303">
        <v>1</v>
      </c>
      <c r="T43" s="304" t="s">
        <v>10</v>
      </c>
      <c r="U43" s="307">
        <f>REMUNERACION_ENEL!U104</f>
        <v>1381636155.4599998</v>
      </c>
      <c r="V43" s="308">
        <f>REMUNERACION_ENEL!V104</f>
        <v>1303071672.7900002</v>
      </c>
      <c r="W43" s="308">
        <f>REMUNERACION_ENEL!W104</f>
        <v>6211299089.6899996</v>
      </c>
      <c r="X43" s="308">
        <f>REMUNERACION_ENEL!X104</f>
        <v>2199309075.6299996</v>
      </c>
      <c r="Y43" s="309">
        <f>REMUNERACION_ENEL!Y104</f>
        <v>256857302.64000002</v>
      </c>
      <c r="Z43" s="310">
        <f>REMUNERACION_ENEL!Z104</f>
        <v>-189185987</v>
      </c>
      <c r="AA43" s="311">
        <f>REMUNERACION_ENEL!AA104</f>
        <v>-24225.26</v>
      </c>
      <c r="AB43" s="294">
        <f>REMUNERACION_ENEL!AB104</f>
        <v>9937924.0999999996</v>
      </c>
      <c r="AC43" s="311">
        <f>REMUNERACION_ENEL!AC104</f>
        <v>149.04</v>
      </c>
      <c r="AD43" s="291">
        <f>REMUNERACION_ENEL!AD104</f>
        <v>-5409140437.7200003</v>
      </c>
      <c r="AE43" s="291">
        <f>REMUNERACION_ENEL!AE104</f>
        <v>-3255189609.5599999</v>
      </c>
      <c r="AF43" s="313">
        <f>REMUNERACION_ENEL!AF104</f>
        <v>5763760719.369998</v>
      </c>
      <c r="AG43" s="521">
        <f>REMUNERACION_ENEL!AG104</f>
        <v>-24582348.770001411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10307938498.949999</v>
      </c>
      <c r="E44" s="292">
        <f>REMUNERACION_ENEL!E105</f>
        <v>761637783.10000002</v>
      </c>
      <c r="F44" s="292">
        <f>REMUNERACION_ENEL!F105</f>
        <v>421888349.53999996</v>
      </c>
      <c r="G44" s="292">
        <f>REMUNERACION_ENEL!G105</f>
        <v>223785500.97</v>
      </c>
      <c r="H44" s="292">
        <f>REMUNERACION_ENEL!H105</f>
        <v>3460548293.3299999</v>
      </c>
      <c r="I44" s="292">
        <f>REMUNERACION_ENEL!I105</f>
        <v>123692734.97999999</v>
      </c>
      <c r="J44" s="288">
        <f>REMUNERACION_ENEL!J105</f>
        <v>-4217145526.9099998</v>
      </c>
      <c r="K44" s="295">
        <f>REMUNERACION_ENEL!K105</f>
        <v>9533531363.9399986</v>
      </c>
      <c r="L44" s="294">
        <f>REMUNERACION_ENEL!L105</f>
        <v>266580255</v>
      </c>
      <c r="M44" s="295">
        <f>REMUNERACION_ENEL!M105</f>
        <v>9266951108.9399986</v>
      </c>
      <c r="N44" s="294">
        <f>REMUNERACION_ENEL!N105</f>
        <v>6792800.1600000001</v>
      </c>
      <c r="O44" s="295">
        <f>REMUNERACION_ENEL!O105</f>
        <v>9273743909.0999985</v>
      </c>
      <c r="Q44" s="306"/>
      <c r="S44" s="314">
        <v>2</v>
      </c>
      <c r="T44" s="315" t="s">
        <v>11</v>
      </c>
      <c r="U44" s="316">
        <f>REMUNERACION_ENEL!U105</f>
        <v>1084554770.1400001</v>
      </c>
      <c r="V44" s="317">
        <f>REMUNERACION_ENEL!V105</f>
        <v>1032621895.5300001</v>
      </c>
      <c r="W44" s="317">
        <f>REMUNERACION_ENEL!W105</f>
        <v>4907514838.9000006</v>
      </c>
      <c r="X44" s="317">
        <f>REMUNERACION_ENEL!X105</f>
        <v>1491213170.3199999</v>
      </c>
      <c r="Y44" s="318">
        <f>REMUNERACION_ENEL!Y105</f>
        <v>201954335.44</v>
      </c>
      <c r="Z44" s="319">
        <f>REMUNERACION_ENEL!Z105</f>
        <v>-266580255</v>
      </c>
      <c r="AA44" s="320">
        <f>REMUNERACION_ENEL!AA105</f>
        <v>-13369.77</v>
      </c>
      <c r="AB44" s="294">
        <f>REMUNERACION_ENEL!AB105</f>
        <v>6792800.1600000001</v>
      </c>
      <c r="AC44" s="320">
        <f>REMUNERACION_ENEL!AC105</f>
        <v>-48.89</v>
      </c>
      <c r="AD44" s="291">
        <f>REMUNERACION_ENEL!AD105</f>
        <v>778071052.34000015</v>
      </c>
      <c r="AE44" s="291">
        <f>REMUNERACION_ENEL!AE105</f>
        <v>-3439074474.5699997</v>
      </c>
      <c r="AF44" s="322">
        <f>REMUNERACION_ENEL!AF105</f>
        <v>9236129189.1699982</v>
      </c>
      <c r="AG44" s="522">
        <f>REMUNERACION_ENEL!AG105</f>
        <v>-37614719.930000305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8394192614.9000006</v>
      </c>
      <c r="E45" s="292">
        <f>REMUNERACION_ENEL!E106</f>
        <v>519485736.51999998</v>
      </c>
      <c r="F45" s="292">
        <f>REMUNERACION_ENEL!F106</f>
        <v>289280679.71999997</v>
      </c>
      <c r="G45" s="292">
        <f>REMUNERACION_ENEL!G106</f>
        <v>153855222.93000001</v>
      </c>
      <c r="H45" s="292">
        <f>REMUNERACION_ENEL!H106</f>
        <v>2406618472.7000003</v>
      </c>
      <c r="I45" s="292">
        <f>REMUNERACION_ENEL!I106</f>
        <v>86333540.400000006</v>
      </c>
      <c r="J45" s="288">
        <f>REMUNERACION_ENEL!J106</f>
        <v>-1288806337.0900002</v>
      </c>
      <c r="K45" s="295">
        <f>REMUNERACION_ENEL!K106</f>
        <v>6227425299.7200012</v>
      </c>
      <c r="L45" s="294">
        <f>REMUNERACION_ENEL!L106</f>
        <v>154788535</v>
      </c>
      <c r="M45" s="295">
        <f>REMUNERACION_ENEL!M106</f>
        <v>6072636764.7200012</v>
      </c>
      <c r="N45" s="294">
        <f>REMUNERACION_ENEL!N106</f>
        <v>14510188.139999999</v>
      </c>
      <c r="O45" s="295">
        <f>REMUNERACION_ENEL!O106</f>
        <v>6087146952.8600016</v>
      </c>
      <c r="Q45" s="306"/>
      <c r="S45" s="314">
        <v>3</v>
      </c>
      <c r="T45" s="315" t="s">
        <v>12</v>
      </c>
      <c r="U45" s="316">
        <f>REMUNERACION_ENEL!U106</f>
        <v>757964762.67000008</v>
      </c>
      <c r="V45" s="317">
        <f>REMUNERACION_ENEL!V106</f>
        <v>717589277.52999997</v>
      </c>
      <c r="W45" s="317">
        <f>REMUNERACION_ENEL!W106</f>
        <v>3409164597.5999999</v>
      </c>
      <c r="X45" s="317">
        <f>REMUNERACION_ENEL!X106</f>
        <v>1230549027.6600001</v>
      </c>
      <c r="Y45" s="318">
        <f>REMUNERACION_ENEL!Y106</f>
        <v>140956999.82000002</v>
      </c>
      <c r="Z45" s="319">
        <f>REMUNERACION_ENEL!Z106</f>
        <v>-154788535</v>
      </c>
      <c r="AA45" s="320">
        <f>REMUNERACION_ENEL!AA106</f>
        <v>-82499.44</v>
      </c>
      <c r="AB45" s="294">
        <f>REMUNERACION_ENEL!AB106</f>
        <v>14510188.139999999</v>
      </c>
      <c r="AC45" s="320">
        <f>REMUNERACION_ENEL!AC106</f>
        <v>1.1100000000000001</v>
      </c>
      <c r="AD45" s="291">
        <f>REMUNERACION_ENEL!AD106</f>
        <v>-43259582.799999714</v>
      </c>
      <c r="AE45" s="291">
        <f>REMUNERACION_ENEL!AE106</f>
        <v>-1332065919.8899999</v>
      </c>
      <c r="AF45" s="322">
        <f>REMUNERACION_ENEL!AF106</f>
        <v>6072604237.2900009</v>
      </c>
      <c r="AG45" s="522">
        <f>REMUNERACION_ENEL!AG106</f>
        <v>-14542715.570000648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9886897739.0499992</v>
      </c>
      <c r="E46" s="292">
        <f>REMUNERACION_ENEL!E107</f>
        <v>553928633.95000005</v>
      </c>
      <c r="F46" s="292">
        <f>REMUNERACION_ENEL!F107</f>
        <v>307330655.34999996</v>
      </c>
      <c r="G46" s="292">
        <f>REMUNERACION_ENEL!G107</f>
        <v>163491193.43000001</v>
      </c>
      <c r="H46" s="292">
        <f>REMUNERACION_ENEL!H107</f>
        <v>2337302085.3999996</v>
      </c>
      <c r="I46" s="292">
        <f>REMUNERACION_ENEL!I107</f>
        <v>87964267.669999987</v>
      </c>
      <c r="J46" s="288">
        <f>REMUNERACION_ENEL!J107</f>
        <v>61531953.689999998</v>
      </c>
      <c r="K46" s="295">
        <f>REMUNERACION_ENEL!K107</f>
        <v>6375348949.5599985</v>
      </c>
      <c r="L46" s="294">
        <f>REMUNERACION_ENEL!L107</f>
        <v>120391083</v>
      </c>
      <c r="M46" s="295">
        <f>REMUNERACION_ENEL!M107</f>
        <v>6254957866.5599985</v>
      </c>
      <c r="N46" s="294">
        <f>REMUNERACION_ENEL!N107</f>
        <v>7972372.8300000001</v>
      </c>
      <c r="O46" s="295">
        <f>REMUNERACION_ENEL!O107</f>
        <v>6262930239.3899984</v>
      </c>
      <c r="Q46" s="306"/>
      <c r="S46" s="314">
        <v>4</v>
      </c>
      <c r="T46" s="315" t="s">
        <v>13</v>
      </c>
      <c r="U46" s="316">
        <f>REMUNERACION_ENEL!U107</f>
        <v>771148596.94999993</v>
      </c>
      <c r="V46" s="317">
        <f>REMUNERACION_ENEL!V107</f>
        <v>730737756.58000004</v>
      </c>
      <c r="W46" s="317">
        <f>REMUNERACION_ENEL!W107</f>
        <v>3783293510.3099999</v>
      </c>
      <c r="X46" s="317">
        <f>REMUNERACION_ENEL!X107</f>
        <v>1466361057.49</v>
      </c>
      <c r="Y46" s="318">
        <f>REMUNERACION_ENEL!Y107</f>
        <v>143754108.56000003</v>
      </c>
      <c r="Z46" s="319">
        <f>REMUNERACION_ENEL!Z107</f>
        <v>-120391083</v>
      </c>
      <c r="AA46" s="320">
        <f>REMUNERACION_ENEL!AA107</f>
        <v>31618.89</v>
      </c>
      <c r="AB46" s="294">
        <f>REMUNERACION_ENEL!AB107</f>
        <v>7972372.8300000001</v>
      </c>
      <c r="AC46" s="320">
        <f>REMUNERACION_ENEL!AC107</f>
        <v>189.23</v>
      </c>
      <c r="AD46" s="291">
        <f>REMUNERACION_ENEL!AD107</f>
        <v>-504002885.37000006</v>
      </c>
      <c r="AE46" s="291">
        <f>REMUNERACION_ENEL!AE107</f>
        <v>-442470931.68000007</v>
      </c>
      <c r="AF46" s="322">
        <f>REMUNERACION_ENEL!AF107</f>
        <v>6278905242.4700003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7238405926.46</v>
      </c>
      <c r="E47" s="297">
        <f>REMUNERACION_ENEL!E108</f>
        <v>383226244.79000002</v>
      </c>
      <c r="F47" s="297">
        <f>REMUNERACION_ENEL!F108</f>
        <v>213399131.62</v>
      </c>
      <c r="G47" s="297">
        <f>REMUNERACION_ENEL!G108</f>
        <v>113487155.67</v>
      </c>
      <c r="H47" s="297">
        <f>REMUNERACION_ENEL!H108</f>
        <v>1813158921.0699999</v>
      </c>
      <c r="I47" s="297">
        <f>REMUNERACION_ENEL!I108</f>
        <v>60280537.299999997</v>
      </c>
      <c r="J47" s="289">
        <f>REMUNERACION_ENEL!J108</f>
        <v>-1246473094.4099998</v>
      </c>
      <c r="K47" s="295">
        <f>REMUNERACION_ENEL!K108</f>
        <v>5901327030.4200001</v>
      </c>
      <c r="L47" s="294">
        <f>REMUNERACION_ENEL!L108</f>
        <v>128990445</v>
      </c>
      <c r="M47" s="298">
        <f>REMUNERACION_ENEL!M108</f>
        <v>5772336585.4200001</v>
      </c>
      <c r="N47" s="299">
        <f>REMUNERACION_ENEL!N108</f>
        <v>10471696.869999999</v>
      </c>
      <c r="O47" s="298">
        <f>REMUNERACION_ENEL!O108</f>
        <v>5782808282.29</v>
      </c>
      <c r="Q47" s="306"/>
      <c r="S47" s="324">
        <v>5</v>
      </c>
      <c r="T47" s="325" t="s">
        <v>14</v>
      </c>
      <c r="U47" s="296">
        <f>REMUNERACION_ENEL!U108</f>
        <v>528865960.60000002</v>
      </c>
      <c r="V47" s="297">
        <f>REMUNERACION_ENEL!V108</f>
        <v>496788585.52999997</v>
      </c>
      <c r="W47" s="297">
        <f>REMUNERACION_ENEL!W108</f>
        <v>2555805599.5999999</v>
      </c>
      <c r="X47" s="297">
        <f>REMUNERACION_ENEL!X108</f>
        <v>1140353351.6900001</v>
      </c>
      <c r="Y47" s="289">
        <f>REMUNERACION_ENEL!Y108</f>
        <v>98362156.760000005</v>
      </c>
      <c r="Z47" s="319">
        <f>REMUNERACION_ENEL!Z108</f>
        <v>-128990445</v>
      </c>
      <c r="AA47" s="320">
        <f>REMUNERACION_ENEL!AA108</f>
        <v>11598.57</v>
      </c>
      <c r="AB47" s="294">
        <f>REMUNERACION_ENEL!AB108</f>
        <v>10471696.869999999</v>
      </c>
      <c r="AC47" s="320">
        <f>REMUNERACION_ENEL!AC108</f>
        <v>4.82</v>
      </c>
      <c r="AD47" s="291">
        <f>REMUNERACION_ENEL!AD108</f>
        <v>1075960041.29</v>
      </c>
      <c r="AE47" s="291">
        <f>REMUNERACION_ENEL!AE108</f>
        <v>-170513053.11999997</v>
      </c>
      <c r="AF47" s="322">
        <f>REMUNERACION_ENEL!AF108</f>
        <v>5777628550.7299995</v>
      </c>
      <c r="AG47" s="523">
        <f>REMUNERACION_ENEL!AG108</f>
        <v>-5179731.5600004196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50322380909.650002</v>
      </c>
      <c r="E48" s="290">
        <f>REMUNERACION_ENEL!E109</f>
        <v>3026532371.6499996</v>
      </c>
      <c r="F48" s="290">
        <f>REMUNERACION_ENEL!F109</f>
        <v>1682152561.7599998</v>
      </c>
      <c r="G48" s="290">
        <f>REMUNERACION_ENEL!G109</f>
        <v>894296629.41999996</v>
      </c>
      <c r="H48" s="290">
        <f>REMUNERACION_ENEL!H109</f>
        <v>14735504522.190001</v>
      </c>
      <c r="I48" s="290">
        <f>REMUNERACION_ENEL!I109</f>
        <v>515613226.50999993</v>
      </c>
      <c r="J48" s="290">
        <f>REMUNERACION_ENEL!J109</f>
        <v>-4536942176.5599995</v>
      </c>
      <c r="K48" s="300">
        <f>REMUNERACION_ENEL!K109</f>
        <v>34005223774.679993</v>
      </c>
      <c r="L48" s="301">
        <f>REMUNERACION_ENEL!L109</f>
        <v>859936305</v>
      </c>
      <c r="M48" s="302">
        <f>REMUNERACION_ENEL!M109</f>
        <v>33145287469.679993</v>
      </c>
      <c r="N48" s="301">
        <f>REMUNERACION_ENEL!N109</f>
        <v>49684982.099999994</v>
      </c>
      <c r="O48" s="302">
        <f>REMUNERACION_ENEL!O109</f>
        <v>33194972451.779999</v>
      </c>
      <c r="P48" s="329"/>
      <c r="Q48" s="306"/>
      <c r="S48" s="327"/>
      <c r="T48" s="328" t="s">
        <v>2</v>
      </c>
      <c r="U48" s="330">
        <f>REMUNERACION_ENEL!U109</f>
        <v>4524170245.8199997</v>
      </c>
      <c r="V48" s="330">
        <f>REMUNERACION_ENEL!V109</f>
        <v>4280809187.96</v>
      </c>
      <c r="W48" s="330">
        <f>REMUNERACION_ENEL!W109</f>
        <v>20867077636.099998</v>
      </c>
      <c r="X48" s="330">
        <f>REMUNERACION_ENEL!X109</f>
        <v>7527785682.789999</v>
      </c>
      <c r="Y48" s="330">
        <f>REMUNERACION_ENEL!Y109</f>
        <v>841884903.22000015</v>
      </c>
      <c r="Z48" s="290">
        <f>REMUNERACION_ENEL!Z109</f>
        <v>-859936305</v>
      </c>
      <c r="AA48" s="290">
        <f>REMUNERACION_ENEL!AA109</f>
        <v>-76877.010000000009</v>
      </c>
      <c r="AB48" s="290">
        <f>REMUNERACION_ENEL!AB109</f>
        <v>49684982.099999994</v>
      </c>
      <c r="AC48" s="290">
        <f>REMUNERACION_ENEL!AC109</f>
        <v>295.31</v>
      </c>
      <c r="AD48" s="290">
        <f>REMUNERACION_ENEL!AD109</f>
        <v>-4102371812.2600002</v>
      </c>
      <c r="AE48" s="290">
        <f>REMUNERACION_ENEL!AE109</f>
        <v>-8639313988.8199997</v>
      </c>
      <c r="AF48" s="331">
        <f>REMUNERACION_ENEL!AF109</f>
        <v>33129027939.029999</v>
      </c>
      <c r="AG48" s="524">
        <f>REMUNERACION_ENEL!AG109</f>
        <v>-81919515.830002785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139510580</v>
      </c>
      <c r="E64" s="291">
        <f>REMUNERACION_ENERBIT!E108</f>
        <v>8666290.4399999995</v>
      </c>
      <c r="F64" s="291">
        <f>REMUNERACION_ENERBIT!F108</f>
        <v>4836297.78</v>
      </c>
      <c r="G64" s="291">
        <f>REMUNERACION_ENERBIT!G108</f>
        <v>2584164.52</v>
      </c>
      <c r="H64" s="291">
        <f>REMUNERACION_ENERBIT!H108</f>
        <v>38419843.039999999</v>
      </c>
      <c r="I64" s="291">
        <f>REMUNERACION_ENERBIT!I108</f>
        <v>1269098.3899999999</v>
      </c>
      <c r="J64" s="291">
        <f>REMUNERACION_ENERBIT!J108</f>
        <v>0</v>
      </c>
      <c r="K64" s="295">
        <f>REMUNERACION_ENERBIT!K108</f>
        <v>83734885.829999998</v>
      </c>
      <c r="L64" s="294">
        <f>REMUNERACION_ENERBIT!L108</f>
        <v>0</v>
      </c>
      <c r="M64" s="298">
        <f>REMUNERACION_ENERBIT!M108</f>
        <v>83734885.829999998</v>
      </c>
      <c r="N64" s="299">
        <f>REMUNERACION_ENERBIT!N108</f>
        <v>0</v>
      </c>
      <c r="O64" s="298">
        <f>REMUNERACION_ENERBIT!O108</f>
        <v>83734885.829999998</v>
      </c>
      <c r="Q64" s="306"/>
      <c r="S64" s="324">
        <v>5</v>
      </c>
      <c r="T64" s="325" t="s">
        <v>14</v>
      </c>
      <c r="U64" s="296">
        <f>REMUNERACION_ENERBIT!U108</f>
        <v>11146402.07</v>
      </c>
      <c r="V64" s="297">
        <f>REMUNERACION_ENERBIT!V108</f>
        <v>10565640.77</v>
      </c>
      <c r="W64" s="297">
        <f>REMUNERACION_ENERBIT!W108</f>
        <v>54685399.630000003</v>
      </c>
      <c r="X64" s="297">
        <f>REMUNERACION_ENERBIT!X108</f>
        <v>25943616.440000001</v>
      </c>
      <c r="Y64" s="289">
        <f>REMUNERACION_ENERBIT!Y108</f>
        <v>2070340.36</v>
      </c>
      <c r="Z64" s="289">
        <f>REMUNERACION_ENERBIT!Z108</f>
        <v>0</v>
      </c>
      <c r="AA64" s="289">
        <f>REMUNERACION_ENERBIT!AA108</f>
        <v>-206.46</v>
      </c>
      <c r="AB64" s="289">
        <f>REMUNERACION_ENERBIT!AB108</f>
        <v>0</v>
      </c>
      <c r="AC64" s="289">
        <f>REMUNERACION_ENERBIT!AC108</f>
        <v>-0.01</v>
      </c>
      <c r="AD64" s="289">
        <f>REMUNERACION_ENERBIT!AD108</f>
        <v>-20676306.969999999</v>
      </c>
      <c r="AE64" s="289">
        <f>REMUNERACION_ENERBIT!AE108</f>
        <v>-20676306.969999999</v>
      </c>
      <c r="AF64" s="322">
        <f>REMUNERACION_ENERBIT!AF108</f>
        <v>83734885.829999998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139510580</v>
      </c>
      <c r="E65" s="290">
        <f>REMUNERACION_ENERBIT!E109</f>
        <v>8666290.4399999995</v>
      </c>
      <c r="F65" s="290">
        <f>REMUNERACION_ENERBIT!F109</f>
        <v>4836297.78</v>
      </c>
      <c r="G65" s="290">
        <f>REMUNERACION_ENERBIT!G109</f>
        <v>2584164.52</v>
      </c>
      <c r="H65" s="290">
        <f>REMUNERACION_ENERBIT!H109</f>
        <v>38419843.039999999</v>
      </c>
      <c r="I65" s="290">
        <f>REMUNERACION_ENERBIT!I109</f>
        <v>1269098.3899999999</v>
      </c>
      <c r="J65" s="290">
        <f>REMUNERACION_ENERBIT!J109</f>
        <v>0</v>
      </c>
      <c r="K65" s="300">
        <f>REMUNERACION_ENERBIT!K109</f>
        <v>83734885.829999998</v>
      </c>
      <c r="L65" s="301">
        <f>REMUNERACION_ENERBIT!L109</f>
        <v>0</v>
      </c>
      <c r="M65" s="302">
        <f>REMUNERACION_ENERBIT!M109</f>
        <v>83734885.829999998</v>
      </c>
      <c r="N65" s="301">
        <f>REMUNERACION_ENERBIT!N109</f>
        <v>0</v>
      </c>
      <c r="O65" s="302">
        <f>REMUNERACION_ENERBIT!O109</f>
        <v>83734885.829999998</v>
      </c>
      <c r="P65" s="329"/>
      <c r="Q65" s="306"/>
      <c r="S65" s="327"/>
      <c r="T65" s="328" t="s">
        <v>2</v>
      </c>
      <c r="U65" s="330">
        <f>REMUNERACION_ENERBIT!U109</f>
        <v>11146402.07</v>
      </c>
      <c r="V65" s="330">
        <f>REMUNERACION_ENERBIT!V109</f>
        <v>10565640.77</v>
      </c>
      <c r="W65" s="330">
        <f>REMUNERACION_ENERBIT!W109</f>
        <v>54685399.630000003</v>
      </c>
      <c r="X65" s="330">
        <f>REMUNERACION_ENERBIT!X109</f>
        <v>25943616.440000001</v>
      </c>
      <c r="Y65" s="330">
        <f>REMUNERACION_ENERBIT!Y109</f>
        <v>2070340.36</v>
      </c>
      <c r="Z65" s="330">
        <f>REMUNERACION_ENERBIT!Z109</f>
        <v>0</v>
      </c>
      <c r="AA65" s="330">
        <f>REMUNERACION_ENERBIT!AA109</f>
        <v>-206.46</v>
      </c>
      <c r="AB65" s="330">
        <f>REMUNERACION_ENERBIT!AB109</f>
        <v>0</v>
      </c>
      <c r="AC65" s="330">
        <f>REMUNERACION_ENERBIT!AC109</f>
        <v>-0.01</v>
      </c>
      <c r="AD65" s="330">
        <f>REMUNERACION_ENERBIT!AD109</f>
        <v>-20676306.969999999</v>
      </c>
      <c r="AE65" s="330">
        <f>REMUNERACION_ENERBIT!AE109</f>
        <v>-20676306.969999999</v>
      </c>
      <c r="AF65" s="331">
        <f>REMUNERACION_ENERBIT!AF109</f>
        <v>83734885.829999998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347479005.47999996</v>
      </c>
      <c r="E76" s="292">
        <f>'REMUNERACION_OCCIDENTE_ Directa'!E104</f>
        <v>33581285.950000003</v>
      </c>
      <c r="F76" s="292">
        <f>'REMUNERACION_OCCIDENTE_ Directa'!F104</f>
        <v>18680684.449999999</v>
      </c>
      <c r="G76" s="292">
        <f>'REMUNERACION_OCCIDENTE_ Directa'!G104</f>
        <v>9988020.9199999999</v>
      </c>
      <c r="H76" s="292">
        <f>'REMUNERACION_OCCIDENTE_ Directa'!H104</f>
        <v>39110786.109999999</v>
      </c>
      <c r="I76" s="292">
        <f>'REMUNERACION_OCCIDENTE_ Directa'!I104</f>
        <v>1161652.6499999999</v>
      </c>
      <c r="J76" s="288">
        <f>'REMUNERACION_OCCIDENTE_ Directa'!J104</f>
        <v>0</v>
      </c>
      <c r="K76" s="293">
        <f>'REMUNERACION_OCCIDENTE_ Directa'!K104</f>
        <v>244956575.39999995</v>
      </c>
      <c r="L76" s="294">
        <f>'REMUNERACION_OCCIDENTE_ Directa'!L104</f>
        <v>0</v>
      </c>
      <c r="M76" s="293">
        <f>'REMUNERACION_OCCIDENTE_ Directa'!M104</f>
        <v>244956575.39999995</v>
      </c>
      <c r="N76" s="294">
        <f>'REMUNERACION_OCCIDENTE_ Directa'!N104</f>
        <v>9993768.9299999997</v>
      </c>
      <c r="O76" s="293">
        <f>'REMUNERACION_OCCIDENTE_ Directa'!O104</f>
        <v>254950344.32999995</v>
      </c>
      <c r="Q76" s="306"/>
      <c r="S76" s="303">
        <v>1</v>
      </c>
      <c r="T76" s="304" t="s">
        <v>10</v>
      </c>
      <c r="U76" s="307">
        <f>'REMUNERACION_OCCIDENTE_ Directa'!U104</f>
        <v>10150547.140000001</v>
      </c>
      <c r="V76" s="308">
        <f>'REMUNERACION_OCCIDENTE_ Directa'!V104</f>
        <v>12938213.059999999</v>
      </c>
      <c r="W76" s="308">
        <f>'REMUNERACION_OCCIDENTE_ Directa'!W104</f>
        <v>61175845.509999998</v>
      </c>
      <c r="X76" s="308">
        <f>'REMUNERACION_OCCIDENTE_ Directa'!X104</f>
        <v>91659808.629999995</v>
      </c>
      <c r="Y76" s="309">
        <f>'REMUNERACION_OCCIDENTE_ Directa'!Y104</f>
        <v>1897066.05</v>
      </c>
      <c r="Z76" s="310">
        <f>'REMUNERACION_OCCIDENTE_ Directa'!Z104</f>
        <v>0</v>
      </c>
      <c r="AA76" s="311">
        <f>'REMUNERACION_OCCIDENTE_ Directa'!AA104</f>
        <v>-3571.28</v>
      </c>
      <c r="AB76" s="294">
        <f>'REMUNERACION_OCCIDENTE_ Directa'!AB104</f>
        <v>9993768.9299999997</v>
      </c>
      <c r="AC76" s="311">
        <f>'REMUNERACION_OCCIDENTE_ Directa'!AC104</f>
        <v>0.09</v>
      </c>
      <c r="AD76" s="291">
        <f>'REMUNERACION_OCCIDENTE_ Directa'!AD104</f>
        <v>64278052.549999997</v>
      </c>
      <c r="AE76" s="291">
        <f>'REMUNERACION_OCCIDENTE_ Directa'!AE104</f>
        <v>64278052.549999997</v>
      </c>
      <c r="AF76" s="313">
        <f>'REMUNERACION_OCCIDENTE_ Directa'!AF104</f>
        <v>252089730.68000001</v>
      </c>
      <c r="AG76" s="521">
        <f>'REMUNERACION_OCCIDENTE_ Directa'!AG104</f>
        <v>-2860613.6499999464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982936724.74000001</v>
      </c>
      <c r="E77" s="292">
        <f>'REMUNERACION_OCCIDENTE_ Directa'!E105</f>
        <v>112268360.98000002</v>
      </c>
      <c r="F77" s="292">
        <f>'REMUNERACION_OCCIDENTE_ Directa'!F105</f>
        <v>61941843.759999998</v>
      </c>
      <c r="G77" s="292">
        <f>'REMUNERACION_OCCIDENTE_ Directa'!G105</f>
        <v>32720417.27</v>
      </c>
      <c r="H77" s="292">
        <f>'REMUNERACION_OCCIDENTE_ Directa'!H105</f>
        <v>116008334.81999999</v>
      </c>
      <c r="I77" s="292">
        <f>'REMUNERACION_OCCIDENTE_ Directa'!I105</f>
        <v>3014304.8600000003</v>
      </c>
      <c r="J77" s="288">
        <f>'REMUNERACION_OCCIDENTE_ Directa'!J105</f>
        <v>0</v>
      </c>
      <c r="K77" s="295">
        <f>'REMUNERACION_OCCIDENTE_ Directa'!K105</f>
        <v>656983463.05000007</v>
      </c>
      <c r="L77" s="294">
        <f>'REMUNERACION_OCCIDENTE_ Directa'!L105</f>
        <v>0</v>
      </c>
      <c r="M77" s="295">
        <f>'REMUNERACION_OCCIDENTE_ Directa'!M105</f>
        <v>656983463.05000007</v>
      </c>
      <c r="N77" s="294">
        <f>'REMUNERACION_OCCIDENTE_ Directa'!N105</f>
        <v>3112272.6</v>
      </c>
      <c r="O77" s="295">
        <f>'REMUNERACION_OCCIDENTE_ Directa'!O105</f>
        <v>660095735.6500001</v>
      </c>
      <c r="Q77" s="306"/>
      <c r="S77" s="314">
        <v>2</v>
      </c>
      <c r="T77" s="315" t="s">
        <v>11</v>
      </c>
      <c r="U77" s="316">
        <f>'REMUNERACION_OCCIDENTE_ Directa'!U105</f>
        <v>27139904.98</v>
      </c>
      <c r="V77" s="317">
        <f>'REMUNERACION_OCCIDENTE_ Directa'!V105</f>
        <v>36459915.640000001</v>
      </c>
      <c r="W77" s="317">
        <f>'REMUNERACION_OCCIDENTE_ Directa'!W105</f>
        <v>171633561.22</v>
      </c>
      <c r="X77" s="317">
        <f>'REMUNERACION_OCCIDENTE_ Directa'!X105</f>
        <v>222885045.02000001</v>
      </c>
      <c r="Y77" s="318">
        <f>'REMUNERACION_OCCIDENTE_ Directa'!Y105</f>
        <v>4938205.57</v>
      </c>
      <c r="Z77" s="319">
        <f>'REMUNERACION_OCCIDENTE_ Directa'!Z105</f>
        <v>0</v>
      </c>
      <c r="AA77" s="320">
        <f>'REMUNERACION_OCCIDENTE_ Directa'!AA105</f>
        <v>-936.52</v>
      </c>
      <c r="AB77" s="294">
        <f>'REMUNERACION_OCCIDENTE_ Directa'!AB105</f>
        <v>3112272.6</v>
      </c>
      <c r="AC77" s="320">
        <f>'REMUNERACION_OCCIDENTE_ Directa'!AC105</f>
        <v>-56258.879999999997</v>
      </c>
      <c r="AD77" s="291">
        <f>'REMUNERACION_OCCIDENTE_ Directa'!AD105</f>
        <v>153226925.48000002</v>
      </c>
      <c r="AE77" s="291">
        <f>'REMUNERACION_OCCIDENTE_ Directa'!AE105</f>
        <v>153226925.48000002</v>
      </c>
      <c r="AF77" s="322">
        <f>'REMUNERACION_OCCIDENTE_ Directa'!AF105</f>
        <v>619338635.11000013</v>
      </c>
      <c r="AG77" s="522">
        <f>'REMUNERACION_OCCIDENTE_ Directa'!AG105</f>
        <v>-40757100.539999962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429594685.46999997</v>
      </c>
      <c r="E78" s="292">
        <f>'REMUNERACION_OCCIDENTE_ Directa'!E106</f>
        <v>49563321.700000003</v>
      </c>
      <c r="F78" s="292">
        <f>'REMUNERACION_OCCIDENTE_ Directa'!F106</f>
        <v>27986809.16</v>
      </c>
      <c r="G78" s="292">
        <f>'REMUNERACION_OCCIDENTE_ Directa'!G106</f>
        <v>14662575.93</v>
      </c>
      <c r="H78" s="292">
        <f>'REMUNERACION_OCCIDENTE_ Directa'!H106</f>
        <v>22403066.969999999</v>
      </c>
      <c r="I78" s="292">
        <f>'REMUNERACION_OCCIDENTE_ Directa'!I106</f>
        <v>650470.14</v>
      </c>
      <c r="J78" s="288">
        <f>'REMUNERACION_OCCIDENTE_ Directa'!J106</f>
        <v>0</v>
      </c>
      <c r="K78" s="295">
        <f>'REMUNERACION_OCCIDENTE_ Directa'!K106</f>
        <v>314328441.56999993</v>
      </c>
      <c r="L78" s="294">
        <f>'REMUNERACION_OCCIDENTE_ Directa'!L106</f>
        <v>0</v>
      </c>
      <c r="M78" s="295">
        <f>'REMUNERACION_OCCIDENTE_ Directa'!M106</f>
        <v>314328441.56999993</v>
      </c>
      <c r="N78" s="294">
        <f>'REMUNERACION_OCCIDENTE_ Directa'!N106</f>
        <v>4811611.8099999996</v>
      </c>
      <c r="O78" s="295">
        <f>'REMUNERACION_OCCIDENTE_ Directa'!O106</f>
        <v>319140053.37999994</v>
      </c>
      <c r="Q78" s="306"/>
      <c r="S78" s="314">
        <v>3</v>
      </c>
      <c r="T78" s="315" t="s">
        <v>12</v>
      </c>
      <c r="U78" s="316">
        <f>'REMUNERACION_OCCIDENTE_ Directa'!U106</f>
        <v>5717940.3899999997</v>
      </c>
      <c r="V78" s="317">
        <f>'REMUNERACION_OCCIDENTE_ Directa'!V106</f>
        <v>7429546.7400000002</v>
      </c>
      <c r="W78" s="317">
        <f>'REMUNERACION_OCCIDENTE_ Directa'!W106</f>
        <v>35091268.950000003</v>
      </c>
      <c r="X78" s="317">
        <f>'REMUNERACION_OCCIDENTE_ Directa'!X106</f>
        <v>117367146.56</v>
      </c>
      <c r="Y78" s="318">
        <f>'REMUNERACION_OCCIDENTE_ Directa'!Y106</f>
        <v>1068975.6200000001</v>
      </c>
      <c r="Z78" s="319">
        <f>'REMUNERACION_OCCIDENTE_ Directa'!Z106</f>
        <v>0</v>
      </c>
      <c r="AA78" s="320">
        <f>'REMUNERACION_OCCIDENTE_ Directa'!AA106</f>
        <v>794.57</v>
      </c>
      <c r="AB78" s="294">
        <f>'REMUNERACION_OCCIDENTE_ Directa'!AB106</f>
        <v>4811611.8099999996</v>
      </c>
      <c r="AC78" s="320">
        <f>'REMUNERACION_OCCIDENTE_ Directa'!AC106</f>
        <v>-41621.01</v>
      </c>
      <c r="AD78" s="291">
        <f>'REMUNERACION_OCCIDENTE_ Directa'!AD106</f>
        <v>146054619.53</v>
      </c>
      <c r="AE78" s="291">
        <f>'REMUNERACION_OCCIDENTE_ Directa'!AE106</f>
        <v>146054619.53</v>
      </c>
      <c r="AF78" s="322">
        <f>'REMUNERACION_OCCIDENTE_ Directa'!AF106</f>
        <v>317500283.15999997</v>
      </c>
      <c r="AG78" s="522">
        <f>'REMUNERACION_OCCIDENTE_ Directa'!AG106</f>
        <v>-1639770.219999969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594430569.70000005</v>
      </c>
      <c r="E79" s="292">
        <f>'REMUNERACION_OCCIDENTE_ Directa'!E107</f>
        <v>52006005.950000003</v>
      </c>
      <c r="F79" s="292">
        <f>'REMUNERACION_OCCIDENTE_ Directa'!F107</f>
        <v>28556754.439999998</v>
      </c>
      <c r="G79" s="292">
        <f>'REMUNERACION_OCCIDENTE_ Directa'!G107</f>
        <v>15612684.969999999</v>
      </c>
      <c r="H79" s="292">
        <f>'REMUNERACION_OCCIDENTE_ Directa'!H107</f>
        <v>64011028.090000004</v>
      </c>
      <c r="I79" s="292">
        <f>'REMUNERACION_OCCIDENTE_ Directa'!I107</f>
        <v>1840038.8800000001</v>
      </c>
      <c r="J79" s="288">
        <f>'REMUNERACION_OCCIDENTE_ Directa'!J107</f>
        <v>0</v>
      </c>
      <c r="K79" s="295">
        <f>'REMUNERACION_OCCIDENTE_ Directa'!K107</f>
        <v>432404057.37</v>
      </c>
      <c r="L79" s="294">
        <f>'REMUNERACION_OCCIDENTE_ Directa'!L107</f>
        <v>0</v>
      </c>
      <c r="M79" s="295">
        <f>'REMUNERACION_OCCIDENTE_ Directa'!M107</f>
        <v>432404057.37</v>
      </c>
      <c r="N79" s="294">
        <f>'REMUNERACION_OCCIDENTE_ Directa'!N107</f>
        <v>670762.75</v>
      </c>
      <c r="O79" s="295">
        <f>'REMUNERACION_OCCIDENTE_ Directa'!O107</f>
        <v>433074820.12</v>
      </c>
      <c r="Q79" s="306"/>
      <c r="S79" s="314">
        <v>4</v>
      </c>
      <c r="T79" s="315" t="s">
        <v>13</v>
      </c>
      <c r="U79" s="316">
        <f>'REMUNERACION_OCCIDENTE_ Directa'!U107</f>
        <v>15989400.669999998</v>
      </c>
      <c r="V79" s="317">
        <f>'REMUNERACION_OCCIDENTE_ Directa'!V107</f>
        <v>20824227.509999998</v>
      </c>
      <c r="W79" s="317">
        <f>'REMUNERACION_OCCIDENTE_ Directa'!W107</f>
        <v>105700447.3</v>
      </c>
      <c r="X79" s="317">
        <f>'REMUNERACION_OCCIDENTE_ Directa'!X107</f>
        <v>137726820.66</v>
      </c>
      <c r="Y79" s="318">
        <f>'REMUNERACION_OCCIDENTE_ Directa'!Y107</f>
        <v>3022928.99</v>
      </c>
      <c r="Z79" s="319">
        <f>'REMUNERACION_OCCIDENTE_ Directa'!Z107</f>
        <v>0</v>
      </c>
      <c r="AA79" s="320">
        <f>'REMUNERACION_OCCIDENTE_ Directa'!AA107</f>
        <v>320.89000000000004</v>
      </c>
      <c r="AB79" s="294">
        <f>'REMUNERACION_OCCIDENTE_ Directa'!AB107</f>
        <v>670762.75</v>
      </c>
      <c r="AC79" s="320">
        <f>'REMUNERACION_OCCIDENTE_ Directa'!AC107</f>
        <v>0.19999999999999998</v>
      </c>
      <c r="AD79" s="291">
        <f>'REMUNERACION_OCCIDENTE_ Directa'!AD107</f>
        <v>147393194.20000002</v>
      </c>
      <c r="AE79" s="291">
        <f>'REMUNERACION_OCCIDENTE_ Directa'!AE107</f>
        <v>147393194.20000002</v>
      </c>
      <c r="AF79" s="322">
        <f>'REMUNERACION_OCCIDENTE_ Directa'!AF107</f>
        <v>431328103.16999996</v>
      </c>
      <c r="AG79" s="522">
        <f>'REMUNERACION_OCCIDENTE_ Directa'!AG107</f>
        <v>-1746716.9500000477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172752158.53</v>
      </c>
      <c r="E80" s="297">
        <f>'REMUNERACION_OCCIDENTE_ Directa'!E108</f>
        <v>16252936.57</v>
      </c>
      <c r="F80" s="297">
        <f>'REMUNERACION_OCCIDENTE_ Directa'!F108</f>
        <v>8882611.3300000001</v>
      </c>
      <c r="G80" s="297">
        <f>'REMUNERACION_OCCIDENTE_ Directa'!G108</f>
        <v>4769708.84</v>
      </c>
      <c r="H80" s="297">
        <f>'REMUNERACION_OCCIDENTE_ Directa'!H108</f>
        <v>12689130.529999999</v>
      </c>
      <c r="I80" s="297">
        <f>'REMUNERACION_OCCIDENTE_ Directa'!I108</f>
        <v>523491.14</v>
      </c>
      <c r="J80" s="289">
        <f>'REMUNERACION_OCCIDENTE_ Directa'!J108</f>
        <v>0</v>
      </c>
      <c r="K80" s="295">
        <f>'REMUNERACION_OCCIDENTE_ Directa'!K108</f>
        <v>129634280.11999999</v>
      </c>
      <c r="L80" s="294">
        <f>'REMUNERACION_OCCIDENTE_ Directa'!L108</f>
        <v>0</v>
      </c>
      <c r="M80" s="298">
        <f>'REMUNERACION_OCCIDENTE_ Directa'!M108</f>
        <v>129634280.11999999</v>
      </c>
      <c r="N80" s="299">
        <f>'REMUNERACION_OCCIDENTE_ Directa'!N108</f>
        <v>1908241.19</v>
      </c>
      <c r="O80" s="298">
        <f>'REMUNERACION_OCCIDENTE_ Directa'!O108</f>
        <v>131542521.30999999</v>
      </c>
      <c r="Q80" s="306"/>
      <c r="S80" s="324">
        <v>5</v>
      </c>
      <c r="T80" s="325" t="s">
        <v>14</v>
      </c>
      <c r="U80" s="296">
        <f>'REMUNERACION_OCCIDENTE_ Directa'!U108</f>
        <v>4671973.0999999996</v>
      </c>
      <c r="V80" s="297">
        <f>'REMUNERACION_OCCIDENTE_ Directa'!V108</f>
        <v>5604579.4400000004</v>
      </c>
      <c r="W80" s="297">
        <f>'REMUNERACION_OCCIDENTE_ Directa'!W108</f>
        <v>30069445.420000002</v>
      </c>
      <c r="X80" s="297">
        <f>'REMUNERACION_OCCIDENTE_ Directa'!X108</f>
        <v>48380758.240000002</v>
      </c>
      <c r="Y80" s="289">
        <f>'REMUNERACION_OCCIDENTE_ Directa'!Y108</f>
        <v>859953.88</v>
      </c>
      <c r="Z80" s="319">
        <f>'REMUNERACION_OCCIDENTE_ Directa'!Z108</f>
        <v>0</v>
      </c>
      <c r="AA80" s="320">
        <f>'REMUNERACION_OCCIDENTE_ Directa'!AA108</f>
        <v>-712.59</v>
      </c>
      <c r="AB80" s="294">
        <f>'REMUNERACION_OCCIDENTE_ Directa'!AB108</f>
        <v>1908241.19</v>
      </c>
      <c r="AC80" s="320">
        <f>'REMUNERACION_OCCIDENTE_ Directa'!AC108</f>
        <v>4.9999999999999996E-2</v>
      </c>
      <c r="AD80" s="291">
        <f>'REMUNERACION_OCCIDENTE_ Directa'!AD108</f>
        <v>38779305.009999998</v>
      </c>
      <c r="AE80" s="291">
        <f>'REMUNERACION_OCCIDENTE_ Directa'!AE108</f>
        <v>38779305.009999998</v>
      </c>
      <c r="AF80" s="322">
        <f>'REMUNERACION_OCCIDENTE_ Directa'!AF108</f>
        <v>130273543.73999998</v>
      </c>
      <c r="AG80" s="523">
        <f>'REMUNERACION_OCCIDENTE_ Directa'!AG108</f>
        <v>-1268977.5700000077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2527193143.9200006</v>
      </c>
      <c r="E81" s="290">
        <f>'REMUNERACION_OCCIDENTE_ Directa'!E109</f>
        <v>263671911.14999998</v>
      </c>
      <c r="F81" s="290">
        <f>'REMUNERACION_OCCIDENTE_ Directa'!F109</f>
        <v>146048703.14000002</v>
      </c>
      <c r="G81" s="290">
        <f>'REMUNERACION_OCCIDENTE_ Directa'!G109</f>
        <v>77753407.930000007</v>
      </c>
      <c r="H81" s="290">
        <f>'REMUNERACION_OCCIDENTE_ Directa'!H109</f>
        <v>254222346.52000001</v>
      </c>
      <c r="I81" s="290">
        <f>'REMUNERACION_OCCIDENTE_ Directa'!I109</f>
        <v>7189957.6699999999</v>
      </c>
      <c r="J81" s="290">
        <f>'REMUNERACION_OCCIDENTE_ Directa'!J109</f>
        <v>0</v>
      </c>
      <c r="K81" s="300">
        <f>'REMUNERACION_OCCIDENTE_ Directa'!K109</f>
        <v>1778306817.5099998</v>
      </c>
      <c r="L81" s="301">
        <f>'REMUNERACION_OCCIDENTE_ Directa'!L109</f>
        <v>0</v>
      </c>
      <c r="M81" s="302">
        <f>'REMUNERACION_OCCIDENTE_ Directa'!M109</f>
        <v>1778306817.5099998</v>
      </c>
      <c r="N81" s="301">
        <f>'REMUNERACION_OCCIDENTE_ Directa'!N109</f>
        <v>20496657.280000001</v>
      </c>
      <c r="O81" s="302">
        <f>'REMUNERACION_OCCIDENTE_ Directa'!O109</f>
        <v>1798803474.79</v>
      </c>
      <c r="P81" s="329"/>
      <c r="Q81" s="306"/>
      <c r="S81" s="327"/>
      <c r="T81" s="328" t="s">
        <v>2</v>
      </c>
      <c r="U81" s="330">
        <f>'REMUNERACION_OCCIDENTE_ Directa'!U109</f>
        <v>63669766.280000009</v>
      </c>
      <c r="V81" s="330">
        <f>'REMUNERACION_OCCIDENTE_ Directa'!V109</f>
        <v>83256482.390000001</v>
      </c>
      <c r="W81" s="330">
        <f>'REMUNERACION_OCCIDENTE_ Directa'!W109</f>
        <v>403670568.40000004</v>
      </c>
      <c r="X81" s="330">
        <f>'REMUNERACION_OCCIDENTE_ Directa'!X109</f>
        <v>618019579.11000001</v>
      </c>
      <c r="Y81" s="330">
        <f>'REMUNERACION_OCCIDENTE_ Directa'!Y109</f>
        <v>11787130.110000001</v>
      </c>
      <c r="Z81" s="290">
        <f>'REMUNERACION_OCCIDENTE_ Directa'!Z109</f>
        <v>0</v>
      </c>
      <c r="AA81" s="290">
        <f>'REMUNERACION_OCCIDENTE_ Directa'!AA109</f>
        <v>-4104.93</v>
      </c>
      <c r="AB81" s="290">
        <f>'REMUNERACION_OCCIDENTE_ Directa'!AB109</f>
        <v>20496657.280000001</v>
      </c>
      <c r="AC81" s="290">
        <f>'REMUNERACION_OCCIDENTE_ Directa'!AC109</f>
        <v>-97879.55</v>
      </c>
      <c r="AD81" s="290">
        <f>'REMUNERACION_OCCIDENTE_ Directa'!AD109</f>
        <v>549732096.7700001</v>
      </c>
      <c r="AE81" s="290">
        <f>'REMUNERACION_OCCIDENTE_ Directa'!AE109</f>
        <v>549732096.7700001</v>
      </c>
      <c r="AF81" s="331">
        <f>'REMUNERACION_OCCIDENTE_ Directa'!AF109</f>
        <v>1750530295.8600004</v>
      </c>
      <c r="AG81" s="524">
        <f>'REMUNERACION_OCCIDENTE_ Directa'!AG109</f>
        <v>-48273178.929999933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4.1425228118896484E-6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-1.9371509552001953E-7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-2.9802322387695313E-7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15975003.080002641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3.1292438507080078E-7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15975003.080006599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2026101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2026101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46296</v>
      </c>
      <c r="H125" s="45"/>
      <c r="I125" s="45"/>
      <c r="J125" s="555" t="s">
        <v>28</v>
      </c>
      <c r="K125" s="557">
        <f>'REMUNERACION_EAAB-CL'!K102</f>
        <v>46310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46296</v>
      </c>
      <c r="W125" s="45" t="s">
        <v>1</v>
      </c>
      <c r="X125" s="45" t="str">
        <f>J125</f>
        <v>Feha Hasta:</v>
      </c>
      <c r="Y125" s="557">
        <f>'REMUNERACION_EAAB-CL'!Y102</f>
        <v>46310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46857237.219999999</v>
      </c>
      <c r="E6" s="309">
        <f>'CONSOLIDADO_TOTAL RECAUDO'!E125</f>
        <v>0</v>
      </c>
      <c r="G6" s="336">
        <f>'CONSOLIDADO_TOTAL RECAUDO'!G125</f>
        <v>648870</v>
      </c>
      <c r="H6" s="310">
        <f>'CONSOLIDADO_TOTAL RECAUDO'!H125</f>
        <v>30588071.020000003</v>
      </c>
      <c r="I6" s="309">
        <f>'CONSOLIDADO_TOTAL RECAUDO'!I125</f>
        <v>0</v>
      </c>
      <c r="J6" s="309">
        <f>'CONSOLIDADO_TOTAL RECAUDO'!J125</f>
        <v>-3833780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52275662.099999994</v>
      </c>
      <c r="E7" s="288">
        <f>'CONSOLIDADO_TOTAL RECAUDO'!E126</f>
        <v>0</v>
      </c>
      <c r="G7" s="339">
        <f>'CONSOLIDADO_TOTAL RECAUDO'!G126</f>
        <v>9704974</v>
      </c>
      <c r="H7" s="340">
        <f>'CONSOLIDADO_TOTAL RECAUDO'!H126</f>
        <v>95705711.270000011</v>
      </c>
      <c r="I7" s="288">
        <f>'CONSOLIDADO_TOTAL RECAUDO'!I126</f>
        <v>0</v>
      </c>
      <c r="J7" s="288">
        <f>'CONSOLIDADO_TOTAL RECAUDO'!J126</f>
        <v>-21803648.449999999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13754369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14590494.319999998</v>
      </c>
      <c r="I8" s="288">
        <f>'CONSOLIDADO_TOTAL RECAUDO'!I127</f>
        <v>0</v>
      </c>
      <c r="J8" s="288">
        <f>'CONSOLIDADO_TOTAL RECAUDO'!J127</f>
        <v>-2259272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49700940</v>
      </c>
      <c r="E9" s="288">
        <f>'CONSOLIDADO_TOTAL RECAUDO'!E128</f>
        <v>0</v>
      </c>
      <c r="G9" s="339">
        <f>'CONSOLIDADO_TOTAL RECAUDO'!G128</f>
        <v>21557177</v>
      </c>
      <c r="H9" s="340">
        <f>'CONSOLIDADO_TOTAL RECAUDO'!H128</f>
        <v>29206357.07</v>
      </c>
      <c r="I9" s="288">
        <f>'CONSOLIDADO_TOTAL RECAUDO'!I128</f>
        <v>0</v>
      </c>
      <c r="J9" s="288">
        <f>'CONSOLIDADO_TOTAL RECAUDO'!J128</f>
        <v>-41558585.399999999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8596000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10379542.050000001</v>
      </c>
      <c r="I10" s="288">
        <f>'CONSOLIDADO_TOTAL RECAUDO'!I129</f>
        <v>0</v>
      </c>
      <c r="J10" s="288">
        <f>'CONSOLIDADO_TOTAL RECAUDO'!J129</f>
        <v>-3964157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171184208.31999999</v>
      </c>
      <c r="E12" s="350">
        <f>'CONSOLIDADO_TOTAL RECAUDO'!E131</f>
        <v>0</v>
      </c>
      <c r="F12" s="351"/>
      <c r="G12" s="350">
        <f>'CONSOLIDADO_TOTAL RECAUDO'!G131</f>
        <v>31911021</v>
      </c>
      <c r="H12" s="350">
        <f>'CONSOLIDADO_TOTAL RECAUDO'!H131</f>
        <v>180470175.73000002</v>
      </c>
      <c r="I12" s="350">
        <f>'CONSOLIDADO_TOTAL RECAUDO'!I131</f>
        <v>0</v>
      </c>
      <c r="J12" s="350">
        <f>'CONSOLIDADO_TOTAL RECAUDO'!J131</f>
        <v>-73419442.849999994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11762381.269999998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309350</v>
      </c>
      <c r="H24" s="340">
        <f>'REMUNERACION Reciprocidad EAAB'!H128</f>
        <v>2089183.34</v>
      </c>
      <c r="I24" s="288">
        <f>'REMUNERACION Reciprocidad EAAB'!I128</f>
        <v>0</v>
      </c>
      <c r="J24" s="288">
        <f>'REMUNERACION Reciprocidad EAAB'!J128</f>
        <v>-554080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309350</v>
      </c>
      <c r="H27" s="350">
        <f>'REMUNERACION Reciprocidad EAAB'!H131</f>
        <v>13851564.609999998</v>
      </c>
      <c r="I27" s="350">
        <f>'REMUNERACION Reciprocidad EAAB'!I131</f>
        <v>0</v>
      </c>
      <c r="J27" s="350">
        <f>'REMUNERACION Reciprocidad EAAB'!J131</f>
        <v>-554080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29606547</v>
      </c>
      <c r="E35" s="309">
        <f>REMUNERACION_ENEL!E125</f>
        <v>0</v>
      </c>
      <c r="G35" s="336">
        <f>REMUNERACION_ENEL!G125</f>
        <v>513960</v>
      </c>
      <c r="H35" s="310">
        <f>REMUNERACION_ENEL!H125</f>
        <v>26731349.390000001</v>
      </c>
      <c r="I35" s="309">
        <f>REMUNERACION_ENEL!I125</f>
        <v>0</v>
      </c>
      <c r="J35" s="309">
        <f>REMUNERACION_ENEL!J125</f>
        <v>-3698870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22325147.129999999</v>
      </c>
      <c r="E36" s="288">
        <f>REMUNERACION_ENEL!E126</f>
        <v>0</v>
      </c>
      <c r="G36" s="339">
        <f>REMUNERACION_ENEL!G126</f>
        <v>9240820</v>
      </c>
      <c r="H36" s="340">
        <f>REMUNERACION_ENEL!H126</f>
        <v>39413638.689999998</v>
      </c>
      <c r="I36" s="288">
        <f>REMUNERACION_ENEL!I126</f>
        <v>0</v>
      </c>
      <c r="J36" s="288">
        <f>REMUNERACION_ENEL!J126</f>
        <v>-20858585.449999999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8845080</v>
      </c>
      <c r="E37" s="288">
        <f>REMUNERACION_ENEL!E127</f>
        <v>0</v>
      </c>
      <c r="G37" s="339">
        <f>REMUNERACION_ENEL!G127</f>
        <v>0</v>
      </c>
      <c r="H37" s="340">
        <f>REMUNERACION_ENEL!H127</f>
        <v>12385143.039999999</v>
      </c>
      <c r="I37" s="288">
        <f>REMUNERACION_ENEL!I127</f>
        <v>0</v>
      </c>
      <c r="J37" s="288">
        <f>REMUNERACION_ENEL!J127</f>
        <v>-2259272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42284806</v>
      </c>
      <c r="E38" s="288">
        <f>REMUNERACION_ENEL!E128</f>
        <v>0</v>
      </c>
      <c r="G38" s="339">
        <f>REMUNERACION_ENEL!G128</f>
        <v>20397090</v>
      </c>
      <c r="H38" s="340">
        <f>REMUNERACION_ENEL!H128</f>
        <v>23742361.280000001</v>
      </c>
      <c r="I38" s="288">
        <f>REMUNERACION_ENEL!I128</f>
        <v>0</v>
      </c>
      <c r="J38" s="288">
        <f>REMUNERACION_ENEL!J128</f>
        <v>-39633253.399999999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5249580</v>
      </c>
      <c r="E39" s="344">
        <f>REMUNERACION_ENEL!E129</f>
        <v>0</v>
      </c>
      <c r="G39" s="339">
        <f>REMUNERACION_ENEL!G129</f>
        <v>0</v>
      </c>
      <c r="H39" s="340">
        <f>REMUNERACION_ENEL!H129</f>
        <v>9192655.3300000001</v>
      </c>
      <c r="I39" s="288">
        <f>REMUNERACION_ENEL!I129</f>
        <v>0</v>
      </c>
      <c r="J39" s="288">
        <f>REMUNERACION_ENEL!J129</f>
        <v>-3964157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108311160.13</v>
      </c>
      <c r="E41" s="350">
        <f>REMUNERACION_ENEL!E131</f>
        <v>0</v>
      </c>
      <c r="F41" s="351"/>
      <c r="G41" s="350">
        <f>REMUNERACION_ENEL!G131</f>
        <v>30151870</v>
      </c>
      <c r="H41" s="350">
        <f>REMUNERACION_ENEL!H131</f>
        <v>111465147.73</v>
      </c>
      <c r="I41" s="350">
        <f>REMUNERACION_ENEL!I131</f>
        <v>0</v>
      </c>
      <c r="J41" s="350">
        <f>REMUNERACION_ENEL!J131</f>
        <v>-70414137.849999994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914180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914180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17250690.219999999</v>
      </c>
      <c r="E63" s="309">
        <f>'REMUNERACION_OCCIDENTE_ Directa'!E125</f>
        <v>0</v>
      </c>
      <c r="G63" s="336">
        <f>'REMUNERACION_OCCIDENTE_ Directa'!G125</f>
        <v>134910</v>
      </c>
      <c r="H63" s="310">
        <f>'REMUNERACION_OCCIDENTE_ Directa'!H125</f>
        <v>3856721.63</v>
      </c>
      <c r="I63" s="309">
        <f>'REMUNERACION_OCCIDENTE_ Directa'!I125</f>
        <v>0</v>
      </c>
      <c r="J63" s="309">
        <f>'REMUNERACION_OCCIDENTE_ Directa'!J125</f>
        <v>-134910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29950514.969999999</v>
      </c>
      <c r="E64" s="288">
        <f>'REMUNERACION_OCCIDENTE_ Directa'!E126</f>
        <v>0</v>
      </c>
      <c r="G64" s="339">
        <f>'REMUNERACION_OCCIDENTE_ Directa'!G126</f>
        <v>464154</v>
      </c>
      <c r="H64" s="340">
        <f>'REMUNERACION_OCCIDENTE_ Directa'!H126</f>
        <v>44529691.310000002</v>
      </c>
      <c r="I64" s="288">
        <f>'REMUNERACION_OCCIDENTE_ Directa'!I126</f>
        <v>0</v>
      </c>
      <c r="J64" s="288">
        <f>'REMUNERACION_OCCIDENTE_ Directa'!J126</f>
        <v>-945063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4909289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2205351.2800000003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7416134</v>
      </c>
      <c r="E66" s="288">
        <f>'REMUNERACION_OCCIDENTE_ Directa'!E128</f>
        <v>0</v>
      </c>
      <c r="G66" s="339">
        <f>'REMUNERACION_OCCIDENTE_ Directa'!G128</f>
        <v>850737</v>
      </c>
      <c r="H66" s="340">
        <f>'REMUNERACION_OCCIDENTE_ Directa'!H128</f>
        <v>3374812.45</v>
      </c>
      <c r="I66" s="288">
        <f>'REMUNERACION_OCCIDENTE_ Directa'!I128</f>
        <v>0</v>
      </c>
      <c r="J66" s="288">
        <f>'REMUNERACION_OCCIDENTE_ Directa'!J128</f>
        <v>-1371252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2432240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1186886.72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61958868.189999998</v>
      </c>
      <c r="E69" s="350">
        <f>'REMUNERACION_OCCIDENTE_ Directa'!E131</f>
        <v>0</v>
      </c>
      <c r="F69" s="351"/>
      <c r="G69" s="350">
        <f>'REMUNERACION_OCCIDENTE_ Directa'!G131</f>
        <v>1449801</v>
      </c>
      <c r="H69" s="350">
        <f>'REMUNERACION_OCCIDENTE_ Directa'!H131</f>
        <v>55153463.390000008</v>
      </c>
      <c r="I69" s="350">
        <f>'REMUNERACION_OCCIDENTE_ Directa'!I131</f>
        <v>0</v>
      </c>
      <c r="J69" s="350">
        <f>'REMUNERACION_OCCIDENTE_ Directa'!J131</f>
        <v>-2451225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2026101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50406458396</v>
      </c>
      <c r="E7" s="533">
        <f>SUM(D7:D9)</f>
        <v>50546883156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140424760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2555496630</v>
      </c>
      <c r="E10" s="535">
        <f>SUM(D10)</f>
        <v>2555496630</v>
      </c>
      <c r="F10" s="536">
        <f>E7+E10</f>
        <v>53102379786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202610-1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DetRetri2026101</vt:lpstr>
      <vt:lpstr>DetValiRetri2026101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2026-10-26T22:23:45Z</dcterms:modified>
</cp:coreProperties>
</file>