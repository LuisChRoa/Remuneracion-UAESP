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Z:\RECAUDO CONCILIACION SIGAB\2026\10 OCTUBRE- 2026\DIRECTA\"/>
    </mc:Choice>
  </mc:AlternateContent>
  <xr:revisionPtr revIDLastSave="0" documentId="13_ncr:1_{A72E1606-4F3B-4617-B1AD-46AF9A7FFF59}" xr6:coauthVersionLast="47" xr6:coauthVersionMax="47" xr10:uidLastSave="{00000000-0000-0000-0000-000000000000}"/>
  <bookViews>
    <workbookView xWindow="-120" yWindow="-120" windowWidth="29040" windowHeight="15720" tabRatio="758" xr2:uid="{00000000-000D-0000-FFFF-FFFF00000000}"/>
  </bookViews>
  <sheets>
    <sheet name="OPORTUNO" sheetId="1" r:id="rId1"/>
    <sheet name="EXTEMPORANEOS" sheetId="9" r:id="rId2"/>
    <sheet name="RESUMEN MES" sheetId="10" r:id="rId3"/>
    <sheet name="Pendientes por Identificar" sheetId="6" r:id="rId4"/>
    <sheet name="Reversiones" sheetId="5" r:id="rId5"/>
    <sheet name="Códigos Banco" sheetId="8" r:id="rId6"/>
    <sheet name="Conciliación" sheetId="7" state="hidden" r:id="rId7"/>
    <sheet name="1_Oportuno Directa Bco Occident" sheetId="11" r:id="rId8"/>
    <sheet name="2_Extemporaneo Directa Bco Occi" sheetId="12" r:id="rId9"/>
  </sheets>
  <externalReferences>
    <externalReference r:id="rId10"/>
  </externalReferences>
  <definedNames>
    <definedName name="_xlnm._FilterDatabase" localSheetId="8" hidden="1">'2_Extemporaneo Directa Bco Occi'!$B$12:$Y$78</definedName>
    <definedName name="_xlnm._FilterDatabase" localSheetId="1" hidden="1">EXTEMPORANEOS!$A$12:$WQK$77</definedName>
    <definedName name="_xlnm._FilterDatabase" localSheetId="0" hidden="1">OPORTUNO!$B$12:$Z$136</definedName>
    <definedName name="_xlnm._FilterDatabase" localSheetId="3" hidden="1">'Pendientes por Identificar'!$I$4:$O$104</definedName>
    <definedName name="_xlnm._FilterDatabase" localSheetId="4" hidden="1">Reversiones!$B$10:$L$10</definedName>
    <definedName name="Bancos">[1]Fx!$C$1:$C$23</definedName>
    <definedName name="Ref." localSheetId="8">#REF!</definedName>
    <definedName name="Ref." localSheetId="1">#REF!</definedName>
    <definedName name="Ref." localSheetId="2">#REF!</definedName>
    <definedName name="Ref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1" l="1"/>
  <c r="R86" i="1"/>
  <c r="Q86" i="1"/>
  <c r="P86" i="1"/>
  <c r="O86" i="1"/>
  <c r="N86" i="1"/>
  <c r="M86" i="1"/>
  <c r="L86" i="1"/>
  <c r="K86" i="1"/>
  <c r="J86" i="1"/>
  <c r="W86" i="1"/>
  <c r="V86" i="1"/>
  <c r="S74" i="1"/>
  <c r="R74" i="1"/>
  <c r="Q74" i="1"/>
  <c r="P74" i="1"/>
  <c r="O74" i="1"/>
  <c r="N74" i="1"/>
  <c r="M74" i="1"/>
  <c r="L74" i="1"/>
  <c r="K74" i="1"/>
  <c r="J74" i="1"/>
  <c r="W74" i="1"/>
  <c r="V74" i="1"/>
  <c r="T97" i="9"/>
  <c r="U97" i="9"/>
  <c r="T98" i="9"/>
  <c r="U98" i="9"/>
  <c r="T99" i="9"/>
  <c r="U99" i="9"/>
  <c r="T100" i="9"/>
  <c r="U100" i="9"/>
  <c r="T101" i="9"/>
  <c r="U101" i="9"/>
  <c r="T102" i="9"/>
  <c r="U102" i="9"/>
  <c r="T103" i="9"/>
  <c r="U103" i="9"/>
  <c r="W24" i="9"/>
  <c r="V24" i="9"/>
  <c r="W23" i="9"/>
  <c r="V23" i="9"/>
  <c r="W22" i="9"/>
  <c r="V22" i="9"/>
  <c r="J21" i="9"/>
  <c r="K24" i="9"/>
  <c r="J24" i="9"/>
  <c r="K23" i="9"/>
  <c r="J23" i="9"/>
  <c r="W15" i="9"/>
  <c r="V15" i="9"/>
  <c r="K15" i="9"/>
  <c r="J15" i="9"/>
  <c r="C28" i="9"/>
  <c r="C29" i="9"/>
  <c r="C30" i="9"/>
  <c r="C31" i="9"/>
  <c r="C32" i="9"/>
  <c r="C33" i="9"/>
  <c r="C34" i="9"/>
  <c r="C35" i="9"/>
  <c r="C36" i="9"/>
  <c r="C37" i="9"/>
  <c r="C38" i="9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W19" i="9"/>
  <c r="V19" i="9"/>
  <c r="U47" i="9"/>
  <c r="U48" i="9"/>
  <c r="U49" i="9"/>
  <c r="U50" i="9"/>
  <c r="T47" i="9"/>
  <c r="T48" i="9"/>
  <c r="T49" i="9"/>
  <c r="T50" i="9"/>
  <c r="T51" i="9"/>
  <c r="J75" i="1"/>
  <c r="M66" i="1"/>
  <c r="L66" i="1"/>
  <c r="L70" i="1"/>
  <c r="M62" i="1"/>
  <c r="L62" i="1"/>
  <c r="M28" i="9"/>
  <c r="L28" i="9"/>
  <c r="S70" i="1"/>
  <c r="R70" i="1"/>
  <c r="Q70" i="1"/>
  <c r="P70" i="1"/>
  <c r="O70" i="1"/>
  <c r="N70" i="1"/>
  <c r="M70" i="1"/>
  <c r="K70" i="1"/>
  <c r="J70" i="1"/>
  <c r="W70" i="1"/>
  <c r="V70" i="1"/>
  <c r="Q66" i="1"/>
  <c r="P66" i="1"/>
  <c r="O66" i="1"/>
  <c r="N66" i="1"/>
  <c r="K66" i="1"/>
  <c r="J66" i="1"/>
  <c r="W66" i="1"/>
  <c r="V66" i="1"/>
  <c r="W62" i="1"/>
  <c r="V62" i="1"/>
  <c r="O62" i="1"/>
  <c r="N62" i="1"/>
  <c r="S62" i="1"/>
  <c r="R62" i="1"/>
  <c r="Q62" i="1"/>
  <c r="P62" i="1"/>
  <c r="W30" i="1"/>
  <c r="V30" i="1"/>
  <c r="K30" i="1"/>
  <c r="J30" i="1"/>
  <c r="W14" i="1"/>
  <c r="V14" i="1"/>
  <c r="K14" i="1"/>
  <c r="J14" i="1"/>
  <c r="W28" i="9"/>
  <c r="V28" i="9"/>
  <c r="S66" i="1"/>
  <c r="R66" i="1"/>
  <c r="K62" i="1"/>
  <c r="J62" i="1"/>
  <c r="O14" i="1"/>
  <c r="N14" i="1"/>
  <c r="M14" i="1"/>
  <c r="L14" i="1"/>
  <c r="T63" i="1"/>
  <c r="U63" i="1"/>
  <c r="Q46" i="1"/>
  <c r="P46" i="1"/>
  <c r="O46" i="1"/>
  <c r="N46" i="1"/>
  <c r="M46" i="1"/>
  <c r="L46" i="1"/>
  <c r="W46" i="1"/>
  <c r="V46" i="1"/>
  <c r="S38" i="1"/>
  <c r="R38" i="1"/>
  <c r="Q38" i="1"/>
  <c r="P38" i="1"/>
  <c r="W38" i="1"/>
  <c r="V38" i="1"/>
  <c r="Q34" i="1"/>
  <c r="P34" i="1"/>
  <c r="R34" i="1"/>
  <c r="S34" i="1"/>
  <c r="L34" i="1"/>
  <c r="M34" i="1"/>
  <c r="W34" i="1"/>
  <c r="V34" i="1"/>
  <c r="O30" i="1"/>
  <c r="N30" i="1"/>
  <c r="K46" i="1"/>
  <c r="J46" i="1"/>
  <c r="S43" i="1"/>
  <c r="R43" i="1"/>
  <c r="S42" i="1"/>
  <c r="R42" i="1"/>
  <c r="Q42" i="1" l="1"/>
  <c r="P42" i="1"/>
  <c r="O42" i="1"/>
  <c r="N42" i="1"/>
  <c r="M42" i="1"/>
  <c r="L42" i="1"/>
  <c r="K42" i="1"/>
  <c r="J42" i="1"/>
  <c r="W42" i="1" l="1"/>
  <c r="V42" i="1"/>
  <c r="O38" i="1"/>
  <c r="N38" i="1"/>
  <c r="S30" i="1"/>
  <c r="R30" i="1"/>
  <c r="Q30" i="1"/>
  <c r="P30" i="1"/>
  <c r="M30" i="1"/>
  <c r="L30" i="1"/>
  <c r="T38" i="1"/>
  <c r="M38" i="1"/>
  <c r="L38" i="1"/>
  <c r="K38" i="1"/>
  <c r="J38" i="1"/>
  <c r="K34" i="1"/>
  <c r="J34" i="1"/>
  <c r="O34" i="1"/>
  <c r="N34" i="1"/>
  <c r="W20" i="9"/>
  <c r="V20" i="9"/>
  <c r="W21" i="9"/>
  <c r="K21" i="9"/>
  <c r="K21" i="12" s="1"/>
  <c r="J21" i="12"/>
  <c r="M18" i="1"/>
  <c r="L18" i="1"/>
  <c r="U15" i="1"/>
  <c r="T14" i="1"/>
  <c r="W18" i="1"/>
  <c r="V18" i="1"/>
  <c r="S14" i="1"/>
  <c r="R14" i="1"/>
  <c r="Q14" i="1"/>
  <c r="P14" i="1"/>
  <c r="T15" i="1"/>
  <c r="K14" i="12"/>
  <c r="K15" i="12"/>
  <c r="K16" i="12"/>
  <c r="K17" i="12"/>
  <c r="K18" i="12"/>
  <c r="K19" i="12"/>
  <c r="K20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J14" i="12"/>
  <c r="J15" i="12"/>
  <c r="J16" i="12"/>
  <c r="J17" i="12"/>
  <c r="J18" i="12"/>
  <c r="J19" i="12"/>
  <c r="J20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U38" i="1" l="1"/>
  <c r="U14" i="1"/>
  <c r="T66" i="1"/>
  <c r="J48" i="1" l="1"/>
  <c r="T130" i="1" l="1"/>
  <c r="U118" i="1" l="1"/>
  <c r="T118" i="1"/>
  <c r="T39" i="1" l="1"/>
  <c r="U35" i="1"/>
  <c r="T21" i="1"/>
  <c r="U21" i="1"/>
  <c r="T25" i="1"/>
  <c r="C1" i="1"/>
  <c r="C2" i="1"/>
  <c r="W164" i="12" l="1"/>
  <c r="V164" i="12"/>
  <c r="S164" i="12"/>
  <c r="R164" i="12"/>
  <c r="Q164" i="12"/>
  <c r="P164" i="12"/>
  <c r="O164" i="12"/>
  <c r="N164" i="12"/>
  <c r="M164" i="12"/>
  <c r="L164" i="12"/>
  <c r="K164" i="12"/>
  <c r="J164" i="12"/>
  <c r="G164" i="12"/>
  <c r="E164" i="12"/>
  <c r="D164" i="12"/>
  <c r="B164" i="12"/>
  <c r="W163" i="12"/>
  <c r="V163" i="12"/>
  <c r="S163" i="12"/>
  <c r="R163" i="12"/>
  <c r="Q163" i="12"/>
  <c r="P163" i="12"/>
  <c r="O163" i="12"/>
  <c r="N163" i="12"/>
  <c r="M163" i="12"/>
  <c r="L163" i="12"/>
  <c r="K163" i="12"/>
  <c r="J163" i="12"/>
  <c r="G163" i="12"/>
  <c r="E163" i="12"/>
  <c r="D163" i="12"/>
  <c r="B163" i="12"/>
  <c r="W162" i="12"/>
  <c r="V162" i="12"/>
  <c r="S162" i="12"/>
  <c r="R162" i="12"/>
  <c r="Q162" i="12"/>
  <c r="P162" i="12"/>
  <c r="O162" i="12"/>
  <c r="N162" i="12"/>
  <c r="M162" i="12"/>
  <c r="L162" i="12"/>
  <c r="K162" i="12"/>
  <c r="J162" i="12"/>
  <c r="G162" i="12"/>
  <c r="E162" i="12"/>
  <c r="D162" i="12"/>
  <c r="B162" i="12"/>
  <c r="W161" i="12"/>
  <c r="V161" i="12"/>
  <c r="S161" i="12"/>
  <c r="R161" i="12"/>
  <c r="Q161" i="12"/>
  <c r="P161" i="12"/>
  <c r="O161" i="12"/>
  <c r="N161" i="12"/>
  <c r="M161" i="12"/>
  <c r="L161" i="12"/>
  <c r="K161" i="12"/>
  <c r="J161" i="12"/>
  <c r="G161" i="12"/>
  <c r="E161" i="12"/>
  <c r="D161" i="12"/>
  <c r="B161" i="12"/>
  <c r="W160" i="12"/>
  <c r="V160" i="12"/>
  <c r="S160" i="12"/>
  <c r="R160" i="12"/>
  <c r="Q160" i="12"/>
  <c r="P160" i="12"/>
  <c r="O160" i="12"/>
  <c r="N160" i="12"/>
  <c r="M160" i="12"/>
  <c r="L160" i="12"/>
  <c r="K160" i="12"/>
  <c r="J160" i="12"/>
  <c r="G160" i="12"/>
  <c r="E160" i="12"/>
  <c r="D160" i="12"/>
  <c r="B160" i="12"/>
  <c r="W159" i="12"/>
  <c r="V159" i="12"/>
  <c r="S159" i="12"/>
  <c r="R159" i="12"/>
  <c r="Q159" i="12"/>
  <c r="P159" i="12"/>
  <c r="O159" i="12"/>
  <c r="N159" i="12"/>
  <c r="M159" i="12"/>
  <c r="L159" i="12"/>
  <c r="K159" i="12"/>
  <c r="J159" i="12"/>
  <c r="G159" i="12"/>
  <c r="E159" i="12"/>
  <c r="D159" i="12"/>
  <c r="B159" i="12"/>
  <c r="W158" i="12"/>
  <c r="V158" i="12"/>
  <c r="S158" i="12"/>
  <c r="R158" i="12"/>
  <c r="Q158" i="12"/>
  <c r="P158" i="12"/>
  <c r="O158" i="12"/>
  <c r="N158" i="12"/>
  <c r="M158" i="12"/>
  <c r="L158" i="12"/>
  <c r="K158" i="12"/>
  <c r="J158" i="12"/>
  <c r="G158" i="12"/>
  <c r="E158" i="12"/>
  <c r="D158" i="12"/>
  <c r="B158" i="12"/>
  <c r="W157" i="12"/>
  <c r="V157" i="12"/>
  <c r="S157" i="12"/>
  <c r="R157" i="12"/>
  <c r="Q157" i="12"/>
  <c r="P157" i="12"/>
  <c r="O157" i="12"/>
  <c r="N157" i="12"/>
  <c r="M157" i="12"/>
  <c r="L157" i="12"/>
  <c r="K157" i="12"/>
  <c r="J157" i="12"/>
  <c r="G157" i="12"/>
  <c r="E157" i="12"/>
  <c r="D157" i="12"/>
  <c r="B157" i="12"/>
  <c r="W156" i="12"/>
  <c r="V156" i="12"/>
  <c r="S156" i="12"/>
  <c r="R156" i="12"/>
  <c r="Q156" i="12"/>
  <c r="P156" i="12"/>
  <c r="O156" i="12"/>
  <c r="N156" i="12"/>
  <c r="M156" i="12"/>
  <c r="L156" i="12"/>
  <c r="K156" i="12"/>
  <c r="J156" i="12"/>
  <c r="G156" i="12"/>
  <c r="E156" i="12"/>
  <c r="D156" i="12"/>
  <c r="B156" i="12"/>
  <c r="W155" i="12"/>
  <c r="V155" i="12"/>
  <c r="S155" i="12"/>
  <c r="R155" i="12"/>
  <c r="Q155" i="12"/>
  <c r="P155" i="12"/>
  <c r="O155" i="12"/>
  <c r="N155" i="12"/>
  <c r="M155" i="12"/>
  <c r="L155" i="12"/>
  <c r="K155" i="12"/>
  <c r="J155" i="12"/>
  <c r="G155" i="12"/>
  <c r="E155" i="12"/>
  <c r="D155" i="12"/>
  <c r="B155" i="12"/>
  <c r="W154" i="12"/>
  <c r="V154" i="12"/>
  <c r="S154" i="12"/>
  <c r="R154" i="12"/>
  <c r="Q154" i="12"/>
  <c r="P154" i="12"/>
  <c r="O154" i="12"/>
  <c r="N154" i="12"/>
  <c r="M154" i="12"/>
  <c r="L154" i="12"/>
  <c r="K154" i="12"/>
  <c r="J154" i="12"/>
  <c r="G154" i="12"/>
  <c r="E154" i="12"/>
  <c r="D154" i="12"/>
  <c r="B154" i="12"/>
  <c r="W153" i="12"/>
  <c r="V153" i="12"/>
  <c r="S153" i="12"/>
  <c r="R153" i="12"/>
  <c r="Q153" i="12"/>
  <c r="P153" i="12"/>
  <c r="O153" i="12"/>
  <c r="N153" i="12"/>
  <c r="M153" i="12"/>
  <c r="L153" i="12"/>
  <c r="K153" i="12"/>
  <c r="J153" i="12"/>
  <c r="G153" i="12"/>
  <c r="E153" i="12"/>
  <c r="D153" i="12"/>
  <c r="B153" i="12"/>
  <c r="W152" i="12"/>
  <c r="V152" i="12"/>
  <c r="S152" i="12"/>
  <c r="R152" i="12"/>
  <c r="Q152" i="12"/>
  <c r="P152" i="12"/>
  <c r="O152" i="12"/>
  <c r="N152" i="12"/>
  <c r="M152" i="12"/>
  <c r="L152" i="12"/>
  <c r="K152" i="12"/>
  <c r="J152" i="12"/>
  <c r="G152" i="12"/>
  <c r="E152" i="12"/>
  <c r="D152" i="12"/>
  <c r="B152" i="12"/>
  <c r="W151" i="12"/>
  <c r="V151" i="12"/>
  <c r="S151" i="12"/>
  <c r="R151" i="12"/>
  <c r="Q151" i="12"/>
  <c r="P151" i="12"/>
  <c r="O151" i="12"/>
  <c r="N151" i="12"/>
  <c r="M151" i="12"/>
  <c r="L151" i="12"/>
  <c r="K151" i="12"/>
  <c r="J151" i="12"/>
  <c r="G151" i="12"/>
  <c r="E151" i="12"/>
  <c r="D151" i="12"/>
  <c r="B151" i="12"/>
  <c r="W150" i="12"/>
  <c r="V150" i="12"/>
  <c r="S150" i="12"/>
  <c r="R150" i="12"/>
  <c r="Q150" i="12"/>
  <c r="P150" i="12"/>
  <c r="O150" i="12"/>
  <c r="N150" i="12"/>
  <c r="M150" i="12"/>
  <c r="L150" i="12"/>
  <c r="K150" i="12"/>
  <c r="J150" i="12"/>
  <c r="G150" i="12"/>
  <c r="E150" i="12"/>
  <c r="D150" i="12"/>
  <c r="B150" i="12"/>
  <c r="W149" i="12"/>
  <c r="V149" i="12"/>
  <c r="S149" i="12"/>
  <c r="R149" i="12"/>
  <c r="Q149" i="12"/>
  <c r="P149" i="12"/>
  <c r="O149" i="12"/>
  <c r="N149" i="12"/>
  <c r="M149" i="12"/>
  <c r="L149" i="12"/>
  <c r="K149" i="12"/>
  <c r="J149" i="12"/>
  <c r="G149" i="12"/>
  <c r="E149" i="12"/>
  <c r="D149" i="12"/>
  <c r="B149" i="12"/>
  <c r="W148" i="12"/>
  <c r="V148" i="12"/>
  <c r="S148" i="12"/>
  <c r="R148" i="12"/>
  <c r="Q148" i="12"/>
  <c r="P148" i="12"/>
  <c r="O148" i="12"/>
  <c r="N148" i="12"/>
  <c r="M148" i="12"/>
  <c r="L148" i="12"/>
  <c r="K148" i="12"/>
  <c r="J148" i="12"/>
  <c r="G148" i="12"/>
  <c r="E148" i="12"/>
  <c r="D148" i="12"/>
  <c r="B148" i="12"/>
  <c r="W147" i="12"/>
  <c r="V147" i="12"/>
  <c r="S147" i="12"/>
  <c r="R147" i="12"/>
  <c r="Q147" i="12"/>
  <c r="P147" i="12"/>
  <c r="O147" i="12"/>
  <c r="N147" i="12"/>
  <c r="M147" i="12"/>
  <c r="L147" i="12"/>
  <c r="K147" i="12"/>
  <c r="J147" i="12"/>
  <c r="G147" i="12"/>
  <c r="E147" i="12"/>
  <c r="D147" i="12"/>
  <c r="B147" i="12"/>
  <c r="W146" i="12"/>
  <c r="V146" i="12"/>
  <c r="S146" i="12"/>
  <c r="R146" i="12"/>
  <c r="Q146" i="12"/>
  <c r="P146" i="12"/>
  <c r="O146" i="12"/>
  <c r="N146" i="12"/>
  <c r="M146" i="12"/>
  <c r="L146" i="12"/>
  <c r="K146" i="12"/>
  <c r="J146" i="12"/>
  <c r="G146" i="12"/>
  <c r="E146" i="12"/>
  <c r="D146" i="12"/>
  <c r="B146" i="12"/>
  <c r="W145" i="12"/>
  <c r="V145" i="12"/>
  <c r="S145" i="12"/>
  <c r="R145" i="12"/>
  <c r="Q145" i="12"/>
  <c r="P145" i="12"/>
  <c r="O145" i="12"/>
  <c r="N145" i="12"/>
  <c r="M145" i="12"/>
  <c r="L145" i="12"/>
  <c r="K145" i="12"/>
  <c r="J145" i="12"/>
  <c r="G145" i="12"/>
  <c r="E145" i="12"/>
  <c r="D145" i="12"/>
  <c r="B145" i="12"/>
  <c r="W144" i="12"/>
  <c r="V144" i="12"/>
  <c r="S144" i="12"/>
  <c r="R144" i="12"/>
  <c r="Q144" i="12"/>
  <c r="P144" i="12"/>
  <c r="O144" i="12"/>
  <c r="N144" i="12"/>
  <c r="M144" i="12"/>
  <c r="L144" i="12"/>
  <c r="K144" i="12"/>
  <c r="J144" i="12"/>
  <c r="G144" i="12"/>
  <c r="E144" i="12"/>
  <c r="D144" i="12"/>
  <c r="B144" i="12"/>
  <c r="W143" i="12"/>
  <c r="V143" i="12"/>
  <c r="S143" i="12"/>
  <c r="R143" i="12"/>
  <c r="Q143" i="12"/>
  <c r="P143" i="12"/>
  <c r="O143" i="12"/>
  <c r="N143" i="12"/>
  <c r="M143" i="12"/>
  <c r="L143" i="12"/>
  <c r="K143" i="12"/>
  <c r="J143" i="12"/>
  <c r="G143" i="12"/>
  <c r="E143" i="12"/>
  <c r="D143" i="12"/>
  <c r="B143" i="12"/>
  <c r="W142" i="12"/>
  <c r="V142" i="12"/>
  <c r="S142" i="12"/>
  <c r="R142" i="12"/>
  <c r="Q142" i="12"/>
  <c r="P142" i="12"/>
  <c r="O142" i="12"/>
  <c r="N142" i="12"/>
  <c r="M142" i="12"/>
  <c r="L142" i="12"/>
  <c r="K142" i="12"/>
  <c r="J142" i="12"/>
  <c r="G142" i="12"/>
  <c r="E142" i="12"/>
  <c r="D142" i="12"/>
  <c r="B142" i="12"/>
  <c r="W141" i="12"/>
  <c r="V141" i="12"/>
  <c r="S141" i="12"/>
  <c r="R141" i="12"/>
  <c r="Q141" i="12"/>
  <c r="P141" i="12"/>
  <c r="O141" i="12"/>
  <c r="N141" i="12"/>
  <c r="M141" i="12"/>
  <c r="L141" i="12"/>
  <c r="K141" i="12"/>
  <c r="J141" i="12"/>
  <c r="G141" i="12"/>
  <c r="E141" i="12"/>
  <c r="D141" i="12"/>
  <c r="B141" i="12"/>
  <c r="W140" i="12"/>
  <c r="V140" i="12"/>
  <c r="S140" i="12"/>
  <c r="R140" i="12"/>
  <c r="Q140" i="12"/>
  <c r="P140" i="12"/>
  <c r="O140" i="12"/>
  <c r="N140" i="12"/>
  <c r="M140" i="12"/>
  <c r="L140" i="12"/>
  <c r="K140" i="12"/>
  <c r="J140" i="12"/>
  <c r="G140" i="12"/>
  <c r="E140" i="12"/>
  <c r="D140" i="12"/>
  <c r="B140" i="12"/>
  <c r="W139" i="12"/>
  <c r="V139" i="12"/>
  <c r="S139" i="12"/>
  <c r="R139" i="12"/>
  <c r="Q139" i="12"/>
  <c r="P139" i="12"/>
  <c r="O139" i="12"/>
  <c r="N139" i="12"/>
  <c r="M139" i="12"/>
  <c r="L139" i="12"/>
  <c r="K139" i="12"/>
  <c r="J139" i="12"/>
  <c r="G139" i="12"/>
  <c r="E139" i="12"/>
  <c r="D139" i="12"/>
  <c r="B139" i="12"/>
  <c r="W138" i="12"/>
  <c r="V138" i="12"/>
  <c r="S138" i="12"/>
  <c r="R138" i="12"/>
  <c r="Q138" i="12"/>
  <c r="P138" i="12"/>
  <c r="O138" i="12"/>
  <c r="N138" i="12"/>
  <c r="M138" i="12"/>
  <c r="L138" i="12"/>
  <c r="K138" i="12"/>
  <c r="J138" i="12"/>
  <c r="G138" i="12"/>
  <c r="E138" i="12"/>
  <c r="D138" i="12"/>
  <c r="B138" i="12"/>
  <c r="W137" i="12"/>
  <c r="V137" i="12"/>
  <c r="S137" i="12"/>
  <c r="R137" i="12"/>
  <c r="Q137" i="12"/>
  <c r="P137" i="12"/>
  <c r="O137" i="12"/>
  <c r="N137" i="12"/>
  <c r="M137" i="12"/>
  <c r="L137" i="12"/>
  <c r="K137" i="12"/>
  <c r="J137" i="12"/>
  <c r="G137" i="12"/>
  <c r="E137" i="12"/>
  <c r="D137" i="12"/>
  <c r="B137" i="12"/>
  <c r="W136" i="12"/>
  <c r="V136" i="12"/>
  <c r="S136" i="12"/>
  <c r="R136" i="12"/>
  <c r="Q136" i="12"/>
  <c r="P136" i="12"/>
  <c r="O136" i="12"/>
  <c r="N136" i="12"/>
  <c r="M136" i="12"/>
  <c r="L136" i="12"/>
  <c r="K136" i="12"/>
  <c r="J136" i="12"/>
  <c r="G136" i="12"/>
  <c r="E136" i="12"/>
  <c r="D136" i="12"/>
  <c r="B136" i="12"/>
  <c r="W135" i="12"/>
  <c r="V135" i="12"/>
  <c r="S135" i="12"/>
  <c r="R135" i="12"/>
  <c r="Q135" i="12"/>
  <c r="P135" i="12"/>
  <c r="O135" i="12"/>
  <c r="N135" i="12"/>
  <c r="M135" i="12"/>
  <c r="L135" i="12"/>
  <c r="K135" i="12"/>
  <c r="J135" i="12"/>
  <c r="G135" i="12"/>
  <c r="E135" i="12"/>
  <c r="D135" i="12"/>
  <c r="B135" i="12"/>
  <c r="W134" i="12"/>
  <c r="V134" i="12"/>
  <c r="S134" i="12"/>
  <c r="R134" i="12"/>
  <c r="Q134" i="12"/>
  <c r="P134" i="12"/>
  <c r="O134" i="12"/>
  <c r="N134" i="12"/>
  <c r="M134" i="12"/>
  <c r="L134" i="12"/>
  <c r="K134" i="12"/>
  <c r="J134" i="12"/>
  <c r="G134" i="12"/>
  <c r="E134" i="12"/>
  <c r="D134" i="12"/>
  <c r="B134" i="12"/>
  <c r="W133" i="12"/>
  <c r="V133" i="12"/>
  <c r="S133" i="12"/>
  <c r="R133" i="12"/>
  <c r="Q133" i="12"/>
  <c r="P133" i="12"/>
  <c r="O133" i="12"/>
  <c r="N133" i="12"/>
  <c r="M133" i="12"/>
  <c r="L133" i="12"/>
  <c r="K133" i="12"/>
  <c r="J133" i="12"/>
  <c r="G133" i="12"/>
  <c r="E133" i="12"/>
  <c r="D133" i="12"/>
  <c r="B133" i="12"/>
  <c r="W132" i="12"/>
  <c r="V132" i="12"/>
  <c r="S132" i="12"/>
  <c r="R132" i="12"/>
  <c r="Q132" i="12"/>
  <c r="P132" i="12"/>
  <c r="O132" i="12"/>
  <c r="N132" i="12"/>
  <c r="M132" i="12"/>
  <c r="L132" i="12"/>
  <c r="K132" i="12"/>
  <c r="J132" i="12"/>
  <c r="G132" i="12"/>
  <c r="E132" i="12"/>
  <c r="D132" i="12"/>
  <c r="B132" i="12"/>
  <c r="W131" i="12"/>
  <c r="V131" i="12"/>
  <c r="S131" i="12"/>
  <c r="R131" i="12"/>
  <c r="Q131" i="12"/>
  <c r="P131" i="12"/>
  <c r="O131" i="12"/>
  <c r="N131" i="12"/>
  <c r="M131" i="12"/>
  <c r="L131" i="12"/>
  <c r="K131" i="12"/>
  <c r="J131" i="12"/>
  <c r="G131" i="12"/>
  <c r="E131" i="12"/>
  <c r="D131" i="12"/>
  <c r="B131" i="12"/>
  <c r="W130" i="12"/>
  <c r="V130" i="12"/>
  <c r="S130" i="12"/>
  <c r="R130" i="12"/>
  <c r="Q130" i="12"/>
  <c r="P130" i="12"/>
  <c r="O130" i="12"/>
  <c r="N130" i="12"/>
  <c r="M130" i="12"/>
  <c r="L130" i="12"/>
  <c r="K130" i="12"/>
  <c r="J130" i="12"/>
  <c r="G130" i="12"/>
  <c r="E130" i="12"/>
  <c r="D130" i="12"/>
  <c r="B130" i="12"/>
  <c r="W129" i="12"/>
  <c r="V129" i="12"/>
  <c r="S129" i="12"/>
  <c r="R129" i="12"/>
  <c r="Q129" i="12"/>
  <c r="P129" i="12"/>
  <c r="O129" i="12"/>
  <c r="N129" i="12"/>
  <c r="M129" i="12"/>
  <c r="L129" i="12"/>
  <c r="K129" i="12"/>
  <c r="J129" i="12"/>
  <c r="G129" i="12"/>
  <c r="E129" i="12"/>
  <c r="D129" i="12"/>
  <c r="B129" i="12"/>
  <c r="W128" i="12"/>
  <c r="V128" i="12"/>
  <c r="S128" i="12"/>
  <c r="R128" i="12"/>
  <c r="Q128" i="12"/>
  <c r="P128" i="12"/>
  <c r="O128" i="12"/>
  <c r="N128" i="12"/>
  <c r="M128" i="12"/>
  <c r="L128" i="12"/>
  <c r="K128" i="12"/>
  <c r="J128" i="12"/>
  <c r="G128" i="12"/>
  <c r="E128" i="12"/>
  <c r="D128" i="12"/>
  <c r="B128" i="12"/>
  <c r="W127" i="12"/>
  <c r="V127" i="12"/>
  <c r="S127" i="12"/>
  <c r="R127" i="12"/>
  <c r="Q127" i="12"/>
  <c r="P127" i="12"/>
  <c r="O127" i="12"/>
  <c r="N127" i="12"/>
  <c r="M127" i="12"/>
  <c r="L127" i="12"/>
  <c r="K127" i="12"/>
  <c r="J127" i="12"/>
  <c r="G127" i="12"/>
  <c r="E127" i="12"/>
  <c r="D127" i="12"/>
  <c r="B127" i="12"/>
  <c r="W126" i="12"/>
  <c r="V126" i="12"/>
  <c r="S126" i="12"/>
  <c r="R126" i="12"/>
  <c r="Q126" i="12"/>
  <c r="P126" i="12"/>
  <c r="O126" i="12"/>
  <c r="N126" i="12"/>
  <c r="M126" i="12"/>
  <c r="L126" i="12"/>
  <c r="K126" i="12"/>
  <c r="J126" i="12"/>
  <c r="G126" i="12"/>
  <c r="E126" i="12"/>
  <c r="D126" i="12"/>
  <c r="B126" i="12"/>
  <c r="W125" i="12"/>
  <c r="V125" i="12"/>
  <c r="S125" i="12"/>
  <c r="R125" i="12"/>
  <c r="Q125" i="12"/>
  <c r="P125" i="12"/>
  <c r="O125" i="12"/>
  <c r="N125" i="12"/>
  <c r="M125" i="12"/>
  <c r="L125" i="12"/>
  <c r="K125" i="12"/>
  <c r="J125" i="12"/>
  <c r="G125" i="12"/>
  <c r="E125" i="12"/>
  <c r="D125" i="12"/>
  <c r="B125" i="12"/>
  <c r="W124" i="12"/>
  <c r="V124" i="12"/>
  <c r="S124" i="12"/>
  <c r="R124" i="12"/>
  <c r="Q124" i="12"/>
  <c r="P124" i="12"/>
  <c r="O124" i="12"/>
  <c r="N124" i="12"/>
  <c r="M124" i="12"/>
  <c r="L124" i="12"/>
  <c r="K124" i="12"/>
  <c r="J124" i="12"/>
  <c r="G124" i="12"/>
  <c r="E124" i="12"/>
  <c r="D124" i="12"/>
  <c r="B124" i="12"/>
  <c r="W123" i="12"/>
  <c r="V123" i="12"/>
  <c r="S123" i="12"/>
  <c r="R123" i="12"/>
  <c r="Q123" i="12"/>
  <c r="P123" i="12"/>
  <c r="O123" i="12"/>
  <c r="N123" i="12"/>
  <c r="M123" i="12"/>
  <c r="L123" i="12"/>
  <c r="K123" i="12"/>
  <c r="J123" i="12"/>
  <c r="G123" i="12"/>
  <c r="E123" i="12"/>
  <c r="D123" i="12"/>
  <c r="B123" i="12"/>
  <c r="W122" i="12"/>
  <c r="V122" i="12"/>
  <c r="S122" i="12"/>
  <c r="R122" i="12"/>
  <c r="Q122" i="12"/>
  <c r="P122" i="12"/>
  <c r="O122" i="12"/>
  <c r="N122" i="12"/>
  <c r="M122" i="12"/>
  <c r="L122" i="12"/>
  <c r="K122" i="12"/>
  <c r="J122" i="12"/>
  <c r="G122" i="12"/>
  <c r="E122" i="12"/>
  <c r="D122" i="12"/>
  <c r="B122" i="12"/>
  <c r="W121" i="12"/>
  <c r="V121" i="12"/>
  <c r="S121" i="12"/>
  <c r="R121" i="12"/>
  <c r="Q121" i="12"/>
  <c r="P121" i="12"/>
  <c r="O121" i="12"/>
  <c r="N121" i="12"/>
  <c r="M121" i="12"/>
  <c r="L121" i="12"/>
  <c r="K121" i="12"/>
  <c r="J121" i="12"/>
  <c r="G121" i="12"/>
  <c r="E121" i="12"/>
  <c r="D121" i="12"/>
  <c r="B121" i="12"/>
  <c r="W120" i="12"/>
  <c r="V120" i="12"/>
  <c r="S120" i="12"/>
  <c r="R120" i="12"/>
  <c r="Q120" i="12"/>
  <c r="P120" i="12"/>
  <c r="O120" i="12"/>
  <c r="N120" i="12"/>
  <c r="M120" i="12"/>
  <c r="L120" i="12"/>
  <c r="K120" i="12"/>
  <c r="J120" i="12"/>
  <c r="G120" i="12"/>
  <c r="E120" i="12"/>
  <c r="D120" i="12"/>
  <c r="B120" i="12"/>
  <c r="W119" i="12"/>
  <c r="V119" i="12"/>
  <c r="S119" i="12"/>
  <c r="R119" i="12"/>
  <c r="Q119" i="12"/>
  <c r="P119" i="12"/>
  <c r="O119" i="12"/>
  <c r="N119" i="12"/>
  <c r="M119" i="12"/>
  <c r="L119" i="12"/>
  <c r="K119" i="12"/>
  <c r="J119" i="12"/>
  <c r="G119" i="12"/>
  <c r="E119" i="12"/>
  <c r="D119" i="12"/>
  <c r="B119" i="12"/>
  <c r="W118" i="12"/>
  <c r="V118" i="12"/>
  <c r="S118" i="12"/>
  <c r="R118" i="12"/>
  <c r="Q118" i="12"/>
  <c r="P118" i="12"/>
  <c r="O118" i="12"/>
  <c r="N118" i="12"/>
  <c r="M118" i="12"/>
  <c r="L118" i="12"/>
  <c r="K118" i="12"/>
  <c r="J118" i="12"/>
  <c r="G118" i="12"/>
  <c r="E118" i="12"/>
  <c r="D118" i="12"/>
  <c r="B118" i="12"/>
  <c r="W117" i="12"/>
  <c r="V117" i="12"/>
  <c r="S117" i="12"/>
  <c r="R117" i="12"/>
  <c r="Q117" i="12"/>
  <c r="P117" i="12"/>
  <c r="O117" i="12"/>
  <c r="N117" i="12"/>
  <c r="M117" i="12"/>
  <c r="L117" i="12"/>
  <c r="K117" i="12"/>
  <c r="J117" i="12"/>
  <c r="G117" i="12"/>
  <c r="E117" i="12"/>
  <c r="D117" i="12"/>
  <c r="B117" i="12"/>
  <c r="W116" i="12"/>
  <c r="V116" i="12"/>
  <c r="S116" i="12"/>
  <c r="R116" i="12"/>
  <c r="Q116" i="12"/>
  <c r="P116" i="12"/>
  <c r="O116" i="12"/>
  <c r="N116" i="12"/>
  <c r="M116" i="12"/>
  <c r="L116" i="12"/>
  <c r="K116" i="12"/>
  <c r="J116" i="12"/>
  <c r="G116" i="12"/>
  <c r="E116" i="12"/>
  <c r="D116" i="12"/>
  <c r="B116" i="12"/>
  <c r="W115" i="12"/>
  <c r="V115" i="12"/>
  <c r="S115" i="12"/>
  <c r="R115" i="12"/>
  <c r="Q115" i="12"/>
  <c r="P115" i="12"/>
  <c r="O115" i="12"/>
  <c r="N115" i="12"/>
  <c r="M115" i="12"/>
  <c r="L115" i="12"/>
  <c r="K115" i="12"/>
  <c r="J115" i="12"/>
  <c r="G115" i="12"/>
  <c r="E115" i="12"/>
  <c r="D115" i="12"/>
  <c r="B115" i="12"/>
  <c r="W114" i="12"/>
  <c r="V114" i="12"/>
  <c r="S114" i="12"/>
  <c r="R114" i="12"/>
  <c r="Q114" i="12"/>
  <c r="P114" i="12"/>
  <c r="O114" i="12"/>
  <c r="N114" i="12"/>
  <c r="M114" i="12"/>
  <c r="L114" i="12"/>
  <c r="K114" i="12"/>
  <c r="J114" i="12"/>
  <c r="G114" i="12"/>
  <c r="E114" i="12"/>
  <c r="D114" i="12"/>
  <c r="B114" i="12"/>
  <c r="W113" i="12"/>
  <c r="V113" i="12"/>
  <c r="S113" i="12"/>
  <c r="R113" i="12"/>
  <c r="Q113" i="12"/>
  <c r="P113" i="12"/>
  <c r="O113" i="12"/>
  <c r="N113" i="12"/>
  <c r="M113" i="12"/>
  <c r="L113" i="12"/>
  <c r="K113" i="12"/>
  <c r="J113" i="12"/>
  <c r="G113" i="12"/>
  <c r="E113" i="12"/>
  <c r="D113" i="12"/>
  <c r="B113" i="12"/>
  <c r="W112" i="12"/>
  <c r="V112" i="12"/>
  <c r="S112" i="12"/>
  <c r="R112" i="12"/>
  <c r="Q112" i="12"/>
  <c r="P112" i="12"/>
  <c r="O112" i="12"/>
  <c r="N112" i="12"/>
  <c r="M112" i="12"/>
  <c r="L112" i="12"/>
  <c r="K112" i="12"/>
  <c r="J112" i="12"/>
  <c r="G112" i="12"/>
  <c r="E112" i="12"/>
  <c r="D112" i="12"/>
  <c r="B112" i="12"/>
  <c r="W111" i="12"/>
  <c r="V111" i="12"/>
  <c r="S111" i="12"/>
  <c r="R111" i="12"/>
  <c r="Q111" i="12"/>
  <c r="P111" i="12"/>
  <c r="O111" i="12"/>
  <c r="N111" i="12"/>
  <c r="M111" i="12"/>
  <c r="L111" i="12"/>
  <c r="K111" i="12"/>
  <c r="J111" i="12"/>
  <c r="G111" i="12"/>
  <c r="E111" i="12"/>
  <c r="D111" i="12"/>
  <c r="B111" i="12"/>
  <c r="W110" i="12"/>
  <c r="V110" i="12"/>
  <c r="S110" i="12"/>
  <c r="R110" i="12"/>
  <c r="Q110" i="12"/>
  <c r="P110" i="12"/>
  <c r="O110" i="12"/>
  <c r="N110" i="12"/>
  <c r="M110" i="12"/>
  <c r="L110" i="12"/>
  <c r="K110" i="12"/>
  <c r="J110" i="12"/>
  <c r="G110" i="12"/>
  <c r="E110" i="12"/>
  <c r="D110" i="12"/>
  <c r="B110" i="12"/>
  <c r="W109" i="12"/>
  <c r="V109" i="12"/>
  <c r="S109" i="12"/>
  <c r="R109" i="12"/>
  <c r="Q109" i="12"/>
  <c r="P109" i="12"/>
  <c r="O109" i="12"/>
  <c r="N109" i="12"/>
  <c r="M109" i="12"/>
  <c r="L109" i="12"/>
  <c r="K109" i="12"/>
  <c r="J109" i="12"/>
  <c r="G109" i="12"/>
  <c r="E109" i="12"/>
  <c r="D109" i="12"/>
  <c r="B109" i="12"/>
  <c r="W108" i="12"/>
  <c r="V108" i="12"/>
  <c r="S108" i="12"/>
  <c r="R108" i="12"/>
  <c r="Q108" i="12"/>
  <c r="P108" i="12"/>
  <c r="O108" i="12"/>
  <c r="N108" i="12"/>
  <c r="M108" i="12"/>
  <c r="L108" i="12"/>
  <c r="K108" i="12"/>
  <c r="J108" i="12"/>
  <c r="G108" i="12"/>
  <c r="E108" i="12"/>
  <c r="D108" i="12"/>
  <c r="B108" i="12"/>
  <c r="W107" i="12"/>
  <c r="V107" i="12"/>
  <c r="S107" i="12"/>
  <c r="R107" i="12"/>
  <c r="Q107" i="12"/>
  <c r="P107" i="12"/>
  <c r="O107" i="12"/>
  <c r="N107" i="12"/>
  <c r="M107" i="12"/>
  <c r="L107" i="12"/>
  <c r="K107" i="12"/>
  <c r="J107" i="12"/>
  <c r="G107" i="12"/>
  <c r="E107" i="12"/>
  <c r="D107" i="12"/>
  <c r="B107" i="12"/>
  <c r="W106" i="12"/>
  <c r="V106" i="12"/>
  <c r="S106" i="12"/>
  <c r="R106" i="12"/>
  <c r="Q106" i="12"/>
  <c r="P106" i="12"/>
  <c r="O106" i="12"/>
  <c r="N106" i="12"/>
  <c r="M106" i="12"/>
  <c r="L106" i="12"/>
  <c r="K106" i="12"/>
  <c r="J106" i="12"/>
  <c r="G106" i="12"/>
  <c r="E106" i="12"/>
  <c r="D106" i="12"/>
  <c r="B106" i="12"/>
  <c r="W105" i="12"/>
  <c r="V105" i="12"/>
  <c r="S105" i="12"/>
  <c r="R105" i="12"/>
  <c r="Q105" i="12"/>
  <c r="P105" i="12"/>
  <c r="O105" i="12"/>
  <c r="N105" i="12"/>
  <c r="M105" i="12"/>
  <c r="L105" i="12"/>
  <c r="K105" i="12"/>
  <c r="J105" i="12"/>
  <c r="G105" i="12"/>
  <c r="E105" i="12"/>
  <c r="D105" i="12"/>
  <c r="B105" i="12"/>
  <c r="W104" i="12"/>
  <c r="V104" i="12"/>
  <c r="S104" i="12"/>
  <c r="R104" i="12"/>
  <c r="Q104" i="12"/>
  <c r="P104" i="12"/>
  <c r="O104" i="12"/>
  <c r="N104" i="12"/>
  <c r="M104" i="12"/>
  <c r="L104" i="12"/>
  <c r="K104" i="12"/>
  <c r="J104" i="12"/>
  <c r="G104" i="12"/>
  <c r="E104" i="12"/>
  <c r="D104" i="12"/>
  <c r="B104" i="12"/>
  <c r="W103" i="12"/>
  <c r="V103" i="12"/>
  <c r="S103" i="12"/>
  <c r="R103" i="12"/>
  <c r="Q103" i="12"/>
  <c r="P103" i="12"/>
  <c r="O103" i="12"/>
  <c r="N103" i="12"/>
  <c r="M103" i="12"/>
  <c r="L103" i="12"/>
  <c r="K103" i="12"/>
  <c r="J103" i="12"/>
  <c r="G103" i="12"/>
  <c r="E103" i="12"/>
  <c r="D103" i="12"/>
  <c r="B103" i="12"/>
  <c r="W102" i="12"/>
  <c r="V102" i="12"/>
  <c r="S102" i="12"/>
  <c r="R102" i="12"/>
  <c r="Q102" i="12"/>
  <c r="P102" i="12"/>
  <c r="O102" i="12"/>
  <c r="N102" i="12"/>
  <c r="M102" i="12"/>
  <c r="L102" i="12"/>
  <c r="K102" i="12"/>
  <c r="J102" i="12"/>
  <c r="G102" i="12"/>
  <c r="E102" i="12"/>
  <c r="D102" i="12"/>
  <c r="B102" i="12"/>
  <c r="W101" i="12"/>
  <c r="V101" i="12"/>
  <c r="S101" i="12"/>
  <c r="R101" i="12"/>
  <c r="Q101" i="12"/>
  <c r="P101" i="12"/>
  <c r="O101" i="12"/>
  <c r="N101" i="12"/>
  <c r="M101" i="12"/>
  <c r="L101" i="12"/>
  <c r="K101" i="12"/>
  <c r="J101" i="12"/>
  <c r="G101" i="12"/>
  <c r="E101" i="12"/>
  <c r="D101" i="12"/>
  <c r="B101" i="12"/>
  <c r="W100" i="12"/>
  <c r="V100" i="12"/>
  <c r="S100" i="12"/>
  <c r="R100" i="12"/>
  <c r="Q100" i="12"/>
  <c r="P100" i="12"/>
  <c r="O100" i="12"/>
  <c r="N100" i="12"/>
  <c r="M100" i="12"/>
  <c r="L100" i="12"/>
  <c r="K100" i="12"/>
  <c r="J100" i="12"/>
  <c r="G100" i="12"/>
  <c r="E100" i="12"/>
  <c r="D100" i="12"/>
  <c r="B100" i="12"/>
  <c r="W99" i="12"/>
  <c r="V99" i="12"/>
  <c r="S99" i="12"/>
  <c r="R99" i="12"/>
  <c r="Q99" i="12"/>
  <c r="P99" i="12"/>
  <c r="O99" i="12"/>
  <c r="N99" i="12"/>
  <c r="M99" i="12"/>
  <c r="L99" i="12"/>
  <c r="K99" i="12"/>
  <c r="J99" i="12"/>
  <c r="G99" i="12"/>
  <c r="E99" i="12"/>
  <c r="D99" i="12"/>
  <c r="B99" i="12"/>
  <c r="W98" i="12"/>
  <c r="V98" i="12"/>
  <c r="S98" i="12"/>
  <c r="R98" i="12"/>
  <c r="Q98" i="12"/>
  <c r="P98" i="12"/>
  <c r="O98" i="12"/>
  <c r="N98" i="12"/>
  <c r="M98" i="12"/>
  <c r="L98" i="12"/>
  <c r="K98" i="12"/>
  <c r="J98" i="12"/>
  <c r="G98" i="12"/>
  <c r="E98" i="12"/>
  <c r="D98" i="12"/>
  <c r="B98" i="12"/>
  <c r="W97" i="12"/>
  <c r="V97" i="12"/>
  <c r="S97" i="12"/>
  <c r="R97" i="12"/>
  <c r="Q97" i="12"/>
  <c r="P97" i="12"/>
  <c r="O97" i="12"/>
  <c r="N97" i="12"/>
  <c r="M97" i="12"/>
  <c r="L97" i="12"/>
  <c r="K97" i="12"/>
  <c r="J97" i="12"/>
  <c r="G97" i="12"/>
  <c r="E97" i="12"/>
  <c r="D97" i="12"/>
  <c r="B97" i="12"/>
  <c r="W96" i="12"/>
  <c r="V96" i="12"/>
  <c r="S96" i="12"/>
  <c r="R96" i="12"/>
  <c r="Q96" i="12"/>
  <c r="P96" i="12"/>
  <c r="O96" i="12"/>
  <c r="N96" i="12"/>
  <c r="M96" i="12"/>
  <c r="L96" i="12"/>
  <c r="K96" i="12"/>
  <c r="J96" i="12"/>
  <c r="G96" i="12"/>
  <c r="E96" i="12"/>
  <c r="D96" i="12"/>
  <c r="B96" i="12"/>
  <c r="W95" i="12"/>
  <c r="V95" i="12"/>
  <c r="S95" i="12"/>
  <c r="R95" i="12"/>
  <c r="Q95" i="12"/>
  <c r="P95" i="12"/>
  <c r="O95" i="12"/>
  <c r="N95" i="12"/>
  <c r="M95" i="12"/>
  <c r="L95" i="12"/>
  <c r="K95" i="12"/>
  <c r="J95" i="12"/>
  <c r="G95" i="12"/>
  <c r="E95" i="12"/>
  <c r="D95" i="12"/>
  <c r="B95" i="12"/>
  <c r="W94" i="12"/>
  <c r="V94" i="12"/>
  <c r="S94" i="12"/>
  <c r="R94" i="12"/>
  <c r="Q94" i="12"/>
  <c r="P94" i="12"/>
  <c r="O94" i="12"/>
  <c r="N94" i="12"/>
  <c r="M94" i="12"/>
  <c r="L94" i="12"/>
  <c r="K94" i="12"/>
  <c r="J94" i="12"/>
  <c r="G94" i="12"/>
  <c r="E94" i="12"/>
  <c r="D94" i="12"/>
  <c r="B94" i="12"/>
  <c r="W93" i="12"/>
  <c r="V93" i="12"/>
  <c r="S93" i="12"/>
  <c r="R93" i="12"/>
  <c r="Q93" i="12"/>
  <c r="P93" i="12"/>
  <c r="O93" i="12"/>
  <c r="N93" i="12"/>
  <c r="M93" i="12"/>
  <c r="L93" i="12"/>
  <c r="K93" i="12"/>
  <c r="J93" i="12"/>
  <c r="G93" i="12"/>
  <c r="E93" i="12"/>
  <c r="D93" i="12"/>
  <c r="B93" i="12"/>
  <c r="W92" i="12"/>
  <c r="V92" i="12"/>
  <c r="S92" i="12"/>
  <c r="R92" i="12"/>
  <c r="Q92" i="12"/>
  <c r="P92" i="12"/>
  <c r="O92" i="12"/>
  <c r="N92" i="12"/>
  <c r="M92" i="12"/>
  <c r="L92" i="12"/>
  <c r="K92" i="12"/>
  <c r="J92" i="12"/>
  <c r="G92" i="12"/>
  <c r="E92" i="12"/>
  <c r="D92" i="12"/>
  <c r="B92" i="12"/>
  <c r="W91" i="12"/>
  <c r="V91" i="12"/>
  <c r="S91" i="12"/>
  <c r="R91" i="12"/>
  <c r="Q91" i="12"/>
  <c r="P91" i="12"/>
  <c r="O91" i="12"/>
  <c r="N91" i="12"/>
  <c r="M91" i="12"/>
  <c r="L91" i="12"/>
  <c r="K91" i="12"/>
  <c r="J91" i="12"/>
  <c r="G91" i="12"/>
  <c r="E91" i="12"/>
  <c r="D91" i="12"/>
  <c r="B91" i="12"/>
  <c r="W90" i="12"/>
  <c r="V90" i="12"/>
  <c r="S90" i="12"/>
  <c r="R90" i="12"/>
  <c r="Q90" i="12"/>
  <c r="P90" i="12"/>
  <c r="O90" i="12"/>
  <c r="N90" i="12"/>
  <c r="M90" i="12"/>
  <c r="L90" i="12"/>
  <c r="K90" i="12"/>
  <c r="J90" i="12"/>
  <c r="G90" i="12"/>
  <c r="E90" i="12"/>
  <c r="D90" i="12"/>
  <c r="B90" i="12"/>
  <c r="W89" i="12"/>
  <c r="V89" i="12"/>
  <c r="S89" i="12"/>
  <c r="R89" i="12"/>
  <c r="Q89" i="12"/>
  <c r="P89" i="12"/>
  <c r="O89" i="12"/>
  <c r="N89" i="12"/>
  <c r="M89" i="12"/>
  <c r="L89" i="12"/>
  <c r="K89" i="12"/>
  <c r="J89" i="12"/>
  <c r="G89" i="12"/>
  <c r="E89" i="12"/>
  <c r="D89" i="12"/>
  <c r="B89" i="12"/>
  <c r="W88" i="12"/>
  <c r="V88" i="12"/>
  <c r="S88" i="12"/>
  <c r="R88" i="12"/>
  <c r="Q88" i="12"/>
  <c r="P88" i="12"/>
  <c r="O88" i="12"/>
  <c r="N88" i="12"/>
  <c r="M88" i="12"/>
  <c r="L88" i="12"/>
  <c r="K88" i="12"/>
  <c r="J88" i="12"/>
  <c r="G88" i="12"/>
  <c r="E88" i="12"/>
  <c r="D88" i="12"/>
  <c r="B88" i="12"/>
  <c r="W87" i="12"/>
  <c r="V87" i="12"/>
  <c r="S87" i="12"/>
  <c r="R87" i="12"/>
  <c r="Q87" i="12"/>
  <c r="P87" i="12"/>
  <c r="O87" i="12"/>
  <c r="N87" i="12"/>
  <c r="M87" i="12"/>
  <c r="L87" i="12"/>
  <c r="K87" i="12"/>
  <c r="J87" i="12"/>
  <c r="G87" i="12"/>
  <c r="E87" i="12"/>
  <c r="D87" i="12"/>
  <c r="B87" i="12"/>
  <c r="W86" i="12"/>
  <c r="V86" i="12"/>
  <c r="S86" i="12"/>
  <c r="R86" i="12"/>
  <c r="Q86" i="12"/>
  <c r="P86" i="12"/>
  <c r="O86" i="12"/>
  <c r="N86" i="12"/>
  <c r="M86" i="12"/>
  <c r="L86" i="12"/>
  <c r="K86" i="12"/>
  <c r="J86" i="12"/>
  <c r="G86" i="12"/>
  <c r="E86" i="12"/>
  <c r="D86" i="12"/>
  <c r="B86" i="12"/>
  <c r="W55" i="12"/>
  <c r="V55" i="12"/>
  <c r="S55" i="12"/>
  <c r="R55" i="12"/>
  <c r="Q55" i="12"/>
  <c r="P55" i="12"/>
  <c r="O55" i="12"/>
  <c r="N55" i="12"/>
  <c r="M55" i="12"/>
  <c r="L55" i="12"/>
  <c r="G55" i="12"/>
  <c r="E55" i="12"/>
  <c r="D55" i="12"/>
  <c r="B55" i="12"/>
  <c r="V72" i="1"/>
  <c r="W72" i="1"/>
  <c r="V24" i="1"/>
  <c r="W24" i="1"/>
  <c r="H10" i="1" l="1"/>
  <c r="Q36" i="1" l="1"/>
  <c r="M36" i="1"/>
  <c r="L36" i="1"/>
  <c r="K36" i="1"/>
  <c r="J36" i="1"/>
  <c r="N36" i="1"/>
  <c r="O36" i="1"/>
  <c r="P36" i="1"/>
  <c r="R36" i="1"/>
  <c r="S36" i="1"/>
  <c r="L80" i="1" l="1"/>
  <c r="M80" i="1"/>
  <c r="N80" i="1"/>
  <c r="O80" i="1"/>
  <c r="S80" i="1"/>
  <c r="J80" i="1"/>
  <c r="K80" i="1"/>
  <c r="P80" i="1"/>
  <c r="Q80" i="1"/>
  <c r="R80" i="1"/>
  <c r="F109" i="9" l="1"/>
  <c r="F110" i="12" s="1"/>
  <c r="H109" i="9"/>
  <c r="H110" i="12" s="1"/>
  <c r="I109" i="9"/>
  <c r="I110" i="12" s="1"/>
  <c r="T109" i="9"/>
  <c r="U109" i="9"/>
  <c r="F110" i="9"/>
  <c r="F111" i="12" s="1"/>
  <c r="H110" i="9"/>
  <c r="H111" i="12" s="1"/>
  <c r="I110" i="9"/>
  <c r="I111" i="12" s="1"/>
  <c r="T110" i="9"/>
  <c r="U110" i="9"/>
  <c r="Y109" i="9" l="1"/>
  <c r="Y110" i="12" s="1"/>
  <c r="U110" i="12"/>
  <c r="Y110" i="9"/>
  <c r="Y111" i="12" s="1"/>
  <c r="U111" i="12"/>
  <c r="X109" i="9"/>
  <c r="X110" i="12" s="1"/>
  <c r="T110" i="12"/>
  <c r="X110" i="9"/>
  <c r="X111" i="12" s="1"/>
  <c r="T111" i="12"/>
  <c r="U58" i="9"/>
  <c r="T58" i="9"/>
  <c r="U57" i="9"/>
  <c r="T57" i="9"/>
  <c r="U56" i="9"/>
  <c r="T56" i="9"/>
  <c r="U55" i="9"/>
  <c r="T55" i="9"/>
  <c r="U54" i="9"/>
  <c r="U55" i="12" s="1"/>
  <c r="T54" i="9"/>
  <c r="T55" i="12" s="1"/>
  <c r="U53" i="9"/>
  <c r="T53" i="9"/>
  <c r="U52" i="9"/>
  <c r="T52" i="9"/>
  <c r="U51" i="9"/>
  <c r="U46" i="9"/>
  <c r="T46" i="9"/>
  <c r="U45" i="9"/>
  <c r="T45" i="9"/>
  <c r="U44" i="9"/>
  <c r="T44" i="9"/>
  <c r="U43" i="9"/>
  <c r="T43" i="9"/>
  <c r="U42" i="9"/>
  <c r="T42" i="9"/>
  <c r="U41" i="9"/>
  <c r="T41" i="9"/>
  <c r="U40" i="9"/>
  <c r="T40" i="9"/>
  <c r="U39" i="9"/>
  <c r="T39" i="9"/>
  <c r="U38" i="9"/>
  <c r="T38" i="9"/>
  <c r="U37" i="9"/>
  <c r="T37" i="9"/>
  <c r="U36" i="9"/>
  <c r="T36" i="9"/>
  <c r="U35" i="9"/>
  <c r="T35" i="9"/>
  <c r="U34" i="9"/>
  <c r="T34" i="9"/>
  <c r="U33" i="9"/>
  <c r="T33" i="9"/>
  <c r="U32" i="9"/>
  <c r="T32" i="9"/>
  <c r="U31" i="9"/>
  <c r="T31" i="9"/>
  <c r="U30" i="9"/>
  <c r="T30" i="9"/>
  <c r="U29" i="9"/>
  <c r="T29" i="9"/>
  <c r="U28" i="9"/>
  <c r="T28" i="9"/>
  <c r="U27" i="9"/>
  <c r="T27" i="9"/>
  <c r="U26" i="9"/>
  <c r="T26" i="9"/>
  <c r="U25" i="9"/>
  <c r="T25" i="9"/>
  <c r="U24" i="9"/>
  <c r="T24" i="9"/>
  <c r="U23" i="9"/>
  <c r="T23" i="9"/>
  <c r="U22" i="9"/>
  <c r="T22" i="9"/>
  <c r="U21" i="9"/>
  <c r="T21" i="9"/>
  <c r="U20" i="9"/>
  <c r="T20" i="9"/>
  <c r="U19" i="9"/>
  <c r="T19" i="9"/>
  <c r="U18" i="9"/>
  <c r="T18" i="9"/>
  <c r="U17" i="9"/>
  <c r="T17" i="9"/>
  <c r="U16" i="9"/>
  <c r="T16" i="9"/>
  <c r="U15" i="9"/>
  <c r="T15" i="9"/>
  <c r="U14" i="9"/>
  <c r="T14" i="9"/>
  <c r="U13" i="9" l="1"/>
  <c r="T13" i="9"/>
  <c r="V108" i="1" l="1"/>
  <c r="W108" i="1"/>
  <c r="U110" i="1"/>
  <c r="T110" i="1"/>
  <c r="U26" i="1"/>
  <c r="T26" i="1"/>
  <c r="U106" i="1" l="1"/>
  <c r="T106" i="1"/>
  <c r="Q76" i="1"/>
  <c r="U59" i="1" l="1"/>
  <c r="T59" i="1"/>
  <c r="U58" i="1"/>
  <c r="T58" i="1"/>
  <c r="U57" i="1"/>
  <c r="T57" i="1"/>
  <c r="U22" i="1"/>
  <c r="U41" i="1"/>
  <c r="T41" i="1"/>
  <c r="U39" i="1"/>
  <c r="U37" i="1"/>
  <c r="T37" i="1"/>
  <c r="U23" i="1"/>
  <c r="U27" i="1"/>
  <c r="T27" i="1"/>
  <c r="T22" i="1"/>
  <c r="U13" i="1"/>
  <c r="T13" i="1"/>
  <c r="U19" i="1"/>
  <c r="T19" i="1"/>
  <c r="U18" i="1"/>
  <c r="T18" i="1"/>
  <c r="U17" i="1"/>
  <c r="T17" i="1"/>
  <c r="T23" i="1"/>
  <c r="U25" i="1"/>
  <c r="U31" i="1"/>
  <c r="T31" i="1"/>
  <c r="U30" i="1"/>
  <c r="T30" i="1"/>
  <c r="U29" i="1"/>
  <c r="T29" i="1"/>
  <c r="T35" i="1"/>
  <c r="U34" i="1"/>
  <c r="T34" i="1"/>
  <c r="U33" i="1"/>
  <c r="T33" i="1"/>
  <c r="U43" i="1"/>
  <c r="T43" i="1"/>
  <c r="U42" i="1"/>
  <c r="T42" i="1"/>
  <c r="U47" i="1"/>
  <c r="T47" i="1"/>
  <c r="U46" i="1"/>
  <c r="T46" i="1"/>
  <c r="U45" i="1"/>
  <c r="T45" i="1"/>
  <c r="U51" i="1"/>
  <c r="T51" i="1"/>
  <c r="U50" i="1"/>
  <c r="T50" i="1"/>
  <c r="U49" i="1"/>
  <c r="T49" i="1"/>
  <c r="U55" i="1"/>
  <c r="T55" i="1"/>
  <c r="U54" i="1"/>
  <c r="T54" i="1"/>
  <c r="U53" i="1"/>
  <c r="T53" i="1"/>
  <c r="U62" i="1"/>
  <c r="T62" i="1"/>
  <c r="U61" i="1"/>
  <c r="T61" i="1"/>
  <c r="U67" i="1"/>
  <c r="T67" i="1"/>
  <c r="U66" i="1"/>
  <c r="U65" i="1"/>
  <c r="T65" i="1"/>
  <c r="U71" i="1"/>
  <c r="T71" i="1"/>
  <c r="U70" i="1"/>
  <c r="T70" i="1"/>
  <c r="U69" i="1"/>
  <c r="T69" i="1"/>
  <c r="U75" i="1"/>
  <c r="T75" i="1"/>
  <c r="U74" i="1"/>
  <c r="T74" i="1"/>
  <c r="U73" i="1"/>
  <c r="T73" i="1"/>
  <c r="U79" i="1"/>
  <c r="T79" i="1"/>
  <c r="U78" i="1"/>
  <c r="T78" i="1"/>
  <c r="U77" i="1"/>
  <c r="T77" i="1"/>
  <c r="U83" i="1"/>
  <c r="T83" i="1"/>
  <c r="U82" i="1"/>
  <c r="Y82" i="1" s="1"/>
  <c r="T82" i="1"/>
  <c r="X82" i="1" s="1"/>
  <c r="U81" i="1"/>
  <c r="T81" i="1"/>
  <c r="U87" i="1"/>
  <c r="T87" i="1"/>
  <c r="U86" i="1"/>
  <c r="T86" i="1"/>
  <c r="U85" i="1"/>
  <c r="T85" i="1"/>
  <c r="U91" i="1"/>
  <c r="T91" i="1"/>
  <c r="U90" i="1"/>
  <c r="T90" i="1"/>
  <c r="U89" i="1"/>
  <c r="T89" i="1"/>
  <c r="U95" i="1"/>
  <c r="T95" i="1"/>
  <c r="U94" i="1"/>
  <c r="T94" i="1"/>
  <c r="X94" i="1" s="1"/>
  <c r="U93" i="1"/>
  <c r="T93" i="1"/>
  <c r="U99" i="1"/>
  <c r="T99" i="1"/>
  <c r="U98" i="1"/>
  <c r="T98" i="1"/>
  <c r="U97" i="1"/>
  <c r="T97" i="1"/>
  <c r="U103" i="1"/>
  <c r="T103" i="1"/>
  <c r="U102" i="1"/>
  <c r="T102" i="1"/>
  <c r="U101" i="1"/>
  <c r="T101" i="1"/>
  <c r="U107" i="1"/>
  <c r="T107" i="1"/>
  <c r="U105" i="1"/>
  <c r="T105" i="1"/>
  <c r="U111" i="1"/>
  <c r="T111" i="1"/>
  <c r="U109" i="1"/>
  <c r="T109" i="1"/>
  <c r="U115" i="1"/>
  <c r="T115" i="1"/>
  <c r="U114" i="1"/>
  <c r="T114" i="1"/>
  <c r="U113" i="1"/>
  <c r="T113" i="1"/>
  <c r="U119" i="1"/>
  <c r="T119" i="1"/>
  <c r="U117" i="1"/>
  <c r="T117" i="1"/>
  <c r="U123" i="1"/>
  <c r="T123" i="1"/>
  <c r="X123" i="1" s="1"/>
  <c r="U122" i="1"/>
  <c r="T122" i="1"/>
  <c r="X122" i="1" s="1"/>
  <c r="U121" i="1"/>
  <c r="T121" i="1"/>
  <c r="X121" i="1" s="1"/>
  <c r="U127" i="1"/>
  <c r="T127" i="1"/>
  <c r="X127" i="1" s="1"/>
  <c r="U126" i="1"/>
  <c r="T126" i="1"/>
  <c r="X126" i="1" s="1"/>
  <c r="U125" i="1"/>
  <c r="T125" i="1"/>
  <c r="X125" i="1" s="1"/>
  <c r="H10" i="9"/>
  <c r="U131" i="1"/>
  <c r="T131" i="1"/>
  <c r="X131" i="1" s="1"/>
  <c r="U130" i="1"/>
  <c r="X130" i="1"/>
  <c r="U129" i="1"/>
  <c r="T129" i="1"/>
  <c r="X129" i="1" s="1"/>
  <c r="T105" i="9" l="1"/>
  <c r="T106" i="12" s="1"/>
  <c r="U105" i="9"/>
  <c r="U106" i="12" s="1"/>
  <c r="T108" i="9"/>
  <c r="T109" i="12" s="1"/>
  <c r="U108" i="9"/>
  <c r="U109" i="12" s="1"/>
  <c r="T104" i="12"/>
  <c r="T104" i="9"/>
  <c r="T105" i="12" s="1"/>
  <c r="T106" i="9"/>
  <c r="T107" i="12" s="1"/>
  <c r="T107" i="9"/>
  <c r="T108" i="12" s="1"/>
  <c r="X101" i="1" l="1"/>
  <c r="Y101" i="1"/>
  <c r="U90" i="9" l="1"/>
  <c r="U91" i="12" s="1"/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W12" i="5"/>
  <c r="W11" i="5"/>
  <c r="Y105" i="1" l="1"/>
  <c r="M3" i="6" l="1"/>
  <c r="I5" i="6" l="1"/>
  <c r="Q2" i="9" l="1"/>
  <c r="P2" i="9"/>
  <c r="O2" i="9"/>
  <c r="N2" i="9"/>
  <c r="M2" i="9"/>
  <c r="L2" i="9"/>
  <c r="K2" i="9"/>
  <c r="J2" i="9"/>
  <c r="U166" i="9" l="1"/>
  <c r="Y166" i="9" s="1"/>
  <c r="T166" i="9"/>
  <c r="X166" i="9" s="1"/>
  <c r="I166" i="9"/>
  <c r="H166" i="9"/>
  <c r="F166" i="9"/>
  <c r="U165" i="9"/>
  <c r="Y165" i="9" s="1"/>
  <c r="T165" i="9"/>
  <c r="X165" i="9" s="1"/>
  <c r="I165" i="9"/>
  <c r="H165" i="9"/>
  <c r="F165" i="9"/>
  <c r="U164" i="9"/>
  <c r="Y164" i="9" s="1"/>
  <c r="T164" i="9"/>
  <c r="X164" i="9" s="1"/>
  <c r="I164" i="9"/>
  <c r="H164" i="9"/>
  <c r="F164" i="9"/>
  <c r="U163" i="9"/>
  <c r="T163" i="9"/>
  <c r="I163" i="9"/>
  <c r="I164" i="12" s="1"/>
  <c r="H163" i="9"/>
  <c r="H164" i="12" s="1"/>
  <c r="F163" i="9"/>
  <c r="F164" i="12" s="1"/>
  <c r="U162" i="9"/>
  <c r="T162" i="9"/>
  <c r="I162" i="9"/>
  <c r="I163" i="12" s="1"/>
  <c r="H162" i="9"/>
  <c r="H163" i="12" s="1"/>
  <c r="F162" i="9"/>
  <c r="F163" i="12" s="1"/>
  <c r="U161" i="9"/>
  <c r="T161" i="9"/>
  <c r="I161" i="9"/>
  <c r="I162" i="12" s="1"/>
  <c r="H161" i="9"/>
  <c r="H162" i="12" s="1"/>
  <c r="F161" i="9"/>
  <c r="F162" i="12" s="1"/>
  <c r="U160" i="9"/>
  <c r="T160" i="9"/>
  <c r="I160" i="9"/>
  <c r="I161" i="12" s="1"/>
  <c r="H160" i="9"/>
  <c r="H161" i="12" s="1"/>
  <c r="F160" i="9"/>
  <c r="F161" i="12" s="1"/>
  <c r="U159" i="9"/>
  <c r="T159" i="9"/>
  <c r="I159" i="9"/>
  <c r="I160" i="12" s="1"/>
  <c r="H159" i="9"/>
  <c r="H160" i="12" s="1"/>
  <c r="F159" i="9"/>
  <c r="F160" i="12" s="1"/>
  <c r="U158" i="9"/>
  <c r="T158" i="9"/>
  <c r="I158" i="9"/>
  <c r="I159" i="12" s="1"/>
  <c r="H158" i="9"/>
  <c r="H159" i="12" s="1"/>
  <c r="F158" i="9"/>
  <c r="F159" i="12" s="1"/>
  <c r="U157" i="9"/>
  <c r="T157" i="9"/>
  <c r="I157" i="9"/>
  <c r="I158" i="12" s="1"/>
  <c r="H157" i="9"/>
  <c r="H158" i="12" s="1"/>
  <c r="F157" i="9"/>
  <c r="F158" i="12" s="1"/>
  <c r="U156" i="9"/>
  <c r="T156" i="9"/>
  <c r="I156" i="9"/>
  <c r="I157" i="12" s="1"/>
  <c r="H156" i="9"/>
  <c r="H157" i="12" s="1"/>
  <c r="F156" i="9"/>
  <c r="F157" i="12" s="1"/>
  <c r="U155" i="9"/>
  <c r="T155" i="9"/>
  <c r="I155" i="9"/>
  <c r="I156" i="12" s="1"/>
  <c r="H155" i="9"/>
  <c r="H156" i="12" s="1"/>
  <c r="F155" i="9"/>
  <c r="F156" i="12" s="1"/>
  <c r="U154" i="9"/>
  <c r="T154" i="9"/>
  <c r="I154" i="9"/>
  <c r="I155" i="12" s="1"/>
  <c r="H154" i="9"/>
  <c r="H155" i="12" s="1"/>
  <c r="F154" i="9"/>
  <c r="F155" i="12" s="1"/>
  <c r="U153" i="9"/>
  <c r="T153" i="9"/>
  <c r="I153" i="9"/>
  <c r="I154" i="12" s="1"/>
  <c r="H153" i="9"/>
  <c r="H154" i="12" s="1"/>
  <c r="F153" i="9"/>
  <c r="F154" i="12" s="1"/>
  <c r="U152" i="9"/>
  <c r="T152" i="9"/>
  <c r="I152" i="9"/>
  <c r="I153" i="12" s="1"/>
  <c r="H152" i="9"/>
  <c r="H153" i="12" s="1"/>
  <c r="F152" i="9"/>
  <c r="F153" i="12" s="1"/>
  <c r="U151" i="9"/>
  <c r="T151" i="9"/>
  <c r="I151" i="9"/>
  <c r="I152" i="12" s="1"/>
  <c r="H151" i="9"/>
  <c r="H152" i="12" s="1"/>
  <c r="F151" i="9"/>
  <c r="F152" i="12" s="1"/>
  <c r="U150" i="9"/>
  <c r="T150" i="9"/>
  <c r="I150" i="9"/>
  <c r="I151" i="12" s="1"/>
  <c r="H150" i="9"/>
  <c r="H151" i="12" s="1"/>
  <c r="F150" i="9"/>
  <c r="F151" i="12" s="1"/>
  <c r="U149" i="9"/>
  <c r="T149" i="9"/>
  <c r="I149" i="9"/>
  <c r="I150" i="12" s="1"/>
  <c r="H149" i="9"/>
  <c r="H150" i="12" s="1"/>
  <c r="F149" i="9"/>
  <c r="F150" i="12" s="1"/>
  <c r="U148" i="9"/>
  <c r="T148" i="9"/>
  <c r="I148" i="9"/>
  <c r="I149" i="12" s="1"/>
  <c r="H148" i="9"/>
  <c r="H149" i="12" s="1"/>
  <c r="F148" i="9"/>
  <c r="F149" i="12" s="1"/>
  <c r="U147" i="9"/>
  <c r="T147" i="9"/>
  <c r="I147" i="9"/>
  <c r="I148" i="12" s="1"/>
  <c r="H147" i="9"/>
  <c r="H148" i="12" s="1"/>
  <c r="F147" i="9"/>
  <c r="F148" i="12" s="1"/>
  <c r="U146" i="9"/>
  <c r="T146" i="9"/>
  <c r="I146" i="9"/>
  <c r="I147" i="12" s="1"/>
  <c r="H146" i="9"/>
  <c r="H147" i="12" s="1"/>
  <c r="F146" i="9"/>
  <c r="F147" i="12" s="1"/>
  <c r="U145" i="9"/>
  <c r="T145" i="9"/>
  <c r="I145" i="9"/>
  <c r="I146" i="12" s="1"/>
  <c r="H145" i="9"/>
  <c r="H146" i="12" s="1"/>
  <c r="F145" i="9"/>
  <c r="F146" i="12" s="1"/>
  <c r="X151" i="9" l="1"/>
  <c r="X152" i="12" s="1"/>
  <c r="T152" i="12"/>
  <c r="Y152" i="9"/>
  <c r="Y153" i="12" s="1"/>
  <c r="U153" i="12"/>
  <c r="X147" i="9"/>
  <c r="X148" i="12" s="1"/>
  <c r="T148" i="12"/>
  <c r="Y148" i="9"/>
  <c r="Y149" i="12" s="1"/>
  <c r="U149" i="12"/>
  <c r="X159" i="9"/>
  <c r="X160" i="12" s="1"/>
  <c r="T160" i="12"/>
  <c r="Y160" i="9"/>
  <c r="Y161" i="12" s="1"/>
  <c r="U161" i="12"/>
  <c r="X146" i="9"/>
  <c r="X147" i="12" s="1"/>
  <c r="T147" i="12"/>
  <c r="Y147" i="9"/>
  <c r="Y148" i="12" s="1"/>
  <c r="U148" i="12"/>
  <c r="X152" i="9"/>
  <c r="X153" i="12" s="1"/>
  <c r="T153" i="12"/>
  <c r="Y153" i="9"/>
  <c r="Y154" i="12" s="1"/>
  <c r="U154" i="12"/>
  <c r="X158" i="9"/>
  <c r="X159" i="12" s="1"/>
  <c r="T159" i="12"/>
  <c r="Y159" i="9"/>
  <c r="Y160" i="12" s="1"/>
  <c r="U160" i="12"/>
  <c r="X163" i="9"/>
  <c r="X164" i="12" s="1"/>
  <c r="T164" i="12"/>
  <c r="X150" i="9"/>
  <c r="X151" i="12" s="1"/>
  <c r="T151" i="12"/>
  <c r="Y151" i="9"/>
  <c r="Y152" i="12" s="1"/>
  <c r="U152" i="12"/>
  <c r="X162" i="9"/>
  <c r="X163" i="12" s="1"/>
  <c r="T163" i="12"/>
  <c r="Y163" i="9"/>
  <c r="Y164" i="12" s="1"/>
  <c r="U164" i="12"/>
  <c r="X149" i="9"/>
  <c r="X150" i="12" s="1"/>
  <c r="T150" i="12"/>
  <c r="Y150" i="9"/>
  <c r="Y151" i="12" s="1"/>
  <c r="U151" i="12"/>
  <c r="X155" i="9"/>
  <c r="X156" i="12" s="1"/>
  <c r="T156" i="12"/>
  <c r="Y156" i="9"/>
  <c r="Y157" i="12" s="1"/>
  <c r="U157" i="12"/>
  <c r="X161" i="9"/>
  <c r="X162" i="12" s="1"/>
  <c r="T162" i="12"/>
  <c r="Y162" i="9"/>
  <c r="Y163" i="12" s="1"/>
  <c r="U163" i="12"/>
  <c r="X148" i="9"/>
  <c r="X149" i="12" s="1"/>
  <c r="T149" i="12"/>
  <c r="Y149" i="9"/>
  <c r="Y150" i="12" s="1"/>
  <c r="U150" i="12"/>
  <c r="X154" i="9"/>
  <c r="X155" i="12" s="1"/>
  <c r="T155" i="12"/>
  <c r="Y155" i="9"/>
  <c r="Y156" i="12" s="1"/>
  <c r="U156" i="12"/>
  <c r="X160" i="9"/>
  <c r="X161" i="12" s="1"/>
  <c r="T161" i="12"/>
  <c r="Y161" i="9"/>
  <c r="Y162" i="12" s="1"/>
  <c r="U162" i="12"/>
  <c r="X145" i="9"/>
  <c r="X146" i="12" s="1"/>
  <c r="T146" i="12"/>
  <c r="Y146" i="9"/>
  <c r="Y147" i="12" s="1"/>
  <c r="U147" i="12"/>
  <c r="X157" i="9"/>
  <c r="X158" i="12" s="1"/>
  <c r="T158" i="12"/>
  <c r="Y158" i="9"/>
  <c r="Y159" i="12" s="1"/>
  <c r="U159" i="12"/>
  <c r="Y145" i="9"/>
  <c r="Y146" i="12" s="1"/>
  <c r="U146" i="12"/>
  <c r="X156" i="9"/>
  <c r="X157" i="12" s="1"/>
  <c r="T157" i="12"/>
  <c r="Y157" i="9"/>
  <c r="Y158" i="12" s="1"/>
  <c r="U158" i="12"/>
  <c r="X153" i="9"/>
  <c r="X154" i="12" s="1"/>
  <c r="T154" i="12"/>
  <c r="Y154" i="9"/>
  <c r="Y155" i="12" s="1"/>
  <c r="U155" i="12"/>
  <c r="W84" i="1"/>
  <c r="W2" i="9" l="1"/>
  <c r="V2" i="9"/>
  <c r="S2" i="9"/>
  <c r="R2" i="9"/>
  <c r="O44" i="1" l="1"/>
  <c r="I14" i="9" l="1"/>
  <c r="S132" i="1" l="1"/>
  <c r="H87" i="9" l="1"/>
  <c r="M72" i="1" l="1"/>
  <c r="P39" i="12" l="1"/>
  <c r="Q39" i="12"/>
  <c r="P40" i="12"/>
  <c r="Q40" i="12"/>
  <c r="P41" i="12"/>
  <c r="Q41" i="12"/>
  <c r="P42" i="12"/>
  <c r="Q42" i="12"/>
  <c r="V14" i="11"/>
  <c r="W14" i="11"/>
  <c r="V15" i="11"/>
  <c r="W15" i="11"/>
  <c r="V17" i="11"/>
  <c r="W17" i="11"/>
  <c r="V18" i="11"/>
  <c r="W18" i="11"/>
  <c r="V19" i="11"/>
  <c r="W19" i="11"/>
  <c r="V21" i="11"/>
  <c r="W21" i="11"/>
  <c r="V22" i="11"/>
  <c r="W22" i="11"/>
  <c r="V23" i="11"/>
  <c r="W23" i="11"/>
  <c r="V25" i="11"/>
  <c r="W25" i="11"/>
  <c r="V26" i="11"/>
  <c r="W26" i="11"/>
  <c r="V27" i="11"/>
  <c r="W27" i="11"/>
  <c r="V29" i="11"/>
  <c r="W29" i="11"/>
  <c r="V30" i="11"/>
  <c r="W30" i="11"/>
  <c r="V31" i="11"/>
  <c r="W31" i="11"/>
  <c r="V33" i="11"/>
  <c r="W33" i="11"/>
  <c r="V34" i="11"/>
  <c r="W34" i="11"/>
  <c r="V35" i="11"/>
  <c r="W35" i="11"/>
  <c r="V37" i="11"/>
  <c r="W37" i="11"/>
  <c r="V38" i="11"/>
  <c r="W38" i="11"/>
  <c r="V39" i="11"/>
  <c r="W39" i="11"/>
  <c r="V41" i="11"/>
  <c r="W41" i="11"/>
  <c r="V42" i="11"/>
  <c r="W42" i="11"/>
  <c r="V43" i="11"/>
  <c r="W43" i="11"/>
  <c r="V45" i="11"/>
  <c r="W45" i="11"/>
  <c r="V46" i="11"/>
  <c r="W46" i="11"/>
  <c r="V47" i="11"/>
  <c r="W47" i="11"/>
  <c r="V49" i="11"/>
  <c r="W49" i="11"/>
  <c r="V50" i="11"/>
  <c r="W50" i="11"/>
  <c r="V51" i="11"/>
  <c r="W51" i="11"/>
  <c r="V53" i="11"/>
  <c r="W53" i="11"/>
  <c r="V54" i="11"/>
  <c r="W54" i="11"/>
  <c r="V55" i="11"/>
  <c r="W55" i="11"/>
  <c r="V57" i="11"/>
  <c r="W57" i="11"/>
  <c r="V58" i="11"/>
  <c r="W58" i="11"/>
  <c r="V59" i="11"/>
  <c r="W59" i="11"/>
  <c r="V61" i="11"/>
  <c r="W61" i="11"/>
  <c r="V62" i="11"/>
  <c r="W62" i="11"/>
  <c r="V63" i="11"/>
  <c r="W63" i="11"/>
  <c r="V65" i="11"/>
  <c r="W65" i="11"/>
  <c r="V66" i="11"/>
  <c r="W66" i="11"/>
  <c r="V67" i="11"/>
  <c r="W67" i="11"/>
  <c r="V69" i="11"/>
  <c r="W69" i="11"/>
  <c r="V70" i="11"/>
  <c r="W70" i="11"/>
  <c r="V71" i="11"/>
  <c r="W71" i="11"/>
  <c r="V73" i="11"/>
  <c r="W73" i="11"/>
  <c r="V74" i="11"/>
  <c r="W74" i="11"/>
  <c r="V75" i="11"/>
  <c r="W75" i="11"/>
  <c r="V77" i="11"/>
  <c r="W77" i="11"/>
  <c r="V78" i="11"/>
  <c r="W78" i="11"/>
  <c r="V79" i="11"/>
  <c r="W79" i="11"/>
  <c r="V81" i="11"/>
  <c r="W81" i="11"/>
  <c r="V82" i="11"/>
  <c r="W82" i="11"/>
  <c r="V83" i="11"/>
  <c r="W83" i="11"/>
  <c r="V85" i="11"/>
  <c r="W85" i="11"/>
  <c r="V86" i="11"/>
  <c r="W86" i="11"/>
  <c r="V87" i="11"/>
  <c r="W87" i="11"/>
  <c r="V89" i="11"/>
  <c r="W89" i="11"/>
  <c r="V90" i="11"/>
  <c r="W90" i="11"/>
  <c r="V91" i="11"/>
  <c r="W91" i="11"/>
  <c r="V93" i="11"/>
  <c r="W93" i="11"/>
  <c r="V94" i="11"/>
  <c r="W94" i="11"/>
  <c r="V95" i="11"/>
  <c r="W95" i="11"/>
  <c r="V97" i="11"/>
  <c r="W97" i="11"/>
  <c r="V98" i="11"/>
  <c r="W98" i="11"/>
  <c r="V99" i="11"/>
  <c r="W99" i="11"/>
  <c r="V101" i="11"/>
  <c r="W101" i="11"/>
  <c r="V102" i="11"/>
  <c r="W102" i="11"/>
  <c r="V103" i="11"/>
  <c r="W103" i="11"/>
  <c r="V105" i="11"/>
  <c r="W105" i="11"/>
  <c r="V106" i="11"/>
  <c r="W106" i="11"/>
  <c r="V107" i="11"/>
  <c r="W107" i="11"/>
  <c r="V109" i="11"/>
  <c r="W109" i="11"/>
  <c r="V110" i="11"/>
  <c r="W110" i="11"/>
  <c r="V111" i="11"/>
  <c r="W111" i="11"/>
  <c r="V113" i="11"/>
  <c r="W113" i="11"/>
  <c r="V114" i="11"/>
  <c r="W114" i="11"/>
  <c r="V115" i="11"/>
  <c r="W115" i="11"/>
  <c r="V117" i="11"/>
  <c r="W117" i="11"/>
  <c r="V118" i="11"/>
  <c r="W118" i="11"/>
  <c r="V119" i="11"/>
  <c r="W119" i="11"/>
  <c r="V121" i="11"/>
  <c r="W121" i="11"/>
  <c r="V122" i="11"/>
  <c r="W122" i="11"/>
  <c r="V123" i="11"/>
  <c r="W123" i="11"/>
  <c r="V125" i="11"/>
  <c r="W125" i="11"/>
  <c r="V126" i="11"/>
  <c r="W126" i="11"/>
  <c r="V127" i="11"/>
  <c r="W127" i="11"/>
  <c r="V129" i="11"/>
  <c r="W129" i="11"/>
  <c r="V130" i="11"/>
  <c r="W130" i="11"/>
  <c r="V131" i="11"/>
  <c r="W131" i="11"/>
  <c r="V133" i="11"/>
  <c r="W133" i="11"/>
  <c r="V134" i="11"/>
  <c r="W134" i="11"/>
  <c r="V135" i="11"/>
  <c r="W135" i="11"/>
  <c r="W13" i="11"/>
  <c r="H63" i="9" l="1"/>
  <c r="N3" i="6" l="1"/>
  <c r="H117" i="9"/>
  <c r="H118" i="12" s="1"/>
  <c r="H107" i="9" l="1"/>
  <c r="H108" i="12" s="1"/>
  <c r="J12" i="5" l="1"/>
  <c r="J11" i="5"/>
  <c r="H15" i="9" l="1"/>
  <c r="H14" i="9" l="1"/>
  <c r="T133" i="1" l="1"/>
  <c r="U133" i="1"/>
  <c r="T134" i="1"/>
  <c r="U134" i="1"/>
  <c r="T135" i="1"/>
  <c r="U135" i="1"/>
  <c r="V128" i="1"/>
  <c r="V128" i="11" s="1"/>
  <c r="V136" i="1"/>
  <c r="V136" i="11" s="1"/>
  <c r="V132" i="1"/>
  <c r="V132" i="11" s="1"/>
  <c r="V120" i="1"/>
  <c r="V120" i="11" s="1"/>
  <c r="T136" i="1" l="1"/>
  <c r="U132" i="1"/>
  <c r="T132" i="1"/>
  <c r="V124" i="1"/>
  <c r="V124" i="11" s="1"/>
  <c r="U128" i="1"/>
  <c r="T128" i="1"/>
  <c r="U136" i="1"/>
  <c r="O64" i="1"/>
  <c r="M64" i="1"/>
  <c r="U124" i="1" l="1"/>
  <c r="S64" i="1"/>
  <c r="Y122" i="1"/>
  <c r="T124" i="1"/>
  <c r="K64" i="1"/>
  <c r="Q64" i="1"/>
  <c r="H13" i="9" l="1"/>
  <c r="U111" i="9" l="1"/>
  <c r="U112" i="12" s="1"/>
  <c r="H57" i="9" l="1"/>
  <c r="F45" i="9" l="1"/>
  <c r="H45" i="9"/>
  <c r="I45" i="9"/>
  <c r="X45" i="9"/>
  <c r="Y45" i="9"/>
  <c r="H46" i="9" l="1"/>
  <c r="H34" i="9" l="1"/>
  <c r="Y41" i="9" l="1"/>
  <c r="X41" i="9"/>
  <c r="H28" i="9" l="1"/>
  <c r="N20" i="1" l="1"/>
  <c r="O20" i="1"/>
  <c r="Q52" i="1" l="1"/>
  <c r="H82" i="9" l="1"/>
  <c r="R52" i="1" l="1"/>
  <c r="V48" i="1" l="1"/>
  <c r="V48" i="11" s="1"/>
  <c r="W48" i="1"/>
  <c r="W48" i="11" s="1"/>
  <c r="AJ3" i="12" l="1"/>
  <c r="AI3" i="12"/>
  <c r="AH3" i="12"/>
  <c r="AG3" i="12"/>
  <c r="AF3" i="12"/>
  <c r="AE3" i="12"/>
  <c r="AJ2" i="12"/>
  <c r="AI2" i="12"/>
  <c r="AH2" i="12"/>
  <c r="AG2" i="12"/>
  <c r="AF2" i="12"/>
  <c r="AE2" i="12"/>
  <c r="AJ1" i="12"/>
  <c r="AI1" i="12"/>
  <c r="AH1" i="12"/>
  <c r="AG1" i="12"/>
  <c r="AF1" i="12"/>
  <c r="AE1" i="12"/>
  <c r="W85" i="12"/>
  <c r="V85" i="12"/>
  <c r="S85" i="12"/>
  <c r="R85" i="12"/>
  <c r="Q85" i="12"/>
  <c r="P85" i="12"/>
  <c r="O85" i="12"/>
  <c r="N85" i="12"/>
  <c r="M85" i="12"/>
  <c r="L85" i="12"/>
  <c r="K85" i="12"/>
  <c r="J85" i="12"/>
  <c r="G85" i="12"/>
  <c r="E85" i="12"/>
  <c r="D85" i="12"/>
  <c r="W84" i="12"/>
  <c r="V84" i="12"/>
  <c r="S84" i="12"/>
  <c r="R84" i="12"/>
  <c r="Q84" i="12"/>
  <c r="P84" i="12"/>
  <c r="O84" i="12"/>
  <c r="N84" i="12"/>
  <c r="M84" i="12"/>
  <c r="L84" i="12"/>
  <c r="K84" i="12"/>
  <c r="J84" i="12"/>
  <c r="G84" i="12"/>
  <c r="E84" i="12"/>
  <c r="D84" i="12"/>
  <c r="W83" i="12"/>
  <c r="V83" i="12"/>
  <c r="S83" i="12"/>
  <c r="R83" i="12"/>
  <c r="Q83" i="12"/>
  <c r="P83" i="12"/>
  <c r="O83" i="12"/>
  <c r="N83" i="12"/>
  <c r="M83" i="12"/>
  <c r="L83" i="12"/>
  <c r="K83" i="12"/>
  <c r="J83" i="12"/>
  <c r="G83" i="12"/>
  <c r="E83" i="12"/>
  <c r="D83" i="12"/>
  <c r="B85" i="12"/>
  <c r="B84" i="12"/>
  <c r="B83" i="12"/>
  <c r="W78" i="12"/>
  <c r="V78" i="12"/>
  <c r="S78" i="12"/>
  <c r="R78" i="12"/>
  <c r="Q78" i="12"/>
  <c r="P78" i="12"/>
  <c r="O78" i="12"/>
  <c r="N78" i="12"/>
  <c r="M78" i="12"/>
  <c r="L78" i="12"/>
  <c r="G78" i="12"/>
  <c r="E78" i="12"/>
  <c r="D78" i="12"/>
  <c r="W77" i="12"/>
  <c r="V77" i="12"/>
  <c r="S77" i="12"/>
  <c r="R77" i="12"/>
  <c r="Q77" i="12"/>
  <c r="P77" i="12"/>
  <c r="O77" i="12"/>
  <c r="N77" i="12"/>
  <c r="M77" i="12"/>
  <c r="L77" i="12"/>
  <c r="I77" i="12"/>
  <c r="G77" i="12"/>
  <c r="F77" i="12"/>
  <c r="E77" i="12"/>
  <c r="D77" i="12"/>
  <c r="W76" i="12"/>
  <c r="V76" i="12"/>
  <c r="S76" i="12"/>
  <c r="R76" i="12"/>
  <c r="Q76" i="12"/>
  <c r="P76" i="12"/>
  <c r="O76" i="12"/>
  <c r="N76" i="12"/>
  <c r="M76" i="12"/>
  <c r="L76" i="12"/>
  <c r="I76" i="12"/>
  <c r="G76" i="12"/>
  <c r="F76" i="12"/>
  <c r="E76" i="12"/>
  <c r="D76" i="12"/>
  <c r="W75" i="12"/>
  <c r="V75" i="12"/>
  <c r="S75" i="12"/>
  <c r="R75" i="12"/>
  <c r="Q75" i="12"/>
  <c r="P75" i="12"/>
  <c r="O75" i="12"/>
  <c r="N75" i="12"/>
  <c r="M75" i="12"/>
  <c r="L75" i="12"/>
  <c r="I75" i="12"/>
  <c r="G75" i="12"/>
  <c r="F75" i="12"/>
  <c r="E75" i="12"/>
  <c r="D75" i="12"/>
  <c r="W74" i="12"/>
  <c r="V74" i="12"/>
  <c r="S74" i="12"/>
  <c r="R74" i="12"/>
  <c r="Q74" i="12"/>
  <c r="P74" i="12"/>
  <c r="O74" i="12"/>
  <c r="N74" i="12"/>
  <c r="M74" i="12"/>
  <c r="L74" i="12"/>
  <c r="I74" i="12"/>
  <c r="G74" i="12"/>
  <c r="F74" i="12"/>
  <c r="E74" i="12"/>
  <c r="D74" i="12"/>
  <c r="W73" i="12"/>
  <c r="V73" i="12"/>
  <c r="S73" i="12"/>
  <c r="R73" i="12"/>
  <c r="Q73" i="12"/>
  <c r="P73" i="12"/>
  <c r="O73" i="12"/>
  <c r="N73" i="12"/>
  <c r="M73" i="12"/>
  <c r="L73" i="12"/>
  <c r="I73" i="12"/>
  <c r="G73" i="12"/>
  <c r="F73" i="12"/>
  <c r="E73" i="12"/>
  <c r="D73" i="12"/>
  <c r="W72" i="12"/>
  <c r="V72" i="12"/>
  <c r="S72" i="12"/>
  <c r="R72" i="12"/>
  <c r="Q72" i="12"/>
  <c r="P72" i="12"/>
  <c r="O72" i="12"/>
  <c r="N72" i="12"/>
  <c r="M72" i="12"/>
  <c r="L72" i="12"/>
  <c r="I72" i="12"/>
  <c r="G72" i="12"/>
  <c r="F72" i="12"/>
  <c r="E72" i="12"/>
  <c r="D72" i="12"/>
  <c r="W71" i="12"/>
  <c r="V71" i="12"/>
  <c r="S71" i="12"/>
  <c r="R71" i="12"/>
  <c r="Q71" i="12"/>
  <c r="P71" i="12"/>
  <c r="O71" i="12"/>
  <c r="N71" i="12"/>
  <c r="M71" i="12"/>
  <c r="L71" i="12"/>
  <c r="I71" i="12"/>
  <c r="G71" i="12"/>
  <c r="F71" i="12"/>
  <c r="E71" i="12"/>
  <c r="D71" i="12"/>
  <c r="W70" i="12"/>
  <c r="V70" i="12"/>
  <c r="S70" i="12"/>
  <c r="R70" i="12"/>
  <c r="Q70" i="12"/>
  <c r="P70" i="12"/>
  <c r="O70" i="12"/>
  <c r="N70" i="12"/>
  <c r="M70" i="12"/>
  <c r="L70" i="12"/>
  <c r="I70" i="12"/>
  <c r="G70" i="12"/>
  <c r="F70" i="12"/>
  <c r="E70" i="12"/>
  <c r="D70" i="12"/>
  <c r="W69" i="12"/>
  <c r="V69" i="12"/>
  <c r="S69" i="12"/>
  <c r="R69" i="12"/>
  <c r="Q69" i="12"/>
  <c r="P69" i="12"/>
  <c r="O69" i="12"/>
  <c r="N69" i="12"/>
  <c r="M69" i="12"/>
  <c r="L69" i="12"/>
  <c r="I69" i="12"/>
  <c r="G69" i="12"/>
  <c r="F69" i="12"/>
  <c r="E69" i="12"/>
  <c r="D69" i="12"/>
  <c r="W68" i="12"/>
  <c r="V68" i="12"/>
  <c r="S68" i="12"/>
  <c r="R68" i="12"/>
  <c r="Q68" i="12"/>
  <c r="P68" i="12"/>
  <c r="O68" i="12"/>
  <c r="N68" i="12"/>
  <c r="M68" i="12"/>
  <c r="L68" i="12"/>
  <c r="I68" i="12"/>
  <c r="G68" i="12"/>
  <c r="F68" i="12"/>
  <c r="E68" i="12"/>
  <c r="D68" i="12"/>
  <c r="W67" i="12"/>
  <c r="V67" i="12"/>
  <c r="S67" i="12"/>
  <c r="R67" i="12"/>
  <c r="Q67" i="12"/>
  <c r="P67" i="12"/>
  <c r="O67" i="12"/>
  <c r="N67" i="12"/>
  <c r="M67" i="12"/>
  <c r="L67" i="12"/>
  <c r="I67" i="12"/>
  <c r="G67" i="12"/>
  <c r="F67" i="12"/>
  <c r="E67" i="12"/>
  <c r="D67" i="12"/>
  <c r="W66" i="12"/>
  <c r="V66" i="12"/>
  <c r="S66" i="12"/>
  <c r="R66" i="12"/>
  <c r="Q66" i="12"/>
  <c r="P66" i="12"/>
  <c r="O66" i="12"/>
  <c r="N66" i="12"/>
  <c r="M66" i="12"/>
  <c r="L66" i="12"/>
  <c r="I66" i="12"/>
  <c r="G66" i="12"/>
  <c r="F66" i="12"/>
  <c r="E66" i="12"/>
  <c r="D66" i="12"/>
  <c r="W65" i="12"/>
  <c r="V65" i="12"/>
  <c r="S65" i="12"/>
  <c r="R65" i="12"/>
  <c r="Q65" i="12"/>
  <c r="P65" i="12"/>
  <c r="O65" i="12"/>
  <c r="N65" i="12"/>
  <c r="M65" i="12"/>
  <c r="L65" i="12"/>
  <c r="I65" i="12"/>
  <c r="G65" i="12"/>
  <c r="F65" i="12"/>
  <c r="E65" i="12"/>
  <c r="D65" i="12"/>
  <c r="W64" i="12"/>
  <c r="V64" i="12"/>
  <c r="S64" i="12"/>
  <c r="R64" i="12"/>
  <c r="Q64" i="12"/>
  <c r="P64" i="12"/>
  <c r="O64" i="12"/>
  <c r="N64" i="12"/>
  <c r="M64" i="12"/>
  <c r="L64" i="12"/>
  <c r="I64" i="12"/>
  <c r="G64" i="12"/>
  <c r="F64" i="12"/>
  <c r="E64" i="12"/>
  <c r="D64" i="12"/>
  <c r="W63" i="12"/>
  <c r="V63" i="12"/>
  <c r="S63" i="12"/>
  <c r="R63" i="12"/>
  <c r="Q63" i="12"/>
  <c r="P63" i="12"/>
  <c r="O63" i="12"/>
  <c r="N63" i="12"/>
  <c r="M63" i="12"/>
  <c r="L63" i="12"/>
  <c r="I63" i="12"/>
  <c r="G63" i="12"/>
  <c r="F63" i="12"/>
  <c r="E63" i="12"/>
  <c r="D63" i="12"/>
  <c r="W62" i="12"/>
  <c r="V62" i="12"/>
  <c r="S62" i="12"/>
  <c r="R62" i="12"/>
  <c r="Q62" i="12"/>
  <c r="P62" i="12"/>
  <c r="O62" i="12"/>
  <c r="N62" i="12"/>
  <c r="M62" i="12"/>
  <c r="L62" i="12"/>
  <c r="I62" i="12"/>
  <c r="G62" i="12"/>
  <c r="F62" i="12"/>
  <c r="E62" i="12"/>
  <c r="D62" i="12"/>
  <c r="W61" i="12"/>
  <c r="V61" i="12"/>
  <c r="S61" i="12"/>
  <c r="R61" i="12"/>
  <c r="Q61" i="12"/>
  <c r="P61" i="12"/>
  <c r="O61" i="12"/>
  <c r="N61" i="12"/>
  <c r="M61" i="12"/>
  <c r="L61" i="12"/>
  <c r="I61" i="12"/>
  <c r="G61" i="12"/>
  <c r="F61" i="12"/>
  <c r="E61" i="12"/>
  <c r="D61" i="12"/>
  <c r="W60" i="12"/>
  <c r="V60" i="12"/>
  <c r="S60" i="12"/>
  <c r="R60" i="12"/>
  <c r="Q60" i="12"/>
  <c r="P60" i="12"/>
  <c r="O60" i="12"/>
  <c r="N60" i="12"/>
  <c r="M60" i="12"/>
  <c r="L60" i="12"/>
  <c r="I60" i="12"/>
  <c r="G60" i="12"/>
  <c r="F60" i="12"/>
  <c r="E60" i="12"/>
  <c r="D60" i="12"/>
  <c r="W59" i="12"/>
  <c r="V59" i="12"/>
  <c r="S59" i="12"/>
  <c r="R59" i="12"/>
  <c r="Q59" i="12"/>
  <c r="P59" i="12"/>
  <c r="O59" i="12"/>
  <c r="N59" i="12"/>
  <c r="M59" i="12"/>
  <c r="L59" i="12"/>
  <c r="I59" i="12"/>
  <c r="G59" i="12"/>
  <c r="F59" i="12"/>
  <c r="E59" i="12"/>
  <c r="D59" i="12"/>
  <c r="W58" i="12"/>
  <c r="V58" i="12"/>
  <c r="S58" i="12"/>
  <c r="R58" i="12"/>
  <c r="Q58" i="12"/>
  <c r="P58" i="12"/>
  <c r="O58" i="12"/>
  <c r="N58" i="12"/>
  <c r="M58" i="12"/>
  <c r="L58" i="12"/>
  <c r="I58" i="12"/>
  <c r="G58" i="12"/>
  <c r="F58" i="12"/>
  <c r="E58" i="12"/>
  <c r="D58" i="12"/>
  <c r="W57" i="12"/>
  <c r="V57" i="12"/>
  <c r="S57" i="12"/>
  <c r="R57" i="12"/>
  <c r="Q57" i="12"/>
  <c r="P57" i="12"/>
  <c r="O57" i="12"/>
  <c r="N57" i="12"/>
  <c r="M57" i="12"/>
  <c r="L57" i="12"/>
  <c r="G57" i="12"/>
  <c r="E57" i="12"/>
  <c r="D57" i="12"/>
  <c r="W56" i="12"/>
  <c r="V56" i="12"/>
  <c r="S56" i="12"/>
  <c r="R56" i="12"/>
  <c r="Q56" i="12"/>
  <c r="P56" i="12"/>
  <c r="O56" i="12"/>
  <c r="N56" i="12"/>
  <c r="M56" i="12"/>
  <c r="L56" i="12"/>
  <c r="G56" i="12"/>
  <c r="E56" i="12"/>
  <c r="D56" i="12"/>
  <c r="W54" i="12"/>
  <c r="V54" i="12"/>
  <c r="S54" i="12"/>
  <c r="R54" i="12"/>
  <c r="Q54" i="12"/>
  <c r="P54" i="12"/>
  <c r="O54" i="12"/>
  <c r="N54" i="12"/>
  <c r="M54" i="12"/>
  <c r="L54" i="12"/>
  <c r="G54" i="12"/>
  <c r="E54" i="12"/>
  <c r="D54" i="12"/>
  <c r="W53" i="12"/>
  <c r="V53" i="12"/>
  <c r="S53" i="12"/>
  <c r="R53" i="12"/>
  <c r="Q53" i="12"/>
  <c r="P53" i="12"/>
  <c r="O53" i="12"/>
  <c r="N53" i="12"/>
  <c r="M53" i="12"/>
  <c r="L53" i="12"/>
  <c r="G53" i="12"/>
  <c r="E53" i="12"/>
  <c r="D53" i="12"/>
  <c r="W52" i="12"/>
  <c r="V52" i="12"/>
  <c r="S52" i="12"/>
  <c r="R52" i="12"/>
  <c r="Q52" i="12"/>
  <c r="P52" i="12"/>
  <c r="O52" i="12"/>
  <c r="N52" i="12"/>
  <c r="M52" i="12"/>
  <c r="L52" i="12"/>
  <c r="G52" i="12"/>
  <c r="E52" i="12"/>
  <c r="D52" i="12"/>
  <c r="W51" i="12"/>
  <c r="V51" i="12"/>
  <c r="S51" i="12"/>
  <c r="R51" i="12"/>
  <c r="Q51" i="12"/>
  <c r="P51" i="12"/>
  <c r="O51" i="12"/>
  <c r="N51" i="12"/>
  <c r="M51" i="12"/>
  <c r="L51" i="12"/>
  <c r="G51" i="12"/>
  <c r="E51" i="12"/>
  <c r="D51" i="12"/>
  <c r="W50" i="12"/>
  <c r="V50" i="12"/>
  <c r="S50" i="12"/>
  <c r="R50" i="12"/>
  <c r="Q50" i="12"/>
  <c r="P50" i="12"/>
  <c r="O50" i="12"/>
  <c r="N50" i="12"/>
  <c r="M50" i="12"/>
  <c r="L50" i="12"/>
  <c r="G50" i="12"/>
  <c r="E50" i="12"/>
  <c r="D50" i="12"/>
  <c r="W49" i="12"/>
  <c r="V49" i="12"/>
  <c r="S49" i="12"/>
  <c r="R49" i="12"/>
  <c r="Q49" i="12"/>
  <c r="P49" i="12"/>
  <c r="O49" i="12"/>
  <c r="N49" i="12"/>
  <c r="M49" i="12"/>
  <c r="L49" i="12"/>
  <c r="G49" i="12"/>
  <c r="E49" i="12"/>
  <c r="D49" i="12"/>
  <c r="W48" i="12"/>
  <c r="V48" i="12"/>
  <c r="S48" i="12"/>
  <c r="R48" i="12"/>
  <c r="Q48" i="12"/>
  <c r="P48" i="12"/>
  <c r="O48" i="12"/>
  <c r="N48" i="12"/>
  <c r="M48" i="12"/>
  <c r="L48" i="12"/>
  <c r="G48" i="12"/>
  <c r="E48" i="12"/>
  <c r="D48" i="12"/>
  <c r="W47" i="12"/>
  <c r="V47" i="12"/>
  <c r="S47" i="12"/>
  <c r="R47" i="12"/>
  <c r="Q47" i="12"/>
  <c r="P47" i="12"/>
  <c r="O47" i="12"/>
  <c r="N47" i="12"/>
  <c r="M47" i="12"/>
  <c r="L47" i="12"/>
  <c r="G47" i="12"/>
  <c r="E47" i="12"/>
  <c r="D47" i="12"/>
  <c r="W46" i="12"/>
  <c r="V46" i="12"/>
  <c r="S46" i="12"/>
  <c r="R46" i="12"/>
  <c r="Q46" i="12"/>
  <c r="P46" i="12"/>
  <c r="O46" i="12"/>
  <c r="N46" i="12"/>
  <c r="M46" i="12"/>
  <c r="L46" i="12"/>
  <c r="G46" i="12"/>
  <c r="E46" i="12"/>
  <c r="D46" i="12"/>
  <c r="W45" i="12"/>
  <c r="V45" i="12"/>
  <c r="S45" i="12"/>
  <c r="R45" i="12"/>
  <c r="Q45" i="12"/>
  <c r="P45" i="12"/>
  <c r="O45" i="12"/>
  <c r="N45" i="12"/>
  <c r="M45" i="12"/>
  <c r="L45" i="12"/>
  <c r="G45" i="12"/>
  <c r="E45" i="12"/>
  <c r="D45" i="12"/>
  <c r="W44" i="12"/>
  <c r="V44" i="12"/>
  <c r="S44" i="12"/>
  <c r="R44" i="12"/>
  <c r="Q44" i="12"/>
  <c r="P44" i="12"/>
  <c r="O44" i="12"/>
  <c r="N44" i="12"/>
  <c r="M44" i="12"/>
  <c r="L44" i="12"/>
  <c r="G44" i="12"/>
  <c r="E44" i="12"/>
  <c r="D44" i="12"/>
  <c r="W43" i="12"/>
  <c r="V43" i="12"/>
  <c r="S43" i="12"/>
  <c r="R43" i="12"/>
  <c r="Q43" i="12"/>
  <c r="P43" i="12"/>
  <c r="O43" i="12"/>
  <c r="N43" i="12"/>
  <c r="M43" i="12"/>
  <c r="L43" i="12"/>
  <c r="G43" i="12"/>
  <c r="E43" i="12"/>
  <c r="D43" i="12"/>
  <c r="W42" i="12"/>
  <c r="V42" i="12"/>
  <c r="S42" i="12"/>
  <c r="R42" i="12"/>
  <c r="M42" i="12"/>
  <c r="L42" i="12"/>
  <c r="G42" i="12"/>
  <c r="E42" i="12"/>
  <c r="D42" i="12"/>
  <c r="W41" i="12"/>
  <c r="V41" i="12"/>
  <c r="S41" i="12"/>
  <c r="R41" i="12"/>
  <c r="O41" i="12"/>
  <c r="N41" i="12"/>
  <c r="M41" i="12"/>
  <c r="L41" i="12"/>
  <c r="G41" i="12"/>
  <c r="E41" i="12"/>
  <c r="D41" i="12"/>
  <c r="W40" i="12"/>
  <c r="V40" i="12"/>
  <c r="S40" i="12"/>
  <c r="R40" i="12"/>
  <c r="O40" i="12"/>
  <c r="N40" i="12"/>
  <c r="M40" i="12"/>
  <c r="L40" i="12"/>
  <c r="G40" i="12"/>
  <c r="E40" i="12"/>
  <c r="D40" i="12"/>
  <c r="W39" i="12"/>
  <c r="V39" i="12"/>
  <c r="S39" i="12"/>
  <c r="R39" i="12"/>
  <c r="O39" i="12"/>
  <c r="N39" i="12"/>
  <c r="M39" i="12"/>
  <c r="L39" i="12"/>
  <c r="G39" i="12"/>
  <c r="E39" i="12"/>
  <c r="D39" i="12"/>
  <c r="W38" i="12"/>
  <c r="V38" i="12"/>
  <c r="S38" i="12"/>
  <c r="R38" i="12"/>
  <c r="Q38" i="12"/>
  <c r="P38" i="12"/>
  <c r="O38" i="12"/>
  <c r="N38" i="12"/>
  <c r="M38" i="12"/>
  <c r="L38" i="12"/>
  <c r="G38" i="12"/>
  <c r="E38" i="12"/>
  <c r="D38" i="12"/>
  <c r="W37" i="12"/>
  <c r="V37" i="12"/>
  <c r="S37" i="12"/>
  <c r="R37" i="12"/>
  <c r="Q37" i="12"/>
  <c r="P37" i="12"/>
  <c r="O37" i="12"/>
  <c r="N37" i="12"/>
  <c r="M37" i="12"/>
  <c r="L37" i="12"/>
  <c r="G37" i="12"/>
  <c r="E37" i="12"/>
  <c r="D37" i="12"/>
  <c r="W36" i="12"/>
  <c r="V36" i="12"/>
  <c r="S36" i="12"/>
  <c r="R36" i="12"/>
  <c r="Q36" i="12"/>
  <c r="P36" i="12"/>
  <c r="O36" i="12"/>
  <c r="N36" i="12"/>
  <c r="M36" i="12"/>
  <c r="L36" i="12"/>
  <c r="G36" i="12"/>
  <c r="E36" i="12"/>
  <c r="D36" i="12"/>
  <c r="W35" i="12"/>
  <c r="V35" i="12"/>
  <c r="S35" i="12"/>
  <c r="R35" i="12"/>
  <c r="Q35" i="12"/>
  <c r="P35" i="12"/>
  <c r="O35" i="12"/>
  <c r="N35" i="12"/>
  <c r="M35" i="12"/>
  <c r="L35" i="12"/>
  <c r="G35" i="12"/>
  <c r="E35" i="12"/>
  <c r="D35" i="12"/>
  <c r="W34" i="12"/>
  <c r="V34" i="12"/>
  <c r="S34" i="12"/>
  <c r="R34" i="12"/>
  <c r="Q34" i="12"/>
  <c r="P34" i="12"/>
  <c r="O34" i="12"/>
  <c r="N34" i="12"/>
  <c r="M34" i="12"/>
  <c r="L34" i="12"/>
  <c r="G34" i="12"/>
  <c r="E34" i="12"/>
  <c r="D34" i="12"/>
  <c r="W33" i="12"/>
  <c r="V33" i="12"/>
  <c r="S33" i="12"/>
  <c r="R33" i="12"/>
  <c r="Q33" i="12"/>
  <c r="P33" i="12"/>
  <c r="O33" i="12"/>
  <c r="N33" i="12"/>
  <c r="M33" i="12"/>
  <c r="L33" i="12"/>
  <c r="G33" i="12"/>
  <c r="E33" i="12"/>
  <c r="D33" i="12"/>
  <c r="W32" i="12"/>
  <c r="V32" i="12"/>
  <c r="S32" i="12"/>
  <c r="R32" i="12"/>
  <c r="Q32" i="12"/>
  <c r="P32" i="12"/>
  <c r="O32" i="12"/>
  <c r="N32" i="12"/>
  <c r="M32" i="12"/>
  <c r="L32" i="12"/>
  <c r="G32" i="12"/>
  <c r="E32" i="12"/>
  <c r="D32" i="12"/>
  <c r="W31" i="12"/>
  <c r="V31" i="12"/>
  <c r="S31" i="12"/>
  <c r="R31" i="12"/>
  <c r="Q31" i="12"/>
  <c r="P31" i="12"/>
  <c r="O31" i="12"/>
  <c r="N31" i="12"/>
  <c r="M31" i="12"/>
  <c r="L31" i="12"/>
  <c r="G31" i="12"/>
  <c r="E31" i="12"/>
  <c r="D31" i="12"/>
  <c r="W30" i="12"/>
  <c r="V30" i="12"/>
  <c r="S30" i="12"/>
  <c r="R30" i="12"/>
  <c r="Q30" i="12"/>
  <c r="P30" i="12"/>
  <c r="O30" i="12"/>
  <c r="N30" i="12"/>
  <c r="M30" i="12"/>
  <c r="L30" i="12"/>
  <c r="G30" i="12"/>
  <c r="E30" i="12"/>
  <c r="D30" i="12"/>
  <c r="W29" i="12"/>
  <c r="V29" i="12"/>
  <c r="S29" i="12"/>
  <c r="R29" i="12"/>
  <c r="Q29" i="12"/>
  <c r="P29" i="12"/>
  <c r="O29" i="12"/>
  <c r="N29" i="12"/>
  <c r="M29" i="12"/>
  <c r="L29" i="12"/>
  <c r="G29" i="12"/>
  <c r="E29" i="12"/>
  <c r="D29" i="12"/>
  <c r="W28" i="12"/>
  <c r="V28" i="12"/>
  <c r="S28" i="12"/>
  <c r="R28" i="12"/>
  <c r="Q28" i="12"/>
  <c r="P28" i="12"/>
  <c r="O28" i="12"/>
  <c r="N28" i="12"/>
  <c r="M28" i="12"/>
  <c r="L28" i="12"/>
  <c r="G28" i="12"/>
  <c r="E28" i="12"/>
  <c r="D28" i="12"/>
  <c r="W27" i="12"/>
  <c r="V27" i="12"/>
  <c r="S27" i="12"/>
  <c r="R27" i="12"/>
  <c r="Q27" i="12"/>
  <c r="P27" i="12"/>
  <c r="O27" i="12"/>
  <c r="N27" i="12"/>
  <c r="M27" i="12"/>
  <c r="L27" i="12"/>
  <c r="G27" i="12"/>
  <c r="E27" i="12"/>
  <c r="D27" i="12"/>
  <c r="W26" i="12"/>
  <c r="V26" i="12"/>
  <c r="S26" i="12"/>
  <c r="R26" i="12"/>
  <c r="Q26" i="12"/>
  <c r="P26" i="12"/>
  <c r="O26" i="12"/>
  <c r="N26" i="12"/>
  <c r="M26" i="12"/>
  <c r="L26" i="12"/>
  <c r="G26" i="12"/>
  <c r="E26" i="12"/>
  <c r="D26" i="12"/>
  <c r="W25" i="12"/>
  <c r="V25" i="12"/>
  <c r="S25" i="12"/>
  <c r="R25" i="12"/>
  <c r="Q25" i="12"/>
  <c r="P25" i="12"/>
  <c r="O25" i="12"/>
  <c r="N25" i="12"/>
  <c r="M25" i="12"/>
  <c r="L25" i="12"/>
  <c r="G25" i="12"/>
  <c r="E25" i="12"/>
  <c r="D25" i="12"/>
  <c r="W24" i="12"/>
  <c r="V24" i="12"/>
  <c r="S24" i="12"/>
  <c r="R24" i="12"/>
  <c r="Q24" i="12"/>
  <c r="P24" i="12"/>
  <c r="O24" i="12"/>
  <c r="N24" i="12"/>
  <c r="M24" i="12"/>
  <c r="L24" i="12"/>
  <c r="G24" i="12"/>
  <c r="E24" i="12"/>
  <c r="D24" i="12"/>
  <c r="W23" i="12"/>
  <c r="V23" i="12"/>
  <c r="S23" i="12"/>
  <c r="R23" i="12"/>
  <c r="Q23" i="12"/>
  <c r="P23" i="12"/>
  <c r="O23" i="12"/>
  <c r="N23" i="12"/>
  <c r="M23" i="12"/>
  <c r="L23" i="12"/>
  <c r="G23" i="12"/>
  <c r="E23" i="12"/>
  <c r="D23" i="12"/>
  <c r="W22" i="12"/>
  <c r="V22" i="12"/>
  <c r="S22" i="12"/>
  <c r="R22" i="12"/>
  <c r="Q22" i="12"/>
  <c r="P22" i="12"/>
  <c r="O22" i="12"/>
  <c r="N22" i="12"/>
  <c r="M22" i="12"/>
  <c r="L22" i="12"/>
  <c r="G22" i="12"/>
  <c r="E22" i="12"/>
  <c r="D22" i="12"/>
  <c r="W21" i="12"/>
  <c r="V21" i="12"/>
  <c r="S21" i="12"/>
  <c r="R21" i="12"/>
  <c r="Q21" i="12"/>
  <c r="P21" i="12"/>
  <c r="O21" i="12"/>
  <c r="N21" i="12"/>
  <c r="M21" i="12"/>
  <c r="L21" i="12"/>
  <c r="G21" i="12"/>
  <c r="E21" i="12"/>
  <c r="D21" i="12"/>
  <c r="W20" i="12"/>
  <c r="V20" i="12"/>
  <c r="S20" i="12"/>
  <c r="R20" i="12"/>
  <c r="Q20" i="12"/>
  <c r="P20" i="12"/>
  <c r="O20" i="12"/>
  <c r="N20" i="12"/>
  <c r="M20" i="12"/>
  <c r="L20" i="12"/>
  <c r="G20" i="12"/>
  <c r="E20" i="12"/>
  <c r="D20" i="12"/>
  <c r="W19" i="12"/>
  <c r="V19" i="12"/>
  <c r="S19" i="12"/>
  <c r="R19" i="12"/>
  <c r="Q19" i="12"/>
  <c r="P19" i="12"/>
  <c r="O19" i="12"/>
  <c r="N19" i="12"/>
  <c r="M19" i="12"/>
  <c r="L19" i="12"/>
  <c r="G19" i="12"/>
  <c r="E19" i="12"/>
  <c r="D19" i="12"/>
  <c r="W18" i="12"/>
  <c r="V18" i="12"/>
  <c r="S18" i="12"/>
  <c r="R18" i="12"/>
  <c r="Q18" i="12"/>
  <c r="P18" i="12"/>
  <c r="O18" i="12"/>
  <c r="N18" i="12"/>
  <c r="M18" i="12"/>
  <c r="L18" i="12"/>
  <c r="G18" i="12"/>
  <c r="E18" i="12"/>
  <c r="D18" i="12"/>
  <c r="W17" i="12"/>
  <c r="V17" i="12"/>
  <c r="S17" i="12"/>
  <c r="R17" i="12"/>
  <c r="Q17" i="12"/>
  <c r="P17" i="12"/>
  <c r="O17" i="12"/>
  <c r="N17" i="12"/>
  <c r="M17" i="12"/>
  <c r="L17" i="12"/>
  <c r="G17" i="12"/>
  <c r="E17" i="12"/>
  <c r="D17" i="12"/>
  <c r="W16" i="12"/>
  <c r="V16" i="12"/>
  <c r="S16" i="12"/>
  <c r="R16" i="12"/>
  <c r="Q16" i="12"/>
  <c r="P16" i="12"/>
  <c r="O16" i="12"/>
  <c r="N16" i="12"/>
  <c r="M16" i="12"/>
  <c r="L16" i="12"/>
  <c r="G16" i="12"/>
  <c r="E16" i="12"/>
  <c r="D16" i="12"/>
  <c r="W15" i="12"/>
  <c r="V15" i="12"/>
  <c r="S15" i="12"/>
  <c r="R15" i="12"/>
  <c r="Q15" i="12"/>
  <c r="P15" i="12"/>
  <c r="O15" i="12"/>
  <c r="N15" i="12"/>
  <c r="M15" i="12"/>
  <c r="L15" i="12"/>
  <c r="G15" i="12"/>
  <c r="E15" i="12"/>
  <c r="D15" i="12"/>
  <c r="W14" i="12"/>
  <c r="V14" i="12"/>
  <c r="S14" i="12"/>
  <c r="R14" i="12"/>
  <c r="Q14" i="12"/>
  <c r="P14" i="12"/>
  <c r="O14" i="12"/>
  <c r="N14" i="12"/>
  <c r="M14" i="12"/>
  <c r="L14" i="12"/>
  <c r="G14" i="12"/>
  <c r="E14" i="12"/>
  <c r="D14" i="12"/>
  <c r="W13" i="12"/>
  <c r="V13" i="12"/>
  <c r="S13" i="12"/>
  <c r="R13" i="12"/>
  <c r="Q13" i="12"/>
  <c r="P13" i="12"/>
  <c r="O13" i="12"/>
  <c r="N13" i="12"/>
  <c r="M13" i="12"/>
  <c r="L13" i="12"/>
  <c r="K13" i="12"/>
  <c r="J13" i="12"/>
  <c r="G13" i="12"/>
  <c r="E13" i="12"/>
  <c r="D13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AI3" i="11"/>
  <c r="AH3" i="11"/>
  <c r="AG3" i="11"/>
  <c r="AF3" i="11"/>
  <c r="AE3" i="11"/>
  <c r="AD3" i="11"/>
  <c r="AI2" i="11"/>
  <c r="AH2" i="11"/>
  <c r="AG2" i="11"/>
  <c r="AF2" i="11"/>
  <c r="AE2" i="11"/>
  <c r="AD2" i="11"/>
  <c r="AI1" i="11"/>
  <c r="AH1" i="11"/>
  <c r="AG1" i="11"/>
  <c r="AF1" i="11"/>
  <c r="AE1" i="11"/>
  <c r="AD1" i="11"/>
  <c r="I136" i="11"/>
  <c r="H136" i="11"/>
  <c r="G136" i="11"/>
  <c r="F136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B135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B134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B133" i="11"/>
  <c r="I132" i="11"/>
  <c r="H132" i="11"/>
  <c r="G132" i="11"/>
  <c r="F132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B131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B130" i="11"/>
  <c r="U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B129" i="11"/>
  <c r="I128" i="11"/>
  <c r="H128" i="11"/>
  <c r="G128" i="11"/>
  <c r="F128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B127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B126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B125" i="11"/>
  <c r="I124" i="11"/>
  <c r="H124" i="11"/>
  <c r="G124" i="11"/>
  <c r="F124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B123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B122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B121" i="11"/>
  <c r="I120" i="11"/>
  <c r="H120" i="11"/>
  <c r="G120" i="11"/>
  <c r="F120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B119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B118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B117" i="11"/>
  <c r="I116" i="11"/>
  <c r="H116" i="11"/>
  <c r="G116" i="11"/>
  <c r="F116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B115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B114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B113" i="11"/>
  <c r="I112" i="11"/>
  <c r="H112" i="11"/>
  <c r="G112" i="11"/>
  <c r="F112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B111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B110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B109" i="11"/>
  <c r="I108" i="11"/>
  <c r="H108" i="11"/>
  <c r="G108" i="11"/>
  <c r="F108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B107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B106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B105" i="11"/>
  <c r="I104" i="11"/>
  <c r="H104" i="11"/>
  <c r="G104" i="11"/>
  <c r="F104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B103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B102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B101" i="11"/>
  <c r="I100" i="11"/>
  <c r="H100" i="11"/>
  <c r="G100" i="11"/>
  <c r="F100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B99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B98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B97" i="11"/>
  <c r="I96" i="11"/>
  <c r="H96" i="11"/>
  <c r="G96" i="11"/>
  <c r="F96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B95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B94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B93" i="11"/>
  <c r="I92" i="11"/>
  <c r="H92" i="11"/>
  <c r="G92" i="11"/>
  <c r="F92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B91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B90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B89" i="11"/>
  <c r="I88" i="11"/>
  <c r="H88" i="11"/>
  <c r="G88" i="11"/>
  <c r="F88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B87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B86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B85" i="11"/>
  <c r="I84" i="11"/>
  <c r="H84" i="11"/>
  <c r="G84" i="11"/>
  <c r="F84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B83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B82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B81" i="11"/>
  <c r="I80" i="11"/>
  <c r="H80" i="11"/>
  <c r="G80" i="11"/>
  <c r="F80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B79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B78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B77" i="11"/>
  <c r="I76" i="11"/>
  <c r="H76" i="11"/>
  <c r="G76" i="11"/>
  <c r="F76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B75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B74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B73" i="11"/>
  <c r="I72" i="11"/>
  <c r="H72" i="11"/>
  <c r="G72" i="11"/>
  <c r="F72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B71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B70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B69" i="11"/>
  <c r="I68" i="11"/>
  <c r="H68" i="11"/>
  <c r="G68" i="11"/>
  <c r="F68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B67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B66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B65" i="11"/>
  <c r="I64" i="11"/>
  <c r="H64" i="11"/>
  <c r="G64" i="11"/>
  <c r="F64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B63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B62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B61" i="11"/>
  <c r="I60" i="11"/>
  <c r="H60" i="11"/>
  <c r="G60" i="11"/>
  <c r="F60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B59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B58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B57" i="11"/>
  <c r="I56" i="11"/>
  <c r="H56" i="11"/>
  <c r="G56" i="11"/>
  <c r="F56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B55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B54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B53" i="11"/>
  <c r="I52" i="11"/>
  <c r="H52" i="11"/>
  <c r="G52" i="11"/>
  <c r="F52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B51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B50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B49" i="11"/>
  <c r="I48" i="11"/>
  <c r="H48" i="11"/>
  <c r="G48" i="11"/>
  <c r="F48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B47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B46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B45" i="11"/>
  <c r="I44" i="11"/>
  <c r="H44" i="11"/>
  <c r="G44" i="11"/>
  <c r="F44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B43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B42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B41" i="11"/>
  <c r="I40" i="11"/>
  <c r="H40" i="11"/>
  <c r="G40" i="11"/>
  <c r="F40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B39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B38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B37" i="11"/>
  <c r="I36" i="11"/>
  <c r="H36" i="11"/>
  <c r="G36" i="11"/>
  <c r="F36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B35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B34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B33" i="11"/>
  <c r="I32" i="11"/>
  <c r="H32" i="11"/>
  <c r="G32" i="11"/>
  <c r="F32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B31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B30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B29" i="11"/>
  <c r="I28" i="11"/>
  <c r="H28" i="11"/>
  <c r="G28" i="11"/>
  <c r="F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B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B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B25" i="11"/>
  <c r="I24" i="11"/>
  <c r="H24" i="11"/>
  <c r="G24" i="11"/>
  <c r="F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B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B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B21" i="11"/>
  <c r="I20" i="11"/>
  <c r="H20" i="11"/>
  <c r="G20" i="11"/>
  <c r="F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B19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B18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B17" i="11"/>
  <c r="I16" i="11"/>
  <c r="H16" i="11"/>
  <c r="G16" i="11"/>
  <c r="F16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B15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B14" i="11"/>
  <c r="V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B13" i="11"/>
  <c r="H10" i="11"/>
  <c r="C3" i="11"/>
  <c r="AC3" i="11" s="1"/>
  <c r="C2" i="11"/>
  <c r="AC2" i="11" s="1"/>
  <c r="C1" i="11"/>
  <c r="AC1" i="11" s="1"/>
  <c r="P2" i="12" l="1"/>
  <c r="Q2" i="12"/>
  <c r="P1" i="12"/>
  <c r="Q1" i="12"/>
  <c r="L2" i="12"/>
  <c r="S1" i="12"/>
  <c r="O1" i="12"/>
  <c r="V1" i="12"/>
  <c r="N1" i="12"/>
  <c r="R2" i="12"/>
  <c r="O2" i="12"/>
  <c r="N2" i="12"/>
  <c r="M2" i="12"/>
  <c r="W1" i="12"/>
  <c r="R1" i="12"/>
  <c r="L1" i="12"/>
  <c r="J1" i="12"/>
  <c r="M1" i="12"/>
  <c r="V2" i="12"/>
  <c r="J2" i="12"/>
  <c r="S2" i="12"/>
  <c r="K2" i="12"/>
  <c r="K1" i="12"/>
  <c r="W2" i="12"/>
  <c r="Q3" i="12" l="1"/>
  <c r="S3" i="12"/>
  <c r="L3" i="12"/>
  <c r="M3" i="12"/>
  <c r="N3" i="12"/>
  <c r="O3" i="12"/>
  <c r="V3" i="12"/>
  <c r="R3" i="12"/>
  <c r="J3" i="12"/>
  <c r="P3" i="12"/>
  <c r="W3" i="12"/>
  <c r="K3" i="12"/>
  <c r="P100" i="1" l="1"/>
  <c r="P100" i="11" s="1"/>
  <c r="H92" i="9" l="1"/>
  <c r="U91" i="9" l="1"/>
  <c r="Q20" i="1" l="1"/>
  <c r="Q20" i="11" s="1"/>
  <c r="N56" i="1" l="1"/>
  <c r="N56" i="11" s="1"/>
  <c r="H83" i="9" l="1"/>
  <c r="H84" i="12" l="1"/>
  <c r="U46" i="12"/>
  <c r="U107" i="9" l="1"/>
  <c r="U108" i="12" s="1"/>
  <c r="U104" i="12"/>
  <c r="U106" i="9"/>
  <c r="U107" i="12" s="1"/>
  <c r="J64" i="1" l="1"/>
  <c r="J64" i="11" s="1"/>
  <c r="M68" i="1"/>
  <c r="M68" i="11" s="1"/>
  <c r="R48" i="1" l="1"/>
  <c r="R48" i="11" s="1"/>
  <c r="L48" i="1"/>
  <c r="L48" i="11" s="1"/>
  <c r="K48" i="1"/>
  <c r="K48" i="11" s="1"/>
  <c r="U47" i="12" l="1"/>
  <c r="O36" i="11"/>
  <c r="T23" i="12" l="1"/>
  <c r="U23" i="12"/>
  <c r="W84" i="11" l="1"/>
  <c r="T88" i="9" l="1"/>
  <c r="U88" i="9"/>
  <c r="T89" i="9"/>
  <c r="U89" i="9"/>
  <c r="T90" i="9"/>
  <c r="T91" i="12" s="1"/>
  <c r="H41" i="9"/>
  <c r="U89" i="12" l="1"/>
  <c r="T89" i="12"/>
  <c r="T59" i="9"/>
  <c r="U59" i="9"/>
  <c r="T60" i="9"/>
  <c r="U60" i="9"/>
  <c r="T61" i="9"/>
  <c r="U61" i="9"/>
  <c r="T62" i="9"/>
  <c r="U62" i="9"/>
  <c r="T63" i="9"/>
  <c r="U63" i="9"/>
  <c r="T64" i="9"/>
  <c r="X64" i="9" s="1"/>
  <c r="U64" i="9"/>
  <c r="Y64" i="9" s="1"/>
  <c r="T65" i="9"/>
  <c r="U65" i="9"/>
  <c r="T66" i="9"/>
  <c r="U66" i="9"/>
  <c r="T67" i="9"/>
  <c r="U67" i="9"/>
  <c r="T68" i="9"/>
  <c r="U68" i="9"/>
  <c r="T69" i="9"/>
  <c r="U69" i="9"/>
  <c r="T70" i="9"/>
  <c r="U70" i="9"/>
  <c r="T71" i="9"/>
  <c r="U71" i="9"/>
  <c r="T72" i="9"/>
  <c r="U72" i="9"/>
  <c r="T73" i="9"/>
  <c r="U73" i="9"/>
  <c r="T74" i="9"/>
  <c r="U74" i="9"/>
  <c r="T75" i="9"/>
  <c r="U75" i="9"/>
  <c r="T76" i="9"/>
  <c r="U76" i="9"/>
  <c r="H61" i="9"/>
  <c r="H62" i="12" s="1"/>
  <c r="H62" i="9"/>
  <c r="H63" i="12" s="1"/>
  <c r="H64" i="12"/>
  <c r="H64" i="9"/>
  <c r="H65" i="12" s="1"/>
  <c r="H65" i="9"/>
  <c r="H66" i="12" s="1"/>
  <c r="H66" i="9"/>
  <c r="H67" i="12" s="1"/>
  <c r="H67" i="9"/>
  <c r="H68" i="9"/>
  <c r="H69" i="12" s="1"/>
  <c r="H69" i="9"/>
  <c r="H70" i="12" s="1"/>
  <c r="H70" i="9"/>
  <c r="H71" i="12" s="1"/>
  <c r="H71" i="9"/>
  <c r="H72" i="12" s="1"/>
  <c r="H72" i="9"/>
  <c r="H73" i="12" s="1"/>
  <c r="H73" i="9"/>
  <c r="H74" i="9"/>
  <c r="H75" i="9"/>
  <c r="H76" i="12" s="1"/>
  <c r="H76" i="9"/>
  <c r="H77" i="12" s="1"/>
  <c r="F56" i="9"/>
  <c r="F57" i="12" s="1"/>
  <c r="F77" i="9"/>
  <c r="F78" i="12" s="1"/>
  <c r="H77" i="9"/>
  <c r="H78" i="12" s="1"/>
  <c r="H58" i="12"/>
  <c r="H58" i="9"/>
  <c r="H59" i="12" s="1"/>
  <c r="H59" i="9"/>
  <c r="H60" i="12" s="1"/>
  <c r="H60" i="9"/>
  <c r="H61" i="12" s="1"/>
  <c r="H68" i="12" l="1"/>
  <c r="H74" i="12"/>
  <c r="H75" i="12"/>
  <c r="Y74" i="9"/>
  <c r="Y75" i="12" s="1"/>
  <c r="U75" i="12"/>
  <c r="Y71" i="9"/>
  <c r="Y72" i="12" s="1"/>
  <c r="U72" i="12"/>
  <c r="X74" i="9"/>
  <c r="X75" i="12" s="1"/>
  <c r="T75" i="12"/>
  <c r="X71" i="9"/>
  <c r="X72" i="12" s="1"/>
  <c r="T72" i="12"/>
  <c r="X68" i="9"/>
  <c r="X69" i="12" s="1"/>
  <c r="T69" i="12"/>
  <c r="Y76" i="9"/>
  <c r="Y77" i="12" s="1"/>
  <c r="U77" i="12"/>
  <c r="Y73" i="9"/>
  <c r="Y74" i="12" s="1"/>
  <c r="U74" i="12"/>
  <c r="Y70" i="9"/>
  <c r="Y71" i="12" s="1"/>
  <c r="U71" i="12"/>
  <c r="X76" i="9"/>
  <c r="X77" i="12" s="1"/>
  <c r="T77" i="12"/>
  <c r="X73" i="9"/>
  <c r="X74" i="12" s="1"/>
  <c r="T74" i="12"/>
  <c r="X70" i="9"/>
  <c r="X71" i="12" s="1"/>
  <c r="T71" i="12"/>
  <c r="X67" i="9"/>
  <c r="X68" i="12" s="1"/>
  <c r="T68" i="12"/>
  <c r="Y75" i="9"/>
  <c r="Y76" i="12" s="1"/>
  <c r="U76" i="12"/>
  <c r="Y72" i="9"/>
  <c r="Y73" i="12" s="1"/>
  <c r="U73" i="12"/>
  <c r="Y69" i="9"/>
  <c r="Y70" i="12" s="1"/>
  <c r="U70" i="12"/>
  <c r="X75" i="9"/>
  <c r="X76" i="12" s="1"/>
  <c r="T76" i="12"/>
  <c r="X72" i="9"/>
  <c r="X73" i="12" s="1"/>
  <c r="T73" i="12"/>
  <c r="X69" i="9"/>
  <c r="X70" i="12" s="1"/>
  <c r="T70" i="12"/>
  <c r="X66" i="9"/>
  <c r="X67" i="12" s="1"/>
  <c r="T67" i="12"/>
  <c r="Y68" i="9"/>
  <c r="Y69" i="12" s="1"/>
  <c r="U69" i="12"/>
  <c r="Y67" i="9"/>
  <c r="Y68" i="12" s="1"/>
  <c r="U68" i="12"/>
  <c r="Y66" i="9"/>
  <c r="Y67" i="12" s="1"/>
  <c r="U67" i="12"/>
  <c r="Y65" i="9"/>
  <c r="Y66" i="12" s="1"/>
  <c r="U66" i="12"/>
  <c r="Y59" i="9"/>
  <c r="Y60" i="12" s="1"/>
  <c r="U60" i="12"/>
  <c r="X65" i="9"/>
  <c r="X66" i="12" s="1"/>
  <c r="T66" i="12"/>
  <c r="X59" i="9"/>
  <c r="X60" i="12" s="1"/>
  <c r="T60" i="12"/>
  <c r="Y58" i="9"/>
  <c r="Y59" i="12" s="1"/>
  <c r="U59" i="12"/>
  <c r="Y57" i="9"/>
  <c r="Y58" i="12" s="1"/>
  <c r="U58" i="12"/>
  <c r="Y62" i="9"/>
  <c r="Y63" i="12" s="1"/>
  <c r="U63" i="12"/>
  <c r="X62" i="9"/>
  <c r="X63" i="12" s="1"/>
  <c r="T63" i="12"/>
  <c r="Y65" i="12"/>
  <c r="U65" i="12"/>
  <c r="Y61" i="9"/>
  <c r="Y62" i="12" s="1"/>
  <c r="U62" i="12"/>
  <c r="X65" i="12"/>
  <c r="T65" i="12"/>
  <c r="X61" i="9"/>
  <c r="X62" i="12" s="1"/>
  <c r="T62" i="12"/>
  <c r="X58" i="9"/>
  <c r="X59" i="12" s="1"/>
  <c r="T59" i="12"/>
  <c r="Y63" i="9"/>
  <c r="Y64" i="12" s="1"/>
  <c r="U64" i="12"/>
  <c r="Y60" i="9"/>
  <c r="Y61" i="12" s="1"/>
  <c r="U61" i="12"/>
  <c r="X63" i="9"/>
  <c r="X64" i="12" s="1"/>
  <c r="T64" i="12"/>
  <c r="X60" i="9"/>
  <c r="X61" i="12" s="1"/>
  <c r="T61" i="12"/>
  <c r="X57" i="9"/>
  <c r="X58" i="12" s="1"/>
  <c r="T58" i="12"/>
  <c r="M32" i="1" l="1"/>
  <c r="M32" i="11" s="1"/>
  <c r="O108" i="1" l="1"/>
  <c r="O108" i="11" s="1"/>
  <c r="R64" i="1" l="1"/>
  <c r="R64" i="11" s="1"/>
  <c r="S64" i="11"/>
  <c r="R72" i="1" l="1"/>
  <c r="R72" i="11" s="1"/>
  <c r="C3" i="9"/>
  <c r="C3" i="12" s="1"/>
  <c r="AD3" i="12" s="1"/>
  <c r="C1" i="9"/>
  <c r="C1" i="12" l="1"/>
  <c r="AD1" i="12" s="1"/>
  <c r="P112" i="1"/>
  <c r="P112" i="11" s="1"/>
  <c r="U93" i="11" l="1"/>
  <c r="T93" i="11"/>
  <c r="T20" i="12" l="1"/>
  <c r="U20" i="12"/>
  <c r="T21" i="12"/>
  <c r="U21" i="12"/>
  <c r="T22" i="12"/>
  <c r="U22" i="12"/>
  <c r="U19" i="12"/>
  <c r="T19" i="12" l="1"/>
  <c r="X19" i="9"/>
  <c r="V100" i="1"/>
  <c r="V100" i="11" s="1"/>
  <c r="W100" i="1"/>
  <c r="W100" i="11" s="1"/>
  <c r="T69" i="11"/>
  <c r="U69" i="11"/>
  <c r="T70" i="11"/>
  <c r="U70" i="11"/>
  <c r="T71" i="11"/>
  <c r="U71" i="11"/>
  <c r="Y91" i="9"/>
  <c r="U42" i="12" l="1"/>
  <c r="U43" i="12"/>
  <c r="U44" i="12"/>
  <c r="U41" i="12"/>
  <c r="T42" i="12"/>
  <c r="T43" i="12"/>
  <c r="W1" i="9"/>
  <c r="AX1" i="12" s="1"/>
  <c r="AX2" i="12"/>
  <c r="X43" i="9" l="1"/>
  <c r="T44" i="12"/>
  <c r="T101" i="11"/>
  <c r="U87" i="11" l="1"/>
  <c r="U86" i="11"/>
  <c r="U85" i="11"/>
  <c r="T87" i="11"/>
  <c r="T86" i="11"/>
  <c r="T85" i="11"/>
  <c r="O84" i="1" l="1"/>
  <c r="O84" i="11" s="1"/>
  <c r="T38" i="12" l="1"/>
  <c r="U38" i="12"/>
  <c r="U113" i="9" l="1"/>
  <c r="U114" i="12" s="1"/>
  <c r="U114" i="9"/>
  <c r="U115" i="12" s="1"/>
  <c r="U115" i="9"/>
  <c r="U116" i="12" s="1"/>
  <c r="S120" i="1" l="1"/>
  <c r="S120" i="11" s="1"/>
  <c r="O72" i="1" l="1"/>
  <c r="O72" i="11" s="1"/>
  <c r="T29" i="11" l="1"/>
  <c r="W13" i="5" l="1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42" i="5"/>
  <c r="T53" i="12"/>
  <c r="T77" i="9"/>
  <c r="T78" i="12" s="1"/>
  <c r="H56" i="9"/>
  <c r="H57" i="12" s="1"/>
  <c r="H55" i="9"/>
  <c r="H54" i="9"/>
  <c r="H55" i="12" s="1"/>
  <c r="K128" i="1" l="1"/>
  <c r="K128" i="11" s="1"/>
  <c r="Q124" i="1" l="1"/>
  <c r="Q124" i="11" s="1"/>
  <c r="N124" i="1"/>
  <c r="N124" i="11" s="1"/>
  <c r="K124" i="1"/>
  <c r="K124" i="11" s="1"/>
  <c r="L124" i="1"/>
  <c r="L124" i="11" s="1"/>
  <c r="M124" i="1"/>
  <c r="M124" i="11" s="1"/>
  <c r="J124" i="1"/>
  <c r="J124" i="11" s="1"/>
  <c r="J72" i="1"/>
  <c r="J72" i="11" s="1"/>
  <c r="W68" i="1"/>
  <c r="W68" i="11" s="1"/>
  <c r="S68" i="1"/>
  <c r="S68" i="11" s="1"/>
  <c r="Q68" i="1"/>
  <c r="Q68" i="11" s="1"/>
  <c r="O68" i="1"/>
  <c r="O68" i="11" s="1"/>
  <c r="X77" i="9" l="1"/>
  <c r="X78" i="12" s="1"/>
  <c r="X52" i="9"/>
  <c r="F100" i="9" l="1"/>
  <c r="F101" i="12" s="1"/>
  <c r="X13" i="1" l="1"/>
  <c r="X13" i="11" s="1"/>
  <c r="T13" i="11"/>
  <c r="W3" i="9"/>
  <c r="AX3" i="12" s="1"/>
  <c r="V1" i="9"/>
  <c r="AW1" i="12" s="1"/>
  <c r="S1" i="9"/>
  <c r="AT1" i="12" s="1"/>
  <c r="R1" i="9"/>
  <c r="AS1" i="12" s="1"/>
  <c r="Q1" i="9"/>
  <c r="AR1" i="12" s="1"/>
  <c r="P1" i="9"/>
  <c r="AQ1" i="12" s="1"/>
  <c r="L1" i="9"/>
  <c r="AM1" i="12" s="1"/>
  <c r="J1" i="9"/>
  <c r="AK1" i="12" s="1"/>
  <c r="K1" i="9"/>
  <c r="AL1" i="12" s="1"/>
  <c r="U77" i="9"/>
  <c r="U1" i="9" s="1"/>
  <c r="I77" i="9"/>
  <c r="I78" i="12" s="1"/>
  <c r="I56" i="9"/>
  <c r="I57" i="12" s="1"/>
  <c r="X56" i="9" l="1"/>
  <c r="X57" i="12" s="1"/>
  <c r="T57" i="12"/>
  <c r="Y77" i="9"/>
  <c r="Y78" i="12" s="1"/>
  <c r="U78" i="12"/>
  <c r="Y56" i="9"/>
  <c r="Y57" i="12" s="1"/>
  <c r="U57" i="12"/>
  <c r="I55" i="9"/>
  <c r="F55" i="9"/>
  <c r="F54" i="9"/>
  <c r="F55" i="12" s="1"/>
  <c r="X55" i="9" l="1"/>
  <c r="T56" i="12"/>
  <c r="Y55" i="9"/>
  <c r="U56" i="12"/>
  <c r="I52" i="9"/>
  <c r="H52" i="9"/>
  <c r="F52" i="9"/>
  <c r="Y53" i="9" l="1"/>
  <c r="U54" i="12"/>
  <c r="Y52" i="9"/>
  <c r="U53" i="12"/>
  <c r="H48" i="9"/>
  <c r="N1" i="9"/>
  <c r="AO1" i="12" s="1"/>
  <c r="U49" i="11" l="1"/>
  <c r="J48" i="11"/>
  <c r="S44" i="1"/>
  <c r="S44" i="11" s="1"/>
  <c r="X30" i="1" l="1"/>
  <c r="X30" i="11" s="1"/>
  <c r="T30" i="11"/>
  <c r="O1" i="9"/>
  <c r="AP1" i="12" s="1"/>
  <c r="M1" i="9"/>
  <c r="AN1" i="12" s="1"/>
  <c r="S88" i="1" l="1"/>
  <c r="S88" i="11" s="1"/>
  <c r="P24" i="1" l="1"/>
  <c r="P24" i="11" s="1"/>
  <c r="T77" i="11" l="1"/>
  <c r="U26" i="11" l="1"/>
  <c r="T26" i="11"/>
  <c r="S40" i="1" l="1"/>
  <c r="S40" i="11" s="1"/>
  <c r="O40" i="1"/>
  <c r="O40" i="11" s="1"/>
  <c r="N40" i="1"/>
  <c r="N40" i="11" s="1"/>
  <c r="P40" i="1"/>
  <c r="P40" i="11" s="1"/>
  <c r="Q40" i="1"/>
  <c r="Q40" i="11" s="1"/>
  <c r="R40" i="1"/>
  <c r="R40" i="11" s="1"/>
  <c r="L40" i="1"/>
  <c r="L40" i="11" s="1"/>
  <c r="M40" i="1"/>
  <c r="M40" i="11" s="1"/>
  <c r="Q28" i="1" l="1"/>
  <c r="Q28" i="11" s="1"/>
  <c r="M28" i="1"/>
  <c r="M28" i="11" s="1"/>
  <c r="J28" i="1"/>
  <c r="J28" i="11" s="1"/>
  <c r="X37" i="1" l="1"/>
  <c r="X37" i="11" s="1"/>
  <c r="T37" i="11"/>
  <c r="U15" i="11"/>
  <c r="U14" i="11"/>
  <c r="U23" i="11"/>
  <c r="U22" i="11"/>
  <c r="S24" i="1"/>
  <c r="S24" i="11" s="1"/>
  <c r="Q24" i="1"/>
  <c r="Q24" i="11" s="1"/>
  <c r="W24" i="11"/>
  <c r="V24" i="11"/>
  <c r="U30" i="12" l="1"/>
  <c r="X31" i="9"/>
  <c r="T32" i="12"/>
  <c r="S20" i="1"/>
  <c r="S20" i="11" s="1"/>
  <c r="U19" i="11"/>
  <c r="U18" i="11"/>
  <c r="O20" i="11"/>
  <c r="M20" i="1"/>
  <c r="M20" i="11" s="1"/>
  <c r="L20" i="1"/>
  <c r="L20" i="11" s="1"/>
  <c r="X56" i="12" l="1"/>
  <c r="U24" i="1"/>
  <c r="U24" i="11" s="1"/>
  <c r="U21" i="11"/>
  <c r="K20" i="1"/>
  <c r="K20" i="11" s="1"/>
  <c r="U20" i="1" l="1"/>
  <c r="U20" i="11" s="1"/>
  <c r="U17" i="11"/>
  <c r="V9" i="5"/>
  <c r="U9" i="5"/>
  <c r="T9" i="5"/>
  <c r="S9" i="5"/>
  <c r="R9" i="5"/>
  <c r="U16" i="1" l="1"/>
  <c r="U16" i="11" s="1"/>
  <c r="U13" i="11"/>
  <c r="J74" i="5"/>
  <c r="J73" i="5"/>
  <c r="J72" i="5"/>
  <c r="J71" i="5"/>
  <c r="J70" i="5" l="1"/>
  <c r="J69" i="5"/>
  <c r="J68" i="5"/>
  <c r="J67" i="5"/>
  <c r="J66" i="5" l="1"/>
  <c r="J65" i="5"/>
  <c r="J64" i="5"/>
  <c r="J63" i="5"/>
  <c r="J62" i="5" l="1"/>
  <c r="J61" i="5"/>
  <c r="J60" i="5"/>
  <c r="J59" i="5"/>
  <c r="J58" i="5"/>
  <c r="J57" i="5"/>
  <c r="J56" i="5"/>
  <c r="J55" i="5"/>
  <c r="J54" i="5"/>
  <c r="J53" i="5"/>
  <c r="J52" i="5"/>
  <c r="J51" i="5"/>
  <c r="E9" i="5" l="1"/>
  <c r="F9" i="5"/>
  <c r="G9" i="5"/>
  <c r="H9" i="5"/>
  <c r="I9" i="5"/>
  <c r="W51" i="5" l="1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9" i="5" l="1"/>
  <c r="J50" i="5"/>
  <c r="J49" i="5"/>
  <c r="J48" i="5"/>
  <c r="J47" i="5"/>
  <c r="J46" i="5"/>
  <c r="J45" i="5"/>
  <c r="J44" i="5"/>
  <c r="J43" i="5"/>
  <c r="J9" i="5" l="1"/>
  <c r="F13" i="9"/>
  <c r="H14" i="12" l="1"/>
  <c r="I129" i="9" l="1"/>
  <c r="I130" i="12" s="1"/>
  <c r="H129" i="9"/>
  <c r="H130" i="12" s="1"/>
  <c r="F129" i="9"/>
  <c r="F130" i="12" s="1"/>
  <c r="U82" i="9"/>
  <c r="T82" i="9"/>
  <c r="U129" i="9"/>
  <c r="U130" i="12" s="1"/>
  <c r="T129" i="9"/>
  <c r="T130" i="12" s="1"/>
  <c r="U128" i="9"/>
  <c r="U129" i="12" s="1"/>
  <c r="T128" i="9"/>
  <c r="T129" i="12" s="1"/>
  <c r="U127" i="9"/>
  <c r="U128" i="12" s="1"/>
  <c r="T127" i="9"/>
  <c r="T128" i="12" s="1"/>
  <c r="U126" i="9"/>
  <c r="U127" i="12" s="1"/>
  <c r="T126" i="9"/>
  <c r="T127" i="12" s="1"/>
  <c r="U125" i="9"/>
  <c r="U126" i="12" s="1"/>
  <c r="T125" i="9"/>
  <c r="T126" i="12" s="1"/>
  <c r="I128" i="9"/>
  <c r="I129" i="12" s="1"/>
  <c r="H128" i="9"/>
  <c r="H129" i="12" s="1"/>
  <c r="F128" i="9"/>
  <c r="F129" i="12" s="1"/>
  <c r="I127" i="9"/>
  <c r="I128" i="12" s="1"/>
  <c r="H127" i="9"/>
  <c r="H128" i="12" s="1"/>
  <c r="F127" i="9"/>
  <c r="F128" i="12" s="1"/>
  <c r="I126" i="9"/>
  <c r="I127" i="12" s="1"/>
  <c r="H126" i="9"/>
  <c r="H127" i="12" s="1"/>
  <c r="F126" i="9"/>
  <c r="F127" i="12" s="1"/>
  <c r="I125" i="9"/>
  <c r="I126" i="12" s="1"/>
  <c r="H125" i="9"/>
  <c r="H126" i="12" s="1"/>
  <c r="F125" i="9"/>
  <c r="F126" i="12" s="1"/>
  <c r="I82" i="9"/>
  <c r="F82" i="9"/>
  <c r="Y127" i="9" l="1"/>
  <c r="Y128" i="12" s="1"/>
  <c r="X126" i="9"/>
  <c r="X127" i="12" s="1"/>
  <c r="Y126" i="9"/>
  <c r="Y127" i="12" s="1"/>
  <c r="X128" i="9"/>
  <c r="X129" i="12" s="1"/>
  <c r="Y129" i="9"/>
  <c r="Y130" i="12" s="1"/>
  <c r="X125" i="9"/>
  <c r="X126" i="12" s="1"/>
  <c r="Y125" i="9"/>
  <c r="Y126" i="12" s="1"/>
  <c r="Y128" i="9"/>
  <c r="Y129" i="12" s="1"/>
  <c r="X129" i="9"/>
  <c r="X130" i="12" s="1"/>
  <c r="X127" i="9"/>
  <c r="X128" i="12" s="1"/>
  <c r="X82" i="9"/>
  <c r="Y82" i="9"/>
  <c r="AK2" i="12"/>
  <c r="K3" i="9" l="1"/>
  <c r="AL2" i="12"/>
  <c r="F12" i="10"/>
  <c r="I6" i="6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F3" i="6"/>
  <c r="E3" i="6"/>
  <c r="E1" i="6" s="1"/>
  <c r="I144" i="9"/>
  <c r="I145" i="12" s="1"/>
  <c r="H144" i="9"/>
  <c r="H145" i="12" s="1"/>
  <c r="I143" i="9"/>
  <c r="I144" i="12" s="1"/>
  <c r="H143" i="9"/>
  <c r="H144" i="12" s="1"/>
  <c r="I142" i="9"/>
  <c r="I143" i="12" s="1"/>
  <c r="H142" i="9"/>
  <c r="H143" i="12" s="1"/>
  <c r="I141" i="9"/>
  <c r="I142" i="12" s="1"/>
  <c r="H141" i="9"/>
  <c r="H142" i="12" s="1"/>
  <c r="I140" i="9"/>
  <c r="I141" i="12" s="1"/>
  <c r="H140" i="9"/>
  <c r="H141" i="12" s="1"/>
  <c r="I139" i="9"/>
  <c r="I140" i="12" s="1"/>
  <c r="H139" i="9"/>
  <c r="H140" i="12" s="1"/>
  <c r="I138" i="9"/>
  <c r="I139" i="12" s="1"/>
  <c r="H138" i="9"/>
  <c r="H139" i="12" s="1"/>
  <c r="I137" i="9"/>
  <c r="I138" i="12" s="1"/>
  <c r="H137" i="9"/>
  <c r="H138" i="12" s="1"/>
  <c r="I136" i="9"/>
  <c r="I137" i="12" s="1"/>
  <c r="H136" i="9"/>
  <c r="H137" i="12" s="1"/>
  <c r="I135" i="9"/>
  <c r="I136" i="12" s="1"/>
  <c r="H135" i="9"/>
  <c r="H136" i="12" s="1"/>
  <c r="I134" i="9"/>
  <c r="I135" i="12" s="1"/>
  <c r="H134" i="9"/>
  <c r="H135" i="12" s="1"/>
  <c r="I133" i="9"/>
  <c r="I134" i="12" s="1"/>
  <c r="H133" i="9"/>
  <c r="H134" i="12" s="1"/>
  <c r="I132" i="9"/>
  <c r="I133" i="12" s="1"/>
  <c r="H132" i="9"/>
  <c r="H133" i="12" s="1"/>
  <c r="I131" i="9"/>
  <c r="I132" i="12" s="1"/>
  <c r="H131" i="9"/>
  <c r="H132" i="12" s="1"/>
  <c r="I130" i="9"/>
  <c r="I131" i="12" s="1"/>
  <c r="H130" i="9"/>
  <c r="H131" i="12" s="1"/>
  <c r="I124" i="9"/>
  <c r="I125" i="12" s="1"/>
  <c r="H124" i="9"/>
  <c r="H125" i="12" s="1"/>
  <c r="I123" i="9"/>
  <c r="I124" i="12" s="1"/>
  <c r="H123" i="9"/>
  <c r="H124" i="12" s="1"/>
  <c r="I122" i="9"/>
  <c r="I123" i="12" s="1"/>
  <c r="H122" i="9"/>
  <c r="H123" i="12" s="1"/>
  <c r="I121" i="9"/>
  <c r="I122" i="12" s="1"/>
  <c r="H121" i="9"/>
  <c r="H122" i="12" s="1"/>
  <c r="I120" i="9"/>
  <c r="I121" i="12" s="1"/>
  <c r="H120" i="9"/>
  <c r="H121" i="12" s="1"/>
  <c r="I119" i="9"/>
  <c r="I120" i="12" s="1"/>
  <c r="H119" i="9"/>
  <c r="H120" i="12" s="1"/>
  <c r="I118" i="9"/>
  <c r="I119" i="12" s="1"/>
  <c r="H118" i="9"/>
  <c r="H119" i="12" s="1"/>
  <c r="I117" i="9"/>
  <c r="I118" i="12" s="1"/>
  <c r="I116" i="9"/>
  <c r="I117" i="12" s="1"/>
  <c r="H116" i="9"/>
  <c r="H117" i="12" s="1"/>
  <c r="I115" i="9"/>
  <c r="I116" i="12" s="1"/>
  <c r="H115" i="9"/>
  <c r="H116" i="12" s="1"/>
  <c r="I114" i="9"/>
  <c r="I115" i="12" s="1"/>
  <c r="H114" i="9"/>
  <c r="H115" i="12" s="1"/>
  <c r="I113" i="9"/>
  <c r="I114" i="12" s="1"/>
  <c r="H113" i="9"/>
  <c r="H114" i="12" s="1"/>
  <c r="I112" i="9"/>
  <c r="I113" i="12" s="1"/>
  <c r="H112" i="9"/>
  <c r="H113" i="12" s="1"/>
  <c r="I111" i="9"/>
  <c r="I112" i="12" s="1"/>
  <c r="H111" i="9"/>
  <c r="H112" i="12" s="1"/>
  <c r="I108" i="9"/>
  <c r="I109" i="12" s="1"/>
  <c r="H108" i="9"/>
  <c r="H109" i="12" s="1"/>
  <c r="I107" i="9"/>
  <c r="I108" i="12" s="1"/>
  <c r="I106" i="9"/>
  <c r="I107" i="12" s="1"/>
  <c r="H106" i="9"/>
  <c r="H107" i="12" s="1"/>
  <c r="I105" i="9"/>
  <c r="I106" i="12" s="1"/>
  <c r="H105" i="9"/>
  <c r="H106" i="12" s="1"/>
  <c r="I104" i="9"/>
  <c r="I105" i="12" s="1"/>
  <c r="H104" i="9"/>
  <c r="H105" i="12" s="1"/>
  <c r="I103" i="9"/>
  <c r="I104" i="12" s="1"/>
  <c r="H103" i="9"/>
  <c r="H104" i="12" s="1"/>
  <c r="I102" i="9"/>
  <c r="I103" i="12" s="1"/>
  <c r="H102" i="9"/>
  <c r="H103" i="12" s="1"/>
  <c r="I101" i="9"/>
  <c r="I102" i="12" s="1"/>
  <c r="H101" i="9"/>
  <c r="H102" i="12" s="1"/>
  <c r="I100" i="9"/>
  <c r="I101" i="12" s="1"/>
  <c r="H100" i="9"/>
  <c r="H101" i="12" s="1"/>
  <c r="I99" i="9"/>
  <c r="I100" i="12" s="1"/>
  <c r="H99" i="9"/>
  <c r="H100" i="12" s="1"/>
  <c r="I98" i="9"/>
  <c r="I99" i="12" s="1"/>
  <c r="H98" i="9"/>
  <c r="H99" i="12" s="1"/>
  <c r="I97" i="9"/>
  <c r="I98" i="12" s="1"/>
  <c r="H97" i="9"/>
  <c r="H98" i="12" s="1"/>
  <c r="I96" i="9"/>
  <c r="I97" i="12" s="1"/>
  <c r="H96" i="9"/>
  <c r="H97" i="12" s="1"/>
  <c r="I95" i="9"/>
  <c r="H95" i="9"/>
  <c r="H96" i="12" s="1"/>
  <c r="I94" i="9"/>
  <c r="H94" i="9"/>
  <c r="H95" i="12" s="1"/>
  <c r="I93" i="9"/>
  <c r="H93" i="9"/>
  <c r="I92" i="9"/>
  <c r="I91" i="9"/>
  <c r="H91" i="9"/>
  <c r="I90" i="9"/>
  <c r="I91" i="12" s="1"/>
  <c r="H90" i="9"/>
  <c r="H91" i="12" s="1"/>
  <c r="I89" i="9"/>
  <c r="H89" i="9"/>
  <c r="I88" i="9"/>
  <c r="I89" i="12" s="1"/>
  <c r="H88" i="9"/>
  <c r="H89" i="12" s="1"/>
  <c r="I87" i="9"/>
  <c r="I86" i="9"/>
  <c r="H86" i="9"/>
  <c r="I85" i="9"/>
  <c r="I86" i="12" s="1"/>
  <c r="H85" i="9"/>
  <c r="H86" i="12" s="1"/>
  <c r="I84" i="9"/>
  <c r="H84" i="9"/>
  <c r="I83" i="9"/>
  <c r="I84" i="12" s="1"/>
  <c r="I54" i="9"/>
  <c r="I55" i="12" s="1"/>
  <c r="I53" i="9"/>
  <c r="I51" i="9"/>
  <c r="I52" i="12" s="1"/>
  <c r="I50" i="9"/>
  <c r="I49" i="9"/>
  <c r="I48" i="9"/>
  <c r="I47" i="9"/>
  <c r="I48" i="12" s="1"/>
  <c r="I46" i="9"/>
  <c r="I44" i="9"/>
  <c r="I43" i="9"/>
  <c r="I42" i="9"/>
  <c r="I41" i="9"/>
  <c r="I40" i="9"/>
  <c r="I41" i="12" s="1"/>
  <c r="I39" i="9"/>
  <c r="I38" i="9"/>
  <c r="I37" i="9"/>
  <c r="I36" i="9"/>
  <c r="I35" i="9"/>
  <c r="I36" i="12" s="1"/>
  <c r="I34" i="9"/>
  <c r="I35" i="12" s="1"/>
  <c r="I33" i="9"/>
  <c r="I34" i="12" s="1"/>
  <c r="I32" i="9"/>
  <c r="I33" i="12" s="1"/>
  <c r="I31" i="9"/>
  <c r="I30" i="9"/>
  <c r="I30" i="12"/>
  <c r="I29" i="9"/>
  <c r="I29" i="12" s="1"/>
  <c r="I28" i="9"/>
  <c r="I28" i="12" s="1"/>
  <c r="I27" i="9"/>
  <c r="I26" i="9"/>
  <c r="I26" i="12" s="1"/>
  <c r="I25" i="9"/>
  <c r="I25" i="12" s="1"/>
  <c r="I24" i="9"/>
  <c r="I24" i="12" s="1"/>
  <c r="I23" i="9"/>
  <c r="I23" i="12" s="1"/>
  <c r="I22" i="9"/>
  <c r="I22" i="12" s="1"/>
  <c r="I21" i="9"/>
  <c r="I21" i="12" s="1"/>
  <c r="I20" i="9"/>
  <c r="I19" i="9"/>
  <c r="I18" i="9"/>
  <c r="I17" i="9"/>
  <c r="I17" i="12" s="1"/>
  <c r="I16" i="9"/>
  <c r="I16" i="12" s="1"/>
  <c r="I15" i="9"/>
  <c r="I15" i="12" s="1"/>
  <c r="I13" i="9"/>
  <c r="H53" i="9"/>
  <c r="H51" i="9"/>
  <c r="H50" i="9"/>
  <c r="H51" i="12" s="1"/>
  <c r="H49" i="9"/>
  <c r="H47" i="9"/>
  <c r="H44" i="9"/>
  <c r="H43" i="9"/>
  <c r="H42" i="9"/>
  <c r="H40" i="9"/>
  <c r="H41" i="12" s="1"/>
  <c r="H39" i="9"/>
  <c r="H40" i="12" s="1"/>
  <c r="H38" i="9"/>
  <c r="H37" i="9"/>
  <c r="H38" i="12" s="1"/>
  <c r="H36" i="9"/>
  <c r="H37" i="12" s="1"/>
  <c r="H35" i="9"/>
  <c r="H36" i="12" s="1"/>
  <c r="H35" i="12"/>
  <c r="H33" i="9"/>
  <c r="H34" i="12" s="1"/>
  <c r="H32" i="9"/>
  <c r="H31" i="9"/>
  <c r="H30" i="9"/>
  <c r="H31" i="12" s="1"/>
  <c r="H30" i="12"/>
  <c r="H29" i="9"/>
  <c r="H29" i="12" s="1"/>
  <c r="H28" i="12"/>
  <c r="H27" i="9"/>
  <c r="H26" i="9"/>
  <c r="H25" i="9"/>
  <c r="H25" i="12" s="1"/>
  <c r="H24" i="9"/>
  <c r="H24" i="12" s="1"/>
  <c r="H23" i="9"/>
  <c r="H23" i="12" s="1"/>
  <c r="H22" i="9"/>
  <c r="H21" i="9"/>
  <c r="H20" i="9"/>
  <c r="H19" i="9"/>
  <c r="H19" i="12" s="1"/>
  <c r="H18" i="9"/>
  <c r="H18" i="12" s="1"/>
  <c r="H17" i="9"/>
  <c r="H17" i="12" s="1"/>
  <c r="H16" i="9"/>
  <c r="H13" i="12"/>
  <c r="F144" i="9"/>
  <c r="F145" i="12" s="1"/>
  <c r="F143" i="9"/>
  <c r="F144" i="12" s="1"/>
  <c r="F142" i="9"/>
  <c r="F143" i="12" s="1"/>
  <c r="F141" i="9"/>
  <c r="F142" i="12" s="1"/>
  <c r="F140" i="9"/>
  <c r="F141" i="12" s="1"/>
  <c r="F139" i="9"/>
  <c r="F140" i="12" s="1"/>
  <c r="F138" i="9"/>
  <c r="F139" i="12" s="1"/>
  <c r="F137" i="9"/>
  <c r="F138" i="12" s="1"/>
  <c r="F136" i="9"/>
  <c r="F137" i="12" s="1"/>
  <c r="F135" i="9"/>
  <c r="F136" i="12" s="1"/>
  <c r="F134" i="9"/>
  <c r="F135" i="12" s="1"/>
  <c r="F133" i="9"/>
  <c r="F134" i="12" s="1"/>
  <c r="F132" i="9"/>
  <c r="F133" i="12" s="1"/>
  <c r="F131" i="9"/>
  <c r="F132" i="12" s="1"/>
  <c r="F130" i="9"/>
  <c r="F131" i="12" s="1"/>
  <c r="F124" i="9"/>
  <c r="F125" i="12" s="1"/>
  <c r="F123" i="9"/>
  <c r="F124" i="12" s="1"/>
  <c r="F122" i="9"/>
  <c r="F123" i="12" s="1"/>
  <c r="F121" i="9"/>
  <c r="F122" i="12" s="1"/>
  <c r="F120" i="9"/>
  <c r="F121" i="12" s="1"/>
  <c r="F119" i="9"/>
  <c r="F120" i="12" s="1"/>
  <c r="F118" i="9"/>
  <c r="F119" i="12" s="1"/>
  <c r="F117" i="9"/>
  <c r="F118" i="12" s="1"/>
  <c r="F116" i="9"/>
  <c r="F117" i="12" s="1"/>
  <c r="F115" i="9"/>
  <c r="F116" i="12" s="1"/>
  <c r="F114" i="9"/>
  <c r="F115" i="12" s="1"/>
  <c r="F113" i="9"/>
  <c r="F114" i="12" s="1"/>
  <c r="F112" i="9"/>
  <c r="F113" i="12" s="1"/>
  <c r="F111" i="9"/>
  <c r="F112" i="12" s="1"/>
  <c r="F108" i="9"/>
  <c r="F109" i="12" s="1"/>
  <c r="F107" i="9"/>
  <c r="F108" i="12" s="1"/>
  <c r="F106" i="9"/>
  <c r="F107" i="12" s="1"/>
  <c r="F105" i="9"/>
  <c r="F106" i="12" s="1"/>
  <c r="F104" i="9"/>
  <c r="F105" i="12" s="1"/>
  <c r="F103" i="9"/>
  <c r="F104" i="12" s="1"/>
  <c r="F102" i="9"/>
  <c r="F103" i="12" s="1"/>
  <c r="F101" i="9"/>
  <c r="F102" i="12" s="1"/>
  <c r="F99" i="9"/>
  <c r="F100" i="12" s="1"/>
  <c r="F98" i="9"/>
  <c r="F99" i="12" s="1"/>
  <c r="F97" i="9"/>
  <c r="F98" i="12" s="1"/>
  <c r="F96" i="9"/>
  <c r="F97" i="12" s="1"/>
  <c r="F95" i="9"/>
  <c r="F94" i="9"/>
  <c r="F93" i="9"/>
  <c r="F92" i="9"/>
  <c r="F91" i="9"/>
  <c r="F90" i="9"/>
  <c r="F91" i="12" s="1"/>
  <c r="F89" i="9"/>
  <c r="F90" i="12" s="1"/>
  <c r="F88" i="9"/>
  <c r="F89" i="12" s="1"/>
  <c r="F87" i="9"/>
  <c r="F86" i="9"/>
  <c r="F87" i="12" s="1"/>
  <c r="F85" i="9"/>
  <c r="F86" i="12" s="1"/>
  <c r="F84" i="9"/>
  <c r="F85" i="12" s="1"/>
  <c r="F83" i="9"/>
  <c r="F84" i="12" s="1"/>
  <c r="F53" i="9"/>
  <c r="F54" i="12" s="1"/>
  <c r="F51" i="9"/>
  <c r="F52" i="12" s="1"/>
  <c r="F50" i="9"/>
  <c r="F49" i="9"/>
  <c r="F48" i="9"/>
  <c r="F47" i="9"/>
  <c r="F48" i="12" s="1"/>
  <c r="F46" i="9"/>
  <c r="F47" i="12" s="1"/>
  <c r="F44" i="9"/>
  <c r="F43" i="9"/>
  <c r="F42" i="9"/>
  <c r="F41" i="9"/>
  <c r="F40" i="9"/>
  <c r="F41" i="12" s="1"/>
  <c r="F39" i="9"/>
  <c r="F38" i="9"/>
  <c r="F37" i="9"/>
  <c r="F38" i="12" s="1"/>
  <c r="F36" i="9"/>
  <c r="F35" i="9"/>
  <c r="F36" i="12" s="1"/>
  <c r="F34" i="9"/>
  <c r="F35" i="12" s="1"/>
  <c r="F33" i="9"/>
  <c r="F32" i="9"/>
  <c r="F33" i="12" s="1"/>
  <c r="F31" i="9"/>
  <c r="F30" i="9"/>
  <c r="F30" i="12"/>
  <c r="F29" i="9"/>
  <c r="F29" i="12" s="1"/>
  <c r="F28" i="9"/>
  <c r="F28" i="12" s="1"/>
  <c r="F27" i="9"/>
  <c r="F26" i="9"/>
  <c r="F26" i="12" s="1"/>
  <c r="F25" i="9"/>
  <c r="F24" i="9"/>
  <c r="F24" i="12" s="1"/>
  <c r="F23" i="9"/>
  <c r="F23" i="12" s="1"/>
  <c r="F22" i="9"/>
  <c r="F21" i="9"/>
  <c r="F21" i="12" s="1"/>
  <c r="F20" i="9"/>
  <c r="F19" i="9"/>
  <c r="F18" i="9"/>
  <c r="F17" i="9"/>
  <c r="F17" i="12" s="1"/>
  <c r="F16" i="9"/>
  <c r="F16" i="12" s="1"/>
  <c r="F15" i="9"/>
  <c r="F15" i="12" s="1"/>
  <c r="F14" i="9"/>
  <c r="H10" i="12"/>
  <c r="C2" i="9"/>
  <c r="U144" i="9"/>
  <c r="U145" i="12" s="1"/>
  <c r="T144" i="9"/>
  <c r="T145" i="12" s="1"/>
  <c r="U143" i="9"/>
  <c r="U144" i="12" s="1"/>
  <c r="T143" i="9"/>
  <c r="T144" i="12" s="1"/>
  <c r="U142" i="9"/>
  <c r="U143" i="12" s="1"/>
  <c r="T142" i="9"/>
  <c r="T143" i="12" s="1"/>
  <c r="U141" i="9"/>
  <c r="U142" i="12" s="1"/>
  <c r="T141" i="9"/>
  <c r="T142" i="12" s="1"/>
  <c r="U140" i="9"/>
  <c r="U141" i="12" s="1"/>
  <c r="T140" i="9"/>
  <c r="T141" i="12" s="1"/>
  <c r="U139" i="9"/>
  <c r="U140" i="12" s="1"/>
  <c r="T139" i="9"/>
  <c r="T140" i="12" s="1"/>
  <c r="U138" i="9"/>
  <c r="U139" i="12" s="1"/>
  <c r="T138" i="9"/>
  <c r="T139" i="12" s="1"/>
  <c r="U137" i="9"/>
  <c r="U138" i="12" s="1"/>
  <c r="T137" i="9"/>
  <c r="T138" i="12" s="1"/>
  <c r="U136" i="9"/>
  <c r="U137" i="12" s="1"/>
  <c r="T136" i="9"/>
  <c r="T137" i="12" s="1"/>
  <c r="U135" i="9"/>
  <c r="U136" i="12" s="1"/>
  <c r="T135" i="9"/>
  <c r="T136" i="12" s="1"/>
  <c r="U134" i="9"/>
  <c r="U135" i="12" s="1"/>
  <c r="T134" i="9"/>
  <c r="T135" i="12" s="1"/>
  <c r="U133" i="9"/>
  <c r="U134" i="12" s="1"/>
  <c r="T133" i="9"/>
  <c r="T134" i="12" s="1"/>
  <c r="U132" i="9"/>
  <c r="U133" i="12" s="1"/>
  <c r="T132" i="9"/>
  <c r="T133" i="12" s="1"/>
  <c r="U131" i="9"/>
  <c r="U132" i="12" s="1"/>
  <c r="T131" i="9"/>
  <c r="T132" i="12" s="1"/>
  <c r="U130" i="9"/>
  <c r="U131" i="12" s="1"/>
  <c r="T130" i="9"/>
  <c r="T131" i="12" s="1"/>
  <c r="U124" i="9"/>
  <c r="U125" i="12" s="1"/>
  <c r="T124" i="9"/>
  <c r="T125" i="12" s="1"/>
  <c r="U123" i="9"/>
  <c r="U124" i="12" s="1"/>
  <c r="T123" i="9"/>
  <c r="T124" i="12" s="1"/>
  <c r="U122" i="9"/>
  <c r="U123" i="12" s="1"/>
  <c r="T122" i="9"/>
  <c r="T123" i="12" s="1"/>
  <c r="U121" i="9"/>
  <c r="U122" i="12" s="1"/>
  <c r="T121" i="9"/>
  <c r="T122" i="12" s="1"/>
  <c r="U120" i="9"/>
  <c r="U121" i="12" s="1"/>
  <c r="T120" i="9"/>
  <c r="T121" i="12" s="1"/>
  <c r="U119" i="9"/>
  <c r="U120" i="12" s="1"/>
  <c r="T119" i="9"/>
  <c r="T120" i="12" s="1"/>
  <c r="U118" i="9"/>
  <c r="U119" i="12" s="1"/>
  <c r="T118" i="9"/>
  <c r="T119" i="12" s="1"/>
  <c r="U117" i="9"/>
  <c r="U118" i="12" s="1"/>
  <c r="T117" i="9"/>
  <c r="T118" i="12" s="1"/>
  <c r="U116" i="9"/>
  <c r="U117" i="12" s="1"/>
  <c r="T116" i="9"/>
  <c r="T117" i="12" s="1"/>
  <c r="Y115" i="9"/>
  <c r="Y116" i="12" s="1"/>
  <c r="T115" i="9"/>
  <c r="T116" i="12" s="1"/>
  <c r="Y114" i="9"/>
  <c r="Y115" i="12" s="1"/>
  <c r="T114" i="9"/>
  <c r="T115" i="12" s="1"/>
  <c r="Y113" i="9"/>
  <c r="Y114" i="12" s="1"/>
  <c r="T113" i="9"/>
  <c r="T114" i="12" s="1"/>
  <c r="U112" i="9"/>
  <c r="U113" i="12" s="1"/>
  <c r="T112" i="9"/>
  <c r="T113" i="12" s="1"/>
  <c r="T111" i="9"/>
  <c r="T112" i="12" s="1"/>
  <c r="Y107" i="9"/>
  <c r="Y108" i="12" s="1"/>
  <c r="Y106" i="9"/>
  <c r="Y107" i="12" s="1"/>
  <c r="X105" i="9"/>
  <c r="X106" i="12" s="1"/>
  <c r="U104" i="9"/>
  <c r="U105" i="12" s="1"/>
  <c r="Y103" i="9"/>
  <c r="Y104" i="12" s="1"/>
  <c r="T103" i="12"/>
  <c r="U102" i="12"/>
  <c r="T102" i="12"/>
  <c r="T101" i="12"/>
  <c r="U100" i="12"/>
  <c r="T100" i="12"/>
  <c r="U99" i="12"/>
  <c r="T99" i="12"/>
  <c r="U98" i="12"/>
  <c r="T98" i="12"/>
  <c r="U96" i="9"/>
  <c r="U97" i="12" s="1"/>
  <c r="T96" i="9"/>
  <c r="T97" i="12" s="1"/>
  <c r="U95" i="9"/>
  <c r="T95" i="9"/>
  <c r="U94" i="9"/>
  <c r="T94" i="9"/>
  <c r="U93" i="9"/>
  <c r="T93" i="9"/>
  <c r="U92" i="9"/>
  <c r="U93" i="12" s="1"/>
  <c r="T92" i="9"/>
  <c r="T91" i="9"/>
  <c r="T92" i="12" s="1"/>
  <c r="X90" i="9"/>
  <c r="X91" i="12" s="1"/>
  <c r="X89" i="9"/>
  <c r="Y88" i="9"/>
  <c r="X88" i="9"/>
  <c r="U87" i="9"/>
  <c r="T87" i="9"/>
  <c r="U86" i="9"/>
  <c r="T86" i="9"/>
  <c r="U85" i="9"/>
  <c r="T85" i="9"/>
  <c r="T86" i="12" s="1"/>
  <c r="U84" i="9"/>
  <c r="T84" i="9"/>
  <c r="U83" i="9"/>
  <c r="T83" i="9"/>
  <c r="Y46" i="9"/>
  <c r="Y43" i="9"/>
  <c r="Y42" i="9"/>
  <c r="X42" i="9"/>
  <c r="Y40" i="9"/>
  <c r="Y41" i="12" s="1"/>
  <c r="X37" i="9"/>
  <c r="U37" i="12"/>
  <c r="U35" i="12"/>
  <c r="U34" i="12"/>
  <c r="U29" i="12"/>
  <c r="U28" i="12"/>
  <c r="X28" i="9"/>
  <c r="U27" i="12"/>
  <c r="Y24" i="9"/>
  <c r="X24" i="9"/>
  <c r="X23" i="9"/>
  <c r="X22" i="9"/>
  <c r="X22" i="12" s="1"/>
  <c r="X21" i="9"/>
  <c r="X20" i="9"/>
  <c r="X18" i="9"/>
  <c r="U16" i="12"/>
  <c r="U15" i="12"/>
  <c r="U14" i="12"/>
  <c r="U13" i="12"/>
  <c r="AW2" i="12"/>
  <c r="AT2" i="12"/>
  <c r="G12" i="10"/>
  <c r="E14" i="10"/>
  <c r="E13" i="10"/>
  <c r="C73" i="1"/>
  <c r="C13" i="1"/>
  <c r="I85" i="12" l="1"/>
  <c r="I95" i="12"/>
  <c r="F88" i="12"/>
  <c r="H87" i="12"/>
  <c r="I96" i="12"/>
  <c r="H85" i="12"/>
  <c r="H88" i="12"/>
  <c r="H94" i="12"/>
  <c r="H83" i="12"/>
  <c r="I94" i="12"/>
  <c r="I83" i="12"/>
  <c r="I87" i="12"/>
  <c r="I88" i="12"/>
  <c r="F92" i="12"/>
  <c r="F93" i="12"/>
  <c r="T95" i="12"/>
  <c r="F94" i="12"/>
  <c r="F83" i="12"/>
  <c r="T87" i="12"/>
  <c r="F95" i="12"/>
  <c r="H90" i="12"/>
  <c r="F96" i="12"/>
  <c r="I90" i="12"/>
  <c r="T94" i="12"/>
  <c r="T83" i="12"/>
  <c r="U95" i="12"/>
  <c r="X89" i="12"/>
  <c r="U87" i="12"/>
  <c r="H92" i="12"/>
  <c r="H93" i="12"/>
  <c r="U86" i="12"/>
  <c r="U92" i="12"/>
  <c r="U88" i="12"/>
  <c r="I92" i="12"/>
  <c r="T93" i="12"/>
  <c r="U94" i="12"/>
  <c r="U83" i="12"/>
  <c r="T96" i="12"/>
  <c r="T90" i="12"/>
  <c r="U96" i="12"/>
  <c r="U90" i="12"/>
  <c r="T88" i="12"/>
  <c r="I93" i="12"/>
  <c r="Y102" i="9"/>
  <c r="Y103" i="12" s="1"/>
  <c r="U103" i="12"/>
  <c r="Y100" i="9"/>
  <c r="Y101" i="12" s="1"/>
  <c r="U101" i="12"/>
  <c r="F22" i="12"/>
  <c r="F34" i="12"/>
  <c r="F13" i="12"/>
  <c r="F40" i="12"/>
  <c r="H43" i="12"/>
  <c r="I40" i="12"/>
  <c r="I47" i="12"/>
  <c r="I54" i="12"/>
  <c r="H44" i="12"/>
  <c r="F18" i="12"/>
  <c r="F46" i="12"/>
  <c r="F42" i="12"/>
  <c r="F49" i="12"/>
  <c r="H20" i="12"/>
  <c r="H49" i="12"/>
  <c r="H32" i="12"/>
  <c r="H56" i="12"/>
  <c r="H45" i="12"/>
  <c r="H54" i="12"/>
  <c r="I18" i="12"/>
  <c r="I46" i="12"/>
  <c r="I42" i="12"/>
  <c r="I49" i="12"/>
  <c r="F19" i="12"/>
  <c r="F25" i="12"/>
  <c r="F31" i="12"/>
  <c r="F37" i="12"/>
  <c r="F43" i="12"/>
  <c r="F50" i="12"/>
  <c r="H15" i="12"/>
  <c r="H21" i="12"/>
  <c r="H27" i="12"/>
  <c r="H53" i="12"/>
  <c r="H33" i="12"/>
  <c r="H42" i="12"/>
  <c r="H39" i="12"/>
  <c r="H47" i="12"/>
  <c r="I13" i="12"/>
  <c r="I19" i="12"/>
  <c r="I31" i="12"/>
  <c r="I37" i="12"/>
  <c r="I43" i="12"/>
  <c r="I50" i="12"/>
  <c r="X23" i="12"/>
  <c r="X32" i="12"/>
  <c r="F14" i="12"/>
  <c r="F20" i="12"/>
  <c r="F32" i="12"/>
  <c r="F56" i="12"/>
  <c r="F44" i="12"/>
  <c r="F51" i="12"/>
  <c r="H16" i="12"/>
  <c r="H22" i="12"/>
  <c r="H48" i="12"/>
  <c r="I14" i="12"/>
  <c r="I20" i="12"/>
  <c r="I32" i="12"/>
  <c r="I56" i="12"/>
  <c r="I38" i="12"/>
  <c r="I44" i="12"/>
  <c r="I51" i="12"/>
  <c r="F27" i="12"/>
  <c r="F53" i="12"/>
  <c r="F39" i="12"/>
  <c r="F45" i="12"/>
  <c r="H50" i="12"/>
  <c r="I27" i="12"/>
  <c r="I53" i="12"/>
  <c r="I39" i="12"/>
  <c r="I45" i="12"/>
  <c r="AL3" i="12"/>
  <c r="T2" i="9"/>
  <c r="U2" i="9"/>
  <c r="T14" i="12"/>
  <c r="X14" i="9"/>
  <c r="H26" i="12"/>
  <c r="H52" i="12"/>
  <c r="Y136" i="9"/>
  <c r="Y137" i="12" s="1"/>
  <c r="Y139" i="9"/>
  <c r="Y140" i="12" s="1"/>
  <c r="Y142" i="9"/>
  <c r="Y143" i="12" s="1"/>
  <c r="X137" i="9"/>
  <c r="X138" i="12" s="1"/>
  <c r="X140" i="9"/>
  <c r="X141" i="12" s="1"/>
  <c r="X143" i="9"/>
  <c r="X144" i="12" s="1"/>
  <c r="X136" i="9"/>
  <c r="X137" i="12" s="1"/>
  <c r="X142" i="9"/>
  <c r="X143" i="12" s="1"/>
  <c r="Y137" i="9"/>
  <c r="Y138" i="12" s="1"/>
  <c r="Y140" i="9"/>
  <c r="Y141" i="12" s="1"/>
  <c r="Y143" i="9"/>
  <c r="Y144" i="12" s="1"/>
  <c r="X139" i="9"/>
  <c r="X140" i="12" s="1"/>
  <c r="X138" i="9"/>
  <c r="X139" i="12" s="1"/>
  <c r="X141" i="9"/>
  <c r="X142" i="12" s="1"/>
  <c r="X144" i="9"/>
  <c r="X145" i="12" s="1"/>
  <c r="C2" i="12"/>
  <c r="AD2" i="12" s="1"/>
  <c r="Y138" i="9"/>
  <c r="Y139" i="12" s="1"/>
  <c r="Y141" i="9"/>
  <c r="Y142" i="12" s="1"/>
  <c r="Y144" i="9"/>
  <c r="Y145" i="12" s="1"/>
  <c r="Y124" i="9"/>
  <c r="Y125" i="12" s="1"/>
  <c r="X114" i="9"/>
  <c r="X115" i="12" s="1"/>
  <c r="X117" i="9"/>
  <c r="X118" i="12" s="1"/>
  <c r="X119" i="9"/>
  <c r="X120" i="12" s="1"/>
  <c r="X122" i="9"/>
  <c r="X123" i="12" s="1"/>
  <c r="X130" i="9"/>
  <c r="X131" i="12" s="1"/>
  <c r="X133" i="9"/>
  <c r="X134" i="12" s="1"/>
  <c r="X135" i="9"/>
  <c r="X136" i="12" s="1"/>
  <c r="Y132" i="9"/>
  <c r="Y133" i="12" s="1"/>
  <c r="Y117" i="9"/>
  <c r="Y118" i="12" s="1"/>
  <c r="Y119" i="9"/>
  <c r="Y120" i="12" s="1"/>
  <c r="Y122" i="9"/>
  <c r="Y123" i="12" s="1"/>
  <c r="Y130" i="9"/>
  <c r="Y131" i="12" s="1"/>
  <c r="Y133" i="9"/>
  <c r="Y134" i="12" s="1"/>
  <c r="Y135" i="9"/>
  <c r="Y136" i="12" s="1"/>
  <c r="Y116" i="9"/>
  <c r="Y117" i="12" s="1"/>
  <c r="X115" i="9"/>
  <c r="X116" i="12" s="1"/>
  <c r="X120" i="9"/>
  <c r="X121" i="12" s="1"/>
  <c r="X123" i="9"/>
  <c r="X124" i="12" s="1"/>
  <c r="X131" i="9"/>
  <c r="X132" i="12" s="1"/>
  <c r="Y118" i="9"/>
  <c r="Y119" i="12" s="1"/>
  <c r="Y134" i="9"/>
  <c r="Y135" i="12" s="1"/>
  <c r="Y120" i="9"/>
  <c r="Y121" i="12" s="1"/>
  <c r="Y123" i="9"/>
  <c r="Y124" i="12" s="1"/>
  <c r="Y131" i="9"/>
  <c r="Y132" i="12" s="1"/>
  <c r="Y121" i="9"/>
  <c r="Y122" i="12" s="1"/>
  <c r="X116" i="9"/>
  <c r="X117" i="12" s="1"/>
  <c r="X118" i="9"/>
  <c r="X119" i="12" s="1"/>
  <c r="X121" i="9"/>
  <c r="X122" i="12" s="1"/>
  <c r="X124" i="9"/>
  <c r="X125" i="12" s="1"/>
  <c r="X132" i="9"/>
  <c r="X133" i="12" s="1"/>
  <c r="X134" i="9"/>
  <c r="X135" i="12" s="1"/>
  <c r="X54" i="9"/>
  <c r="X55" i="12" s="1"/>
  <c r="X53" i="9"/>
  <c r="T54" i="12"/>
  <c r="X51" i="9"/>
  <c r="X52" i="12" s="1"/>
  <c r="T52" i="12"/>
  <c r="Y51" i="9"/>
  <c r="U52" i="12"/>
  <c r="X49" i="9"/>
  <c r="X50" i="12" s="1"/>
  <c r="T50" i="12"/>
  <c r="Y49" i="9"/>
  <c r="U50" i="12"/>
  <c r="X50" i="9"/>
  <c r="X21" i="12" s="1"/>
  <c r="T51" i="12"/>
  <c r="Y50" i="9"/>
  <c r="U51" i="12"/>
  <c r="Y48" i="9"/>
  <c r="U49" i="12"/>
  <c r="X48" i="9"/>
  <c r="X49" i="12" s="1"/>
  <c r="T49" i="12"/>
  <c r="Y47" i="9"/>
  <c r="Y48" i="12" s="1"/>
  <c r="U48" i="12"/>
  <c r="X47" i="9"/>
  <c r="T48" i="12"/>
  <c r="X46" i="9"/>
  <c r="X47" i="12" s="1"/>
  <c r="T47" i="12"/>
  <c r="X46" i="12"/>
  <c r="T46" i="12"/>
  <c r="H46" i="12"/>
  <c r="Y44" i="9"/>
  <c r="U45" i="12"/>
  <c r="X44" i="9"/>
  <c r="T45" i="12"/>
  <c r="X40" i="9"/>
  <c r="X41" i="12" s="1"/>
  <c r="T41" i="12"/>
  <c r="Y39" i="9"/>
  <c r="U40" i="12"/>
  <c r="X39" i="9"/>
  <c r="T40" i="12"/>
  <c r="Y38" i="9"/>
  <c r="U39" i="12"/>
  <c r="X38" i="9"/>
  <c r="T39" i="12"/>
  <c r="Y84" i="9"/>
  <c r="U85" i="12"/>
  <c r="Y86" i="9"/>
  <c r="Y87" i="12" s="1"/>
  <c r="X94" i="9"/>
  <c r="X95" i="12" s="1"/>
  <c r="X98" i="9"/>
  <c r="X99" i="12" s="1"/>
  <c r="X101" i="9"/>
  <c r="X102" i="12" s="1"/>
  <c r="X103" i="9"/>
  <c r="X104" i="12" s="1"/>
  <c r="X106" i="9"/>
  <c r="X107" i="12" s="1"/>
  <c r="X112" i="9"/>
  <c r="X113" i="12" s="1"/>
  <c r="X87" i="9"/>
  <c r="X91" i="9"/>
  <c r="Y94" i="9"/>
  <c r="Y98" i="9"/>
  <c r="Y99" i="12" s="1"/>
  <c r="Y101" i="9"/>
  <c r="Y102" i="12" s="1"/>
  <c r="Y112" i="9"/>
  <c r="Y113" i="12" s="1"/>
  <c r="Y87" i="9"/>
  <c r="X92" i="9"/>
  <c r="X93" i="12" s="1"/>
  <c r="X95" i="9"/>
  <c r="X90" i="12" s="1"/>
  <c r="X99" i="9"/>
  <c r="X100" i="12" s="1"/>
  <c r="X102" i="9"/>
  <c r="X103" i="12" s="1"/>
  <c r="X104" i="9"/>
  <c r="X105" i="12" s="1"/>
  <c r="X107" i="9"/>
  <c r="X108" i="12" s="1"/>
  <c r="X83" i="9"/>
  <c r="T84" i="12"/>
  <c r="X85" i="9"/>
  <c r="X86" i="12" s="1"/>
  <c r="Y92" i="9"/>
  <c r="Y93" i="12" s="1"/>
  <c r="Y95" i="9"/>
  <c r="Y99" i="9"/>
  <c r="Y100" i="12" s="1"/>
  <c r="Y104" i="9"/>
  <c r="Y105" i="12" s="1"/>
  <c r="Y83" i="9"/>
  <c r="U84" i="12"/>
  <c r="Y85" i="9"/>
  <c r="X93" i="9"/>
  <c r="X96" i="9"/>
  <c r="X97" i="12" s="1"/>
  <c r="X97" i="9"/>
  <c r="X98" i="12" s="1"/>
  <c r="X100" i="9"/>
  <c r="X101" i="12" s="1"/>
  <c r="X108" i="9"/>
  <c r="X109" i="12" s="1"/>
  <c r="X111" i="9"/>
  <c r="X112" i="12" s="1"/>
  <c r="X84" i="9"/>
  <c r="X85" i="12" s="1"/>
  <c r="T85" i="12"/>
  <c r="X86" i="9"/>
  <c r="Y93" i="9"/>
  <c r="Y96" i="9"/>
  <c r="Y97" i="12" s="1"/>
  <c r="Y97" i="9"/>
  <c r="Y98" i="12" s="1"/>
  <c r="Y108" i="9"/>
  <c r="Y109" i="12" s="1"/>
  <c r="Y111" i="9"/>
  <c r="Y112" i="12" s="1"/>
  <c r="X18" i="12"/>
  <c r="T18" i="12"/>
  <c r="X27" i="9"/>
  <c r="T27" i="12"/>
  <c r="X30" i="12"/>
  <c r="T30" i="12"/>
  <c r="X16" i="9"/>
  <c r="T16" i="12"/>
  <c r="Y24" i="12"/>
  <c r="U24" i="12"/>
  <c r="X25" i="9"/>
  <c r="T25" i="12"/>
  <c r="X28" i="12"/>
  <c r="T28" i="12"/>
  <c r="Y30" i="9"/>
  <c r="U31" i="12"/>
  <c r="X34" i="9"/>
  <c r="X35" i="12" s="1"/>
  <c r="T35" i="12"/>
  <c r="X15" i="9"/>
  <c r="T15" i="12"/>
  <c r="Y26" i="9"/>
  <c r="Y26" i="12" s="1"/>
  <c r="U26" i="12"/>
  <c r="Y35" i="9"/>
  <c r="Y36" i="12" s="1"/>
  <c r="U36" i="12"/>
  <c r="X24" i="12"/>
  <c r="T24" i="12"/>
  <c r="X36" i="9"/>
  <c r="T37" i="12"/>
  <c r="X13" i="9"/>
  <c r="T13" i="12"/>
  <c r="Y31" i="9"/>
  <c r="U32" i="12"/>
  <c r="Y32" i="9"/>
  <c r="U33" i="12"/>
  <c r="Y18" i="9"/>
  <c r="U18" i="12"/>
  <c r="X33" i="9"/>
  <c r="X34" i="12" s="1"/>
  <c r="T34" i="12"/>
  <c r="X30" i="9"/>
  <c r="X31" i="12" s="1"/>
  <c r="T31" i="12"/>
  <c r="X17" i="9"/>
  <c r="X17" i="12" s="1"/>
  <c r="T17" i="12"/>
  <c r="Y25" i="9"/>
  <c r="Y25" i="12" s="1"/>
  <c r="U25" i="12"/>
  <c r="Y17" i="9"/>
  <c r="Y43" i="12" s="1"/>
  <c r="U17" i="12"/>
  <c r="X26" i="9"/>
  <c r="X26" i="12" s="1"/>
  <c r="T26" i="12"/>
  <c r="X29" i="9"/>
  <c r="X29" i="12" s="1"/>
  <c r="T29" i="12"/>
  <c r="X32" i="9"/>
  <c r="T33" i="12"/>
  <c r="X35" i="9"/>
  <c r="X36" i="12" s="1"/>
  <c r="T36" i="12"/>
  <c r="C74" i="1"/>
  <c r="C73" i="11"/>
  <c r="C14" i="1"/>
  <c r="C13" i="11"/>
  <c r="X113" i="9"/>
  <c r="X114" i="12" s="1"/>
  <c r="F15" i="10"/>
  <c r="AR2" i="12"/>
  <c r="G15" i="10"/>
  <c r="AQ2" i="12"/>
  <c r="F14" i="10"/>
  <c r="AP2" i="12"/>
  <c r="G14" i="10"/>
  <c r="AO2" i="12"/>
  <c r="G13" i="10"/>
  <c r="AM2" i="12"/>
  <c r="G16" i="10"/>
  <c r="AS2" i="12"/>
  <c r="Y90" i="9"/>
  <c r="Y91" i="12" s="1"/>
  <c r="Y105" i="9"/>
  <c r="Y106" i="12" s="1"/>
  <c r="Y19" i="9"/>
  <c r="Y19" i="12" s="1"/>
  <c r="Y22" i="9"/>
  <c r="Y22" i="12" s="1"/>
  <c r="Y28" i="9"/>
  <c r="Y34" i="9"/>
  <c r="Y35" i="12" s="1"/>
  <c r="Y37" i="9"/>
  <c r="Y38" i="12" s="1"/>
  <c r="Y20" i="9"/>
  <c r="Y20" i="12" s="1"/>
  <c r="Y23" i="9"/>
  <c r="Y23" i="12" s="1"/>
  <c r="Y29" i="9"/>
  <c r="Y15" i="9"/>
  <c r="Y15" i="12" s="1"/>
  <c r="Y21" i="9"/>
  <c r="Y21" i="12" s="1"/>
  <c r="Y27" i="9"/>
  <c r="Y33" i="9"/>
  <c r="Y34" i="12" s="1"/>
  <c r="Y36" i="9"/>
  <c r="Y37" i="12" s="1"/>
  <c r="Y54" i="9"/>
  <c r="Y55" i="12" s="1"/>
  <c r="Y16" i="9"/>
  <c r="T1" i="9"/>
  <c r="Y13" i="9"/>
  <c r="F16" i="10"/>
  <c r="I51" i="6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C82" i="9"/>
  <c r="Q3" i="9"/>
  <c r="AR3" i="12" s="1"/>
  <c r="R3" i="9"/>
  <c r="AS3" i="12" s="1"/>
  <c r="V3" i="9"/>
  <c r="AW3" i="12" s="1"/>
  <c r="P3" i="9"/>
  <c r="AQ3" i="12" s="1"/>
  <c r="J3" i="9"/>
  <c r="AK3" i="12" s="1"/>
  <c r="O3" i="9"/>
  <c r="AP3" i="12" s="1"/>
  <c r="S3" i="9"/>
  <c r="AT3" i="12" s="1"/>
  <c r="D14" i="10"/>
  <c r="D12" i="10"/>
  <c r="D15" i="10"/>
  <c r="D16" i="10"/>
  <c r="E15" i="10"/>
  <c r="D13" i="10"/>
  <c r="E12" i="10"/>
  <c r="E16" i="10"/>
  <c r="F1" i="6"/>
  <c r="L3" i="6"/>
  <c r="P8" i="5" s="1"/>
  <c r="L3" i="9"/>
  <c r="AM3" i="12" s="1"/>
  <c r="N3" i="9"/>
  <c r="AO3" i="12" s="1"/>
  <c r="Y14" i="9"/>
  <c r="Y14" i="12" s="1"/>
  <c r="W136" i="1"/>
  <c r="W136" i="11" s="1"/>
  <c r="Q136" i="1"/>
  <c r="Q136" i="11" s="1"/>
  <c r="P136" i="1"/>
  <c r="P136" i="11" s="1"/>
  <c r="O136" i="1"/>
  <c r="O136" i="11" s="1"/>
  <c r="N136" i="1"/>
  <c r="N136" i="11" s="1"/>
  <c r="M136" i="1"/>
  <c r="M136" i="11" s="1"/>
  <c r="L136" i="1"/>
  <c r="L136" i="11" s="1"/>
  <c r="K136" i="1"/>
  <c r="K136" i="11" s="1"/>
  <c r="J136" i="1"/>
  <c r="J136" i="11" s="1"/>
  <c r="W132" i="1"/>
  <c r="W132" i="11" s="1"/>
  <c r="Q132" i="1"/>
  <c r="Q132" i="11" s="1"/>
  <c r="P132" i="1"/>
  <c r="P132" i="11" s="1"/>
  <c r="O132" i="1"/>
  <c r="O132" i="11" s="1"/>
  <c r="N132" i="1"/>
  <c r="N132" i="11" s="1"/>
  <c r="M132" i="1"/>
  <c r="M132" i="11" s="1"/>
  <c r="L132" i="1"/>
  <c r="L132" i="11" s="1"/>
  <c r="K132" i="1"/>
  <c r="K132" i="11" s="1"/>
  <c r="J132" i="1"/>
  <c r="J132" i="11" s="1"/>
  <c r="W128" i="1"/>
  <c r="W128" i="11" s="1"/>
  <c r="Q128" i="1"/>
  <c r="Q128" i="11" s="1"/>
  <c r="P128" i="1"/>
  <c r="P128" i="11" s="1"/>
  <c r="O128" i="1"/>
  <c r="O128" i="11" s="1"/>
  <c r="N128" i="1"/>
  <c r="N128" i="11" s="1"/>
  <c r="M128" i="1"/>
  <c r="M128" i="11" s="1"/>
  <c r="L128" i="1"/>
  <c r="L128" i="11" s="1"/>
  <c r="J128" i="1"/>
  <c r="J128" i="11" s="1"/>
  <c r="W124" i="1"/>
  <c r="W124" i="11" s="1"/>
  <c r="P124" i="1"/>
  <c r="P124" i="11" s="1"/>
  <c r="O124" i="1"/>
  <c r="O124" i="11" s="1"/>
  <c r="W120" i="1"/>
  <c r="W120" i="11" s="1"/>
  <c r="Q120" i="1"/>
  <c r="Q120" i="11" s="1"/>
  <c r="P120" i="1"/>
  <c r="P120" i="11" s="1"/>
  <c r="O120" i="1"/>
  <c r="O120" i="11" s="1"/>
  <c r="N120" i="1"/>
  <c r="N120" i="11" s="1"/>
  <c r="M120" i="1"/>
  <c r="M120" i="11" s="1"/>
  <c r="L120" i="1"/>
  <c r="L120" i="11" s="1"/>
  <c r="K120" i="1"/>
  <c r="K120" i="11" s="1"/>
  <c r="J120" i="1"/>
  <c r="J120" i="11" s="1"/>
  <c r="W116" i="1"/>
  <c r="W116" i="11" s="1"/>
  <c r="V116" i="1"/>
  <c r="V116" i="11" s="1"/>
  <c r="Q116" i="1"/>
  <c r="Q116" i="11" s="1"/>
  <c r="P116" i="1"/>
  <c r="P116" i="11" s="1"/>
  <c r="O116" i="1"/>
  <c r="O116" i="11" s="1"/>
  <c r="N116" i="1"/>
  <c r="N116" i="11" s="1"/>
  <c r="L116" i="1"/>
  <c r="L116" i="11" s="1"/>
  <c r="K116" i="1"/>
  <c r="K116" i="11" s="1"/>
  <c r="J116" i="1"/>
  <c r="J116" i="11" s="1"/>
  <c r="W112" i="1"/>
  <c r="W112" i="11" s="1"/>
  <c r="V112" i="1"/>
  <c r="V112" i="11" s="1"/>
  <c r="Q112" i="1"/>
  <c r="Q112" i="11" s="1"/>
  <c r="O112" i="1"/>
  <c r="O112" i="11" s="1"/>
  <c r="N112" i="1"/>
  <c r="N112" i="11" s="1"/>
  <c r="L112" i="1"/>
  <c r="L112" i="11" s="1"/>
  <c r="K112" i="1"/>
  <c r="K112" i="11" s="1"/>
  <c r="J112" i="1"/>
  <c r="J112" i="11" s="1"/>
  <c r="W108" i="11"/>
  <c r="V108" i="11"/>
  <c r="Q108" i="1"/>
  <c r="Q108" i="11" s="1"/>
  <c r="P108" i="1"/>
  <c r="P108" i="11" s="1"/>
  <c r="N108" i="1"/>
  <c r="N108" i="11" s="1"/>
  <c r="M108" i="1"/>
  <c r="M108" i="11" s="1"/>
  <c r="L108" i="1"/>
  <c r="L108" i="11" s="1"/>
  <c r="K108" i="1"/>
  <c r="K108" i="11" s="1"/>
  <c r="J108" i="1"/>
  <c r="J108" i="11" s="1"/>
  <c r="W104" i="1"/>
  <c r="W104" i="11" s="1"/>
  <c r="V104" i="1"/>
  <c r="V104" i="11" s="1"/>
  <c r="Q104" i="1"/>
  <c r="Q104" i="11" s="1"/>
  <c r="P104" i="1"/>
  <c r="P104" i="11" s="1"/>
  <c r="O104" i="1"/>
  <c r="O104" i="11" s="1"/>
  <c r="N104" i="1"/>
  <c r="N104" i="11" s="1"/>
  <c r="M104" i="1"/>
  <c r="M104" i="11" s="1"/>
  <c r="L104" i="1"/>
  <c r="L104" i="11" s="1"/>
  <c r="K104" i="1"/>
  <c r="K104" i="11" s="1"/>
  <c r="J104" i="1"/>
  <c r="J104" i="11" s="1"/>
  <c r="Q100" i="1"/>
  <c r="Q100" i="11" s="1"/>
  <c r="O100" i="1"/>
  <c r="O100" i="11" s="1"/>
  <c r="N100" i="1"/>
  <c r="N100" i="11" s="1"/>
  <c r="M100" i="1"/>
  <c r="M100" i="11" s="1"/>
  <c r="L100" i="1"/>
  <c r="L100" i="11" s="1"/>
  <c r="K100" i="1"/>
  <c r="K100" i="11" s="1"/>
  <c r="J100" i="1"/>
  <c r="J100" i="11" s="1"/>
  <c r="W96" i="1"/>
  <c r="W96" i="11" s="1"/>
  <c r="V96" i="1"/>
  <c r="V96" i="11" s="1"/>
  <c r="Q96" i="1"/>
  <c r="Q96" i="11" s="1"/>
  <c r="P96" i="1"/>
  <c r="P96" i="11" s="1"/>
  <c r="O96" i="1"/>
  <c r="O96" i="11" s="1"/>
  <c r="N96" i="1"/>
  <c r="N96" i="11" s="1"/>
  <c r="M96" i="1"/>
  <c r="M96" i="11" s="1"/>
  <c r="L96" i="1"/>
  <c r="L96" i="11" s="1"/>
  <c r="K96" i="1"/>
  <c r="K96" i="11" s="1"/>
  <c r="J96" i="1"/>
  <c r="J96" i="11" s="1"/>
  <c r="W92" i="1"/>
  <c r="W92" i="11" s="1"/>
  <c r="V92" i="1"/>
  <c r="V92" i="11" s="1"/>
  <c r="Q92" i="1"/>
  <c r="Q92" i="11" s="1"/>
  <c r="P92" i="1"/>
  <c r="P92" i="11" s="1"/>
  <c r="O92" i="1"/>
  <c r="O92" i="11" s="1"/>
  <c r="N92" i="1"/>
  <c r="N92" i="11" s="1"/>
  <c r="M92" i="1"/>
  <c r="M92" i="11" s="1"/>
  <c r="L92" i="1"/>
  <c r="L92" i="11" s="1"/>
  <c r="K92" i="1"/>
  <c r="K92" i="11" s="1"/>
  <c r="J92" i="1"/>
  <c r="J92" i="11" s="1"/>
  <c r="W88" i="1"/>
  <c r="W88" i="11" s="1"/>
  <c r="V88" i="1"/>
  <c r="V88" i="11" s="1"/>
  <c r="Q88" i="1"/>
  <c r="Q88" i="11" s="1"/>
  <c r="P88" i="1"/>
  <c r="P88" i="11" s="1"/>
  <c r="O88" i="1"/>
  <c r="O88" i="11" s="1"/>
  <c r="N88" i="1"/>
  <c r="N88" i="11" s="1"/>
  <c r="M88" i="1"/>
  <c r="M88" i="11" s="1"/>
  <c r="L88" i="1"/>
  <c r="L88" i="11" s="1"/>
  <c r="K88" i="1"/>
  <c r="K88" i="11" s="1"/>
  <c r="J88" i="1"/>
  <c r="J88" i="11" s="1"/>
  <c r="V84" i="1"/>
  <c r="V84" i="11" s="1"/>
  <c r="Q84" i="1"/>
  <c r="Q84" i="11" s="1"/>
  <c r="P84" i="1"/>
  <c r="P84" i="11" s="1"/>
  <c r="N84" i="1"/>
  <c r="N84" i="11" s="1"/>
  <c r="M84" i="1"/>
  <c r="M84" i="11" s="1"/>
  <c r="L84" i="1"/>
  <c r="L84" i="11" s="1"/>
  <c r="K84" i="1"/>
  <c r="K84" i="11" s="1"/>
  <c r="J84" i="1"/>
  <c r="J84" i="11" s="1"/>
  <c r="W80" i="1"/>
  <c r="W80" i="11" s="1"/>
  <c r="V80" i="1"/>
  <c r="V80" i="11" s="1"/>
  <c r="Q80" i="11"/>
  <c r="P80" i="11"/>
  <c r="O80" i="11"/>
  <c r="N80" i="11"/>
  <c r="M80" i="11"/>
  <c r="L80" i="11"/>
  <c r="K80" i="11"/>
  <c r="J80" i="11"/>
  <c r="W76" i="1"/>
  <c r="W76" i="11" s="1"/>
  <c r="V76" i="1"/>
  <c r="O76" i="1"/>
  <c r="O76" i="11" s="1"/>
  <c r="N76" i="1"/>
  <c r="N76" i="11" s="1"/>
  <c r="M76" i="1"/>
  <c r="M76" i="11" s="1"/>
  <c r="L76" i="1"/>
  <c r="L76" i="11" s="1"/>
  <c r="K76" i="1"/>
  <c r="K76" i="11" s="1"/>
  <c r="J76" i="1"/>
  <c r="J76" i="11" s="1"/>
  <c r="W72" i="11"/>
  <c r="V72" i="11"/>
  <c r="Q72" i="1"/>
  <c r="Q72" i="11" s="1"/>
  <c r="P72" i="1"/>
  <c r="P72" i="11" s="1"/>
  <c r="N72" i="1"/>
  <c r="N72" i="11" s="1"/>
  <c r="M72" i="11"/>
  <c r="L72" i="1"/>
  <c r="L72" i="11" s="1"/>
  <c r="K72" i="1"/>
  <c r="K72" i="11" s="1"/>
  <c r="V68" i="1"/>
  <c r="V68" i="11" s="1"/>
  <c r="P68" i="1"/>
  <c r="P68" i="11" s="1"/>
  <c r="N68" i="1"/>
  <c r="N68" i="11" s="1"/>
  <c r="L68" i="1"/>
  <c r="L68" i="11" s="1"/>
  <c r="K68" i="1"/>
  <c r="K68" i="11" s="1"/>
  <c r="J68" i="1"/>
  <c r="J68" i="11" s="1"/>
  <c r="W64" i="1"/>
  <c r="W64" i="11" s="1"/>
  <c r="V64" i="1"/>
  <c r="V64" i="11" s="1"/>
  <c r="Q64" i="11"/>
  <c r="P64" i="1"/>
  <c r="P64" i="11" s="1"/>
  <c r="O64" i="11"/>
  <c r="N64" i="1"/>
  <c r="N64" i="11" s="1"/>
  <c r="M64" i="11"/>
  <c r="L64" i="1"/>
  <c r="L64" i="11" s="1"/>
  <c r="K64" i="11"/>
  <c r="W60" i="1"/>
  <c r="W60" i="11" s="1"/>
  <c r="V60" i="1"/>
  <c r="V60" i="11" s="1"/>
  <c r="Q60" i="1"/>
  <c r="Q60" i="11" s="1"/>
  <c r="P60" i="1"/>
  <c r="P60" i="11" s="1"/>
  <c r="O60" i="1"/>
  <c r="O60" i="11" s="1"/>
  <c r="N60" i="1"/>
  <c r="N60" i="11" s="1"/>
  <c r="M60" i="1"/>
  <c r="M60" i="11" s="1"/>
  <c r="L60" i="1"/>
  <c r="L60" i="11" s="1"/>
  <c r="K60" i="1"/>
  <c r="K60" i="11" s="1"/>
  <c r="J60" i="1"/>
  <c r="J60" i="11" s="1"/>
  <c r="W56" i="1"/>
  <c r="W56" i="11" s="1"/>
  <c r="V56" i="1"/>
  <c r="V56" i="11" s="1"/>
  <c r="Q56" i="1"/>
  <c r="Q56" i="11" s="1"/>
  <c r="P56" i="1"/>
  <c r="P56" i="11" s="1"/>
  <c r="O56" i="1"/>
  <c r="O56" i="11" s="1"/>
  <c r="M56" i="1"/>
  <c r="M56" i="11" s="1"/>
  <c r="L56" i="1"/>
  <c r="L56" i="11" s="1"/>
  <c r="K56" i="1"/>
  <c r="K56" i="11" s="1"/>
  <c r="J56" i="1"/>
  <c r="J56" i="11" s="1"/>
  <c r="W52" i="1"/>
  <c r="W52" i="11" s="1"/>
  <c r="V52" i="1"/>
  <c r="V52" i="11" s="1"/>
  <c r="K52" i="1"/>
  <c r="K52" i="11" s="1"/>
  <c r="J52" i="1"/>
  <c r="J52" i="11" s="1"/>
  <c r="P48" i="1"/>
  <c r="O48" i="1"/>
  <c r="M48" i="1"/>
  <c r="L52" i="1"/>
  <c r="L52" i="11" s="1"/>
  <c r="W44" i="1"/>
  <c r="W44" i="11" s="1"/>
  <c r="V44" i="1"/>
  <c r="V44" i="11" s="1"/>
  <c r="Q44" i="1"/>
  <c r="Q44" i="11" s="1"/>
  <c r="P44" i="1"/>
  <c r="P44" i="11" s="1"/>
  <c r="O44" i="11"/>
  <c r="N44" i="1"/>
  <c r="N44" i="11" s="1"/>
  <c r="M44" i="1"/>
  <c r="M44" i="11" s="1"/>
  <c r="L44" i="1"/>
  <c r="L44" i="11" s="1"/>
  <c r="K44" i="1"/>
  <c r="K44" i="11" s="1"/>
  <c r="J44" i="1"/>
  <c r="J44" i="11" s="1"/>
  <c r="W40" i="1"/>
  <c r="W40" i="11" s="1"/>
  <c r="V40" i="1"/>
  <c r="V40" i="11" s="1"/>
  <c r="K40" i="1"/>
  <c r="K40" i="11" s="1"/>
  <c r="J40" i="1"/>
  <c r="J40" i="11" s="1"/>
  <c r="W36" i="1"/>
  <c r="W36" i="11" s="1"/>
  <c r="V36" i="1"/>
  <c r="V36" i="11" s="1"/>
  <c r="Q36" i="11"/>
  <c r="P36" i="11"/>
  <c r="N36" i="11"/>
  <c r="M36" i="11"/>
  <c r="L36" i="11"/>
  <c r="K36" i="11"/>
  <c r="J36" i="11"/>
  <c r="W32" i="1"/>
  <c r="W32" i="11" s="1"/>
  <c r="V32" i="1"/>
  <c r="V32" i="11" s="1"/>
  <c r="S32" i="1"/>
  <c r="S32" i="11" s="1"/>
  <c r="R32" i="1"/>
  <c r="R32" i="11" s="1"/>
  <c r="Q32" i="1"/>
  <c r="Q32" i="11" s="1"/>
  <c r="P32" i="1"/>
  <c r="P32" i="11" s="1"/>
  <c r="O32" i="1"/>
  <c r="O32" i="11" s="1"/>
  <c r="N32" i="1"/>
  <c r="N32" i="11" s="1"/>
  <c r="L32" i="1"/>
  <c r="L32" i="11" s="1"/>
  <c r="K32" i="1"/>
  <c r="K32" i="11" s="1"/>
  <c r="J32" i="1"/>
  <c r="J32" i="11" s="1"/>
  <c r="W28" i="1"/>
  <c r="W28" i="11" s="1"/>
  <c r="V28" i="1"/>
  <c r="V28" i="11" s="1"/>
  <c r="S28" i="1"/>
  <c r="S28" i="11" s="1"/>
  <c r="R28" i="1"/>
  <c r="R28" i="11" s="1"/>
  <c r="P28" i="1"/>
  <c r="P28" i="11" s="1"/>
  <c r="O28" i="1"/>
  <c r="O28" i="11" s="1"/>
  <c r="N28" i="1"/>
  <c r="N28" i="11" s="1"/>
  <c r="L28" i="1"/>
  <c r="L28" i="11" s="1"/>
  <c r="R24" i="1"/>
  <c r="R24" i="11" s="1"/>
  <c r="O24" i="1"/>
  <c r="O24" i="11" s="1"/>
  <c r="N24" i="1"/>
  <c r="N24" i="11" s="1"/>
  <c r="M24" i="1"/>
  <c r="M24" i="11" s="1"/>
  <c r="L24" i="1"/>
  <c r="L24" i="11" s="1"/>
  <c r="K24" i="1"/>
  <c r="K24" i="11" s="1"/>
  <c r="J24" i="1"/>
  <c r="J24" i="11" s="1"/>
  <c r="W20" i="1"/>
  <c r="W20" i="11" s="1"/>
  <c r="V20" i="1"/>
  <c r="V20" i="11" s="1"/>
  <c r="R20" i="1"/>
  <c r="R20" i="11" s="1"/>
  <c r="P20" i="1"/>
  <c r="P20" i="11" s="1"/>
  <c r="N20" i="11"/>
  <c r="J20" i="1"/>
  <c r="J20" i="11" s="1"/>
  <c r="V16" i="1"/>
  <c r="V16" i="11" s="1"/>
  <c r="W16" i="1"/>
  <c r="W16" i="11" s="1"/>
  <c r="U29" i="11"/>
  <c r="X29" i="1"/>
  <c r="X29" i="11" s="1"/>
  <c r="S16" i="1"/>
  <c r="S16" i="11" s="1"/>
  <c r="R16" i="1"/>
  <c r="R16" i="11" s="1"/>
  <c r="Q16" i="1"/>
  <c r="Q16" i="11" s="1"/>
  <c r="P16" i="1"/>
  <c r="P16" i="11" s="1"/>
  <c r="O16" i="1"/>
  <c r="O16" i="11" s="1"/>
  <c r="N16" i="1"/>
  <c r="N16" i="11" s="1"/>
  <c r="M16" i="1"/>
  <c r="L16" i="1"/>
  <c r="L16" i="11" s="1"/>
  <c r="K16" i="1"/>
  <c r="K16" i="11" s="1"/>
  <c r="J16" i="1"/>
  <c r="J16" i="11" s="1"/>
  <c r="Y85" i="12" l="1"/>
  <c r="X88" i="12"/>
  <c r="X87" i="12"/>
  <c r="Y94" i="12"/>
  <c r="Y83" i="12"/>
  <c r="X96" i="12"/>
  <c r="X94" i="12"/>
  <c r="X83" i="12"/>
  <c r="Y86" i="12"/>
  <c r="Y92" i="12"/>
  <c r="Y88" i="12"/>
  <c r="Y95" i="12"/>
  <c r="Y96" i="12"/>
  <c r="X92" i="12"/>
  <c r="M16" i="11"/>
  <c r="Y27" i="12"/>
  <c r="Y53" i="12"/>
  <c r="Y32" i="12"/>
  <c r="Y56" i="12"/>
  <c r="X15" i="12"/>
  <c r="X16" i="12"/>
  <c r="X39" i="12"/>
  <c r="Y40" i="12"/>
  <c r="Y45" i="12"/>
  <c r="X48" i="12"/>
  <c r="Y49" i="12"/>
  <c r="Y50" i="12"/>
  <c r="X43" i="12"/>
  <c r="Y44" i="12"/>
  <c r="Y16" i="12"/>
  <c r="Y28" i="12"/>
  <c r="Y18" i="12"/>
  <c r="Y46" i="12"/>
  <c r="X13" i="12"/>
  <c r="X25" i="12"/>
  <c r="X44" i="12"/>
  <c r="Y39" i="12"/>
  <c r="X20" i="12"/>
  <c r="Y29" i="12"/>
  <c r="Y51" i="12"/>
  <c r="X54" i="12"/>
  <c r="X33" i="12"/>
  <c r="X42" i="12"/>
  <c r="Y17" i="12"/>
  <c r="Y33" i="12"/>
  <c r="Y42" i="12"/>
  <c r="X37" i="12"/>
  <c r="Y31" i="12"/>
  <c r="Y54" i="12"/>
  <c r="X27" i="12"/>
  <c r="X53" i="12"/>
  <c r="X40" i="12"/>
  <c r="X19" i="12"/>
  <c r="X45" i="12"/>
  <c r="X38" i="12"/>
  <c r="X51" i="12"/>
  <c r="Y52" i="12"/>
  <c r="Y30" i="12"/>
  <c r="X14" i="12"/>
  <c r="Y47" i="12"/>
  <c r="Y13" i="12"/>
  <c r="Y1" i="9"/>
  <c r="D17" i="10" s="1"/>
  <c r="Y84" i="12"/>
  <c r="X84" i="12"/>
  <c r="X2" i="9"/>
  <c r="V2" i="1"/>
  <c r="V76" i="11"/>
  <c r="V2" i="11" s="1"/>
  <c r="J2" i="11"/>
  <c r="L1" i="11"/>
  <c r="Y30" i="1"/>
  <c r="Y30" i="11" s="1"/>
  <c r="U30" i="11"/>
  <c r="Y31" i="1"/>
  <c r="Y31" i="11" s="1"/>
  <c r="U31" i="11"/>
  <c r="X31" i="1"/>
  <c r="X31" i="11" s="1"/>
  <c r="T31" i="11"/>
  <c r="U1" i="12"/>
  <c r="AV1" i="12" s="1"/>
  <c r="T2" i="12"/>
  <c r="AU2" i="12" s="1"/>
  <c r="U2" i="12"/>
  <c r="T1" i="12"/>
  <c r="AU1" i="12" s="1"/>
  <c r="W1" i="11"/>
  <c r="V1" i="11"/>
  <c r="C83" i="9"/>
  <c r="C75" i="1"/>
  <c r="C74" i="11"/>
  <c r="C15" i="1"/>
  <c r="C14" i="11"/>
  <c r="K2" i="11"/>
  <c r="N2" i="11"/>
  <c r="O2" i="11"/>
  <c r="O52" i="1"/>
  <c r="O52" i="11" s="1"/>
  <c r="O48" i="11"/>
  <c r="P52" i="1"/>
  <c r="P52" i="11" s="1"/>
  <c r="P48" i="11"/>
  <c r="M52" i="1"/>
  <c r="M52" i="11" s="1"/>
  <c r="M48" i="11"/>
  <c r="J1" i="11"/>
  <c r="W2" i="11"/>
  <c r="L2" i="11"/>
  <c r="X1" i="9"/>
  <c r="I62" i="6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W2" i="1"/>
  <c r="W1" i="1"/>
  <c r="K2" i="1"/>
  <c r="F3" i="10" s="1"/>
  <c r="O2" i="1"/>
  <c r="N2" i="1"/>
  <c r="G5" i="10" s="1"/>
  <c r="G23" i="10" s="1"/>
  <c r="J2" i="1"/>
  <c r="G3" i="10" s="1"/>
  <c r="G21" i="10" s="1"/>
  <c r="L2" i="1"/>
  <c r="G4" i="10" s="1"/>
  <c r="G22" i="10" s="1"/>
  <c r="J1" i="1"/>
  <c r="E3" i="10" s="1"/>
  <c r="E21" i="10" s="1"/>
  <c r="L1" i="1"/>
  <c r="V1" i="1"/>
  <c r="T3" i="9"/>
  <c r="U32" i="1"/>
  <c r="U32" i="11" s="1"/>
  <c r="Y29" i="1"/>
  <c r="T32" i="1"/>
  <c r="T32" i="11" s="1"/>
  <c r="X2" i="12" l="1"/>
  <c r="AY2" i="12" s="1"/>
  <c r="M1" i="1"/>
  <c r="X1" i="12"/>
  <c r="AY1" i="12" s="1"/>
  <c r="Y1" i="12"/>
  <c r="AZ1" i="12" s="1"/>
  <c r="X3" i="9"/>
  <c r="G17" i="10"/>
  <c r="O1" i="11"/>
  <c r="O3" i="11" s="1"/>
  <c r="C84" i="12"/>
  <c r="O1" i="1"/>
  <c r="M1" i="11"/>
  <c r="P1" i="11"/>
  <c r="AK2" i="11"/>
  <c r="J3" i="11"/>
  <c r="P1" i="1"/>
  <c r="L3" i="11"/>
  <c r="AL1" i="11"/>
  <c r="AV1" i="11"/>
  <c r="X32" i="1"/>
  <c r="X32" i="11" s="1"/>
  <c r="U3" i="12"/>
  <c r="T3" i="12"/>
  <c r="AU3" i="12" s="1"/>
  <c r="V3" i="11"/>
  <c r="AW1" i="11"/>
  <c r="W3" i="11"/>
  <c r="AV2" i="11"/>
  <c r="C76" i="1"/>
  <c r="C75" i="11"/>
  <c r="C16" i="1"/>
  <c r="C15" i="11"/>
  <c r="AO2" i="11"/>
  <c r="Y32" i="1"/>
  <c r="Y32" i="11" s="1"/>
  <c r="Y29" i="11"/>
  <c r="AJ1" i="11"/>
  <c r="AW2" i="11"/>
  <c r="AN2" i="11"/>
  <c r="AL2" i="11"/>
  <c r="AJ2" i="11"/>
  <c r="E17" i="10"/>
  <c r="D18" i="10"/>
  <c r="W3" i="1"/>
  <c r="F21" i="10"/>
  <c r="F5" i="10"/>
  <c r="V3" i="1"/>
  <c r="J21" i="10"/>
  <c r="L3" i="1"/>
  <c r="J3" i="1"/>
  <c r="E4" i="10"/>
  <c r="E22" i="10" s="1"/>
  <c r="J22" i="10" s="1"/>
  <c r="M116" i="1"/>
  <c r="M116" i="11" s="1"/>
  <c r="X3" i="12" l="1"/>
  <c r="AY3" i="12" s="1"/>
  <c r="G18" i="10"/>
  <c r="O3" i="1"/>
  <c r="AO3" i="11" s="1"/>
  <c r="D4" i="10"/>
  <c r="AM1" i="11"/>
  <c r="D5" i="10"/>
  <c r="AO1" i="11"/>
  <c r="AP1" i="11"/>
  <c r="E6" i="10"/>
  <c r="E24" i="10" s="1"/>
  <c r="AJ3" i="11"/>
  <c r="AL3" i="11"/>
  <c r="AV3" i="11"/>
  <c r="AW3" i="11"/>
  <c r="C77" i="1"/>
  <c r="C76" i="11"/>
  <c r="C17" i="1"/>
  <c r="C16" i="11"/>
  <c r="E18" i="10"/>
  <c r="F23" i="10"/>
  <c r="M112" i="1"/>
  <c r="D22" i="10" l="1"/>
  <c r="D23" i="10"/>
  <c r="C78" i="1"/>
  <c r="C77" i="11"/>
  <c r="C18" i="1"/>
  <c r="C17" i="11"/>
  <c r="M2" i="1"/>
  <c r="M112" i="11"/>
  <c r="M2" i="11" s="1"/>
  <c r="M3" i="11" s="1"/>
  <c r="I23" i="10" l="1"/>
  <c r="F4" i="10"/>
  <c r="M3" i="1"/>
  <c r="C79" i="1"/>
  <c r="C78" i="11"/>
  <c r="C19" i="1"/>
  <c r="C18" i="11"/>
  <c r="AM2" i="11"/>
  <c r="Q2" i="1"/>
  <c r="F6" i="10" s="1"/>
  <c r="Q76" i="11"/>
  <c r="Q2" i="11" s="1"/>
  <c r="P76" i="1"/>
  <c r="F24" i="10" l="1"/>
  <c r="AM3" i="11"/>
  <c r="C80" i="1"/>
  <c r="C79" i="11"/>
  <c r="C20" i="1"/>
  <c r="C19" i="11"/>
  <c r="P2" i="1"/>
  <c r="G6" i="10" s="1"/>
  <c r="P76" i="11"/>
  <c r="P2" i="11" s="1"/>
  <c r="P3" i="11" s="1"/>
  <c r="AQ2" i="11"/>
  <c r="Q48" i="1"/>
  <c r="Q48" i="11" s="1"/>
  <c r="Y22" i="1"/>
  <c r="Y22" i="11" s="1"/>
  <c r="T21" i="11"/>
  <c r="Y14" i="1"/>
  <c r="Y14" i="11" s="1"/>
  <c r="P3" i="1" l="1"/>
  <c r="AP3" i="11" s="1"/>
  <c r="C81" i="1"/>
  <c r="C80" i="11"/>
  <c r="C21" i="1"/>
  <c r="C20" i="11"/>
  <c r="AP2" i="11"/>
  <c r="X22" i="1"/>
  <c r="X22" i="11" s="1"/>
  <c r="T22" i="11"/>
  <c r="G24" i="10"/>
  <c r="X21" i="1"/>
  <c r="X21" i="11" s="1"/>
  <c r="Y21" i="1"/>
  <c r="Y21" i="11" s="1"/>
  <c r="Y13" i="1"/>
  <c r="Y13" i="11" s="1"/>
  <c r="C82" i="1" l="1"/>
  <c r="C81" i="11"/>
  <c r="C22" i="1"/>
  <c r="C21" i="11"/>
  <c r="Q1" i="1"/>
  <c r="Q52" i="11"/>
  <c r="Q1" i="11" s="1"/>
  <c r="Q3" i="11" s="1"/>
  <c r="J24" i="10"/>
  <c r="Q3" i="1" l="1"/>
  <c r="AQ3" i="11" s="1"/>
  <c r="C83" i="1"/>
  <c r="C82" i="11"/>
  <c r="C23" i="1"/>
  <c r="C22" i="11"/>
  <c r="X94" i="11"/>
  <c r="T94" i="11"/>
  <c r="Y94" i="1"/>
  <c r="Y94" i="11" s="1"/>
  <c r="U94" i="11"/>
  <c r="D6" i="10"/>
  <c r="AQ1" i="11"/>
  <c r="X135" i="1"/>
  <c r="X134" i="1"/>
  <c r="X119" i="1"/>
  <c r="X118" i="1"/>
  <c r="X103" i="1"/>
  <c r="Y87" i="1"/>
  <c r="Y87" i="11" s="1"/>
  <c r="X87" i="1"/>
  <c r="X87" i="11" s="1"/>
  <c r="Y86" i="1"/>
  <c r="Y86" i="11" s="1"/>
  <c r="X86" i="1"/>
  <c r="X86" i="11" s="1"/>
  <c r="Y71" i="1"/>
  <c r="Y71" i="11" s="1"/>
  <c r="X71" i="1"/>
  <c r="X71" i="11" s="1"/>
  <c r="Y70" i="1"/>
  <c r="Y70" i="11" s="1"/>
  <c r="X70" i="1"/>
  <c r="X70" i="11" s="1"/>
  <c r="Y26" i="1"/>
  <c r="Y26" i="11" s="1"/>
  <c r="X26" i="1"/>
  <c r="X26" i="11" s="1"/>
  <c r="T25" i="11"/>
  <c r="T23" i="11"/>
  <c r="Y19" i="1"/>
  <c r="Y19" i="11" s="1"/>
  <c r="Y18" i="1"/>
  <c r="Y18" i="11" s="1"/>
  <c r="D24" i="10" l="1"/>
  <c r="T43" i="11"/>
  <c r="X43" i="1"/>
  <c r="X43" i="11" s="1"/>
  <c r="X135" i="11"/>
  <c r="T135" i="11"/>
  <c r="Y135" i="1"/>
  <c r="Y135" i="11" s="1"/>
  <c r="U135" i="11"/>
  <c r="X134" i="11"/>
  <c r="T134" i="11"/>
  <c r="Y134" i="1"/>
  <c r="Y134" i="11" s="1"/>
  <c r="U134" i="11"/>
  <c r="Y58" i="1"/>
  <c r="Y58" i="11" s="1"/>
  <c r="U58" i="11"/>
  <c r="X58" i="1"/>
  <c r="X58" i="11" s="1"/>
  <c r="T58" i="11"/>
  <c r="Y59" i="1"/>
  <c r="Y59" i="11" s="1"/>
  <c r="U59" i="11"/>
  <c r="X59" i="1"/>
  <c r="X59" i="11" s="1"/>
  <c r="T59" i="11"/>
  <c r="Y130" i="1"/>
  <c r="Y130" i="11" s="1"/>
  <c r="U130" i="11"/>
  <c r="X130" i="11"/>
  <c r="T130" i="11"/>
  <c r="Y131" i="1"/>
  <c r="Y131" i="11" s="1"/>
  <c r="U131" i="11"/>
  <c r="X131" i="11"/>
  <c r="T131" i="11"/>
  <c r="Y118" i="1"/>
  <c r="Y118" i="11" s="1"/>
  <c r="U118" i="11"/>
  <c r="X118" i="11"/>
  <c r="T118" i="11"/>
  <c r="Y119" i="1"/>
  <c r="Y119" i="11" s="1"/>
  <c r="U119" i="11"/>
  <c r="X119" i="11"/>
  <c r="T119" i="11"/>
  <c r="Y114" i="1"/>
  <c r="Y114" i="11" s="1"/>
  <c r="U114" i="11"/>
  <c r="X114" i="1"/>
  <c r="X114" i="11" s="1"/>
  <c r="T114" i="11"/>
  <c r="Y115" i="1"/>
  <c r="Y115" i="11" s="1"/>
  <c r="U115" i="11"/>
  <c r="X115" i="1"/>
  <c r="X115" i="11" s="1"/>
  <c r="T115" i="11"/>
  <c r="Y90" i="1"/>
  <c r="Y90" i="11" s="1"/>
  <c r="U90" i="11"/>
  <c r="X90" i="1"/>
  <c r="X90" i="11" s="1"/>
  <c r="T90" i="11"/>
  <c r="Y91" i="1"/>
  <c r="Y91" i="11" s="1"/>
  <c r="U91" i="11"/>
  <c r="X91" i="1"/>
  <c r="X91" i="11" s="1"/>
  <c r="T91" i="11"/>
  <c r="Y62" i="1"/>
  <c r="Y62" i="11" s="1"/>
  <c r="U62" i="11"/>
  <c r="X62" i="1"/>
  <c r="X62" i="11" s="1"/>
  <c r="T62" i="11"/>
  <c r="Y63" i="1"/>
  <c r="Y63" i="11" s="1"/>
  <c r="U63" i="11"/>
  <c r="X63" i="1"/>
  <c r="X63" i="11" s="1"/>
  <c r="T63" i="11"/>
  <c r="Y34" i="1"/>
  <c r="Y34" i="11" s="1"/>
  <c r="U34" i="11"/>
  <c r="X34" i="1"/>
  <c r="X34" i="11" s="1"/>
  <c r="T34" i="11"/>
  <c r="Y35" i="1"/>
  <c r="Y35" i="11" s="1"/>
  <c r="U35" i="11"/>
  <c r="X35" i="1"/>
  <c r="X35" i="11" s="1"/>
  <c r="T35" i="11"/>
  <c r="C84" i="1"/>
  <c r="C83" i="11"/>
  <c r="C24" i="1"/>
  <c r="C23" i="11"/>
  <c r="Y123" i="1"/>
  <c r="Y123" i="11" s="1"/>
  <c r="U123" i="11"/>
  <c r="X123" i="11"/>
  <c r="T123" i="11"/>
  <c r="Y110" i="1"/>
  <c r="Y110" i="11" s="1"/>
  <c r="U110" i="11"/>
  <c r="X111" i="1"/>
  <c r="X111" i="11" s="1"/>
  <c r="T111" i="11"/>
  <c r="Y111" i="1"/>
  <c r="Y111" i="11" s="1"/>
  <c r="U111" i="11"/>
  <c r="X110" i="1"/>
  <c r="X110" i="11" s="1"/>
  <c r="T110" i="11"/>
  <c r="X107" i="1"/>
  <c r="X107" i="11" s="1"/>
  <c r="T107" i="11"/>
  <c r="Y107" i="1"/>
  <c r="Y107" i="11" s="1"/>
  <c r="U107" i="11"/>
  <c r="X102" i="1"/>
  <c r="X102" i="11" s="1"/>
  <c r="T102" i="11"/>
  <c r="Y103" i="1"/>
  <c r="Y103" i="11" s="1"/>
  <c r="U103" i="11"/>
  <c r="Y102" i="1"/>
  <c r="Y102" i="11" s="1"/>
  <c r="U102" i="11"/>
  <c r="X103" i="11"/>
  <c r="T103" i="11"/>
  <c r="X99" i="1"/>
  <c r="X99" i="11" s="1"/>
  <c r="T99" i="11"/>
  <c r="Y98" i="1"/>
  <c r="Y98" i="11" s="1"/>
  <c r="U98" i="11"/>
  <c r="Y99" i="1"/>
  <c r="Y99" i="11" s="1"/>
  <c r="U99" i="11"/>
  <c r="X98" i="1"/>
  <c r="X98" i="11" s="1"/>
  <c r="T98" i="11"/>
  <c r="X95" i="1"/>
  <c r="X95" i="11" s="1"/>
  <c r="T95" i="11"/>
  <c r="Y95" i="1"/>
  <c r="Y95" i="11" s="1"/>
  <c r="U95" i="11"/>
  <c r="X82" i="11"/>
  <c r="T82" i="11"/>
  <c r="X83" i="1"/>
  <c r="X83" i="11" s="1"/>
  <c r="T83" i="11"/>
  <c r="Y82" i="11"/>
  <c r="U82" i="11"/>
  <c r="Y83" i="1"/>
  <c r="Y83" i="11" s="1"/>
  <c r="U83" i="11"/>
  <c r="Y79" i="1"/>
  <c r="Y79" i="11" s="1"/>
  <c r="U79" i="11"/>
  <c r="Y78" i="1"/>
  <c r="Y78" i="11" s="1"/>
  <c r="U78" i="11"/>
  <c r="X78" i="1"/>
  <c r="X78" i="11" s="1"/>
  <c r="T78" i="11"/>
  <c r="X79" i="1"/>
  <c r="X79" i="11" s="1"/>
  <c r="T79" i="11"/>
  <c r="X75" i="1"/>
  <c r="X75" i="11" s="1"/>
  <c r="T75" i="11"/>
  <c r="Y74" i="1"/>
  <c r="Y74" i="11" s="1"/>
  <c r="U74" i="11"/>
  <c r="Y75" i="1"/>
  <c r="Y75" i="11" s="1"/>
  <c r="U75" i="11"/>
  <c r="X74" i="1"/>
  <c r="X74" i="11" s="1"/>
  <c r="T74" i="11"/>
  <c r="Y67" i="1"/>
  <c r="Y67" i="11" s="1"/>
  <c r="U67" i="11"/>
  <c r="X66" i="1"/>
  <c r="X66" i="11" s="1"/>
  <c r="T66" i="11"/>
  <c r="Y66" i="1"/>
  <c r="Y66" i="11" s="1"/>
  <c r="U66" i="11"/>
  <c r="X67" i="1"/>
  <c r="X67" i="11" s="1"/>
  <c r="T67" i="11"/>
  <c r="X54" i="1"/>
  <c r="X54" i="11" s="1"/>
  <c r="T54" i="11"/>
  <c r="X55" i="1"/>
  <c r="X55" i="11" s="1"/>
  <c r="T55" i="11"/>
  <c r="Y55" i="1"/>
  <c r="Y55" i="11" s="1"/>
  <c r="U55" i="11"/>
  <c r="Y54" i="1"/>
  <c r="Y54" i="11" s="1"/>
  <c r="U54" i="11"/>
  <c r="Y50" i="1"/>
  <c r="Y50" i="11" s="1"/>
  <c r="U50" i="11"/>
  <c r="X50" i="1"/>
  <c r="X50" i="11" s="1"/>
  <c r="T50" i="11"/>
  <c r="Y51" i="1"/>
  <c r="Y51" i="11" s="1"/>
  <c r="U51" i="11"/>
  <c r="X51" i="1"/>
  <c r="X51" i="11" s="1"/>
  <c r="T51" i="11"/>
  <c r="X47" i="1"/>
  <c r="X47" i="11" s="1"/>
  <c r="T47" i="11"/>
  <c r="Y47" i="1"/>
  <c r="Y47" i="11" s="1"/>
  <c r="U47" i="11"/>
  <c r="X46" i="1"/>
  <c r="X46" i="11" s="1"/>
  <c r="T46" i="11"/>
  <c r="Y46" i="1"/>
  <c r="Y46" i="11" s="1"/>
  <c r="U46" i="11"/>
  <c r="X42" i="1"/>
  <c r="X42" i="11" s="1"/>
  <c r="T42" i="11"/>
  <c r="Y42" i="1"/>
  <c r="Y42" i="11" s="1"/>
  <c r="U42" i="11"/>
  <c r="Y43" i="1"/>
  <c r="Y43" i="11" s="1"/>
  <c r="U43" i="11"/>
  <c r="X39" i="1"/>
  <c r="X39" i="11" s="1"/>
  <c r="T39" i="11"/>
  <c r="X38" i="1"/>
  <c r="X38" i="11" s="1"/>
  <c r="T38" i="11"/>
  <c r="Y38" i="1"/>
  <c r="Y38" i="11" s="1"/>
  <c r="U38" i="11"/>
  <c r="Y39" i="1"/>
  <c r="Y39" i="11" s="1"/>
  <c r="U39" i="11"/>
  <c r="X27" i="1"/>
  <c r="X27" i="11" s="1"/>
  <c r="T27" i="11"/>
  <c r="Y27" i="1"/>
  <c r="Y27" i="11" s="1"/>
  <c r="U27" i="11"/>
  <c r="X19" i="1"/>
  <c r="X19" i="11" s="1"/>
  <c r="T19" i="11"/>
  <c r="X18" i="1"/>
  <c r="X18" i="11" s="1"/>
  <c r="T18" i="11"/>
  <c r="X17" i="1"/>
  <c r="X17" i="11" s="1"/>
  <c r="T17" i="11"/>
  <c r="X15" i="1"/>
  <c r="X15" i="11" s="1"/>
  <c r="T15" i="11"/>
  <c r="X14" i="1"/>
  <c r="X14" i="11" s="1"/>
  <c r="T14" i="11"/>
  <c r="Y122" i="11"/>
  <c r="U122" i="11"/>
  <c r="X122" i="11"/>
  <c r="T122" i="11"/>
  <c r="Y106" i="1"/>
  <c r="Y106" i="11" s="1"/>
  <c r="U106" i="11"/>
  <c r="X106" i="1"/>
  <c r="X106" i="11" s="1"/>
  <c r="T106" i="11"/>
  <c r="Y126" i="1"/>
  <c r="Y126" i="11" s="1"/>
  <c r="U126" i="11"/>
  <c r="X126" i="11"/>
  <c r="T126" i="11"/>
  <c r="Y127" i="1"/>
  <c r="Y127" i="11" s="1"/>
  <c r="U127" i="11"/>
  <c r="X127" i="11"/>
  <c r="T127" i="11"/>
  <c r="X23" i="1"/>
  <c r="X23" i="11" s="1"/>
  <c r="T24" i="1"/>
  <c r="T24" i="11" s="1"/>
  <c r="X33" i="1"/>
  <c r="X33" i="11" s="1"/>
  <c r="R36" i="11"/>
  <c r="R44" i="1"/>
  <c r="R44" i="11" s="1"/>
  <c r="R60" i="1"/>
  <c r="R60" i="11" s="1"/>
  <c r="R76" i="1"/>
  <c r="R76" i="11" s="1"/>
  <c r="R92" i="1"/>
  <c r="R92" i="11" s="1"/>
  <c r="T89" i="11"/>
  <c r="T109" i="11"/>
  <c r="R112" i="1"/>
  <c r="R112" i="11" s="1"/>
  <c r="Y23" i="1"/>
  <c r="Y23" i="11" s="1"/>
  <c r="S36" i="11"/>
  <c r="U33" i="11"/>
  <c r="S52" i="1"/>
  <c r="S52" i="11" s="1"/>
  <c r="S60" i="1"/>
  <c r="S60" i="11" s="1"/>
  <c r="U57" i="11"/>
  <c r="S76" i="1"/>
  <c r="S76" i="11" s="1"/>
  <c r="U73" i="11"/>
  <c r="S84" i="1"/>
  <c r="S84" i="11" s="1"/>
  <c r="U81" i="11"/>
  <c r="U89" i="11"/>
  <c r="S92" i="1"/>
  <c r="S92" i="11" s="1"/>
  <c r="S104" i="1"/>
  <c r="S104" i="11" s="1"/>
  <c r="U101" i="11"/>
  <c r="S112" i="1"/>
  <c r="S112" i="11" s="1"/>
  <c r="U109" i="11"/>
  <c r="U117" i="11"/>
  <c r="S128" i="1"/>
  <c r="S128" i="11" s="1"/>
  <c r="S136" i="1"/>
  <c r="S136" i="11" s="1"/>
  <c r="U133" i="11"/>
  <c r="R128" i="1"/>
  <c r="R128" i="11" s="1"/>
  <c r="R136" i="1"/>
  <c r="R136" i="11" s="1"/>
  <c r="T20" i="1"/>
  <c r="T20" i="11" s="1"/>
  <c r="X25" i="1"/>
  <c r="T28" i="1"/>
  <c r="T28" i="11" s="1"/>
  <c r="T53" i="11"/>
  <c r="R56" i="1"/>
  <c r="R56" i="11" s="1"/>
  <c r="X69" i="1"/>
  <c r="X69" i="11" s="1"/>
  <c r="R80" i="11"/>
  <c r="R88" i="1"/>
  <c r="R88" i="11" s="1"/>
  <c r="R96" i="1"/>
  <c r="R96" i="11" s="1"/>
  <c r="R100" i="1"/>
  <c r="R100" i="11" s="1"/>
  <c r="T97" i="11"/>
  <c r="R108" i="1"/>
  <c r="R108" i="11" s="1"/>
  <c r="T113" i="11"/>
  <c r="R116" i="1"/>
  <c r="R116" i="11" s="1"/>
  <c r="R124" i="1"/>
  <c r="R124" i="11" s="1"/>
  <c r="R132" i="1"/>
  <c r="R132" i="11" s="1"/>
  <c r="R52" i="11"/>
  <c r="T49" i="11"/>
  <c r="R68" i="1"/>
  <c r="R68" i="11" s="1"/>
  <c r="T65" i="11"/>
  <c r="T81" i="11"/>
  <c r="R84" i="1"/>
  <c r="R84" i="11" s="1"/>
  <c r="R104" i="1"/>
  <c r="R104" i="11" s="1"/>
  <c r="Y17" i="1"/>
  <c r="Y37" i="1"/>
  <c r="S48" i="1"/>
  <c r="S48" i="11" s="1"/>
  <c r="U45" i="11"/>
  <c r="S56" i="1"/>
  <c r="S56" i="11" s="1"/>
  <c r="U53" i="11"/>
  <c r="S72" i="1"/>
  <c r="S72" i="11" s="1"/>
  <c r="S80" i="11"/>
  <c r="U77" i="11"/>
  <c r="S96" i="1"/>
  <c r="S96" i="11" s="1"/>
  <c r="U97" i="11"/>
  <c r="S100" i="1"/>
  <c r="S100" i="11" s="1"/>
  <c r="U105" i="11"/>
  <c r="S108" i="1"/>
  <c r="S108" i="11" s="1"/>
  <c r="U113" i="11"/>
  <c r="S116" i="1"/>
  <c r="S116" i="11" s="1"/>
  <c r="U121" i="11"/>
  <c r="S124" i="1"/>
  <c r="S124" i="11" s="1"/>
  <c r="S132" i="11"/>
  <c r="T117" i="11"/>
  <c r="R120" i="1"/>
  <c r="R120" i="11" s="1"/>
  <c r="T16" i="1"/>
  <c r="T16" i="11" s="1"/>
  <c r="Y15" i="1"/>
  <c r="Y15" i="11" s="1"/>
  <c r="I24" i="10" l="1"/>
  <c r="T105" i="11"/>
  <c r="X105" i="1"/>
  <c r="T73" i="11"/>
  <c r="X73" i="1"/>
  <c r="T129" i="11"/>
  <c r="T121" i="11"/>
  <c r="U125" i="11"/>
  <c r="Y125" i="1"/>
  <c r="T133" i="11"/>
  <c r="X133" i="1"/>
  <c r="T125" i="11"/>
  <c r="C85" i="1"/>
  <c r="C84" i="11"/>
  <c r="C25" i="1"/>
  <c r="C24" i="11"/>
  <c r="S2" i="11"/>
  <c r="R2" i="11"/>
  <c r="U68" i="1"/>
  <c r="U68" i="11" s="1"/>
  <c r="U65" i="11"/>
  <c r="X61" i="1"/>
  <c r="X61" i="11" s="1"/>
  <c r="T61" i="11"/>
  <c r="Y61" i="1"/>
  <c r="Y61" i="11" s="1"/>
  <c r="U61" i="11"/>
  <c r="X57" i="1"/>
  <c r="X57" i="11" s="1"/>
  <c r="T57" i="11"/>
  <c r="S1" i="11"/>
  <c r="Y41" i="1"/>
  <c r="Y41" i="11" s="1"/>
  <c r="U41" i="11"/>
  <c r="R1" i="11"/>
  <c r="X41" i="1"/>
  <c r="X41" i="11" s="1"/>
  <c r="T41" i="11"/>
  <c r="Y37" i="11"/>
  <c r="U37" i="11"/>
  <c r="X28" i="1"/>
  <c r="X28" i="11" s="1"/>
  <c r="X25" i="11"/>
  <c r="X20" i="1"/>
  <c r="X20" i="11" s="1"/>
  <c r="Y20" i="1"/>
  <c r="Y20" i="11" s="1"/>
  <c r="Y17" i="11"/>
  <c r="S1" i="1"/>
  <c r="S2" i="1"/>
  <c r="R2" i="1"/>
  <c r="G7" i="10" s="1"/>
  <c r="R1" i="1"/>
  <c r="X24" i="1"/>
  <c r="X24" i="11" s="1"/>
  <c r="Y16" i="1"/>
  <c r="Y16" i="11" s="1"/>
  <c r="Y24" i="1"/>
  <c r="Y24" i="11" s="1"/>
  <c r="X16" i="1"/>
  <c r="X16" i="11" s="1"/>
  <c r="Y129" i="1"/>
  <c r="U132" i="11"/>
  <c r="Y113" i="1"/>
  <c r="U116" i="1"/>
  <c r="U116" i="11" s="1"/>
  <c r="Y97" i="1"/>
  <c r="U100" i="1"/>
  <c r="U100" i="11" s="1"/>
  <c r="X81" i="1"/>
  <c r="T84" i="1"/>
  <c r="T84" i="11" s="1"/>
  <c r="T64" i="1"/>
  <c r="T64" i="11" s="1"/>
  <c r="T136" i="11"/>
  <c r="T112" i="1"/>
  <c r="T112" i="11" s="1"/>
  <c r="X109" i="1"/>
  <c r="U96" i="1"/>
  <c r="U96" i="11" s="1"/>
  <c r="Y93" i="1"/>
  <c r="U80" i="1"/>
  <c r="Y77" i="1"/>
  <c r="U64" i="1"/>
  <c r="U64" i="11" s="1"/>
  <c r="U48" i="1"/>
  <c r="U48" i="11" s="1"/>
  <c r="Y45" i="1"/>
  <c r="T104" i="1"/>
  <c r="T104" i="11" s="1"/>
  <c r="X65" i="1"/>
  <c r="T68" i="1"/>
  <c r="T68" i="11" s="1"/>
  <c r="X97" i="1"/>
  <c r="T100" i="1"/>
  <c r="T100" i="11" s="1"/>
  <c r="X40" i="1"/>
  <c r="X40" i="11" s="1"/>
  <c r="T40" i="1"/>
  <c r="T40" i="11" s="1"/>
  <c r="T128" i="11"/>
  <c r="U128" i="11"/>
  <c r="U112" i="1"/>
  <c r="U112" i="11" s="1"/>
  <c r="Y109" i="1"/>
  <c r="Y73" i="1"/>
  <c r="U76" i="1"/>
  <c r="U76" i="11" s="1"/>
  <c r="U60" i="1"/>
  <c r="U60" i="11" s="1"/>
  <c r="Y57" i="1"/>
  <c r="U44" i="1"/>
  <c r="U44" i="11" s="1"/>
  <c r="T92" i="1"/>
  <c r="T92" i="11" s="1"/>
  <c r="X89" i="1"/>
  <c r="T60" i="1"/>
  <c r="T60" i="11" s="1"/>
  <c r="T120" i="1"/>
  <c r="T120" i="11" s="1"/>
  <c r="X117" i="1"/>
  <c r="Y121" i="1"/>
  <c r="U124" i="11"/>
  <c r="U108" i="1"/>
  <c r="U108" i="11" s="1"/>
  <c r="T132" i="11"/>
  <c r="X113" i="1"/>
  <c r="T116" i="1"/>
  <c r="T116" i="11" s="1"/>
  <c r="X85" i="1"/>
  <c r="T88" i="1"/>
  <c r="T88" i="11" s="1"/>
  <c r="T72" i="1"/>
  <c r="T72" i="11" s="1"/>
  <c r="X72" i="1"/>
  <c r="X72" i="11" s="1"/>
  <c r="T56" i="1"/>
  <c r="T56" i="11" s="1"/>
  <c r="X53" i="1"/>
  <c r="U92" i="1"/>
  <c r="U92" i="11" s="1"/>
  <c r="Y89" i="1"/>
  <c r="X36" i="1"/>
  <c r="X36" i="11" s="1"/>
  <c r="T36" i="1"/>
  <c r="T36" i="11" s="1"/>
  <c r="U88" i="1"/>
  <c r="U88" i="11" s="1"/>
  <c r="Y85" i="1"/>
  <c r="U72" i="1"/>
  <c r="U72" i="11" s="1"/>
  <c r="Y69" i="1"/>
  <c r="U56" i="1"/>
  <c r="U56" i="11" s="1"/>
  <c r="Y53" i="1"/>
  <c r="U40" i="1"/>
  <c r="U40" i="11" s="1"/>
  <c r="X49" i="1"/>
  <c r="T52" i="1"/>
  <c r="T52" i="11" s="1"/>
  <c r="T124" i="11"/>
  <c r="T108" i="1"/>
  <c r="T108" i="11" s="1"/>
  <c r="T96" i="1"/>
  <c r="T96" i="11" s="1"/>
  <c r="X93" i="1"/>
  <c r="X77" i="1"/>
  <c r="T80" i="1"/>
  <c r="T80" i="11" s="1"/>
  <c r="U136" i="11"/>
  <c r="Y133" i="1"/>
  <c r="U120" i="1"/>
  <c r="U120" i="11" s="1"/>
  <c r="Y117" i="1"/>
  <c r="U104" i="1"/>
  <c r="U104" i="11" s="1"/>
  <c r="Y81" i="1"/>
  <c r="U84" i="1"/>
  <c r="U84" i="11" s="1"/>
  <c r="Y65" i="1"/>
  <c r="Y49" i="1"/>
  <c r="U52" i="1"/>
  <c r="U52" i="11" s="1"/>
  <c r="Y33" i="1"/>
  <c r="U36" i="1"/>
  <c r="U36" i="11" s="1"/>
  <c r="T76" i="1"/>
  <c r="T76" i="11" s="1"/>
  <c r="T44" i="1"/>
  <c r="T44" i="11" s="1"/>
  <c r="U80" i="11" l="1"/>
  <c r="U2" i="11" s="1"/>
  <c r="U2" i="1"/>
  <c r="Y136" i="1"/>
  <c r="Y136" i="11" s="1"/>
  <c r="Y133" i="11"/>
  <c r="X136" i="1"/>
  <c r="X136" i="11" s="1"/>
  <c r="X133" i="11"/>
  <c r="X60" i="1"/>
  <c r="X60" i="11" s="1"/>
  <c r="X44" i="1"/>
  <c r="X44" i="11" s="1"/>
  <c r="Y132" i="1"/>
  <c r="Y132" i="11" s="1"/>
  <c r="Y129" i="11"/>
  <c r="X132" i="1"/>
  <c r="X132" i="11" s="1"/>
  <c r="X129" i="11"/>
  <c r="S3" i="11"/>
  <c r="AS2" i="11"/>
  <c r="AS1" i="11"/>
  <c r="X64" i="1"/>
  <c r="X64" i="11" s="1"/>
  <c r="Y44" i="1"/>
  <c r="Y44" i="11" s="1"/>
  <c r="Y40" i="1"/>
  <c r="Y40" i="11" s="1"/>
  <c r="C86" i="1"/>
  <c r="C85" i="11"/>
  <c r="C26" i="1"/>
  <c r="C25" i="11"/>
  <c r="Y124" i="1"/>
  <c r="Y124" i="11" s="1"/>
  <c r="Y121" i="11"/>
  <c r="X124" i="1"/>
  <c r="X121" i="11"/>
  <c r="X120" i="1"/>
  <c r="X120" i="11" s="1"/>
  <c r="X117" i="11"/>
  <c r="Y120" i="1"/>
  <c r="Y120" i="11" s="1"/>
  <c r="Y117" i="11"/>
  <c r="Y116" i="1"/>
  <c r="Y116" i="11" s="1"/>
  <c r="Y113" i="11"/>
  <c r="X116" i="1"/>
  <c r="X116" i="11" s="1"/>
  <c r="X113" i="11"/>
  <c r="X112" i="1"/>
  <c r="X112" i="11" s="1"/>
  <c r="X109" i="11"/>
  <c r="Y112" i="1"/>
  <c r="Y112" i="11" s="1"/>
  <c r="Y109" i="11"/>
  <c r="Y108" i="1"/>
  <c r="Y108" i="11" s="1"/>
  <c r="Y105" i="11"/>
  <c r="X108" i="1"/>
  <c r="X108" i="11" s="1"/>
  <c r="X105" i="11"/>
  <c r="Y104" i="1"/>
  <c r="Y104" i="11" s="1"/>
  <c r="Y101" i="11"/>
  <c r="X104" i="1"/>
  <c r="X104" i="11" s="1"/>
  <c r="X101" i="11"/>
  <c r="X100" i="1"/>
  <c r="X100" i="11" s="1"/>
  <c r="X97" i="11"/>
  <c r="Y100" i="1"/>
  <c r="Y100" i="11" s="1"/>
  <c r="Y97" i="11"/>
  <c r="X96" i="1"/>
  <c r="X96" i="11" s="1"/>
  <c r="X93" i="11"/>
  <c r="Y96" i="1"/>
  <c r="Y96" i="11" s="1"/>
  <c r="Y93" i="11"/>
  <c r="Y92" i="1"/>
  <c r="Y92" i="11" s="1"/>
  <c r="Y89" i="11"/>
  <c r="X92" i="1"/>
  <c r="X92" i="11" s="1"/>
  <c r="X89" i="11"/>
  <c r="X88" i="1"/>
  <c r="X88" i="11" s="1"/>
  <c r="X85" i="11"/>
  <c r="Y88" i="1"/>
  <c r="Y88" i="11" s="1"/>
  <c r="Y85" i="11"/>
  <c r="R3" i="11"/>
  <c r="X84" i="1"/>
  <c r="X84" i="11" s="1"/>
  <c r="X81" i="11"/>
  <c r="Y84" i="1"/>
  <c r="Y84" i="11" s="1"/>
  <c r="Y81" i="11"/>
  <c r="Y80" i="1"/>
  <c r="Y80" i="11" s="1"/>
  <c r="Y77" i="11"/>
  <c r="X80" i="1"/>
  <c r="X80" i="11" s="1"/>
  <c r="X77" i="11"/>
  <c r="X76" i="1"/>
  <c r="X76" i="11" s="1"/>
  <c r="X73" i="11"/>
  <c r="Y76" i="1"/>
  <c r="Y76" i="11" s="1"/>
  <c r="Y73" i="11"/>
  <c r="T2" i="11"/>
  <c r="Y72" i="1"/>
  <c r="Y72" i="11" s="1"/>
  <c r="Y69" i="11"/>
  <c r="Y68" i="1"/>
  <c r="Y68" i="11" s="1"/>
  <c r="Y65" i="11"/>
  <c r="X68" i="1"/>
  <c r="X68" i="11" s="1"/>
  <c r="X65" i="11"/>
  <c r="Y64" i="1"/>
  <c r="Y64" i="11" s="1"/>
  <c r="Y60" i="1"/>
  <c r="Y60" i="11" s="1"/>
  <c r="Y57" i="11"/>
  <c r="Y56" i="1"/>
  <c r="Y56" i="11" s="1"/>
  <c r="Y53" i="11"/>
  <c r="X56" i="1"/>
  <c r="X56" i="11" s="1"/>
  <c r="X53" i="11"/>
  <c r="Y52" i="1"/>
  <c r="Y52" i="11" s="1"/>
  <c r="Y49" i="11"/>
  <c r="X52" i="1"/>
  <c r="X52" i="11" s="1"/>
  <c r="X49" i="11"/>
  <c r="Y48" i="1"/>
  <c r="Y48" i="11" s="1"/>
  <c r="Y45" i="11"/>
  <c r="Y36" i="1"/>
  <c r="Y36" i="11" s="1"/>
  <c r="Y33" i="11"/>
  <c r="E7" i="10"/>
  <c r="E25" i="10" s="1"/>
  <c r="AR1" i="11"/>
  <c r="AR2" i="11"/>
  <c r="Y128" i="1"/>
  <c r="Y128" i="11" s="1"/>
  <c r="Y125" i="11"/>
  <c r="X128" i="1"/>
  <c r="X128" i="11" s="1"/>
  <c r="X125" i="11"/>
  <c r="S3" i="1"/>
  <c r="F7" i="10"/>
  <c r="G25" i="10"/>
  <c r="R3" i="1"/>
  <c r="T2" i="1"/>
  <c r="D7" i="10"/>
  <c r="D25" i="10" l="1"/>
  <c r="X124" i="11"/>
  <c r="X2" i="11" s="1"/>
  <c r="X2" i="1"/>
  <c r="G8" i="10" s="1"/>
  <c r="AS3" i="11"/>
  <c r="AR3" i="11"/>
  <c r="C87" i="1"/>
  <c r="C86" i="11"/>
  <c r="C27" i="1"/>
  <c r="C26" i="11"/>
  <c r="AT2" i="11"/>
  <c r="AU2" i="11"/>
  <c r="Y2" i="11"/>
  <c r="Y2" i="1"/>
  <c r="F8" i="10" s="1"/>
  <c r="F9" i="10" s="1"/>
  <c r="F25" i="10"/>
  <c r="J25" i="10"/>
  <c r="G26" i="10" l="1"/>
  <c r="G27" i="10" s="1"/>
  <c r="G9" i="10"/>
  <c r="AY2" i="11"/>
  <c r="AX2" i="11"/>
  <c r="C88" i="1"/>
  <c r="C87" i="11"/>
  <c r="C28" i="1"/>
  <c r="C27" i="11"/>
  <c r="I25" i="10"/>
  <c r="U28" i="1"/>
  <c r="K28" i="1"/>
  <c r="C89" i="1" l="1"/>
  <c r="C88" i="11"/>
  <c r="C29" i="1"/>
  <c r="C28" i="11"/>
  <c r="K1" i="1"/>
  <c r="K28" i="11"/>
  <c r="K1" i="11" s="1"/>
  <c r="K3" i="11" s="1"/>
  <c r="Y25" i="1"/>
  <c r="U25" i="11"/>
  <c r="D3" i="10" l="1"/>
  <c r="C90" i="1"/>
  <c r="C89" i="11"/>
  <c r="C30" i="1"/>
  <c r="C29" i="11"/>
  <c r="AK1" i="11"/>
  <c r="K3" i="1"/>
  <c r="Y28" i="1"/>
  <c r="Y25" i="11"/>
  <c r="U1" i="1"/>
  <c r="U28" i="11"/>
  <c r="U1" i="11" s="1"/>
  <c r="U3" i="11" s="1"/>
  <c r="N48" i="1"/>
  <c r="N48" i="11" s="1"/>
  <c r="T45" i="11"/>
  <c r="D21" i="10" l="1"/>
  <c r="AK3" i="11"/>
  <c r="C91" i="1"/>
  <c r="C90" i="11"/>
  <c r="C31" i="1"/>
  <c r="C30" i="11"/>
  <c r="AU1" i="11"/>
  <c r="U3" i="1"/>
  <c r="AU3" i="11" s="1"/>
  <c r="Y1" i="1"/>
  <c r="Y28" i="11"/>
  <c r="Y1" i="11" s="1"/>
  <c r="T48" i="1"/>
  <c r="X45" i="1"/>
  <c r="N52" i="1"/>
  <c r="I21" i="10" l="1"/>
  <c r="C92" i="1"/>
  <c r="C91" i="11"/>
  <c r="C32" i="1"/>
  <c r="C31" i="11"/>
  <c r="N1" i="1"/>
  <c r="E5" i="10" s="1"/>
  <c r="N52" i="11"/>
  <c r="N1" i="11" s="1"/>
  <c r="N3" i="11" s="1"/>
  <c r="T1" i="1"/>
  <c r="T3" i="1" s="1"/>
  <c r="T48" i="11"/>
  <c r="T1" i="11" s="1"/>
  <c r="T3" i="11" s="1"/>
  <c r="X48" i="1"/>
  <c r="X45" i="11"/>
  <c r="Y3" i="11"/>
  <c r="AY1" i="11"/>
  <c r="Y3" i="1"/>
  <c r="D8" i="10"/>
  <c r="D26" i="10" s="1"/>
  <c r="AV2" i="12"/>
  <c r="N3" i="1" l="1"/>
  <c r="AN3" i="11" s="1"/>
  <c r="C93" i="1"/>
  <c r="C92" i="11"/>
  <c r="C33" i="1"/>
  <c r="C32" i="11"/>
  <c r="AT1" i="11"/>
  <c r="AT3" i="11"/>
  <c r="AN1" i="11"/>
  <c r="X1" i="1"/>
  <c r="X48" i="11"/>
  <c r="X1" i="11" s="1"/>
  <c r="AY3" i="11"/>
  <c r="D27" i="10"/>
  <c r="D9" i="10"/>
  <c r="F13" i="10"/>
  <c r="AN2" i="12"/>
  <c r="Y89" i="9"/>
  <c r="Y89" i="12" s="1"/>
  <c r="E23" i="10"/>
  <c r="U3" i="9"/>
  <c r="AV3" i="12" s="1"/>
  <c r="M3" i="9"/>
  <c r="Y2" i="9" l="1"/>
  <c r="Y3" i="9" s="1"/>
  <c r="Y90" i="12"/>
  <c r="Y2" i="12" s="1"/>
  <c r="Y3" i="12" s="1"/>
  <c r="F22" i="10"/>
  <c r="AN3" i="12"/>
  <c r="X3" i="1"/>
  <c r="E8" i="10"/>
  <c r="C94" i="1"/>
  <c r="C93" i="11"/>
  <c r="C34" i="1"/>
  <c r="C33" i="11"/>
  <c r="X3" i="11"/>
  <c r="AX1" i="11"/>
  <c r="J23" i="10"/>
  <c r="I22" i="10" l="1"/>
  <c r="AX3" i="11"/>
  <c r="E26" i="10"/>
  <c r="E9" i="10"/>
  <c r="F17" i="10"/>
  <c r="F26" i="10" s="1"/>
  <c r="AZ3" i="12"/>
  <c r="AZ2" i="12"/>
  <c r="C95" i="1"/>
  <c r="C94" i="11"/>
  <c r="C35" i="1"/>
  <c r="C34" i="11"/>
  <c r="J26" i="10" l="1"/>
  <c r="J27" i="10" s="1"/>
  <c r="E27" i="10"/>
  <c r="I26" i="10"/>
  <c r="I27" i="10" s="1"/>
  <c r="F18" i="10"/>
  <c r="C96" i="1"/>
  <c r="C95" i="11"/>
  <c r="C36" i="1"/>
  <c r="C35" i="11"/>
  <c r="F27" i="10"/>
  <c r="C97" i="1" l="1"/>
  <c r="C96" i="11"/>
  <c r="C37" i="1"/>
  <c r="C36" i="11"/>
  <c r="C98" i="1" l="1"/>
  <c r="C97" i="11"/>
  <c r="C38" i="1"/>
  <c r="C37" i="11"/>
  <c r="C99" i="1" l="1"/>
  <c r="C98" i="11"/>
  <c r="C39" i="1"/>
  <c r="C38" i="11"/>
  <c r="C100" i="1" l="1"/>
  <c r="C99" i="11"/>
  <c r="C40" i="1"/>
  <c r="C39" i="11"/>
  <c r="A36" i="6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D3" i="6"/>
  <c r="C8" i="5" s="1"/>
  <c r="C83" i="12" l="1"/>
  <c r="C101" i="1"/>
  <c r="C100" i="11"/>
  <c r="C41" i="1"/>
  <c r="C40" i="11"/>
  <c r="C102" i="1" l="1"/>
  <c r="C101" i="11"/>
  <c r="C42" i="1"/>
  <c r="C41" i="11"/>
  <c r="C103" i="1" l="1"/>
  <c r="C102" i="11"/>
  <c r="C43" i="1"/>
  <c r="C42" i="11"/>
  <c r="C104" i="1" l="1"/>
  <c r="C103" i="11"/>
  <c r="C44" i="1"/>
  <c r="C43" i="11"/>
  <c r="C105" i="1" l="1"/>
  <c r="C104" i="11"/>
  <c r="C45" i="1"/>
  <c r="C44" i="11"/>
  <c r="C106" i="1" l="1"/>
  <c r="C105" i="11"/>
  <c r="C46" i="1"/>
  <c r="C45" i="11"/>
  <c r="C107" i="1" l="1"/>
  <c r="C106" i="11"/>
  <c r="C47" i="1"/>
  <c r="C46" i="11"/>
  <c r="C108" i="1" l="1"/>
  <c r="C107" i="11"/>
  <c r="C48" i="1"/>
  <c r="C47" i="11"/>
  <c r="C109" i="1" l="1"/>
  <c r="C108" i="11"/>
  <c r="C49" i="1"/>
  <c r="C48" i="11"/>
  <c r="C110" i="1" l="1"/>
  <c r="C109" i="11"/>
  <c r="C50" i="1"/>
  <c r="C49" i="11"/>
  <c r="C111" i="1" l="1"/>
  <c r="C110" i="11"/>
  <c r="C51" i="1"/>
  <c r="C50" i="11"/>
  <c r="C112" i="1" l="1"/>
  <c r="C111" i="11"/>
  <c r="C52" i="1"/>
  <c r="C51" i="11"/>
  <c r="C113" i="1" l="1"/>
  <c r="C112" i="11"/>
  <c r="C53" i="1"/>
  <c r="C52" i="11"/>
  <c r="C114" i="1" l="1"/>
  <c r="C113" i="11"/>
  <c r="C54" i="1"/>
  <c r="C53" i="11"/>
  <c r="C115" i="1" l="1"/>
  <c r="C114" i="11"/>
  <c r="C55" i="1"/>
  <c r="C54" i="11"/>
  <c r="C116" i="1" l="1"/>
  <c r="C115" i="11"/>
  <c r="C56" i="1"/>
  <c r="C55" i="11"/>
  <c r="C117" i="1" l="1"/>
  <c r="C116" i="11"/>
  <c r="C57" i="1"/>
  <c r="C56" i="11"/>
  <c r="C118" i="1" l="1"/>
  <c r="C117" i="11"/>
  <c r="C58" i="1"/>
  <c r="C57" i="11"/>
  <c r="C119" i="1" l="1"/>
  <c r="C118" i="11"/>
  <c r="C59" i="1"/>
  <c r="C58" i="11"/>
  <c r="C120" i="1" l="1"/>
  <c r="C119" i="11"/>
  <c r="C60" i="1"/>
  <c r="C59" i="11"/>
  <c r="C121" i="1" l="1"/>
  <c r="C120" i="11"/>
  <c r="C61" i="1"/>
  <c r="C60" i="11"/>
  <c r="C122" i="1" l="1"/>
  <c r="C121" i="11"/>
  <c r="C62" i="1"/>
  <c r="C61" i="11"/>
  <c r="C123" i="1" l="1"/>
  <c r="C122" i="11"/>
  <c r="C63" i="1"/>
  <c r="C62" i="11"/>
  <c r="C124" i="1" l="1"/>
  <c r="C123" i="11"/>
  <c r="C64" i="1"/>
  <c r="C63" i="11"/>
  <c r="C125" i="1" l="1"/>
  <c r="C124" i="11"/>
  <c r="C65" i="1"/>
  <c r="C64" i="11"/>
  <c r="C126" i="1" l="1"/>
  <c r="C125" i="11"/>
  <c r="C66" i="1"/>
  <c r="C65" i="11"/>
  <c r="C127" i="1" l="1"/>
  <c r="C126" i="11"/>
  <c r="C67" i="1"/>
  <c r="C66" i="11"/>
  <c r="C128" i="1" l="1"/>
  <c r="C127" i="11"/>
  <c r="C68" i="1"/>
  <c r="C67" i="11"/>
  <c r="C129" i="1" l="1"/>
  <c r="C128" i="11"/>
  <c r="C69" i="1"/>
  <c r="C68" i="11"/>
  <c r="C130" i="1" l="1"/>
  <c r="C129" i="11"/>
  <c r="C70" i="1"/>
  <c r="C69" i="11"/>
  <c r="C131" i="1" l="1"/>
  <c r="C130" i="11"/>
  <c r="C71" i="1"/>
  <c r="C70" i="11"/>
  <c r="C132" i="1" l="1"/>
  <c r="C131" i="11"/>
  <c r="C72" i="1"/>
  <c r="C72" i="11" s="1"/>
  <c r="C71" i="11"/>
  <c r="C133" i="1" l="1"/>
  <c r="C132" i="11"/>
  <c r="C134" i="1" l="1"/>
  <c r="C133" i="11"/>
  <c r="C135" i="1" l="1"/>
  <c r="C134" i="11"/>
  <c r="C136" i="1" l="1"/>
  <c r="C136" i="11" s="1"/>
  <c r="C135" i="11"/>
  <c r="C13" i="9" l="1"/>
  <c r="C14" i="9" s="1"/>
  <c r="C15" i="9" s="1"/>
  <c r="C13" i="12" l="1"/>
  <c r="C14" i="12"/>
  <c r="C16" i="9"/>
  <c r="C15" i="12"/>
  <c r="C16" i="12" l="1"/>
  <c r="C17" i="9"/>
  <c r="C18" i="9" l="1"/>
  <c r="C17" i="12"/>
  <c r="C19" i="9" l="1"/>
  <c r="C18" i="12"/>
  <c r="C20" i="9" l="1"/>
  <c r="C19" i="12"/>
  <c r="C21" i="9" l="1"/>
  <c r="C20" i="12"/>
  <c r="C21" i="12" l="1"/>
  <c r="C22" i="9"/>
  <c r="C22" i="12" l="1"/>
  <c r="C23" i="9"/>
  <c r="C23" i="12" l="1"/>
  <c r="C24" i="9"/>
  <c r="C25" i="9" l="1"/>
  <c r="C24" i="12"/>
  <c r="C25" i="12" l="1"/>
  <c r="C26" i="9"/>
  <c r="C27" i="9" l="1"/>
  <c r="C26" i="12"/>
  <c r="C27" i="12" l="1"/>
  <c r="C28" i="12" l="1"/>
  <c r="C29" i="12" l="1"/>
  <c r="C30" i="12" l="1"/>
  <c r="C31" i="12" l="1"/>
  <c r="C32" i="12" l="1"/>
  <c r="C33" i="12" l="1"/>
  <c r="C34" i="12" l="1"/>
  <c r="C35" i="12" l="1"/>
  <c r="C36" i="12" l="1"/>
  <c r="C37" i="12" l="1"/>
  <c r="C38" i="12" l="1"/>
  <c r="C39" i="12" l="1"/>
  <c r="C40" i="12" l="1"/>
  <c r="C41" i="12" l="1"/>
  <c r="C42" i="12" l="1"/>
  <c r="C43" i="12" l="1"/>
  <c r="C44" i="12" l="1"/>
  <c r="C45" i="12" l="1"/>
  <c r="C46" i="12" l="1"/>
  <c r="C47" i="12" l="1"/>
  <c r="C48" i="12" l="1"/>
  <c r="C49" i="9" l="1"/>
  <c r="C49" i="12"/>
  <c r="C50" i="12" l="1"/>
  <c r="C50" i="9"/>
  <c r="C51" i="9" l="1"/>
  <c r="C51" i="12"/>
  <c r="C52" i="12" l="1"/>
  <c r="C52" i="9"/>
  <c r="C53" i="12" l="1"/>
  <c r="C53" i="9"/>
  <c r="C54" i="9" l="1"/>
  <c r="C55" i="12" s="1"/>
  <c r="C54" i="12"/>
  <c r="C55" i="9" l="1"/>
  <c r="C56" i="12" l="1"/>
  <c r="C56" i="9"/>
  <c r="C57" i="9" l="1"/>
  <c r="C57" i="12"/>
  <c r="C58" i="12" l="1"/>
  <c r="C58" i="9"/>
  <c r="C59" i="9" l="1"/>
  <c r="C59" i="12"/>
  <c r="C60" i="9" l="1"/>
  <c r="C60" i="12"/>
  <c r="C61" i="12" l="1"/>
  <c r="C61" i="9"/>
  <c r="C62" i="9" l="1"/>
  <c r="C62" i="12"/>
  <c r="C63" i="9" l="1"/>
  <c r="C63" i="12"/>
  <c r="C64" i="12" l="1"/>
  <c r="C64" i="9"/>
  <c r="C65" i="12" l="1"/>
  <c r="C65" i="9"/>
  <c r="C66" i="9" l="1"/>
  <c r="C66" i="12"/>
  <c r="C67" i="9" l="1"/>
  <c r="C67" i="12"/>
  <c r="C68" i="9" l="1"/>
  <c r="C68" i="12"/>
  <c r="C69" i="9" l="1"/>
  <c r="C69" i="12"/>
  <c r="C70" i="12" l="1"/>
  <c r="C70" i="9"/>
  <c r="C71" i="12" l="1"/>
  <c r="C71" i="9"/>
  <c r="C72" i="9" l="1"/>
  <c r="C72" i="12"/>
  <c r="C73" i="9" l="1"/>
  <c r="C73" i="12"/>
  <c r="C74" i="9" l="1"/>
  <c r="C74" i="12"/>
  <c r="C75" i="9" l="1"/>
  <c r="C75" i="12"/>
  <c r="C76" i="12" l="1"/>
  <c r="C76" i="9"/>
  <c r="C77" i="9" l="1"/>
  <c r="C78" i="12" s="1"/>
  <c r="C77" i="12"/>
  <c r="C84" i="9"/>
  <c r="C85" i="9"/>
  <c r="C86" i="12" s="1"/>
  <c r="C85" i="12"/>
  <c r="C86" i="9" l="1"/>
  <c r="C87" i="12" l="1"/>
  <c r="C87" i="9"/>
  <c r="C88" i="9" l="1"/>
  <c r="C88" i="12"/>
  <c r="C89" i="9" l="1"/>
  <c r="C89" i="12"/>
  <c r="C90" i="9" l="1"/>
  <c r="C90" i="12"/>
  <c r="C91" i="9" l="1"/>
  <c r="C91" i="12"/>
  <c r="C92" i="9" l="1"/>
  <c r="C92" i="12"/>
  <c r="C93" i="12" l="1"/>
  <c r="C93" i="9"/>
  <c r="C94" i="12" l="1"/>
  <c r="C94" i="9"/>
  <c r="C95" i="9" l="1"/>
  <c r="C95" i="12"/>
  <c r="C96" i="9" l="1"/>
  <c r="C96" i="12"/>
  <c r="C97" i="12" l="1"/>
  <c r="C97" i="9"/>
  <c r="C98" i="12" l="1"/>
  <c r="C98" i="9"/>
  <c r="C99" i="9" l="1"/>
  <c r="C99" i="12"/>
  <c r="C100" i="9" l="1"/>
  <c r="C100" i="12"/>
  <c r="C101" i="12" l="1"/>
  <c r="C101" i="9"/>
  <c r="C102" i="12" l="1"/>
  <c r="C102" i="9"/>
  <c r="C103" i="12" l="1"/>
  <c r="C103" i="9"/>
  <c r="C104" i="12" l="1"/>
  <c r="C104" i="9"/>
  <c r="C105" i="12" l="1"/>
  <c r="C105" i="9"/>
  <c r="C106" i="12" l="1"/>
  <c r="C106" i="9"/>
  <c r="C107" i="9" l="1"/>
  <c r="C107" i="12"/>
  <c r="C108" i="9" l="1"/>
  <c r="C108" i="12"/>
  <c r="C109" i="12" l="1"/>
  <c r="C109" i="9"/>
  <c r="C110" i="9" l="1"/>
  <c r="C110" i="12"/>
  <c r="C111" i="12" l="1"/>
  <c r="C111" i="9"/>
  <c r="C112" i="9" l="1"/>
  <c r="C112" i="12"/>
  <c r="C113" i="9" l="1"/>
  <c r="C113" i="12"/>
  <c r="C114" i="12" l="1"/>
  <c r="C114" i="9"/>
  <c r="C115" i="9" l="1"/>
  <c r="C115" i="12"/>
  <c r="C116" i="12" l="1"/>
  <c r="C116" i="9"/>
  <c r="C117" i="12" l="1"/>
  <c r="C117" i="9"/>
  <c r="C118" i="12" l="1"/>
  <c r="C118" i="9"/>
  <c r="C119" i="9" l="1"/>
  <c r="C119" i="12"/>
  <c r="C120" i="12" l="1"/>
  <c r="C120" i="9"/>
  <c r="C121" i="9" l="1"/>
  <c r="C121" i="12"/>
  <c r="C122" i="9" l="1"/>
  <c r="C122" i="12"/>
  <c r="C123" i="9" l="1"/>
  <c r="C123" i="12"/>
  <c r="C124" i="9" l="1"/>
  <c r="C124" i="12"/>
  <c r="C125" i="12" l="1"/>
  <c r="C125" i="9"/>
  <c r="C126" i="9" l="1"/>
  <c r="C126" i="12"/>
  <c r="C127" i="12" l="1"/>
  <c r="C127" i="9"/>
  <c r="C128" i="9" l="1"/>
  <c r="C128" i="12"/>
  <c r="C129" i="12" l="1"/>
  <c r="C129" i="9"/>
  <c r="C130" i="12" l="1"/>
  <c r="C130" i="9"/>
  <c r="C131" i="12" l="1"/>
  <c r="C131" i="9"/>
  <c r="C132" i="12" l="1"/>
  <c r="C132" i="9"/>
  <c r="C133" i="9" l="1"/>
  <c r="C133" i="12"/>
  <c r="C134" i="9" l="1"/>
  <c r="C134" i="12"/>
  <c r="C135" i="9" l="1"/>
  <c r="C135" i="12"/>
  <c r="C136" i="12" l="1"/>
  <c r="C136" i="9"/>
  <c r="C137" i="12" l="1"/>
  <c r="C137" i="9"/>
  <c r="C138" i="9" l="1"/>
  <c r="C138" i="12"/>
  <c r="C139" i="9" l="1"/>
  <c r="C139" i="12"/>
  <c r="C140" i="9" l="1"/>
  <c r="C140" i="12"/>
  <c r="C141" i="12" l="1"/>
  <c r="C141" i="9"/>
  <c r="C142" i="9" l="1"/>
  <c r="C142" i="12"/>
  <c r="C143" i="12" l="1"/>
  <c r="C143" i="9"/>
  <c r="C144" i="12" l="1"/>
  <c r="C144" i="9"/>
  <c r="C145" i="12" l="1"/>
  <c r="C145" i="9"/>
  <c r="C146" i="12" l="1"/>
  <c r="C146" i="9"/>
  <c r="C147" i="12" l="1"/>
  <c r="C147" i="9"/>
  <c r="C148" i="12" l="1"/>
  <c r="C148" i="9"/>
  <c r="C149" i="9" l="1"/>
  <c r="C149" i="12"/>
  <c r="C150" i="9" l="1"/>
  <c r="C150" i="12"/>
  <c r="C151" i="9" l="1"/>
  <c r="C151" i="12"/>
  <c r="C152" i="9" l="1"/>
  <c r="C152" i="12"/>
  <c r="C153" i="9" l="1"/>
  <c r="C153" i="12"/>
  <c r="C154" i="12" l="1"/>
  <c r="C154" i="9"/>
  <c r="C155" i="9" l="1"/>
  <c r="C155" i="12"/>
  <c r="C156" i="9" l="1"/>
  <c r="C156" i="12"/>
  <c r="C157" i="9" l="1"/>
  <c r="C157" i="12"/>
  <c r="C158" i="12" l="1"/>
  <c r="C158" i="9"/>
  <c r="C159" i="9" l="1"/>
  <c r="C159" i="12"/>
  <c r="C160" i="9" l="1"/>
  <c r="C160" i="12"/>
  <c r="C161" i="12" l="1"/>
  <c r="C161" i="9"/>
  <c r="C162" i="12" l="1"/>
  <c r="C162" i="9"/>
  <c r="C163" i="9" l="1"/>
  <c r="C163" i="12"/>
  <c r="C164" i="12" l="1"/>
  <c r="C164" i="9"/>
  <c r="C165" i="9" s="1"/>
  <c r="C166" i="9" s="1"/>
</calcChain>
</file>

<file path=xl/sharedStrings.xml><?xml version="1.0" encoding="utf-8"?>
<sst xmlns="http://schemas.openxmlformats.org/spreadsheetml/2006/main" count="849" uniqueCount="125">
  <si>
    <t xml:space="preserve"> </t>
  </si>
  <si>
    <t>NIT: 901 153 639 - 0</t>
  </si>
  <si>
    <t>CODIGO REMUNERACIÓN</t>
  </si>
  <si>
    <t>TOTAL MES</t>
  </si>
  <si>
    <t>TOTAL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</si>
  <si>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</si>
  <si>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</si>
  <si>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</si>
  <si>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</si>
  <si>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</si>
  <si>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</si>
  <si>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</si>
  <si>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</si>
  <si>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</si>
  <si>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FECHA APLICACIÓN</t>
  </si>
  <si>
    <t>Cuenta
Contrato</t>
  </si>
  <si>
    <t>Valor</t>
  </si>
  <si>
    <t>Código
Remuneración</t>
  </si>
  <si>
    <t>2.5.3. INFORMES DE RECAUDO</t>
  </si>
  <si>
    <t>R2 - INFORME DE CONCILIACION DE RECAUDOS</t>
  </si>
  <si>
    <t>CONCILIACION DIARIA DE RECAUDO OPORTUNO DE DIRECTA</t>
  </si>
  <si>
    <t>Observación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</si>
  <si>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</si>
  <si>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</si>
  <si>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</si>
  <si>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</si>
  <si>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</si>
  <si>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</si>
  <si>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</si>
  <si>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</si>
  <si>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</si>
  <si>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</si>
  <si>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</si>
  <si>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</si>
  <si>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</si>
  <si>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</si>
  <si>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</si>
  <si>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</si>
  <si>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</si>
  <si>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</si>
  <si>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</si>
  <si>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</si>
  <si>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</si>
  <si>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</si>
  <si>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23D</t>
  </si>
  <si>
    <t>Código BC</t>
  </si>
  <si>
    <t>Nombre Banco</t>
  </si>
  <si>
    <t>Cuenta Bancaria</t>
  </si>
  <si>
    <t>Código CR</t>
  </si>
  <si>
    <t>Canal Recaudo</t>
  </si>
  <si>
    <t>Bogotá</t>
  </si>
  <si>
    <t>000344531</t>
  </si>
  <si>
    <t>Oficinas</t>
  </si>
  <si>
    <t>Recaudo directamente en las cajas de los bancos</t>
  </si>
  <si>
    <t>Popular</t>
  </si>
  <si>
    <t>110025169335</t>
  </si>
  <si>
    <t>Medios Electrónicos - ATH</t>
  </si>
  <si>
    <t xml:space="preserve">Cajeros electrónicos, </t>
  </si>
  <si>
    <t>CorpBanca</t>
  </si>
  <si>
    <t>Baloto</t>
  </si>
  <si>
    <t>Red de Baloto</t>
  </si>
  <si>
    <t>Citibank</t>
  </si>
  <si>
    <t>20935235</t>
  </si>
  <si>
    <t>Servibanca</t>
  </si>
  <si>
    <t>Cajeros electrónicos de Servibanca</t>
  </si>
  <si>
    <t>Sudameris</t>
  </si>
  <si>
    <t>100004720</t>
  </si>
  <si>
    <t>Cades</t>
  </si>
  <si>
    <t>Recaudo en los CADES</t>
  </si>
  <si>
    <t>Colpatria</t>
  </si>
  <si>
    <t>0121016133</t>
  </si>
  <si>
    <t>Cencosud</t>
  </si>
  <si>
    <t>Recaudo en Cencosud - Jumbo</t>
  </si>
  <si>
    <t>Occidente</t>
  </si>
  <si>
    <t>256957093</t>
  </si>
  <si>
    <t>Domiciliación - MPD</t>
  </si>
  <si>
    <t>Debitos automáticos de cuenta bientes - mis pagos al día</t>
  </si>
  <si>
    <t>Caja Social</t>
  </si>
  <si>
    <t>21003672665</t>
  </si>
  <si>
    <t>Multilinea</t>
  </si>
  <si>
    <t>recaudo por internet</t>
  </si>
  <si>
    <t>Davivienda</t>
  </si>
  <si>
    <t>481869999260</t>
  </si>
  <si>
    <t>Credivisa</t>
  </si>
  <si>
    <t>Recaudo con tarjeta de crédito en las cajas de la EAAB</t>
  </si>
  <si>
    <t>Av Villas</t>
  </si>
  <si>
    <t>059027227</t>
  </si>
  <si>
    <t>Redeban</t>
  </si>
  <si>
    <t xml:space="preserve">Medio electrónicos, </t>
  </si>
  <si>
    <t>Bancolombia</t>
  </si>
  <si>
    <t>Pse</t>
  </si>
  <si>
    <t>Página Web de la EAAB</t>
  </si>
  <si>
    <t>BBVA</t>
  </si>
  <si>
    <t>H23 Directa - CNB - Baloto - Éxito</t>
  </si>
  <si>
    <t>Helm Bank - ITAÚ</t>
  </si>
  <si>
    <t>T23 Directa - Transferencias</t>
  </si>
  <si>
    <t>Efectivo</t>
  </si>
  <si>
    <t>O23 Directa - Oficinas</t>
  </si>
  <si>
    <t>Agrario</t>
  </si>
  <si>
    <t>Pichincha</t>
  </si>
  <si>
    <t>Ersco</t>
  </si>
  <si>
    <t>Caja especial de recaudo</t>
  </si>
  <si>
    <t>Occidente - Directa</t>
  </si>
  <si>
    <t>Ciudad Limpia - Prestador</t>
  </si>
  <si>
    <t>EAAB - Prestador</t>
  </si>
  <si>
    <t>CONCILIACION DIARIA DE RECAUDO EXTEMPORANEOS DE DIRECTA</t>
  </si>
  <si>
    <t xml:space="preserve">QUINCENA </t>
  </si>
  <si>
    <t>OPORTUNO</t>
  </si>
  <si>
    <t>ASE</t>
  </si>
  <si>
    <t>VALOR 1° Q</t>
  </si>
  <si>
    <t>NUMERO REG. 1°Q</t>
  </si>
  <si>
    <t>VALOR 2° Q</t>
  </si>
  <si>
    <t>NUMERO REG. 2°Q</t>
  </si>
  <si>
    <t>X</t>
  </si>
  <si>
    <t>EXTEMP.</t>
  </si>
  <si>
    <t>VALOR TOTAL MES</t>
  </si>
  <si>
    <t>NUMERO REGISTROS MES</t>
  </si>
  <si>
    <t>N/A</t>
  </si>
  <si>
    <t>Cuenta Contrato Reversada</t>
  </si>
  <si>
    <t>Cuenta Contrato Destino</t>
  </si>
  <si>
    <t>CONCILIACION DIARIA DE RECAUDO REVERSIONES</t>
  </si>
  <si>
    <t xml:space="preserve"> =SUMAR.SI.CONJUNTO('[Directa 112019.xlsx]EXTEMPORANEOS'!$Q:$Q;'[Directa 112019.xlsx]EXTEMPORANEOS'!$C:$C;2019112;</t>
  </si>
  <si>
    <t xml:space="preserve"> '[Directa 112019.xlsx]EXTEMPORANEOS'!$D:$D;C2;'[Directa 112019.xlsx]EXTEMPORANEOS'!$H:$H;IZQUIERDA(A2;3)&amp;"*")</t>
  </si>
  <si>
    <t>Recaudo Oportuno de DIRECTA en Banco de Occidente</t>
  </si>
  <si>
    <t>Recaudo Extemporaneo de DIRECTA en Banco de Occidente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</si>
</sst>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(* #,##0.00_);_(* \(#,##0.00\);_(* &quot;-&quot;??_);_(@_)"/>
    <numFmt numFmtId="165" formatCode="_([$€]* #,##0.00_);_([$€]* \(#,##0.00\);_([$€]* &quot;-&quot;??_);_(@_)"/>
    <numFmt numFmtId="166" formatCode="_-* #,##0_-;\-* #,##0_-;_-* &quot;-&quot;_-;_-@"/>
    <numFmt numFmtId="167" formatCode="d/m/yyyy"/>
    <numFmt numFmtId="168" formatCode="d/mm/yyyy;@"/>
    <numFmt numFmtId="169" formatCode="0_ ;\-0\ "/>
    <numFmt numFmtId="170" formatCode="000000000000"/>
  </numFmts>
  <fonts count="31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indexed="64"/>
      </top>
      <bottom/>
      <diagonal/>
    </border>
  </borders>
  <cellStyleXfs count="47">
    <xf numFmtId="165" fontId="0" fillId="0" borderId="0"/>
    <xf numFmtId="41" fontId="11" fillId="0" borderId="0" applyFont="0" applyFill="0" applyBorder="0" applyAlignment="0" applyProtection="0"/>
    <xf numFmtId="41" fontId="8" fillId="0" borderId="2" applyFont="0" applyFill="0" applyBorder="0" applyAlignment="0" applyProtection="0"/>
    <xf numFmtId="165" fontId="8" fillId="0" borderId="2"/>
    <xf numFmtId="0" fontId="15" fillId="0" borderId="52" applyNumberFormat="0" applyFill="0" applyAlignment="0" applyProtection="0"/>
    <xf numFmtId="0" fontId="16" fillId="0" borderId="53" applyNumberFormat="0" applyFill="0" applyAlignment="0" applyProtection="0"/>
    <xf numFmtId="0" fontId="17" fillId="0" borderId="54" applyNumberFormat="0" applyFill="0" applyAlignment="0" applyProtection="0"/>
    <xf numFmtId="0" fontId="21" fillId="16" borderId="55" applyNumberFormat="0" applyAlignment="0" applyProtection="0"/>
    <xf numFmtId="0" fontId="22" fillId="17" borderId="56" applyNumberFormat="0" applyAlignment="0" applyProtection="0"/>
    <xf numFmtId="0" fontId="23" fillId="17" borderId="55" applyNumberFormat="0" applyAlignment="0" applyProtection="0"/>
    <xf numFmtId="0" fontId="24" fillId="0" borderId="57" applyNumberFormat="0" applyFill="0" applyAlignment="0" applyProtection="0"/>
    <xf numFmtId="0" fontId="25" fillId="18" borderId="58" applyNumberFormat="0" applyAlignment="0" applyProtection="0"/>
    <xf numFmtId="0" fontId="28" fillId="0" borderId="60" applyNumberFormat="0" applyFill="0" applyAlignment="0" applyProtection="0"/>
    <xf numFmtId="164" fontId="1" fillId="0" borderId="2" applyFont="0" applyFill="0" applyBorder="0" applyAlignment="0" applyProtection="0"/>
    <xf numFmtId="0" fontId="14" fillId="0" borderId="2" applyNumberFormat="0" applyFill="0" applyBorder="0" applyAlignment="0" applyProtection="0"/>
    <xf numFmtId="0" fontId="17" fillId="0" borderId="2" applyNumberFormat="0" applyFill="0" applyBorder="0" applyAlignment="0" applyProtection="0"/>
    <xf numFmtId="0" fontId="18" fillId="13" borderId="2" applyNumberFormat="0" applyBorder="0" applyAlignment="0" applyProtection="0"/>
    <xf numFmtId="0" fontId="19" fillId="14" borderId="2" applyNumberFormat="0" applyBorder="0" applyAlignment="0" applyProtection="0"/>
    <xf numFmtId="0" fontId="20" fillId="15" borderId="2" applyNumberFormat="0" applyBorder="0" applyAlignment="0" applyProtection="0"/>
    <xf numFmtId="0" fontId="26" fillId="0" borderId="2" applyNumberFormat="0" applyFill="0" applyBorder="0" applyAlignment="0" applyProtection="0"/>
    <xf numFmtId="0" fontId="1" fillId="19" borderId="59" applyNumberFormat="0" applyFont="0" applyAlignment="0" applyProtection="0"/>
    <xf numFmtId="0" fontId="27" fillId="0" borderId="2" applyNumberFormat="0" applyFill="0" applyBorder="0" applyAlignment="0" applyProtection="0"/>
    <xf numFmtId="0" fontId="29" fillId="20" borderId="2" applyNumberFormat="0" applyBorder="0" applyAlignment="0" applyProtection="0"/>
    <xf numFmtId="0" fontId="1" fillId="21" borderId="2" applyNumberFormat="0" applyBorder="0" applyAlignment="0" applyProtection="0"/>
    <xf numFmtId="0" fontId="1" fillId="22" borderId="2" applyNumberFormat="0" applyBorder="0" applyAlignment="0" applyProtection="0"/>
    <xf numFmtId="0" fontId="29" fillId="23" borderId="2" applyNumberFormat="0" applyBorder="0" applyAlignment="0" applyProtection="0"/>
    <xf numFmtId="0" fontId="29" fillId="24" borderId="2" applyNumberFormat="0" applyBorder="0" applyAlignment="0" applyProtection="0"/>
    <xf numFmtId="0" fontId="1" fillId="25" borderId="2" applyNumberFormat="0" applyBorder="0" applyAlignment="0" applyProtection="0"/>
    <xf numFmtId="0" fontId="1" fillId="26" borderId="2" applyNumberFormat="0" applyBorder="0" applyAlignment="0" applyProtection="0"/>
    <xf numFmtId="0" fontId="29" fillId="27" borderId="2" applyNumberFormat="0" applyBorder="0" applyAlignment="0" applyProtection="0"/>
    <xf numFmtId="0" fontId="29" fillId="28" borderId="2" applyNumberFormat="0" applyBorder="0" applyAlignment="0" applyProtection="0"/>
    <xf numFmtId="0" fontId="1" fillId="29" borderId="2" applyNumberFormat="0" applyBorder="0" applyAlignment="0" applyProtection="0"/>
    <xf numFmtId="0" fontId="1" fillId="30" borderId="2" applyNumberFormat="0" applyBorder="0" applyAlignment="0" applyProtection="0"/>
    <xf numFmtId="0" fontId="29" fillId="31" borderId="2" applyNumberFormat="0" applyBorder="0" applyAlignment="0" applyProtection="0"/>
    <xf numFmtId="0" fontId="29" fillId="32" borderId="2" applyNumberFormat="0" applyBorder="0" applyAlignment="0" applyProtection="0"/>
    <xf numFmtId="0" fontId="1" fillId="33" borderId="2" applyNumberFormat="0" applyBorder="0" applyAlignment="0" applyProtection="0"/>
    <xf numFmtId="0" fontId="1" fillId="34" borderId="2" applyNumberFormat="0" applyBorder="0" applyAlignment="0" applyProtection="0"/>
    <xf numFmtId="0" fontId="29" fillId="35" borderId="2" applyNumberFormat="0" applyBorder="0" applyAlignment="0" applyProtection="0"/>
    <xf numFmtId="0" fontId="29" fillId="36" borderId="2" applyNumberFormat="0" applyBorder="0" applyAlignment="0" applyProtection="0"/>
    <xf numFmtId="0" fontId="1" fillId="37" borderId="2" applyNumberFormat="0" applyBorder="0" applyAlignment="0" applyProtection="0"/>
    <xf numFmtId="0" fontId="1" fillId="38" borderId="2" applyNumberFormat="0" applyBorder="0" applyAlignment="0" applyProtection="0"/>
    <xf numFmtId="0" fontId="29" fillId="39" borderId="2" applyNumberFormat="0" applyBorder="0" applyAlignment="0" applyProtection="0"/>
    <xf numFmtId="0" fontId="29" fillId="40" borderId="2" applyNumberFormat="0" applyBorder="0" applyAlignment="0" applyProtection="0"/>
    <xf numFmtId="0" fontId="1" fillId="41" borderId="2" applyNumberFormat="0" applyBorder="0" applyAlignment="0" applyProtection="0"/>
    <xf numFmtId="0" fontId="1" fillId="42" borderId="2" applyNumberFormat="0" applyBorder="0" applyAlignment="0" applyProtection="0"/>
    <xf numFmtId="0" fontId="29" fillId="43" borderId="2" applyNumberFormat="0" applyBorder="0" applyAlignment="0" applyProtection="0"/>
    <xf numFmtId="0" fontId="30" fillId="0" borderId="2"/>
  </cellStyleXfs>
  <cellXfs count="383">
    <xf numFmtId="165" fontId="0" fillId="0" borderId="0" xfId="0"/>
    <xf numFmtId="165" fontId="2" fillId="0" borderId="0" xfId="0" applyFont="1"/>
    <xf numFmtId="165" fontId="2" fillId="2" borderId="1" xfId="0" applyFont="1" applyFill="1" applyBorder="1"/>
    <xf numFmtId="165" fontId="3" fillId="0" borderId="0" xfId="0" applyFont="1"/>
    <xf numFmtId="166" fontId="2" fillId="0" borderId="0" xfId="0" applyNumberFormat="1" applyFont="1"/>
    <xf numFmtId="0" fontId="2" fillId="0" borderId="0" xfId="0" applyNumberFormat="1" applyFont="1"/>
    <xf numFmtId="165" fontId="9" fillId="0" borderId="0" xfId="0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0" borderId="0" xfId="0" applyNumberFormat="1" applyFont="1"/>
    <xf numFmtId="166" fontId="2" fillId="0" borderId="3" xfId="0" applyNumberFormat="1" applyFont="1" applyBorder="1"/>
    <xf numFmtId="166" fontId="2" fillId="0" borderId="5" xfId="0" applyNumberFormat="1" applyFont="1" applyBorder="1"/>
    <xf numFmtId="166" fontId="2" fillId="0" borderId="10" xfId="0" applyNumberFormat="1" applyFont="1" applyBorder="1"/>
    <xf numFmtId="0" fontId="0" fillId="0" borderId="3" xfId="0" applyNumberFormat="1" applyBorder="1"/>
    <xf numFmtId="165" fontId="2" fillId="0" borderId="2" xfId="0" applyFont="1" applyBorder="1"/>
    <xf numFmtId="165" fontId="4" fillId="0" borderId="2" xfId="0" applyFont="1" applyBorder="1"/>
    <xf numFmtId="165" fontId="3" fillId="0" borderId="2" xfId="0" applyFont="1" applyBorder="1"/>
    <xf numFmtId="14" fontId="2" fillId="0" borderId="3" xfId="0" applyNumberFormat="1" applyFont="1" applyBorder="1"/>
    <xf numFmtId="49" fontId="2" fillId="0" borderId="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right"/>
    </xf>
    <xf numFmtId="166" fontId="3" fillId="0" borderId="2" xfId="0" applyNumberFormat="1" applyFont="1" applyBorder="1"/>
    <xf numFmtId="1" fontId="2" fillId="0" borderId="2" xfId="0" applyNumberFormat="1" applyFont="1" applyBorder="1"/>
    <xf numFmtId="166" fontId="2" fillId="0" borderId="2" xfId="0" applyNumberFormat="1" applyFont="1" applyBorder="1"/>
    <xf numFmtId="167" fontId="2" fillId="0" borderId="2" xfId="0" applyNumberFormat="1" applyFont="1" applyBorder="1"/>
    <xf numFmtId="0" fontId="2" fillId="0" borderId="2" xfId="0" applyNumberFormat="1" applyFont="1" applyBorder="1"/>
    <xf numFmtId="14" fontId="2" fillId="0" borderId="2" xfId="0" applyNumberFormat="1" applyFont="1" applyBorder="1"/>
    <xf numFmtId="165" fontId="0" fillId="0" borderId="2" xfId="0" applyBorder="1"/>
    <xf numFmtId="14" fontId="2" fillId="0" borderId="4" xfId="0" applyNumberFormat="1" applyFont="1" applyBorder="1"/>
    <xf numFmtId="14" fontId="2" fillId="0" borderId="5" xfId="0" applyNumberFormat="1" applyFont="1" applyBorder="1"/>
    <xf numFmtId="49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/>
    <xf numFmtId="14" fontId="2" fillId="0" borderId="7" xfId="0" applyNumberFormat="1" applyFont="1" applyBorder="1"/>
    <xf numFmtId="1" fontId="2" fillId="0" borderId="8" xfId="0" applyNumberFormat="1" applyFont="1" applyBorder="1"/>
    <xf numFmtId="14" fontId="2" fillId="0" borderId="9" xfId="0" applyNumberFormat="1" applyFont="1" applyBorder="1"/>
    <xf numFmtId="14" fontId="2" fillId="0" borderId="10" xfId="0" applyNumberFormat="1" applyFont="1" applyBorder="1"/>
    <xf numFmtId="49" fontId="2" fillId="0" borderId="10" xfId="0" applyNumberFormat="1" applyFont="1" applyBorder="1" applyAlignment="1">
      <alignment horizontal="center"/>
    </xf>
    <xf numFmtId="1" fontId="2" fillId="0" borderId="11" xfId="0" applyNumberFormat="1" applyFont="1" applyBorder="1"/>
    <xf numFmtId="14" fontId="2" fillId="3" borderId="2" xfId="0" applyNumberFormat="1" applyFont="1" applyFill="1" applyBorder="1"/>
    <xf numFmtId="49" fontId="3" fillId="3" borderId="2" xfId="0" applyNumberFormat="1" applyFont="1" applyFill="1" applyBorder="1" applyAlignment="1">
      <alignment horizontal="right"/>
    </xf>
    <xf numFmtId="166" fontId="3" fillId="3" borderId="2" xfId="0" applyNumberFormat="1" applyFont="1" applyFill="1" applyBorder="1"/>
    <xf numFmtId="1" fontId="2" fillId="3" borderId="2" xfId="0" applyNumberFormat="1" applyFont="1" applyFill="1" applyBorder="1"/>
    <xf numFmtId="14" fontId="3" fillId="0" borderId="2" xfId="0" applyNumberFormat="1" applyFont="1" applyBorder="1"/>
    <xf numFmtId="0" fontId="8" fillId="0" borderId="3" xfId="0" applyNumberFormat="1" applyFont="1" applyBorder="1" applyAlignment="1">
      <alignment horizontal="center"/>
    </xf>
    <xf numFmtId="14" fontId="10" fillId="0" borderId="3" xfId="0" applyNumberFormat="1" applyFont="1" applyBorder="1"/>
    <xf numFmtId="0" fontId="0" fillId="0" borderId="7" xfId="0" applyNumberFormat="1" applyBorder="1"/>
    <xf numFmtId="165" fontId="11" fillId="0" borderId="8" xfId="0" applyFont="1" applyBorder="1"/>
    <xf numFmtId="165" fontId="9" fillId="0" borderId="0" xfId="0" applyFont="1"/>
    <xf numFmtId="41" fontId="2" fillId="0" borderId="3" xfId="1" applyFont="1" applyBorder="1"/>
    <xf numFmtId="0" fontId="3" fillId="0" borderId="15" xfId="0" applyNumberFormat="1" applyFont="1" applyBorder="1" applyAlignment="1">
      <alignment horizontal="center" vertical="center" wrapText="1"/>
    </xf>
    <xf numFmtId="165" fontId="3" fillId="6" borderId="18" xfId="0" applyFont="1" applyFill="1" applyBorder="1" applyAlignment="1">
      <alignment horizontal="center" vertical="center" wrapText="1"/>
    </xf>
    <xf numFmtId="165" fontId="3" fillId="7" borderId="19" xfId="0" applyFont="1" applyFill="1" applyBorder="1" applyAlignment="1">
      <alignment horizontal="center" vertical="center" wrapText="1"/>
    </xf>
    <xf numFmtId="165" fontId="3" fillId="7" borderId="20" xfId="0" applyFont="1" applyFill="1" applyBorder="1" applyAlignment="1">
      <alignment horizontal="center" vertical="center" wrapText="1"/>
    </xf>
    <xf numFmtId="165" fontId="3" fillId="0" borderId="16" xfId="0" applyFont="1" applyBorder="1" applyAlignment="1">
      <alignment horizontal="center" vertical="center" wrapText="1"/>
    </xf>
    <xf numFmtId="165" fontId="3" fillId="0" borderId="3" xfId="0" applyFont="1" applyBorder="1" applyAlignment="1">
      <alignment horizontal="left" vertical="center" wrapText="1"/>
    </xf>
    <xf numFmtId="165" fontId="3" fillId="0" borderId="3" xfId="0" applyFont="1" applyBorder="1" applyAlignment="1">
      <alignment horizontal="center" vertical="center" wrapText="1"/>
    </xf>
    <xf numFmtId="165" fontId="3" fillId="0" borderId="22" xfId="0" applyFont="1" applyBorder="1" applyAlignment="1">
      <alignment horizontal="right" vertical="center" wrapText="1"/>
    </xf>
    <xf numFmtId="165" fontId="7" fillId="0" borderId="0" xfId="0" applyFont="1"/>
    <xf numFmtId="41" fontId="0" fillId="0" borderId="3" xfId="1" applyFont="1" applyBorder="1"/>
    <xf numFmtId="165" fontId="0" fillId="0" borderId="3" xfId="0" applyBorder="1"/>
    <xf numFmtId="49" fontId="2" fillId="0" borderId="3" xfId="0" applyNumberFormat="1" applyFont="1" applyBorder="1" applyAlignment="1">
      <alignment horizontal="right"/>
    </xf>
    <xf numFmtId="165" fontId="8" fillId="0" borderId="3" xfId="0" applyFont="1" applyBorder="1"/>
    <xf numFmtId="165" fontId="0" fillId="0" borderId="3" xfId="0" applyBorder="1" applyAlignment="1">
      <alignment horizontal="right"/>
    </xf>
    <xf numFmtId="165" fontId="0" fillId="0" borderId="0" xfId="0" applyAlignment="1">
      <alignment horizontal="right"/>
    </xf>
    <xf numFmtId="41" fontId="2" fillId="0" borderId="5" xfId="1" applyFont="1" applyBorder="1"/>
    <xf numFmtId="165" fontId="12" fillId="0" borderId="0" xfId="0" applyFont="1"/>
    <xf numFmtId="165" fontId="13" fillId="0" borderId="0" xfId="0" applyFont="1"/>
    <xf numFmtId="0" fontId="2" fillId="0" borderId="4" xfId="2" applyNumberFormat="1" applyFont="1" applyBorder="1"/>
    <xf numFmtId="165" fontId="2" fillId="8" borderId="5" xfId="0" applyFont="1" applyFill="1" applyBorder="1"/>
    <xf numFmtId="41" fontId="2" fillId="0" borderId="5" xfId="2" applyFont="1" applyBorder="1"/>
    <xf numFmtId="41" fontId="2" fillId="0" borderId="6" xfId="2" applyFont="1" applyBorder="1"/>
    <xf numFmtId="165" fontId="2" fillId="4" borderId="0" xfId="0" applyFont="1" applyFill="1"/>
    <xf numFmtId="41" fontId="2" fillId="0" borderId="2" xfId="2" applyFont="1"/>
    <xf numFmtId="0" fontId="2" fillId="0" borderId="7" xfId="2" applyNumberFormat="1" applyFont="1" applyBorder="1"/>
    <xf numFmtId="165" fontId="2" fillId="8" borderId="3" xfId="0" applyFont="1" applyFill="1" applyBorder="1"/>
    <xf numFmtId="41" fontId="2" fillId="0" borderId="3" xfId="2" applyFont="1" applyBorder="1"/>
    <xf numFmtId="41" fontId="2" fillId="0" borderId="8" xfId="2" applyFont="1" applyBorder="1"/>
    <xf numFmtId="0" fontId="3" fillId="0" borderId="9" xfId="2" applyNumberFormat="1" applyFont="1" applyBorder="1"/>
    <xf numFmtId="165" fontId="2" fillId="8" borderId="10" xfId="0" applyFont="1" applyFill="1" applyBorder="1"/>
    <xf numFmtId="41" fontId="3" fillId="0" borderId="10" xfId="2" applyFont="1" applyBorder="1"/>
    <xf numFmtId="41" fontId="3" fillId="0" borderId="11" xfId="2" applyFont="1" applyBorder="1"/>
    <xf numFmtId="41" fontId="2" fillId="0" borderId="2" xfId="2" applyFont="1" applyAlignment="1">
      <alignment horizontal="left"/>
    </xf>
    <xf numFmtId="14" fontId="3" fillId="0" borderId="17" xfId="0" applyNumberFormat="1" applyFont="1" applyBorder="1" applyAlignment="1">
      <alignment horizontal="center" vertical="center" wrapText="1"/>
    </xf>
    <xf numFmtId="165" fontId="3" fillId="0" borderId="17" xfId="0" applyFont="1" applyBorder="1" applyAlignment="1">
      <alignment horizontal="center" vertical="center" wrapText="1"/>
    </xf>
    <xf numFmtId="165" fontId="3" fillId="0" borderId="18" xfId="0" applyFont="1" applyBorder="1" applyAlignment="1">
      <alignment horizontal="center" vertical="center" wrapText="1"/>
    </xf>
    <xf numFmtId="165" fontId="2" fillId="0" borderId="23" xfId="0" applyFont="1" applyBorder="1"/>
    <xf numFmtId="0" fontId="2" fillId="0" borderId="27" xfId="0" applyNumberFormat="1" applyFont="1" applyBorder="1"/>
    <xf numFmtId="0" fontId="2" fillId="0" borderId="27" xfId="0" applyNumberFormat="1" applyFont="1" applyBorder="1" applyAlignment="1">
      <alignment horizontal="center"/>
    </xf>
    <xf numFmtId="41" fontId="3" fillId="0" borderId="27" xfId="2" applyFont="1" applyBorder="1" applyAlignment="1">
      <alignment horizontal="left"/>
    </xf>
    <xf numFmtId="165" fontId="3" fillId="0" borderId="27" xfId="0" applyFont="1" applyBorder="1"/>
    <xf numFmtId="41" fontId="3" fillId="0" borderId="27" xfId="2" applyFont="1" applyBorder="1"/>
    <xf numFmtId="14" fontId="3" fillId="0" borderId="27" xfId="0" applyNumberFormat="1" applyFont="1" applyBorder="1"/>
    <xf numFmtId="165" fontId="2" fillId="0" borderId="28" xfId="0" applyFont="1" applyBorder="1"/>
    <xf numFmtId="0" fontId="2" fillId="0" borderId="2" xfId="0" applyNumberFormat="1" applyFont="1" applyBorder="1" applyAlignment="1">
      <alignment horizontal="center"/>
    </xf>
    <xf numFmtId="41" fontId="3" fillId="0" borderId="2" xfId="2" applyFont="1" applyBorder="1" applyAlignment="1">
      <alignment horizontal="left"/>
    </xf>
    <xf numFmtId="41" fontId="2" fillId="0" borderId="2" xfId="2" applyFont="1" applyBorder="1"/>
    <xf numFmtId="165" fontId="5" fillId="0" borderId="2" xfId="0" applyFont="1" applyBorder="1"/>
    <xf numFmtId="41" fontId="6" fillId="0" borderId="2" xfId="2" applyFont="1" applyBorder="1" applyAlignment="1">
      <alignment horizontal="left"/>
    </xf>
    <xf numFmtId="165" fontId="6" fillId="0" borderId="2" xfId="0" applyFont="1" applyBorder="1"/>
    <xf numFmtId="41" fontId="6" fillId="0" borderId="2" xfId="2" applyFont="1" applyBorder="1"/>
    <xf numFmtId="41" fontId="3" fillId="0" borderId="2" xfId="2" applyFont="1" applyBorder="1"/>
    <xf numFmtId="41" fontId="2" fillId="0" borderId="2" xfId="2" applyFont="1" applyBorder="1" applyAlignment="1">
      <alignment horizontal="left"/>
    </xf>
    <xf numFmtId="17" fontId="4" fillId="5" borderId="2" xfId="0" applyNumberFormat="1" applyFont="1" applyFill="1" applyBorder="1"/>
    <xf numFmtId="165" fontId="2" fillId="0" borderId="30" xfId="0" applyFont="1" applyBorder="1"/>
    <xf numFmtId="0" fontId="2" fillId="0" borderId="31" xfId="0" applyNumberFormat="1" applyFont="1" applyBorder="1"/>
    <xf numFmtId="0" fontId="2" fillId="0" borderId="31" xfId="0" applyNumberFormat="1" applyFont="1" applyBorder="1" applyAlignment="1">
      <alignment horizontal="center"/>
    </xf>
    <xf numFmtId="41" fontId="2" fillId="0" borderId="31" xfId="2" applyFont="1" applyBorder="1" applyAlignment="1">
      <alignment horizontal="left"/>
    </xf>
    <xf numFmtId="165" fontId="2" fillId="0" borderId="31" xfId="0" applyFont="1" applyBorder="1"/>
    <xf numFmtId="41" fontId="2" fillId="0" borderId="31" xfId="2" applyFont="1" applyBorder="1"/>
    <xf numFmtId="0" fontId="2" fillId="8" borderId="3" xfId="0" applyNumberFormat="1" applyFont="1" applyFill="1" applyBorder="1"/>
    <xf numFmtId="49" fontId="2" fillId="8" borderId="3" xfId="0" applyNumberFormat="1" applyFont="1" applyFill="1" applyBorder="1" applyAlignment="1">
      <alignment horizontal="right"/>
    </xf>
    <xf numFmtId="166" fontId="2" fillId="8" borderId="3" xfId="0" applyNumberFormat="1" applyFont="1" applyFill="1" applyBorder="1"/>
    <xf numFmtId="166" fontId="2" fillId="8" borderId="3" xfId="0" applyNumberFormat="1" applyFont="1" applyFill="1" applyBorder="1" applyAlignment="1">
      <alignment horizontal="right"/>
    </xf>
    <xf numFmtId="165" fontId="8" fillId="8" borderId="3" xfId="0" applyFont="1" applyFill="1" applyBorder="1"/>
    <xf numFmtId="0" fontId="2" fillId="8" borderId="3" xfId="1" applyNumberFormat="1" applyFont="1" applyFill="1" applyBorder="1" applyAlignment="1"/>
    <xf numFmtId="0" fontId="2" fillId="8" borderId="22" xfId="0" applyNumberFormat="1" applyFont="1" applyFill="1" applyBorder="1"/>
    <xf numFmtId="49" fontId="2" fillId="8" borderId="22" xfId="0" applyNumberFormat="1" applyFont="1" applyFill="1" applyBorder="1" applyAlignment="1">
      <alignment horizontal="right"/>
    </xf>
    <xf numFmtId="166" fontId="2" fillId="8" borderId="22" xfId="0" applyNumberFormat="1" applyFont="1" applyFill="1" applyBorder="1"/>
    <xf numFmtId="166" fontId="2" fillId="8" borderId="22" xfId="0" applyNumberFormat="1" applyFont="1" applyFill="1" applyBorder="1" applyAlignment="1">
      <alignment horizontal="right"/>
    </xf>
    <xf numFmtId="165" fontId="8" fillId="8" borderId="22" xfId="0" applyFont="1" applyFill="1" applyBorder="1"/>
    <xf numFmtId="0" fontId="2" fillId="8" borderId="22" xfId="1" applyNumberFormat="1" applyFont="1" applyFill="1" applyBorder="1" applyAlignment="1"/>
    <xf numFmtId="166" fontId="2" fillId="0" borderId="22" xfId="0" applyNumberFormat="1" applyFont="1" applyBorder="1"/>
    <xf numFmtId="41" fontId="2" fillId="0" borderId="22" xfId="1" applyFont="1" applyBorder="1"/>
    <xf numFmtId="49" fontId="3" fillId="0" borderId="19" xfId="0" applyNumberFormat="1" applyFont="1" applyBorder="1"/>
    <xf numFmtId="166" fontId="3" fillId="0" borderId="19" xfId="0" applyNumberFormat="1" applyFont="1" applyBorder="1"/>
    <xf numFmtId="0" fontId="2" fillId="8" borderId="5" xfId="0" applyNumberFormat="1" applyFont="1" applyFill="1" applyBorder="1"/>
    <xf numFmtId="49" fontId="2" fillId="8" borderId="5" xfId="0" applyNumberFormat="1" applyFont="1" applyFill="1" applyBorder="1" applyAlignment="1">
      <alignment horizontal="right"/>
    </xf>
    <xf numFmtId="166" fontId="2" fillId="8" borderId="5" xfId="0" applyNumberFormat="1" applyFont="1" applyFill="1" applyBorder="1"/>
    <xf numFmtId="166" fontId="2" fillId="8" borderId="5" xfId="0" applyNumberFormat="1" applyFont="1" applyFill="1" applyBorder="1" applyAlignment="1">
      <alignment horizontal="right"/>
    </xf>
    <xf numFmtId="165" fontId="8" fillId="8" borderId="5" xfId="0" applyFont="1" applyFill="1" applyBorder="1"/>
    <xf numFmtId="0" fontId="2" fillId="8" borderId="5" xfId="1" applyNumberFormat="1" applyFont="1" applyFill="1" applyBorder="1" applyAlignment="1"/>
    <xf numFmtId="165" fontId="3" fillId="0" borderId="15" xfId="0" applyFont="1" applyBorder="1"/>
    <xf numFmtId="0" fontId="3" fillId="8" borderId="19" xfId="0" applyNumberFormat="1" applyFont="1" applyFill="1" applyBorder="1"/>
    <xf numFmtId="0" fontId="3" fillId="0" borderId="19" xfId="0" applyNumberFormat="1" applyFont="1" applyBorder="1"/>
    <xf numFmtId="0" fontId="2" fillId="0" borderId="5" xfId="0" applyNumberFormat="1" applyFont="1" applyBorder="1"/>
    <xf numFmtId="0" fontId="2" fillId="0" borderId="3" xfId="0" applyNumberFormat="1" applyFont="1" applyBorder="1"/>
    <xf numFmtId="0" fontId="2" fillId="0" borderId="22" xfId="0" applyNumberFormat="1" applyFont="1" applyBorder="1"/>
    <xf numFmtId="166" fontId="2" fillId="4" borderId="0" xfId="0" applyNumberFormat="1" applyFont="1" applyFill="1"/>
    <xf numFmtId="165" fontId="2" fillId="0" borderId="2" xfId="3" applyFont="1"/>
    <xf numFmtId="165" fontId="2" fillId="8" borderId="5" xfId="3" applyFont="1" applyFill="1" applyBorder="1"/>
    <xf numFmtId="165" fontId="2" fillId="4" borderId="2" xfId="3" applyFont="1" applyFill="1"/>
    <xf numFmtId="165" fontId="2" fillId="8" borderId="3" xfId="3" applyFont="1" applyFill="1" applyBorder="1"/>
    <xf numFmtId="165" fontId="2" fillId="8" borderId="10" xfId="3" applyFont="1" applyFill="1" applyBorder="1"/>
    <xf numFmtId="165" fontId="2" fillId="0" borderId="23" xfId="3" applyFont="1" applyBorder="1"/>
    <xf numFmtId="0" fontId="2" fillId="0" borderId="27" xfId="3" applyNumberFormat="1" applyFont="1" applyBorder="1"/>
    <xf numFmtId="0" fontId="2" fillId="0" borderId="27" xfId="3" applyNumberFormat="1" applyFont="1" applyBorder="1" applyAlignment="1">
      <alignment horizontal="center"/>
    </xf>
    <xf numFmtId="165" fontId="3" fillId="0" borderId="27" xfId="3" applyFont="1" applyBorder="1"/>
    <xf numFmtId="14" fontId="3" fillId="0" borderId="27" xfId="3" applyNumberFormat="1" applyFont="1" applyBorder="1"/>
    <xf numFmtId="165" fontId="3" fillId="0" borderId="26" xfId="3" applyFont="1" applyBorder="1"/>
    <xf numFmtId="165" fontId="8" fillId="0" borderId="2" xfId="3"/>
    <xf numFmtId="165" fontId="2" fillId="0" borderId="28" xfId="3" applyFont="1" applyBorder="1"/>
    <xf numFmtId="0" fontId="2" fillId="0" borderId="2" xfId="3" applyNumberFormat="1" applyFont="1"/>
    <xf numFmtId="0" fontId="2" fillId="0" borderId="2" xfId="3" applyNumberFormat="1" applyFont="1" applyAlignment="1">
      <alignment horizontal="center"/>
    </xf>
    <xf numFmtId="165" fontId="4" fillId="0" borderId="2" xfId="3" applyFont="1"/>
    <xf numFmtId="165" fontId="2" fillId="0" borderId="29" xfId="3" applyFont="1" applyBorder="1"/>
    <xf numFmtId="165" fontId="5" fillId="0" borderId="2" xfId="3" applyFont="1"/>
    <xf numFmtId="165" fontId="6" fillId="0" borderId="2" xfId="3" applyFont="1"/>
    <xf numFmtId="14" fontId="3" fillId="0" borderId="2" xfId="3" applyNumberFormat="1" applyFont="1"/>
    <xf numFmtId="165" fontId="3" fillId="0" borderId="2" xfId="3" applyFont="1"/>
    <xf numFmtId="17" fontId="4" fillId="5" borderId="2" xfId="3" applyNumberFormat="1" applyFont="1" applyFill="1"/>
    <xf numFmtId="49" fontId="2" fillId="0" borderId="29" xfId="3" applyNumberFormat="1" applyFont="1" applyBorder="1"/>
    <xf numFmtId="165" fontId="2" fillId="0" borderId="30" xfId="3" applyFont="1" applyBorder="1"/>
    <xf numFmtId="0" fontId="2" fillId="0" borderId="31" xfId="3" applyNumberFormat="1" applyFont="1" applyBorder="1"/>
    <xf numFmtId="0" fontId="2" fillId="0" borderId="31" xfId="3" applyNumberFormat="1" applyFont="1" applyBorder="1" applyAlignment="1">
      <alignment horizontal="center"/>
    </xf>
    <xf numFmtId="165" fontId="2" fillId="0" borderId="31" xfId="3" applyFont="1" applyBorder="1"/>
    <xf numFmtId="49" fontId="2" fillId="0" borderId="32" xfId="3" applyNumberFormat="1" applyFont="1" applyBorder="1"/>
    <xf numFmtId="14" fontId="3" fillId="0" borderId="17" xfId="3" applyNumberFormat="1" applyFont="1" applyBorder="1" applyAlignment="1">
      <alignment horizontal="center" vertical="center" wrapText="1"/>
    </xf>
    <xf numFmtId="0" fontId="3" fillId="0" borderId="15" xfId="3" applyNumberFormat="1" applyFont="1" applyBorder="1" applyAlignment="1">
      <alignment horizontal="center" vertical="center" wrapText="1"/>
    </xf>
    <xf numFmtId="165" fontId="3" fillId="0" borderId="16" xfId="3" applyFont="1" applyBorder="1" applyAlignment="1">
      <alignment horizontal="center" vertical="center" wrapText="1"/>
    </xf>
    <xf numFmtId="165" fontId="3" fillId="0" borderId="17" xfId="3" applyFont="1" applyBorder="1" applyAlignment="1">
      <alignment horizontal="center" vertical="center" wrapText="1"/>
    </xf>
    <xf numFmtId="165" fontId="3" fillId="0" borderId="18" xfId="3" applyFont="1" applyBorder="1" applyAlignment="1">
      <alignment horizontal="center" vertical="center" wrapText="1"/>
    </xf>
    <xf numFmtId="165" fontId="3" fillId="6" borderId="18" xfId="3" applyFont="1" applyFill="1" applyBorder="1" applyAlignment="1">
      <alignment horizontal="center" vertical="center" wrapText="1"/>
    </xf>
    <xf numFmtId="165" fontId="3" fillId="7" borderId="19" xfId="3" applyFont="1" applyFill="1" applyBorder="1" applyAlignment="1">
      <alignment horizontal="center" vertical="center" wrapText="1"/>
    </xf>
    <xf numFmtId="165" fontId="3" fillId="7" borderId="20" xfId="3" applyFont="1" applyFill="1" applyBorder="1" applyAlignment="1">
      <alignment horizontal="center" vertical="center" wrapText="1"/>
    </xf>
    <xf numFmtId="165" fontId="3" fillId="0" borderId="21" xfId="3" applyFont="1" applyBorder="1" applyAlignment="1">
      <alignment horizontal="center" vertical="center" wrapText="1"/>
    </xf>
    <xf numFmtId="0" fontId="2" fillId="0" borderId="13" xfId="3" applyNumberFormat="1" applyFont="1" applyBorder="1"/>
    <xf numFmtId="14" fontId="2" fillId="0" borderId="13" xfId="3" applyNumberFormat="1" applyFont="1" applyBorder="1"/>
    <xf numFmtId="0" fontId="8" fillId="8" borderId="13" xfId="3" applyNumberFormat="1" applyFill="1" applyBorder="1"/>
    <xf numFmtId="0" fontId="2" fillId="0" borderId="3" xfId="3" applyNumberFormat="1" applyFont="1" applyBorder="1"/>
    <xf numFmtId="14" fontId="2" fillId="0" borderId="3" xfId="3" applyNumberFormat="1" applyFont="1" applyBorder="1"/>
    <xf numFmtId="0" fontId="8" fillId="0" borderId="3" xfId="3" applyNumberFormat="1" applyBorder="1"/>
    <xf numFmtId="41" fontId="2" fillId="0" borderId="3" xfId="2" applyFont="1" applyFill="1" applyBorder="1"/>
    <xf numFmtId="41" fontId="2" fillId="0" borderId="3" xfId="2" applyFont="1" applyFill="1" applyBorder="1" applyAlignment="1">
      <alignment horizontal="center" vertical="center" wrapText="1"/>
    </xf>
    <xf numFmtId="41" fontId="2" fillId="8" borderId="3" xfId="2" applyFont="1" applyFill="1" applyBorder="1" applyAlignment="1">
      <alignment horizontal="center" vertical="center" wrapText="1"/>
    </xf>
    <xf numFmtId="41" fontId="2" fillId="8" borderId="3" xfId="2" applyFont="1" applyFill="1" applyBorder="1"/>
    <xf numFmtId="1" fontId="8" fillId="0" borderId="3" xfId="3" applyNumberFormat="1" applyBorder="1"/>
    <xf numFmtId="41" fontId="0" fillId="0" borderId="3" xfId="2" applyFont="1" applyBorder="1"/>
    <xf numFmtId="49" fontId="2" fillId="0" borderId="2" xfId="3" applyNumberFormat="1" applyFont="1"/>
    <xf numFmtId="14" fontId="2" fillId="0" borderId="2" xfId="3" applyNumberFormat="1" applyFont="1"/>
    <xf numFmtId="1" fontId="8" fillId="0" borderId="2" xfId="3" applyNumberFormat="1"/>
    <xf numFmtId="0" fontId="8" fillId="0" borderId="2" xfId="3" applyNumberFormat="1"/>
    <xf numFmtId="41" fontId="2" fillId="0" borderId="2" xfId="2" applyFont="1" applyFill="1" applyBorder="1"/>
    <xf numFmtId="41" fontId="2" fillId="0" borderId="2" xfId="2" applyFont="1" applyFill="1" applyBorder="1" applyAlignment="1">
      <alignment horizontal="center" vertical="center" wrapText="1"/>
    </xf>
    <xf numFmtId="165" fontId="2" fillId="10" borderId="2" xfId="3" applyFont="1" applyFill="1"/>
    <xf numFmtId="49" fontId="2" fillId="10" borderId="2" xfId="3" applyNumberFormat="1" applyFont="1" applyFill="1"/>
    <xf numFmtId="0" fontId="2" fillId="10" borderId="2" xfId="3" applyNumberFormat="1" applyFont="1" applyFill="1"/>
    <xf numFmtId="14" fontId="2" fillId="10" borderId="2" xfId="3" applyNumberFormat="1" applyFont="1" applyFill="1"/>
    <xf numFmtId="1" fontId="8" fillId="10" borderId="2" xfId="3" applyNumberFormat="1" applyFill="1"/>
    <xf numFmtId="49" fontId="2" fillId="10" borderId="2" xfId="3" applyNumberFormat="1" applyFont="1" applyFill="1" applyAlignment="1">
      <alignment horizontal="right"/>
    </xf>
    <xf numFmtId="41" fontId="2" fillId="10" borderId="2" xfId="2" applyFont="1" applyFill="1" applyBorder="1"/>
    <xf numFmtId="49" fontId="2" fillId="0" borderId="2" xfId="3" applyNumberFormat="1" applyFont="1" applyAlignment="1">
      <alignment horizontal="right"/>
    </xf>
    <xf numFmtId="165" fontId="9" fillId="4" borderId="0" xfId="0" applyFont="1" applyFill="1" applyAlignment="1">
      <alignment horizontal="center" vertical="center"/>
    </xf>
    <xf numFmtId="165" fontId="0" fillId="4" borderId="0" xfId="0" applyFill="1"/>
    <xf numFmtId="165" fontId="0" fillId="4" borderId="2" xfId="0" applyFill="1" applyBorder="1"/>
    <xf numFmtId="41" fontId="9" fillId="5" borderId="16" xfId="1" applyFont="1" applyFill="1" applyBorder="1" applyAlignment="1"/>
    <xf numFmtId="165" fontId="11" fillId="0" borderId="15" xfId="0" applyFont="1" applyBorder="1"/>
    <xf numFmtId="0" fontId="0" fillId="0" borderId="21" xfId="0" applyNumberFormat="1" applyBorder="1"/>
    <xf numFmtId="41" fontId="9" fillId="11" borderId="16" xfId="1" applyFont="1" applyFill="1" applyBorder="1" applyAlignment="1"/>
    <xf numFmtId="41" fontId="0" fillId="0" borderId="2" xfId="2" applyFont="1"/>
    <xf numFmtId="165" fontId="7" fillId="0" borderId="2" xfId="3" applyFont="1" applyAlignment="1">
      <alignment horizontal="center"/>
    </xf>
    <xf numFmtId="165" fontId="7" fillId="8" borderId="17" xfId="3" applyFont="1" applyFill="1" applyBorder="1" applyAlignment="1">
      <alignment horizontal="center"/>
    </xf>
    <xf numFmtId="41" fontId="7" fillId="8" borderId="36" xfId="2" applyFont="1" applyFill="1" applyBorder="1" applyAlignment="1">
      <alignment horizontal="center"/>
    </xf>
    <xf numFmtId="41" fontId="7" fillId="8" borderId="19" xfId="2" applyFont="1" applyFill="1" applyBorder="1" applyAlignment="1">
      <alignment horizontal="center"/>
    </xf>
    <xf numFmtId="41" fontId="7" fillId="8" borderId="18" xfId="2" applyFont="1" applyFill="1" applyBorder="1" applyAlignment="1">
      <alignment horizontal="center"/>
    </xf>
    <xf numFmtId="41" fontId="7" fillId="0" borderId="2" xfId="2" applyFont="1" applyAlignment="1">
      <alignment horizontal="center"/>
    </xf>
    <xf numFmtId="41" fontId="0" fillId="0" borderId="37" xfId="2" applyFont="1" applyBorder="1"/>
    <xf numFmtId="41" fontId="0" fillId="0" borderId="12" xfId="2" applyFont="1" applyBorder="1"/>
    <xf numFmtId="41" fontId="0" fillId="0" borderId="13" xfId="2" applyFont="1" applyBorder="1"/>
    <xf numFmtId="41" fontId="0" fillId="0" borderId="14" xfId="2" applyFont="1" applyBorder="1"/>
    <xf numFmtId="41" fontId="0" fillId="0" borderId="38" xfId="2" applyFont="1" applyBorder="1"/>
    <xf numFmtId="41" fontId="0" fillId="0" borderId="7" xfId="2" applyFont="1" applyBorder="1"/>
    <xf numFmtId="41" fontId="0" fillId="0" borderId="8" xfId="2" applyFont="1" applyBorder="1"/>
    <xf numFmtId="41" fontId="0" fillId="0" borderId="39" xfId="2" applyFont="1" applyBorder="1" applyAlignment="1">
      <alignment horizontal="right"/>
    </xf>
    <xf numFmtId="41" fontId="0" fillId="0" borderId="10" xfId="2" applyFont="1" applyBorder="1"/>
    <xf numFmtId="41" fontId="0" fillId="0" borderId="11" xfId="2" applyFont="1" applyBorder="1"/>
    <xf numFmtId="41" fontId="7" fillId="8" borderId="16" xfId="2" applyFont="1" applyFill="1" applyBorder="1"/>
    <xf numFmtId="165" fontId="7" fillId="0" borderId="2" xfId="3" applyFont="1"/>
    <xf numFmtId="41" fontId="7" fillId="12" borderId="17" xfId="2" applyFont="1" applyFill="1" applyBorder="1" applyAlignment="1">
      <alignment horizontal="center"/>
    </xf>
    <xf numFmtId="41" fontId="7" fillId="12" borderId="18" xfId="2" applyFont="1" applyFill="1" applyBorder="1" applyAlignment="1">
      <alignment horizontal="center"/>
    </xf>
    <xf numFmtId="165" fontId="7" fillId="5" borderId="2" xfId="3" applyFont="1" applyFill="1"/>
    <xf numFmtId="41" fontId="0" fillId="0" borderId="35" xfId="2" applyFont="1" applyBorder="1"/>
    <xf numFmtId="41" fontId="0" fillId="0" borderId="33" xfId="2" applyFont="1" applyBorder="1"/>
    <xf numFmtId="41" fontId="7" fillId="12" borderId="17" xfId="2" applyFont="1" applyFill="1" applyBorder="1"/>
    <xf numFmtId="41" fontId="7" fillId="12" borderId="18" xfId="2" applyFont="1" applyFill="1" applyBorder="1"/>
    <xf numFmtId="41" fontId="0" fillId="0" borderId="5" xfId="2" applyFont="1" applyBorder="1"/>
    <xf numFmtId="41" fontId="0" fillId="0" borderId="6" xfId="2" applyFont="1" applyBorder="1"/>
    <xf numFmtId="41" fontId="0" fillId="0" borderId="40" xfId="2" applyFont="1" applyBorder="1"/>
    <xf numFmtId="41" fontId="0" fillId="0" borderId="41" xfId="2" applyFont="1" applyBorder="1"/>
    <xf numFmtId="41" fontId="0" fillId="0" borderId="34" xfId="2" applyFont="1" applyBorder="1" applyAlignment="1">
      <alignment horizontal="right"/>
    </xf>
    <xf numFmtId="41" fontId="7" fillId="8" borderId="25" xfId="2" applyFont="1" applyFill="1" applyBorder="1" applyAlignment="1">
      <alignment horizontal="center"/>
    </xf>
    <xf numFmtId="41" fontId="7" fillId="8" borderId="24" xfId="2" applyFont="1" applyFill="1" applyBorder="1" applyAlignment="1">
      <alignment horizontal="center"/>
    </xf>
    <xf numFmtId="41" fontId="7" fillId="8" borderId="42" xfId="2" applyFont="1" applyFill="1" applyBorder="1"/>
    <xf numFmtId="168" fontId="2" fillId="0" borderId="4" xfId="0" applyNumberFormat="1" applyFont="1" applyBorder="1"/>
    <xf numFmtId="168" fontId="2" fillId="0" borderId="7" xfId="0" applyNumberFormat="1" applyFont="1" applyBorder="1"/>
    <xf numFmtId="168" fontId="2" fillId="0" borderId="35" xfId="0" applyNumberFormat="1" applyFont="1" applyBorder="1"/>
    <xf numFmtId="41" fontId="0" fillId="0" borderId="3" xfId="2" applyFont="1" applyFill="1" applyBorder="1"/>
    <xf numFmtId="3" fontId="0" fillId="0" borderId="3" xfId="0" applyNumberFormat="1" applyBorder="1" applyAlignment="1">
      <alignment vertical="top"/>
    </xf>
    <xf numFmtId="41" fontId="2" fillId="0" borderId="43" xfId="2" applyFont="1" applyFill="1" applyBorder="1"/>
    <xf numFmtId="41" fontId="10" fillId="0" borderId="3" xfId="1" applyFont="1" applyFill="1" applyBorder="1"/>
    <xf numFmtId="41" fontId="2" fillId="0" borderId="5" xfId="1" applyFont="1" applyFill="1" applyBorder="1"/>
    <xf numFmtId="41" fontId="2" fillId="0" borderId="6" xfId="1" applyFont="1" applyFill="1" applyBorder="1"/>
    <xf numFmtId="41" fontId="2" fillId="0" borderId="3" xfId="1" applyFont="1" applyFill="1" applyBorder="1"/>
    <xf numFmtId="41" fontId="2" fillId="0" borderId="8" xfId="1" applyFont="1" applyFill="1" applyBorder="1"/>
    <xf numFmtId="41" fontId="2" fillId="0" borderId="22" xfId="1" applyFont="1" applyFill="1" applyBorder="1"/>
    <xf numFmtId="41" fontId="2" fillId="0" borderId="33" xfId="1" applyFont="1" applyFill="1" applyBorder="1"/>
    <xf numFmtId="166" fontId="3" fillId="0" borderId="18" xfId="0" applyNumberFormat="1" applyFont="1" applyBorder="1"/>
    <xf numFmtId="165" fontId="2" fillId="2" borderId="2" xfId="0" applyFont="1" applyFill="1" applyBorder="1"/>
    <xf numFmtId="165" fontId="9" fillId="0" borderId="15" xfId="0" applyFont="1" applyBorder="1"/>
    <xf numFmtId="0" fontId="9" fillId="0" borderId="21" xfId="0" applyNumberFormat="1" applyFont="1" applyBorder="1"/>
    <xf numFmtId="165" fontId="3" fillId="0" borderId="23" xfId="0" applyFont="1" applyBorder="1"/>
    <xf numFmtId="165" fontId="3" fillId="0" borderId="26" xfId="0" applyFont="1" applyBorder="1"/>
    <xf numFmtId="165" fontId="3" fillId="0" borderId="28" xfId="0" applyFont="1" applyBorder="1"/>
    <xf numFmtId="165" fontId="2" fillId="0" borderId="29" xfId="0" applyFont="1" applyBorder="1"/>
    <xf numFmtId="165" fontId="6" fillId="0" borderId="28" xfId="0" applyFont="1" applyBorder="1"/>
    <xf numFmtId="165" fontId="3" fillId="0" borderId="29" xfId="0" applyFont="1" applyBorder="1"/>
    <xf numFmtId="165" fontId="0" fillId="0" borderId="30" xfId="0" applyBorder="1"/>
    <xf numFmtId="165" fontId="0" fillId="0" borderId="31" xfId="0" applyBorder="1"/>
    <xf numFmtId="165" fontId="3" fillId="0" borderId="32" xfId="0" applyFont="1" applyBorder="1"/>
    <xf numFmtId="166" fontId="2" fillId="8" borderId="13" xfId="0" applyNumberFormat="1" applyFont="1" applyFill="1" applyBorder="1"/>
    <xf numFmtId="166" fontId="2" fillId="8" borderId="10" xfId="0" applyNumberFormat="1" applyFont="1" applyFill="1" applyBorder="1"/>
    <xf numFmtId="1" fontId="2" fillId="0" borderId="0" xfId="0" applyNumberFormat="1" applyFont="1"/>
    <xf numFmtId="1" fontId="3" fillId="0" borderId="27" xfId="0" applyNumberFormat="1" applyFont="1" applyBorder="1"/>
    <xf numFmtId="1" fontId="3" fillId="0" borderId="26" xfId="0" applyNumberFormat="1" applyFont="1" applyBorder="1"/>
    <xf numFmtId="1" fontId="2" fillId="0" borderId="29" xfId="0" applyNumberFormat="1" applyFont="1" applyBorder="1"/>
    <xf numFmtId="1" fontId="3" fillId="0" borderId="29" xfId="0" applyNumberFormat="1" applyFont="1" applyBorder="1"/>
    <xf numFmtId="41" fontId="2" fillId="0" borderId="31" xfId="1" applyFont="1" applyFill="1" applyBorder="1"/>
    <xf numFmtId="41" fontId="3" fillId="0" borderId="32" xfId="1" applyFont="1" applyFill="1" applyBorder="1"/>
    <xf numFmtId="165" fontId="3" fillId="0" borderId="44" xfId="0" applyFont="1" applyBorder="1" applyAlignment="1">
      <alignment wrapText="1"/>
    </xf>
    <xf numFmtId="165" fontId="3" fillId="0" borderId="45" xfId="0" applyFont="1" applyBorder="1" applyAlignment="1">
      <alignment wrapText="1"/>
    </xf>
    <xf numFmtId="165" fontId="3" fillId="0" borderId="45" xfId="0" applyFont="1" applyBorder="1" applyAlignment="1">
      <alignment horizontal="center" wrapText="1"/>
    </xf>
    <xf numFmtId="1" fontId="3" fillId="0" borderId="46" xfId="0" applyNumberFormat="1" applyFont="1" applyBorder="1" applyAlignment="1">
      <alignment horizontal="center" vertical="center" wrapText="1"/>
    </xf>
    <xf numFmtId="1" fontId="2" fillId="0" borderId="3" xfId="0" applyNumberFormat="1" applyFont="1" applyBorder="1"/>
    <xf numFmtId="49" fontId="2" fillId="0" borderId="2" xfId="0" applyNumberFormat="1" applyFont="1" applyBorder="1" applyAlignment="1">
      <alignment horizontal="right"/>
    </xf>
    <xf numFmtId="165" fontId="11" fillId="0" borderId="2" xfId="0" applyFont="1" applyBorder="1"/>
    <xf numFmtId="1" fontId="11" fillId="0" borderId="2" xfId="0" applyNumberFormat="1" applyFont="1" applyBorder="1"/>
    <xf numFmtId="41" fontId="3" fillId="5" borderId="31" xfId="1" applyFont="1" applyFill="1" applyBorder="1"/>
    <xf numFmtId="1" fontId="2" fillId="0" borderId="5" xfId="0" applyNumberFormat="1" applyFont="1" applyBorder="1"/>
    <xf numFmtId="1" fontId="2" fillId="0" borderId="10" xfId="0" applyNumberFormat="1" applyFont="1" applyBorder="1"/>
    <xf numFmtId="14" fontId="2" fillId="0" borderId="4" xfId="3" applyNumberFormat="1" applyFont="1" applyBorder="1"/>
    <xf numFmtId="0" fontId="2" fillId="0" borderId="5" xfId="3" applyNumberFormat="1" applyFont="1" applyBorder="1"/>
    <xf numFmtId="14" fontId="2" fillId="0" borderId="5" xfId="3" applyNumberFormat="1" applyFont="1" applyBorder="1"/>
    <xf numFmtId="0" fontId="8" fillId="0" borderId="5" xfId="3" applyNumberFormat="1" applyBorder="1"/>
    <xf numFmtId="0" fontId="8" fillId="8" borderId="5" xfId="3" applyNumberFormat="1" applyFill="1" applyBorder="1"/>
    <xf numFmtId="41" fontId="2" fillId="0" borderId="5" xfId="2" applyFont="1" applyFill="1" applyBorder="1"/>
    <xf numFmtId="41" fontId="2" fillId="0" borderId="5" xfId="2" applyFont="1" applyFill="1" applyBorder="1" applyAlignment="1">
      <alignment horizontal="center" vertical="center" wrapText="1"/>
    </xf>
    <xf numFmtId="41" fontId="2" fillId="8" borderId="5" xfId="2" applyFont="1" applyFill="1" applyBorder="1" applyAlignment="1">
      <alignment horizontal="center" vertical="center" wrapText="1"/>
    </xf>
    <xf numFmtId="41" fontId="2" fillId="8" borderId="5" xfId="2" applyFont="1" applyFill="1" applyBorder="1"/>
    <xf numFmtId="41" fontId="2" fillId="8" borderId="6" xfId="2" applyFont="1" applyFill="1" applyBorder="1"/>
    <xf numFmtId="14" fontId="2" fillId="0" borderId="7" xfId="3" applyNumberFormat="1" applyFont="1" applyBorder="1"/>
    <xf numFmtId="41" fontId="2" fillId="8" borderId="8" xfId="2" applyFont="1" applyFill="1" applyBorder="1"/>
    <xf numFmtId="166" fontId="2" fillId="3" borderId="2" xfId="0" applyNumberFormat="1" applyFont="1" applyFill="1" applyBorder="1"/>
    <xf numFmtId="1" fontId="0" fillId="0" borderId="3" xfId="0" applyNumberFormat="1" applyBorder="1"/>
    <xf numFmtId="14" fontId="8" fillId="0" borderId="3" xfId="0" applyNumberFormat="1" applyFont="1" applyBorder="1"/>
    <xf numFmtId="165" fontId="11" fillId="0" borderId="23" xfId="0" applyFont="1" applyBorder="1"/>
    <xf numFmtId="0" fontId="0" fillId="0" borderId="26" xfId="0" applyNumberFormat="1" applyBorder="1"/>
    <xf numFmtId="41" fontId="9" fillId="5" borderId="47" xfId="1" applyFont="1" applyFill="1" applyBorder="1" applyAlignment="1"/>
    <xf numFmtId="0" fontId="0" fillId="0" borderId="12" xfId="0" applyNumberFormat="1" applyBorder="1"/>
    <xf numFmtId="165" fontId="9" fillId="0" borderId="17" xfId="0" applyFont="1" applyBorder="1" applyAlignment="1">
      <alignment horizontal="center" vertical="center" wrapText="1"/>
    </xf>
    <xf numFmtId="165" fontId="9" fillId="0" borderId="19" xfId="0" applyFont="1" applyBorder="1" applyAlignment="1">
      <alignment horizontal="center" vertical="center" wrapText="1"/>
    </xf>
    <xf numFmtId="0" fontId="3" fillId="0" borderId="19" xfId="0" applyNumberFormat="1" applyFont="1" applyBorder="1" applyAlignment="1">
      <alignment horizontal="center" vertical="center" wrapText="1"/>
    </xf>
    <xf numFmtId="0" fontId="9" fillId="0" borderId="19" xfId="0" applyNumberFormat="1" applyFont="1" applyBorder="1" applyAlignment="1">
      <alignment horizontal="center" vertical="center" wrapText="1"/>
    </xf>
    <xf numFmtId="165" fontId="9" fillId="0" borderId="18" xfId="0" applyFont="1" applyBorder="1" applyAlignment="1">
      <alignment horizontal="center" vertical="center"/>
    </xf>
    <xf numFmtId="0" fontId="8" fillId="8" borderId="3" xfId="3" applyNumberFormat="1" applyFill="1" applyBorder="1"/>
    <xf numFmtId="41" fontId="0" fillId="0" borderId="12" xfId="2" applyFont="1" applyFill="1" applyBorder="1"/>
    <xf numFmtId="41" fontId="0" fillId="0" borderId="7" xfId="2" applyFont="1" applyFill="1" applyBorder="1"/>
    <xf numFmtId="41" fontId="0" fillId="0" borderId="9" xfId="2" applyFont="1" applyFill="1" applyBorder="1"/>
    <xf numFmtId="41" fontId="0" fillId="0" borderId="2" xfId="2" applyFont="1" applyFill="1"/>
    <xf numFmtId="41" fontId="0" fillId="0" borderId="4" xfId="2" applyFont="1" applyFill="1" applyBorder="1"/>
    <xf numFmtId="41" fontId="0" fillId="0" borderId="13" xfId="2" applyFont="1" applyFill="1" applyBorder="1"/>
    <xf numFmtId="41" fontId="2" fillId="0" borderId="22" xfId="1" applyFont="1" applyFill="1" applyBorder="1" applyAlignment="1">
      <alignment horizontal="right"/>
    </xf>
    <xf numFmtId="165" fontId="11" fillId="0" borderId="0" xfId="0" applyFont="1"/>
    <xf numFmtId="41" fontId="0" fillId="9" borderId="39" xfId="2" applyFont="1" applyFill="1" applyBorder="1" applyAlignment="1">
      <alignment horizontal="right"/>
    </xf>
    <xf numFmtId="41" fontId="0" fillId="9" borderId="7" xfId="2" applyFont="1" applyFill="1" applyBorder="1"/>
    <xf numFmtId="41" fontId="2" fillId="0" borderId="25" xfId="1" applyFont="1" applyFill="1" applyBorder="1"/>
    <xf numFmtId="14" fontId="8" fillId="0" borderId="13" xfId="0" applyNumberFormat="1" applyFont="1" applyBorder="1"/>
    <xf numFmtId="165" fontId="11" fillId="0" borderId="3" xfId="0" applyFont="1" applyBorder="1"/>
    <xf numFmtId="14" fontId="2" fillId="0" borderId="43" xfId="3" applyNumberFormat="1" applyFont="1" applyBorder="1"/>
    <xf numFmtId="0" fontId="0" fillId="0" borderId="0" xfId="0" applyNumberFormat="1"/>
    <xf numFmtId="41" fontId="0" fillId="0" borderId="0" xfId="0" applyNumberFormat="1"/>
    <xf numFmtId="41" fontId="2" fillId="0" borderId="6" xfId="2" applyFont="1" applyFill="1" applyBorder="1"/>
    <xf numFmtId="41" fontId="2" fillId="0" borderId="8" xfId="2" applyFont="1" applyFill="1" applyBorder="1"/>
    <xf numFmtId="41" fontId="3" fillId="0" borderId="11" xfId="2" applyFont="1" applyFill="1" applyBorder="1"/>
    <xf numFmtId="49" fontId="2" fillId="0" borderId="29" xfId="0" applyNumberFormat="1" applyFont="1" applyBorder="1"/>
    <xf numFmtId="49" fontId="2" fillId="0" borderId="32" xfId="0" applyNumberFormat="1" applyFont="1" applyBorder="1"/>
    <xf numFmtId="165" fontId="3" fillId="0" borderId="21" xfId="0" applyFont="1" applyBorder="1" applyAlignment="1">
      <alignment horizontal="center" vertical="center" wrapText="1"/>
    </xf>
    <xf numFmtId="41" fontId="2" fillId="0" borderId="48" xfId="1" applyFont="1" applyFill="1" applyBorder="1"/>
    <xf numFmtId="41" fontId="2" fillId="0" borderId="13" xfId="1" applyFont="1" applyFill="1" applyBorder="1"/>
    <xf numFmtId="41" fontId="2" fillId="0" borderId="49" xfId="1" applyFont="1" applyFill="1" applyBorder="1"/>
    <xf numFmtId="41" fontId="9" fillId="0" borderId="16" xfId="1" applyFont="1" applyFill="1" applyBorder="1" applyAlignment="1"/>
    <xf numFmtId="41" fontId="0" fillId="0" borderId="0" xfId="1" applyFont="1" applyFill="1" applyAlignment="1"/>
    <xf numFmtId="41" fontId="9" fillId="0" borderId="47" xfId="1" applyFont="1" applyFill="1" applyBorder="1" applyAlignment="1"/>
    <xf numFmtId="41" fontId="9" fillId="0" borderId="19" xfId="1" applyFont="1" applyFill="1" applyBorder="1" applyAlignment="1">
      <alignment horizontal="center" vertical="center"/>
    </xf>
    <xf numFmtId="41" fontId="0" fillId="0" borderId="3" xfId="1" applyFont="1" applyFill="1" applyBorder="1" applyAlignment="1"/>
    <xf numFmtId="41" fontId="0" fillId="0" borderId="3" xfId="1" applyFont="1" applyFill="1" applyBorder="1"/>
    <xf numFmtId="41" fontId="8" fillId="0" borderId="3" xfId="1" applyFont="1" applyFill="1" applyBorder="1" applyAlignment="1">
      <alignment horizontal="right"/>
    </xf>
    <xf numFmtId="0" fontId="2" fillId="8" borderId="50" xfId="0" applyNumberFormat="1" applyFont="1" applyFill="1" applyBorder="1"/>
    <xf numFmtId="0" fontId="2" fillId="8" borderId="43" xfId="0" applyNumberFormat="1" applyFont="1" applyFill="1" applyBorder="1"/>
    <xf numFmtId="0" fontId="2" fillId="8" borderId="51" xfId="0" applyNumberFormat="1" applyFont="1" applyFill="1" applyBorder="1"/>
    <xf numFmtId="0" fontId="3" fillId="8" borderId="36" xfId="0" applyNumberFormat="1" applyFont="1" applyFill="1" applyBorder="1"/>
    <xf numFmtId="165" fontId="3" fillId="0" borderId="16" xfId="0" applyFont="1" applyBorder="1"/>
    <xf numFmtId="41" fontId="3" fillId="0" borderId="10" xfId="2" applyFont="1" applyFill="1" applyBorder="1"/>
    <xf numFmtId="41" fontId="2" fillId="0" borderId="31" xfId="2" applyFont="1" applyFill="1" applyBorder="1"/>
    <xf numFmtId="41" fontId="8" fillId="0" borderId="3" xfId="1" applyFont="1" applyFill="1" applyBorder="1"/>
    <xf numFmtId="0" fontId="8" fillId="0" borderId="0" xfId="0" applyNumberFormat="1" applyFont="1"/>
    <xf numFmtId="165" fontId="2" fillId="0" borderId="3" xfId="3" applyFont="1" applyBorder="1"/>
    <xf numFmtId="14" fontId="2" fillId="0" borderId="9" xfId="3" applyNumberFormat="1" applyFont="1" applyBorder="1"/>
    <xf numFmtId="0" fontId="2" fillId="0" borderId="10" xfId="3" applyNumberFormat="1" applyFont="1" applyBorder="1"/>
    <xf numFmtId="0" fontId="8" fillId="0" borderId="10" xfId="3" applyNumberFormat="1" applyBorder="1"/>
    <xf numFmtId="0" fontId="8" fillId="8" borderId="10" xfId="3" applyNumberFormat="1" applyFill="1" applyBorder="1"/>
    <xf numFmtId="1" fontId="8" fillId="0" borderId="10" xfId="3" applyNumberFormat="1" applyBorder="1"/>
    <xf numFmtId="41" fontId="2" fillId="0" borderId="10" xfId="2" applyFont="1" applyFill="1" applyBorder="1"/>
    <xf numFmtId="41" fontId="2" fillId="8" borderId="10" xfId="2" applyFont="1" applyFill="1" applyBorder="1" applyAlignment="1">
      <alignment horizontal="center" vertical="center" wrapText="1"/>
    </xf>
    <xf numFmtId="41" fontId="2" fillId="8" borderId="10" xfId="2" applyFont="1" applyFill="1" applyBorder="1"/>
    <xf numFmtId="41" fontId="2" fillId="8" borderId="11" xfId="2" applyFont="1" applyFill="1" applyBorder="1"/>
    <xf numFmtId="165" fontId="2" fillId="0" borderId="5" xfId="3" applyFont="1" applyBorder="1"/>
    <xf numFmtId="165" fontId="2" fillId="0" borderId="10" xfId="3" applyFont="1" applyBorder="1"/>
    <xf numFmtId="0" fontId="3" fillId="0" borderId="16" xfId="3" applyNumberFormat="1" applyFont="1" applyBorder="1" applyAlignment="1">
      <alignment horizontal="center" vertical="center" wrapText="1"/>
    </xf>
    <xf numFmtId="14" fontId="2" fillId="0" borderId="10" xfId="3" applyNumberFormat="1" applyFont="1" applyBorder="1"/>
    <xf numFmtId="0" fontId="2" fillId="0" borderId="12" xfId="2" applyNumberFormat="1" applyFont="1" applyBorder="1"/>
    <xf numFmtId="0" fontId="0" fillId="0" borderId="13" xfId="0" applyNumberFormat="1" applyBorder="1"/>
    <xf numFmtId="0" fontId="8" fillId="0" borderId="13" xfId="0" applyNumberFormat="1" applyFont="1" applyBorder="1" applyAlignment="1">
      <alignment horizontal="center"/>
    </xf>
    <xf numFmtId="41" fontId="10" fillId="0" borderId="13" xfId="1" applyFont="1" applyFill="1" applyBorder="1"/>
    <xf numFmtId="165" fontId="11" fillId="0" borderId="13" xfId="0" applyFont="1" applyBorder="1"/>
    <xf numFmtId="165" fontId="3" fillId="0" borderId="61" xfId="0" applyFont="1" applyBorder="1" applyAlignment="1">
      <alignment wrapText="1"/>
    </xf>
    <xf numFmtId="1" fontId="3" fillId="0" borderId="26" xfId="0" applyNumberFormat="1" applyFont="1" applyBorder="1" applyAlignment="1">
      <alignment horizontal="center" vertical="center" wrapText="1"/>
    </xf>
    <xf numFmtId="165" fontId="3" fillId="0" borderId="16" xfId="0" applyFont="1" applyBorder="1" applyAlignment="1">
      <alignment horizontal="center" wrapText="1"/>
    </xf>
    <xf numFmtId="165" fontId="3" fillId="0" borderId="46" xfId="0" applyFont="1" applyBorder="1" applyAlignment="1">
      <alignment horizontal="center" vertical="center" wrapText="1"/>
    </xf>
    <xf numFmtId="169" fontId="2" fillId="0" borderId="3" xfId="0" applyNumberFormat="1" applyFont="1" applyBorder="1"/>
    <xf numFmtId="170" fontId="0" fillId="0" borderId="3" xfId="0" applyNumberFormat="1" applyBorder="1"/>
    <xf numFmtId="165" fontId="11" fillId="0" borderId="8" xfId="0" applyFont="1" applyBorder="1" applyAlignment="1">
      <alignment wrapText="1"/>
    </xf>
    <xf numFmtId="14" fontId="2" fillId="0" borderId="13" xfId="3" applyNumberFormat="1" applyFont="1" applyBorder="1" applyAlignment="1">
      <alignment horizontal="right"/>
    </xf>
    <xf numFmtId="168" fontId="2" fillId="0" borderId="4" xfId="0" applyNumberFormat="1" applyFont="1" applyBorder="1" applyAlignment="1">
      <alignment horizontal="right"/>
    </xf>
    <xf numFmtId="14" fontId="2" fillId="0" borderId="3" xfId="3" applyNumberFormat="1" applyFont="1" applyBorder="1" applyAlignment="1">
      <alignment horizontal="right"/>
    </xf>
    <xf numFmtId="17" fontId="4" fillId="5" borderId="0" xfId="0" applyNumberFormat="1" applyFont="1" applyFill="1" applyAlignment="1">
      <alignment horizontal="center"/>
    </xf>
    <xf numFmtId="166" fontId="3" fillId="0" borderId="25" xfId="0" applyNumberFormat="1" applyFont="1" applyBorder="1"/>
  </cellXfs>
  <cellStyles count="47">
    <cellStyle name="20% - Énfasis1 2" xfId="23" xr:uid="{00000000-0005-0000-0000-000000000000}"/>
    <cellStyle name="20% - Énfasis2 2" xfId="27" xr:uid="{00000000-0005-0000-0000-000001000000}"/>
    <cellStyle name="20% - Énfasis3 2" xfId="31" xr:uid="{00000000-0005-0000-0000-000002000000}"/>
    <cellStyle name="20% - Énfasis4 2" xfId="35" xr:uid="{00000000-0005-0000-0000-000003000000}"/>
    <cellStyle name="20% - Énfasis5 2" xfId="39" xr:uid="{00000000-0005-0000-0000-000004000000}"/>
    <cellStyle name="20% - Énfasis6 2" xfId="43" xr:uid="{00000000-0005-0000-0000-000005000000}"/>
    <cellStyle name="40% - Énfasis1 2" xfId="24" xr:uid="{00000000-0005-0000-0000-000006000000}"/>
    <cellStyle name="40% - Énfasis2 2" xfId="28" xr:uid="{00000000-0005-0000-0000-000007000000}"/>
    <cellStyle name="40% - Énfasis3 2" xfId="32" xr:uid="{00000000-0005-0000-0000-000008000000}"/>
    <cellStyle name="40% - Énfasis4 2" xfId="36" xr:uid="{00000000-0005-0000-0000-000009000000}"/>
    <cellStyle name="40% - Énfasis5 2" xfId="40" xr:uid="{00000000-0005-0000-0000-00000A000000}"/>
    <cellStyle name="40% - Énfasis6 2" xfId="44" xr:uid="{00000000-0005-0000-0000-00000B000000}"/>
    <cellStyle name="60% - Énfasis1 2" xfId="25" xr:uid="{00000000-0005-0000-0000-00000C000000}"/>
    <cellStyle name="60% - Énfasis2 2" xfId="29" xr:uid="{00000000-0005-0000-0000-00000D000000}"/>
    <cellStyle name="60% - Énfasis3 2" xfId="33" xr:uid="{00000000-0005-0000-0000-00000E000000}"/>
    <cellStyle name="60% - Énfasis4 2" xfId="37" xr:uid="{00000000-0005-0000-0000-00000F000000}"/>
    <cellStyle name="60% - Énfasis5 2" xfId="41" xr:uid="{00000000-0005-0000-0000-000010000000}"/>
    <cellStyle name="60% - Énfasis6 2" xfId="45" xr:uid="{00000000-0005-0000-0000-000011000000}"/>
    <cellStyle name="Buena 2" xfId="16" xr:uid="{00000000-0005-0000-0000-000012000000}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1" xfId="4" builtinId="16" customBuiltin="1"/>
    <cellStyle name="Encabezado 4 2" xfId="15" xr:uid="{00000000-0005-0000-0000-000017000000}"/>
    <cellStyle name="Énfasis1 2" xfId="22" xr:uid="{00000000-0005-0000-0000-000018000000}"/>
    <cellStyle name="Énfasis2 2" xfId="26" xr:uid="{00000000-0005-0000-0000-000019000000}"/>
    <cellStyle name="Énfasis3 2" xfId="30" xr:uid="{00000000-0005-0000-0000-00001A000000}"/>
    <cellStyle name="Énfasis4 2" xfId="34" xr:uid="{00000000-0005-0000-0000-00001B000000}"/>
    <cellStyle name="Énfasis5 2" xfId="38" xr:uid="{00000000-0005-0000-0000-00001C000000}"/>
    <cellStyle name="Énfasis6 2" xfId="42" xr:uid="{00000000-0005-0000-0000-00001D000000}"/>
    <cellStyle name="Entrada" xfId="7" builtinId="20" customBuiltin="1"/>
    <cellStyle name="Incorrecto 2" xfId="17" xr:uid="{00000000-0005-0000-0000-00001F000000}"/>
    <cellStyle name="Millares [0]" xfId="1" builtinId="6"/>
    <cellStyle name="Millares [0] 2" xfId="2" xr:uid="{00000000-0005-0000-0000-000021000000}"/>
    <cellStyle name="Millares 2" xfId="13" xr:uid="{00000000-0005-0000-0000-000022000000}"/>
    <cellStyle name="Neutral 2" xfId="18" xr:uid="{00000000-0005-0000-0000-000023000000}"/>
    <cellStyle name="Normal" xfId="0" builtinId="0"/>
    <cellStyle name="Normal 2" xfId="3" xr:uid="{00000000-0005-0000-0000-000025000000}"/>
    <cellStyle name="Normal 3" xfId="46" xr:uid="{00000000-0005-0000-0000-000026000000}"/>
    <cellStyle name="Notas 2" xfId="20" xr:uid="{00000000-0005-0000-0000-000027000000}"/>
    <cellStyle name="Salida" xfId="8" builtinId="21" customBuiltin="1"/>
    <cellStyle name="Texto de advertencia 2" xfId="19" xr:uid="{00000000-0005-0000-0000-000029000000}"/>
    <cellStyle name="Texto explicativo 2" xfId="21" xr:uid="{00000000-0005-0000-0000-00002A000000}"/>
    <cellStyle name="Título 2" xfId="5" builtinId="17" customBuiltin="1"/>
    <cellStyle name="Título 3" xfId="6" builtinId="18" customBuiltin="1"/>
    <cellStyle name="Título 4" xfId="14" xr:uid="{00000000-0005-0000-0000-00002D000000}"/>
    <cellStyle name="Total" xfId="12" builtinId="25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325419</xdr:colOff>
      <xdr:row>4</xdr:row>
      <xdr:rowOff>48411</xdr:rowOff>
    </xdr:from>
    <xdr:to>
      <xdr:col>4</xdr:col>
      <xdr:colOff>46455</xdr:colOff>
      <xdr:row>9</xdr:row>
      <xdr:rowOff>64659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9" y="688491"/>
          <a:ext cx="1877496" cy="945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333376</xdr:colOff>
      <xdr:row>4</xdr:row>
      <xdr:rowOff>139065</xdr:rowOff>
    </xdr:from>
    <xdr:to>
      <xdr:col>3</xdr:col>
      <xdr:colOff>349766</xdr:colOff>
      <xdr:row>9</xdr:row>
      <xdr:rowOff>7620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6" y="771525"/>
          <a:ext cx="1882020" cy="7981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1</xdr:row>
      <xdr:rowOff>60960</xdr:rowOff>
    </xdr:from>
    <xdr:to>
      <xdr:col>3</xdr:col>
      <xdr:colOff>147756</xdr:colOff>
      <xdr:row>6</xdr:row>
      <xdr:rowOff>92448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9E402-5867-43B3-BCCE-85DB55624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213360"/>
          <a:ext cx="1877496" cy="945888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1</xdr:row>
      <xdr:rowOff>76200</xdr:rowOff>
    </xdr:from>
    <xdr:to>
      <xdr:col>16</xdr:col>
      <xdr:colOff>323016</xdr:colOff>
      <xdr:row>6</xdr:row>
      <xdr:rowOff>107688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7AD323D-632A-4226-B26A-5FFDFACA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228600"/>
          <a:ext cx="1877496" cy="9458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327660</xdr:colOff>
      <xdr:row>5</xdr:row>
      <xdr:rowOff>53341</xdr:rowOff>
    </xdr:from>
    <xdr:to>
      <xdr:col>3</xdr:col>
      <xdr:colOff>594324</xdr:colOff>
      <xdr:row>9</xdr:row>
      <xdr:rowOff>15241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FC2CD-13F6-4223-B0DF-914C32D25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861061"/>
          <a:ext cx="1706844" cy="723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662940</xdr:colOff>
      <xdr:row>5</xdr:row>
      <xdr:rowOff>22861</xdr:rowOff>
    </xdr:from>
    <xdr:to>
      <xdr:col>3</xdr:col>
      <xdr:colOff>474570</xdr:colOff>
      <xdr:row>8</xdr:row>
      <xdr:rowOff>137161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DF9EDF-D46D-4FAB-BCD3-67FC05B46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822961"/>
          <a:ext cx="1670910" cy="7086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WVD982"/>
  <sheetViews>
    <sheetView tabSelected="1" topLeftCell="A60" zoomScaleNormal="100" workbookViewId="0">
      <selection activeCell="N98" sqref="N98"/>
    </sheetView>
  </sheetViews>
  <sheetFormatPr baseColWidth="10" defaultColWidth="14.42578125" defaultRowHeight="15" customHeight="1" x14ac:dyDescent="0.2"/>
  <cols>
    <col min="1" max="1" width="3" customWidth="1"/>
    <col min="2" max="2" width="12.140625" customWidth="1"/>
    <col min="3" max="3" width="9.5703125" bestFit="1" customWidth="1"/>
    <col min="4" max="4" width="9.5703125" customWidth="1"/>
    <col min="5" max="5" width="8.42578125" customWidth="1"/>
    <col min="6" max="6" width="16.5703125" customWidth="1"/>
    <col min="7" max="7" width="11.5703125" customWidth="1"/>
    <col min="8" max="8" width="30.42578125" customWidth="1"/>
    <col min="9" max="9" width="12.5703125" customWidth="1"/>
    <col min="10" max="10" width="13.5703125" customWidth="1"/>
    <col min="11" max="11" width="16.42578125" customWidth="1"/>
    <col min="12" max="12" width="13.5703125" customWidth="1"/>
    <col min="13" max="13" width="16.42578125" customWidth="1"/>
    <col min="14" max="14" width="15" bestFit="1" customWidth="1"/>
    <col min="15" max="15" width="16.42578125" bestFit="1" customWidth="1"/>
    <col min="16" max="16" width="13.5703125" customWidth="1"/>
    <col min="17" max="17" width="15.140625" bestFit="1" customWidth="1"/>
    <col min="18" max="20" width="13.5703125" customWidth="1"/>
    <col min="21" max="21" width="17.140625" bestFit="1" customWidth="1"/>
    <col min="22" max="22" width="14.5703125" customWidth="1"/>
    <col min="23" max="23" width="17.140625" bestFit="1" customWidth="1"/>
    <col min="24" max="25" width="15.42578125" bestFit="1" customWidth="1"/>
    <col min="26" max="26" width="4.42578125" customWidth="1"/>
    <col min="27" max="27" width="2.5703125" style="63" customWidth="1"/>
    <col min="28" max="28" width="16.140625" bestFit="1" customWidth="1"/>
    <col min="29" max="29" width="15.42578125" bestFit="1" customWidth="1"/>
    <col min="30" max="30" width="14.85546875" bestFit="1" customWidth="1"/>
  </cols>
  <sheetData>
    <row r="1" spans="1:40 16085:16124" s="1" customFormat="1" ht="12.95" customHeight="1" x14ac:dyDescent="0.2">
      <c r="C1" s="65">
        <f>VALUE(C3&amp;1)</f>
        <v>2026101</v>
      </c>
      <c r="D1" s="66"/>
      <c r="E1" s="66"/>
      <c r="F1" s="66"/>
      <c r="G1" s="66"/>
      <c r="H1" s="66"/>
      <c r="I1" s="66"/>
      <c r="J1" s="67">
        <f>J16+J20+J24+J28+J32+J36+J40+J44+J48+J52+J56+J60+J64+J68+J72</f>
        <v>1616</v>
      </c>
      <c r="K1" s="67">
        <f>K16+K20+K24+K28+K32+K36+K40+K44+K48+K52+K56+K60+K64+K68+K72</f>
        <v>322739090</v>
      </c>
      <c r="L1" s="67">
        <f t="shared" ref="L1:X1" si="0">L16+L20+L24+L28+L32+L36+L40+L44+L48+L52+L56+L60+L64+L68+L72</f>
        <v>3964</v>
      </c>
      <c r="M1" s="67">
        <f>M16+M20+M24+M28+M32+M36+M40+M44+M48+M52+M56+M60+M64+M68+M72</f>
        <v>839789795</v>
      </c>
      <c r="N1" s="67">
        <f t="shared" si="0"/>
        <v>1376</v>
      </c>
      <c r="O1" s="67">
        <f>O16+O20+O24+O28+O32+O36+O40+O44+O48+O52+O56+O60+O64+O68+O72</f>
        <v>417500887</v>
      </c>
      <c r="P1" s="67">
        <f t="shared" si="0"/>
        <v>2591</v>
      </c>
      <c r="Q1" s="67">
        <f>Q16+Q20+Q24+Q28+Q32+Q36+Q40+Q44+Q48+Q52+Q56+Q60+Q64+Q68+Q72</f>
        <v>481464262</v>
      </c>
      <c r="R1" s="67">
        <f t="shared" si="0"/>
        <v>1160</v>
      </c>
      <c r="S1" s="67">
        <f>S16+S20+S24+S28+S32+S36+S40+S44+S48+S52+S56+S60+S64+S68+S72</f>
        <v>168793421</v>
      </c>
      <c r="T1" s="67">
        <f t="shared" si="0"/>
        <v>10707</v>
      </c>
      <c r="U1" s="67">
        <f>U16+U20+U24+U28+U32+U36+U40+U44+U48+U52+U56+U60+U64+U68+U72</f>
        <v>2230287455</v>
      </c>
      <c r="V1" s="67">
        <f t="shared" si="0"/>
        <v>10707</v>
      </c>
      <c r="W1" s="67">
        <f>W16+W20+W24+W28+W32+W36+W40+W44+W48+W52+W56+W60+W64+W68+W72</f>
        <v>2230287455</v>
      </c>
      <c r="X1" s="67">
        <f t="shared" si="0"/>
        <v>0</v>
      </c>
      <c r="Y1" s="327">
        <f>Y16+Y20+Y24+Y28+Y32+Y36+Y40+Y44+Y48+Y52+Y56+Y60+Y64+Y68+Y72</f>
        <v>0</v>
      </c>
      <c r="AA1" s="69"/>
      <c r="AD1" s="70"/>
      <c r="AE1" s="70"/>
      <c r="AF1" s="70"/>
      <c r="AH1" s="13"/>
      <c r="AI1" s="70"/>
      <c r="AJ1" s="70"/>
      <c r="AK1" s="70"/>
      <c r="AN1" s="69"/>
    </row>
    <row r="2" spans="1:40 16085:16124" s="1" customFormat="1" ht="12.95" customHeight="1" x14ac:dyDescent="0.2">
      <c r="C2" s="366">
        <f>VALUE(C3&amp;2)</f>
        <v>2026102</v>
      </c>
      <c r="D2" s="72"/>
      <c r="E2" s="72"/>
      <c r="F2" s="72"/>
      <c r="G2" s="72"/>
      <c r="H2" s="72"/>
      <c r="I2" s="72"/>
      <c r="J2" s="73">
        <f>J76+J80+J84+J88+J92+J96+J100+J104+J108+J112+J116+J120+J124+J128+J132+J136</f>
        <v>666</v>
      </c>
      <c r="K2" s="73">
        <f t="shared" ref="K2:Y2" si="1">K76+K80+K84+K88+K92+K96+K100+K104+K108+K112+K116+K120+K124+K128+K132+K136</f>
        <v>186382057</v>
      </c>
      <c r="L2" s="73">
        <f t="shared" si="1"/>
        <v>1755</v>
      </c>
      <c r="M2" s="73">
        <f t="shared" si="1"/>
        <v>338362203</v>
      </c>
      <c r="N2" s="73">
        <f t="shared" si="1"/>
        <v>620</v>
      </c>
      <c r="O2" s="73">
        <f t="shared" si="1"/>
        <v>175516493</v>
      </c>
      <c r="P2" s="73">
        <f t="shared" si="1"/>
        <v>1098</v>
      </c>
      <c r="Q2" s="73">
        <f t="shared" si="1"/>
        <v>193541612</v>
      </c>
      <c r="R2" s="73">
        <f t="shared" si="1"/>
        <v>511</v>
      </c>
      <c r="S2" s="73">
        <f t="shared" si="1"/>
        <v>80286396</v>
      </c>
      <c r="T2" s="73">
        <f t="shared" si="1"/>
        <v>4650</v>
      </c>
      <c r="U2" s="73">
        <f>U76+U80+U84+U88+U92+U96+U100+U104+U108+U112+U116+U120+U124+U128+U132+U136</f>
        <v>974088761</v>
      </c>
      <c r="V2" s="73">
        <f>V76+V80+V84+V88+V92+V96+V100+V104+V108+V112+V116+V120+V124+V128+V132+V136</f>
        <v>4650</v>
      </c>
      <c r="W2" s="73">
        <f>W76+W80+W84+W88+W92+W96+W100+W104+W108+W112+W116+W120+W124+W128+W132+W136</f>
        <v>974088761</v>
      </c>
      <c r="X2" s="73">
        <f>X76+X80+X84+X88+X92+X96+X100+X104+X108+X112+X116+X120+X124+X128+X132+X136</f>
        <v>0</v>
      </c>
      <c r="Y2" s="328">
        <f t="shared" si="1"/>
        <v>0</v>
      </c>
      <c r="AA2" s="69"/>
      <c r="AD2" s="70"/>
      <c r="AE2" s="70"/>
      <c r="AF2" s="70"/>
      <c r="AH2" s="13"/>
      <c r="AI2" s="70"/>
      <c r="AJ2" s="70"/>
      <c r="AK2" s="70"/>
      <c r="AN2" s="69"/>
    </row>
    <row r="3" spans="1:40 16085:16124" s="1" customFormat="1" ht="12.95" customHeight="1" thickBot="1" x14ac:dyDescent="0.25">
      <c r="C3" s="75">
        <v>202610</v>
      </c>
      <c r="D3" s="76"/>
      <c r="E3" s="76"/>
      <c r="F3" s="76"/>
      <c r="G3" s="76"/>
      <c r="H3" s="76"/>
      <c r="I3" s="76"/>
      <c r="J3" s="77">
        <f>SUM(J1:J2)</f>
        <v>2282</v>
      </c>
      <c r="K3" s="77">
        <f t="shared" ref="K3:X3" si="2">SUM(K1:K2)</f>
        <v>509121147</v>
      </c>
      <c r="L3" s="77">
        <f t="shared" si="2"/>
        <v>5719</v>
      </c>
      <c r="M3" s="77">
        <f t="shared" si="2"/>
        <v>1178151998</v>
      </c>
      <c r="N3" s="77">
        <f t="shared" si="2"/>
        <v>1996</v>
      </c>
      <c r="O3" s="77">
        <f t="shared" si="2"/>
        <v>593017380</v>
      </c>
      <c r="P3" s="77">
        <f t="shared" si="2"/>
        <v>3689</v>
      </c>
      <c r="Q3" s="77">
        <f t="shared" si="2"/>
        <v>675005874</v>
      </c>
      <c r="R3" s="77">
        <f t="shared" si="2"/>
        <v>1671</v>
      </c>
      <c r="S3" s="77">
        <f>SUM(S1:S2)</f>
        <v>249079817</v>
      </c>
      <c r="T3" s="77">
        <f t="shared" si="2"/>
        <v>15357</v>
      </c>
      <c r="U3" s="77">
        <f>SUM(U1:U2)</f>
        <v>3204376216</v>
      </c>
      <c r="V3" s="77">
        <f t="shared" si="2"/>
        <v>15357</v>
      </c>
      <c r="W3" s="77">
        <f>SUM(W1:W2)</f>
        <v>3204376216</v>
      </c>
      <c r="X3" s="77">
        <f t="shared" si="2"/>
        <v>0</v>
      </c>
      <c r="Y3" s="329">
        <f>SUM(Y1:Y2)</f>
        <v>0</v>
      </c>
      <c r="AA3" s="69"/>
      <c r="AD3" s="70"/>
      <c r="AE3" s="70"/>
      <c r="AF3" s="70"/>
      <c r="AH3" s="13"/>
      <c r="AI3" s="70"/>
      <c r="AJ3" s="70"/>
      <c r="AK3" s="70"/>
      <c r="AN3" s="69"/>
    </row>
    <row r="4" spans="1:40 16085:16124" s="1" customFormat="1" ht="12.95" customHeight="1" thickBot="1" x14ac:dyDescent="0.25">
      <c r="D4" s="5"/>
      <c r="E4" s="79"/>
      <c r="G4" s="70"/>
      <c r="H4" s="70"/>
      <c r="AA4" s="69"/>
      <c r="WTQ4"/>
      <c r="WTR4"/>
    </row>
    <row r="5" spans="1:40 16085:16124" s="1" customFormat="1" ht="12.75" x14ac:dyDescent="0.2">
      <c r="B5" s="83"/>
      <c r="C5" s="84"/>
      <c r="D5" s="85"/>
      <c r="E5" s="86"/>
      <c r="F5" s="87" t="s">
        <v>0</v>
      </c>
      <c r="G5" s="88"/>
      <c r="H5" s="88"/>
      <c r="I5" s="87"/>
      <c r="J5" s="89" t="s">
        <v>0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258"/>
      <c r="AA5" s="69"/>
      <c r="WVC5"/>
      <c r="WVD5"/>
    </row>
    <row r="6" spans="1:40 16085:16124" s="1" customFormat="1" ht="15.75" x14ac:dyDescent="0.25">
      <c r="B6" s="90"/>
      <c r="C6" s="23"/>
      <c r="D6" s="91"/>
      <c r="E6" s="92"/>
      <c r="F6" s="13"/>
      <c r="G6" s="93"/>
      <c r="H6" s="14" t="s">
        <v>18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93"/>
      <c r="X6" s="13"/>
      <c r="Y6" s="260"/>
      <c r="AA6" s="69"/>
      <c r="WVC6"/>
      <c r="WVD6"/>
    </row>
    <row r="7" spans="1:40 16085:16124" s="1" customFormat="1" ht="15.75" x14ac:dyDescent="0.25">
      <c r="B7" s="90"/>
      <c r="C7" s="23"/>
      <c r="D7" s="91"/>
      <c r="E7" s="92"/>
      <c r="F7" s="13"/>
      <c r="G7" s="93"/>
      <c r="H7" s="14" t="s">
        <v>19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260"/>
      <c r="AA7" s="69"/>
      <c r="WVC7"/>
      <c r="WVD7"/>
    </row>
    <row r="8" spans="1:40 16085:16124" s="1" customFormat="1" ht="15.75" x14ac:dyDescent="0.25">
      <c r="B8" s="90"/>
      <c r="C8" s="23"/>
      <c r="D8" s="91"/>
      <c r="E8" s="92"/>
      <c r="F8" s="13"/>
      <c r="G8" s="93"/>
      <c r="H8" s="94" t="s">
        <v>20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260"/>
      <c r="AA8" s="69"/>
      <c r="WVC8"/>
      <c r="WVD8"/>
    </row>
    <row r="9" spans="1:40 16085:16124" s="1" customFormat="1" ht="12.75" x14ac:dyDescent="0.2">
      <c r="B9" s="90"/>
      <c r="C9" s="23"/>
      <c r="D9" s="91"/>
      <c r="E9" s="95" t="s">
        <v>1</v>
      </c>
      <c r="F9" s="96"/>
      <c r="G9" s="97"/>
      <c r="H9" s="40" t="s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98"/>
      <c r="X9" s="15"/>
      <c r="Y9" s="260"/>
      <c r="AA9" s="69"/>
      <c r="WVC9"/>
      <c r="WVD9"/>
    </row>
    <row r="10" spans="1:40 16085:16124" s="1" customFormat="1" ht="13.5" customHeight="1" x14ac:dyDescent="0.25">
      <c r="B10" s="90"/>
      <c r="C10" s="23"/>
      <c r="D10" s="91"/>
      <c r="E10" s="99"/>
      <c r="F10" s="13"/>
      <c r="G10" s="93"/>
      <c r="H10" s="381" t="str">
        <f>SUBSTITUTE(UPPER(TEXT(DATE(LEFT(C3,4),RIGHT(C3,2),1),"MMMM YYYY"))," ","_")</f>
        <v>OCTUBRE_2026</v>
      </c>
      <c r="I10" s="93"/>
      <c r="J10" s="13"/>
      <c r="K10" s="13" t="s">
        <v>123</v>
      </c>
      <c r="L10" s="13"/>
      <c r="M10" s="93"/>
      <c r="N10" s="13"/>
      <c r="O10" s="93"/>
      <c r="P10" s="13"/>
      <c r="Q10" s="93"/>
      <c r="R10" s="13"/>
      <c r="S10" s="93"/>
      <c r="T10" s="93"/>
      <c r="U10" s="93"/>
      <c r="V10" s="93"/>
      <c r="W10" s="13"/>
      <c r="X10" s="13"/>
      <c r="Y10" s="330"/>
      <c r="AA10" s="69"/>
      <c r="WVC10"/>
      <c r="WVD10"/>
    </row>
    <row r="11" spans="1:40 16085:16124" s="1" customFormat="1" ht="15" customHeight="1" thickBot="1" x14ac:dyDescent="0.25">
      <c r="B11" s="101"/>
      <c r="C11" s="102"/>
      <c r="D11" s="103"/>
      <c r="E11" s="104"/>
      <c r="F11" s="105"/>
      <c r="G11" s="106"/>
      <c r="H11" s="106"/>
      <c r="I11" s="105"/>
      <c r="J11" s="105"/>
      <c r="K11" s="106"/>
      <c r="L11" s="105"/>
      <c r="M11" s="106"/>
      <c r="N11" s="105"/>
      <c r="O11" s="106"/>
      <c r="P11" s="105"/>
      <c r="Q11" s="106"/>
      <c r="R11" s="105"/>
      <c r="S11" s="106"/>
      <c r="T11" s="106"/>
      <c r="U11" s="106"/>
      <c r="V11" s="106"/>
      <c r="W11" s="105"/>
      <c r="X11" s="105"/>
      <c r="Y11" s="331"/>
      <c r="AA11" s="69"/>
      <c r="WVC11"/>
      <c r="WVD11"/>
    </row>
    <row r="12" spans="1:40 16085:16124" s="1" customFormat="1" ht="41.25" customHeight="1" thickBot="1" x14ac:dyDescent="0.25">
      <c r="B12" s="80" t="s">
        <v>14</v>
      </c>
      <c r="C12" s="47" t="s">
        <v>2</v>
      </c>
      <c r="D12" s="47" t="s">
        <v>22</v>
      </c>
      <c r="E12" s="47" t="s">
        <v>23</v>
      </c>
      <c r="F12" s="47" t="s">
        <v>24</v>
      </c>
      <c r="G12" s="47" t="s">
        <v>25</v>
      </c>
      <c r="H12" s="47" t="s">
        <v>26</v>
      </c>
      <c r="I12" s="47" t="s">
        <v>27</v>
      </c>
      <c r="J12" s="51" t="s">
        <v>28</v>
      </c>
      <c r="K12" s="51" t="s">
        <v>29</v>
      </c>
      <c r="L12" s="51" t="s">
        <v>30</v>
      </c>
      <c r="M12" s="51" t="s">
        <v>31</v>
      </c>
      <c r="N12" s="81" t="s">
        <v>32</v>
      </c>
      <c r="O12" s="82" t="s">
        <v>33</v>
      </c>
      <c r="P12" s="81" t="s">
        <v>34</v>
      </c>
      <c r="Q12" s="82" t="s">
        <v>35</v>
      </c>
      <c r="R12" s="81" t="s">
        <v>36</v>
      </c>
      <c r="S12" s="82" t="s">
        <v>37</v>
      </c>
      <c r="T12" s="48" t="s">
        <v>38</v>
      </c>
      <c r="U12" s="48" t="s">
        <v>39</v>
      </c>
      <c r="V12" s="49" t="s">
        <v>40</v>
      </c>
      <c r="W12" s="50" t="s">
        <v>41</v>
      </c>
      <c r="X12" s="51" t="s">
        <v>42</v>
      </c>
      <c r="Y12" s="332" t="s">
        <v>43</v>
      </c>
      <c r="AA12" s="69"/>
      <c r="WVC12"/>
      <c r="WVD12"/>
    </row>
    <row r="13" spans="1:40 16085:16124" ht="12" customHeight="1" x14ac:dyDescent="0.2">
      <c r="A13" s="1"/>
      <c r="B13" s="379">
        <v>46300</v>
      </c>
      <c r="C13" s="123">
        <f>C1</f>
        <v>2026101</v>
      </c>
      <c r="D13" s="123">
        <v>1</v>
      </c>
      <c r="E13" s="124" t="s">
        <v>44</v>
      </c>
      <c r="F13" s="125" t="s">
        <v>102</v>
      </c>
      <c r="G13" s="126">
        <v>12</v>
      </c>
      <c r="H13" s="127" t="s">
        <v>93</v>
      </c>
      <c r="I13" s="128">
        <v>230887267</v>
      </c>
      <c r="J13" s="10">
        <v>11</v>
      </c>
      <c r="K13" s="10">
        <v>3953890</v>
      </c>
      <c r="L13" s="10">
        <v>75</v>
      </c>
      <c r="M13" s="10">
        <v>11970170</v>
      </c>
      <c r="N13" s="10">
        <v>14</v>
      </c>
      <c r="O13" s="10">
        <v>1288530</v>
      </c>
      <c r="P13" s="10">
        <v>13</v>
      </c>
      <c r="Q13" s="10">
        <v>2480650</v>
      </c>
      <c r="R13" s="10">
        <v>10</v>
      </c>
      <c r="S13" s="10">
        <v>710910</v>
      </c>
      <c r="T13" s="247">
        <f t="shared" ref="T13:T15" si="3">J13+L13+N13+P13+R13</f>
        <v>123</v>
      </c>
      <c r="U13" s="247">
        <f t="shared" ref="U13:U15" si="4">K13+M13+O13+Q13+S13</f>
        <v>20404150</v>
      </c>
      <c r="V13" s="251">
        <v>123</v>
      </c>
      <c r="W13" s="251">
        <v>20404150</v>
      </c>
      <c r="X13" s="247">
        <f t="shared" ref="X13:X77" si="5">V13-T13</f>
        <v>0</v>
      </c>
      <c r="Y13" s="248">
        <f>W13-U13</f>
        <v>0</v>
      </c>
      <c r="Z13" s="1"/>
      <c r="AA13" s="69"/>
    </row>
    <row r="14" spans="1:40 16085:16124" ht="12" customHeight="1" x14ac:dyDescent="0.2">
      <c r="A14" s="1"/>
      <c r="B14" s="241">
        <v>46300</v>
      </c>
      <c r="C14" s="107">
        <f>C13</f>
        <v>2026101</v>
      </c>
      <c r="D14" s="107">
        <v>1</v>
      </c>
      <c r="E14" s="108" t="s">
        <v>44</v>
      </c>
      <c r="F14" s="109" t="s">
        <v>102</v>
      </c>
      <c r="G14" s="110">
        <v>13</v>
      </c>
      <c r="H14" s="111" t="s">
        <v>95</v>
      </c>
      <c r="I14" s="112">
        <v>230887267</v>
      </c>
      <c r="J14" s="9">
        <f>31+1+3</f>
        <v>35</v>
      </c>
      <c r="K14" s="9">
        <f>4539050+665450+1188253</f>
        <v>6392753</v>
      </c>
      <c r="L14" s="9">
        <f>71+1+1</f>
        <v>73</v>
      </c>
      <c r="M14" s="9">
        <f>12487600+3091500+4236270</f>
        <v>19815370</v>
      </c>
      <c r="N14" s="9">
        <f>35+1</f>
        <v>36</v>
      </c>
      <c r="O14" s="9">
        <f>5794800+4271590</f>
        <v>10066390</v>
      </c>
      <c r="P14" s="9">
        <f>1+42</f>
        <v>43</v>
      </c>
      <c r="Q14" s="9">
        <f>3325710+8159500</f>
        <v>11485210</v>
      </c>
      <c r="R14" s="9">
        <f>38+1</f>
        <v>39</v>
      </c>
      <c r="S14" s="9">
        <f>6377890+12894704</f>
        <v>19272594</v>
      </c>
      <c r="T14" s="249">
        <f t="shared" si="3"/>
        <v>226</v>
      </c>
      <c r="U14" s="249">
        <f t="shared" si="4"/>
        <v>67032317</v>
      </c>
      <c r="V14" s="251">
        <f>1+217+1+2+2+3</f>
        <v>226</v>
      </c>
      <c r="W14" s="251">
        <f>3325710+37358840+12894704+3756950+8507860+1188253</f>
        <v>67032317</v>
      </c>
      <c r="X14" s="249">
        <f t="shared" si="5"/>
        <v>0</v>
      </c>
      <c r="Y14" s="250">
        <f t="shared" ref="Y14:Y77" si="6">W14-U14</f>
        <v>0</v>
      </c>
      <c r="Z14" s="1"/>
      <c r="AA14" s="69"/>
    </row>
    <row r="15" spans="1:40 16085:16124" ht="12" customHeight="1" thickBot="1" x14ac:dyDescent="0.25">
      <c r="A15" s="1"/>
      <c r="B15" s="242">
        <v>46300</v>
      </c>
      <c r="C15" s="113">
        <f t="shared" ref="C15:C72" si="7">C14</f>
        <v>2026101</v>
      </c>
      <c r="D15" s="113">
        <v>1</v>
      </c>
      <c r="E15" s="114" t="s">
        <v>44</v>
      </c>
      <c r="F15" s="115" t="s">
        <v>102</v>
      </c>
      <c r="G15" s="116">
        <v>14</v>
      </c>
      <c r="H15" s="117" t="s">
        <v>97</v>
      </c>
      <c r="I15" s="118">
        <v>230887267</v>
      </c>
      <c r="J15" s="119">
        <v>24</v>
      </c>
      <c r="K15" s="119">
        <v>1502171</v>
      </c>
      <c r="L15" s="119">
        <v>81</v>
      </c>
      <c r="M15" s="119">
        <v>15968206</v>
      </c>
      <c r="N15" s="119">
        <v>8</v>
      </c>
      <c r="O15" s="119">
        <v>4333838</v>
      </c>
      <c r="P15" s="119">
        <v>81</v>
      </c>
      <c r="Q15" s="119">
        <v>19278432</v>
      </c>
      <c r="R15" s="119">
        <v>20</v>
      </c>
      <c r="S15" s="119">
        <v>2196485</v>
      </c>
      <c r="T15" s="251">
        <f t="shared" si="3"/>
        <v>214</v>
      </c>
      <c r="U15" s="251">
        <f t="shared" si="4"/>
        <v>43279132</v>
      </c>
      <c r="V15" s="251">
        <v>214</v>
      </c>
      <c r="W15" s="251">
        <v>43279132</v>
      </c>
      <c r="X15" s="249">
        <f t="shared" si="5"/>
        <v>0</v>
      </c>
      <c r="Y15" s="252">
        <f t="shared" si="6"/>
        <v>0</v>
      </c>
      <c r="Z15" s="1"/>
      <c r="AA15" s="69"/>
    </row>
    <row r="16" spans="1:40 16085:16124" s="45" customFormat="1" ht="12" customHeight="1" thickBot="1" x14ac:dyDescent="0.25">
      <c r="A16" s="3"/>
      <c r="B16" s="129"/>
      <c r="C16" s="130">
        <f t="shared" si="7"/>
        <v>2026101</v>
      </c>
      <c r="D16" s="131"/>
      <c r="E16" s="121"/>
      <c r="F16" s="122" t="s">
        <v>4</v>
      </c>
      <c r="G16" s="122"/>
      <c r="H16" s="122"/>
      <c r="I16" s="122"/>
      <c r="J16" s="122">
        <f>SUM(J13:J15)</f>
        <v>70</v>
      </c>
      <c r="K16" s="122">
        <f t="shared" ref="K16:T16" si="8">SUM(K13:K15)</f>
        <v>11848814</v>
      </c>
      <c r="L16" s="122">
        <f t="shared" si="8"/>
        <v>229</v>
      </c>
      <c r="M16" s="122">
        <f t="shared" si="8"/>
        <v>47753746</v>
      </c>
      <c r="N16" s="122">
        <f t="shared" si="8"/>
        <v>58</v>
      </c>
      <c r="O16" s="122">
        <f t="shared" si="8"/>
        <v>15688758</v>
      </c>
      <c r="P16" s="122">
        <f t="shared" si="8"/>
        <v>137</v>
      </c>
      <c r="Q16" s="122">
        <f t="shared" si="8"/>
        <v>33244292</v>
      </c>
      <c r="R16" s="122">
        <f t="shared" si="8"/>
        <v>69</v>
      </c>
      <c r="S16" s="122">
        <f t="shared" si="8"/>
        <v>22179989</v>
      </c>
      <c r="T16" s="122">
        <f t="shared" si="8"/>
        <v>563</v>
      </c>
      <c r="U16" s="122">
        <f>SUM(U13:U15)</f>
        <v>130715599</v>
      </c>
      <c r="V16" s="122">
        <f>SUM(V13:V15)</f>
        <v>563</v>
      </c>
      <c r="W16" s="122">
        <f>SUM(W13:W15)</f>
        <v>130715599</v>
      </c>
      <c r="X16" s="122">
        <f>SUM(X13:X15)</f>
        <v>0</v>
      </c>
      <c r="Y16" s="253">
        <f>SUM(Y13:Y15)</f>
        <v>0</v>
      </c>
      <c r="Z16" s="3"/>
      <c r="AA16" s="69"/>
    </row>
    <row r="17" spans="1:27" ht="12" customHeight="1" x14ac:dyDescent="0.2">
      <c r="A17" s="1"/>
      <c r="B17" s="379">
        <v>46300</v>
      </c>
      <c r="C17" s="123">
        <f t="shared" si="7"/>
        <v>2026101</v>
      </c>
      <c r="D17" s="123">
        <v>2</v>
      </c>
      <c r="E17" s="124" t="s">
        <v>44</v>
      </c>
      <c r="F17" s="125" t="s">
        <v>102</v>
      </c>
      <c r="G17" s="126">
        <v>12</v>
      </c>
      <c r="H17" s="127" t="s">
        <v>93</v>
      </c>
      <c r="I17" s="128">
        <v>230887267</v>
      </c>
      <c r="J17" s="10">
        <v>11</v>
      </c>
      <c r="K17" s="10">
        <v>1587980</v>
      </c>
      <c r="L17" s="10">
        <v>70</v>
      </c>
      <c r="M17" s="10">
        <v>10987880</v>
      </c>
      <c r="N17" s="10">
        <v>11</v>
      </c>
      <c r="O17" s="10">
        <v>1187530</v>
      </c>
      <c r="P17" s="10">
        <v>17</v>
      </c>
      <c r="Q17" s="10">
        <v>3853870</v>
      </c>
      <c r="R17" s="10">
        <v>14</v>
      </c>
      <c r="S17" s="10">
        <v>942900</v>
      </c>
      <c r="T17" s="247">
        <f t="shared" ref="T17:T19" si="9">J17+L17+N17+P17+R17</f>
        <v>123</v>
      </c>
      <c r="U17" s="247">
        <f t="shared" ref="U17:U19" si="10">K17+M17+O17+Q17+S17</f>
        <v>18560160</v>
      </c>
      <c r="V17" s="251">
        <v>123</v>
      </c>
      <c r="W17" s="251">
        <v>18560160</v>
      </c>
      <c r="X17" s="247">
        <f t="shared" si="5"/>
        <v>0</v>
      </c>
      <c r="Y17" s="248">
        <f t="shared" si="6"/>
        <v>0</v>
      </c>
      <c r="Z17" s="1"/>
      <c r="AA17" s="69"/>
    </row>
    <row r="18" spans="1:27" ht="12" customHeight="1" x14ac:dyDescent="0.2">
      <c r="A18" s="1"/>
      <c r="B18" s="241">
        <v>46300</v>
      </c>
      <c r="C18" s="107">
        <f t="shared" si="7"/>
        <v>2026101</v>
      </c>
      <c r="D18" s="107">
        <v>2</v>
      </c>
      <c r="E18" s="108" t="s">
        <v>44</v>
      </c>
      <c r="F18" s="109" t="s">
        <v>102</v>
      </c>
      <c r="G18" s="110">
        <v>13</v>
      </c>
      <c r="H18" s="111" t="s">
        <v>95</v>
      </c>
      <c r="I18" s="112">
        <v>230887267</v>
      </c>
      <c r="J18" s="9">
        <v>32</v>
      </c>
      <c r="K18" s="9">
        <v>4838300</v>
      </c>
      <c r="L18" s="9">
        <f>1+43</f>
        <v>44</v>
      </c>
      <c r="M18" s="9">
        <f>97699+58151410</f>
        <v>58249109</v>
      </c>
      <c r="N18" s="9">
        <v>37</v>
      </c>
      <c r="O18" s="9">
        <v>13439540</v>
      </c>
      <c r="P18" s="9">
        <v>30</v>
      </c>
      <c r="Q18" s="9">
        <v>5646770</v>
      </c>
      <c r="R18" s="9">
        <v>24</v>
      </c>
      <c r="S18" s="9">
        <v>5007810</v>
      </c>
      <c r="T18" s="249">
        <f t="shared" si="9"/>
        <v>167</v>
      </c>
      <c r="U18" s="249">
        <f t="shared" si="10"/>
        <v>87181529</v>
      </c>
      <c r="V18" s="251">
        <f>1+166</f>
        <v>167</v>
      </c>
      <c r="W18" s="251">
        <f>97699+87083830</f>
        <v>87181529</v>
      </c>
      <c r="X18" s="249">
        <f t="shared" si="5"/>
        <v>0</v>
      </c>
      <c r="Y18" s="250">
        <f t="shared" si="6"/>
        <v>0</v>
      </c>
      <c r="Z18" s="1"/>
      <c r="AA18" s="69"/>
    </row>
    <row r="19" spans="1:27" ht="12" customHeight="1" thickBot="1" x14ac:dyDescent="0.25">
      <c r="A19" s="1"/>
      <c r="B19" s="242">
        <v>46300</v>
      </c>
      <c r="C19" s="113">
        <f t="shared" si="7"/>
        <v>2026101</v>
      </c>
      <c r="D19" s="113">
        <v>2</v>
      </c>
      <c r="E19" s="114" t="s">
        <v>44</v>
      </c>
      <c r="F19" s="115" t="s">
        <v>102</v>
      </c>
      <c r="G19" s="116">
        <v>14</v>
      </c>
      <c r="H19" s="117" t="s">
        <v>97</v>
      </c>
      <c r="I19" s="118">
        <v>230887267</v>
      </c>
      <c r="J19" s="119">
        <v>13</v>
      </c>
      <c r="K19" s="119">
        <v>2352244</v>
      </c>
      <c r="L19" s="119">
        <v>92</v>
      </c>
      <c r="M19" s="119">
        <v>21980755</v>
      </c>
      <c r="N19" s="119">
        <v>4</v>
      </c>
      <c r="O19" s="119">
        <v>514146</v>
      </c>
      <c r="P19" s="119">
        <v>67</v>
      </c>
      <c r="Q19" s="119">
        <v>21244114</v>
      </c>
      <c r="R19" s="119">
        <v>17</v>
      </c>
      <c r="S19" s="119">
        <v>2057874</v>
      </c>
      <c r="T19" s="251">
        <f t="shared" si="9"/>
        <v>193</v>
      </c>
      <c r="U19" s="251">
        <f t="shared" si="10"/>
        <v>48149133</v>
      </c>
      <c r="V19" s="251">
        <v>193</v>
      </c>
      <c r="W19" s="251">
        <v>48149133</v>
      </c>
      <c r="X19" s="251">
        <f t="shared" si="5"/>
        <v>0</v>
      </c>
      <c r="Y19" s="252">
        <f t="shared" si="6"/>
        <v>0</v>
      </c>
      <c r="Z19" s="1"/>
      <c r="AA19" s="69"/>
    </row>
    <row r="20" spans="1:27" s="45" customFormat="1" ht="12" customHeight="1" thickBot="1" x14ac:dyDescent="0.25">
      <c r="A20" s="3"/>
      <c r="B20" s="129"/>
      <c r="C20" s="130">
        <f t="shared" si="7"/>
        <v>2026101</v>
      </c>
      <c r="D20" s="131"/>
      <c r="E20" s="121"/>
      <c r="F20" s="122" t="s">
        <v>4</v>
      </c>
      <c r="G20" s="122"/>
      <c r="H20" s="122"/>
      <c r="I20" s="122"/>
      <c r="J20" s="122">
        <f t="shared" ref="J20:Y20" si="11">SUM(J17:J19)</f>
        <v>56</v>
      </c>
      <c r="K20" s="122">
        <f>SUM(K17:K19)</f>
        <v>8778524</v>
      </c>
      <c r="L20" s="122">
        <f>SUM(L17:L19)</f>
        <v>206</v>
      </c>
      <c r="M20" s="122">
        <f>SUM(M17:M19)</f>
        <v>91217744</v>
      </c>
      <c r="N20" s="122">
        <f t="shared" si="11"/>
        <v>52</v>
      </c>
      <c r="O20" s="122">
        <f>SUM(O17:O19)</f>
        <v>15141216</v>
      </c>
      <c r="P20" s="122">
        <f t="shared" si="11"/>
        <v>114</v>
      </c>
      <c r="Q20" s="122">
        <f>SUM(Q17:Q19)</f>
        <v>30744754</v>
      </c>
      <c r="R20" s="122">
        <f t="shared" si="11"/>
        <v>55</v>
      </c>
      <c r="S20" s="122">
        <f>SUM(S17:S19)</f>
        <v>8008584</v>
      </c>
      <c r="T20" s="122">
        <f t="shared" si="11"/>
        <v>483</v>
      </c>
      <c r="U20" s="122">
        <f>SUM(U17:U19)</f>
        <v>153890822</v>
      </c>
      <c r="V20" s="122">
        <f t="shared" si="11"/>
        <v>483</v>
      </c>
      <c r="W20" s="122">
        <f t="shared" si="11"/>
        <v>153890822</v>
      </c>
      <c r="X20" s="122">
        <f t="shared" si="11"/>
        <v>0</v>
      </c>
      <c r="Y20" s="253">
        <f t="shared" si="11"/>
        <v>0</v>
      </c>
      <c r="Z20" s="3"/>
      <c r="AA20" s="69"/>
    </row>
    <row r="21" spans="1:27" ht="12" customHeight="1" x14ac:dyDescent="0.2">
      <c r="A21" s="1"/>
      <c r="B21" s="379">
        <v>46300</v>
      </c>
      <c r="C21" s="123">
        <f t="shared" si="7"/>
        <v>2026101</v>
      </c>
      <c r="D21" s="123">
        <v>3</v>
      </c>
      <c r="E21" s="124" t="s">
        <v>44</v>
      </c>
      <c r="F21" s="125" t="s">
        <v>102</v>
      </c>
      <c r="G21" s="126">
        <v>12</v>
      </c>
      <c r="H21" s="127" t="s">
        <v>93</v>
      </c>
      <c r="I21" s="128">
        <v>230887267</v>
      </c>
      <c r="J21" s="10">
        <v>2</v>
      </c>
      <c r="K21" s="10">
        <v>64240</v>
      </c>
      <c r="L21" s="10">
        <v>28</v>
      </c>
      <c r="M21" s="10">
        <v>3565580</v>
      </c>
      <c r="N21" s="10">
        <v>1</v>
      </c>
      <c r="O21" s="10">
        <v>450</v>
      </c>
      <c r="P21" s="10">
        <v>4</v>
      </c>
      <c r="Q21" s="10">
        <v>717380</v>
      </c>
      <c r="R21" s="10">
        <v>4</v>
      </c>
      <c r="S21" s="10">
        <v>196690</v>
      </c>
      <c r="T21" s="247">
        <f t="shared" ref="T21:T23" si="12">J21+L21+N21+P21+R21</f>
        <v>39</v>
      </c>
      <c r="U21" s="247">
        <f t="shared" ref="U21:U23" si="13">K21+M21+O21+Q21+S21</f>
        <v>4544340</v>
      </c>
      <c r="V21" s="251">
        <v>39</v>
      </c>
      <c r="W21" s="251">
        <v>4544340</v>
      </c>
      <c r="X21" s="247">
        <f t="shared" si="5"/>
        <v>0</v>
      </c>
      <c r="Y21" s="248">
        <f t="shared" si="6"/>
        <v>0</v>
      </c>
      <c r="Z21" s="1"/>
      <c r="AA21" s="69"/>
    </row>
    <row r="22" spans="1:27" ht="12" customHeight="1" x14ac:dyDescent="0.2">
      <c r="A22" s="1"/>
      <c r="B22" s="241">
        <v>46300</v>
      </c>
      <c r="C22" s="107">
        <f t="shared" si="7"/>
        <v>2026101</v>
      </c>
      <c r="D22" s="107">
        <v>3</v>
      </c>
      <c r="E22" s="108" t="s">
        <v>44</v>
      </c>
      <c r="F22" s="109" t="s">
        <v>102</v>
      </c>
      <c r="G22" s="110">
        <v>13</v>
      </c>
      <c r="H22" s="111" t="s">
        <v>95</v>
      </c>
      <c r="I22" s="112">
        <v>230887267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249">
        <f t="shared" si="12"/>
        <v>0</v>
      </c>
      <c r="U22" s="249">
        <f t="shared" si="13"/>
        <v>0</v>
      </c>
      <c r="V22" s="251">
        <v>0</v>
      </c>
      <c r="W22" s="251">
        <v>0</v>
      </c>
      <c r="X22" s="249">
        <f t="shared" si="5"/>
        <v>0</v>
      </c>
      <c r="Y22" s="250">
        <f t="shared" si="6"/>
        <v>0</v>
      </c>
      <c r="Z22" s="1"/>
      <c r="AA22" s="69"/>
    </row>
    <row r="23" spans="1:27" ht="12" customHeight="1" thickBot="1" x14ac:dyDescent="0.25">
      <c r="A23" s="1"/>
      <c r="B23" s="242">
        <v>46300</v>
      </c>
      <c r="C23" s="113">
        <f t="shared" si="7"/>
        <v>2026101</v>
      </c>
      <c r="D23" s="113">
        <v>3</v>
      </c>
      <c r="E23" s="114" t="s">
        <v>44</v>
      </c>
      <c r="F23" s="115" t="s">
        <v>102</v>
      </c>
      <c r="G23" s="116">
        <v>14</v>
      </c>
      <c r="H23" s="117" t="s">
        <v>97</v>
      </c>
      <c r="I23" s="118">
        <v>230887267</v>
      </c>
      <c r="J23" s="119">
        <v>0</v>
      </c>
      <c r="K23" s="119">
        <v>0</v>
      </c>
      <c r="L23" s="119">
        <v>0</v>
      </c>
      <c r="M23" s="119">
        <v>0</v>
      </c>
      <c r="N23" s="119">
        <v>0</v>
      </c>
      <c r="O23" s="119">
        <v>0</v>
      </c>
      <c r="P23" s="119">
        <v>0</v>
      </c>
      <c r="Q23" s="119">
        <v>0</v>
      </c>
      <c r="R23" s="119">
        <v>0</v>
      </c>
      <c r="S23" s="119">
        <v>0</v>
      </c>
      <c r="T23" s="251">
        <f t="shared" si="12"/>
        <v>0</v>
      </c>
      <c r="U23" s="251">
        <f t="shared" si="13"/>
        <v>0</v>
      </c>
      <c r="V23" s="251">
        <v>0</v>
      </c>
      <c r="W23" s="251">
        <v>0</v>
      </c>
      <c r="X23" s="251">
        <f t="shared" si="5"/>
        <v>0</v>
      </c>
      <c r="Y23" s="252">
        <f t="shared" si="6"/>
        <v>0</v>
      </c>
      <c r="Z23" s="1"/>
      <c r="AA23" s="69"/>
    </row>
    <row r="24" spans="1:27" s="45" customFormat="1" ht="12" customHeight="1" thickBot="1" x14ac:dyDescent="0.25">
      <c r="A24" s="3"/>
      <c r="B24" s="129"/>
      <c r="C24" s="130">
        <f t="shared" si="7"/>
        <v>2026101</v>
      </c>
      <c r="D24" s="131"/>
      <c r="E24" s="121"/>
      <c r="F24" s="122" t="s">
        <v>4</v>
      </c>
      <c r="G24" s="122"/>
      <c r="H24" s="122"/>
      <c r="I24" s="122"/>
      <c r="J24" s="122">
        <f t="shared" ref="J24:Y24" si="14">SUM(J21:J23)</f>
        <v>2</v>
      </c>
      <c r="K24" s="122">
        <f t="shared" si="14"/>
        <v>64240</v>
      </c>
      <c r="L24" s="122">
        <f t="shared" si="14"/>
        <v>28</v>
      </c>
      <c r="M24" s="122">
        <f t="shared" si="14"/>
        <v>3565580</v>
      </c>
      <c r="N24" s="122">
        <f t="shared" si="14"/>
        <v>1</v>
      </c>
      <c r="O24" s="122">
        <f t="shared" si="14"/>
        <v>450</v>
      </c>
      <c r="P24" s="122">
        <f t="shared" si="14"/>
        <v>4</v>
      </c>
      <c r="Q24" s="122">
        <f>SUM(Q21:Q23)</f>
        <v>717380</v>
      </c>
      <c r="R24" s="122">
        <f t="shared" si="14"/>
        <v>4</v>
      </c>
      <c r="S24" s="122">
        <f>SUM(S21:S23)</f>
        <v>196690</v>
      </c>
      <c r="T24" s="122">
        <f t="shared" si="14"/>
        <v>39</v>
      </c>
      <c r="U24" s="122">
        <f>SUM(U21:U23)</f>
        <v>4544340</v>
      </c>
      <c r="V24" s="122">
        <f t="shared" si="14"/>
        <v>39</v>
      </c>
      <c r="W24" s="122">
        <f t="shared" si="14"/>
        <v>4544340</v>
      </c>
      <c r="X24" s="122">
        <f t="shared" si="14"/>
        <v>0</v>
      </c>
      <c r="Y24" s="253">
        <f t="shared" si="14"/>
        <v>0</v>
      </c>
      <c r="Z24" s="3"/>
      <c r="AA24" s="69"/>
    </row>
    <row r="25" spans="1:27" ht="12" customHeight="1" x14ac:dyDescent="0.2">
      <c r="A25" s="1"/>
      <c r="B25" s="379">
        <v>46300</v>
      </c>
      <c r="C25" s="123">
        <f t="shared" si="7"/>
        <v>2026101</v>
      </c>
      <c r="D25" s="123">
        <v>4</v>
      </c>
      <c r="E25" s="124" t="s">
        <v>44</v>
      </c>
      <c r="F25" s="125" t="s">
        <v>102</v>
      </c>
      <c r="G25" s="126">
        <v>12</v>
      </c>
      <c r="H25" s="127" t="s">
        <v>93</v>
      </c>
      <c r="I25" s="128">
        <v>230887267</v>
      </c>
      <c r="J25" s="10">
        <v>0</v>
      </c>
      <c r="K25" s="10">
        <v>0</v>
      </c>
      <c r="L25" s="10">
        <v>10</v>
      </c>
      <c r="M25" s="10">
        <v>1370460</v>
      </c>
      <c r="N25" s="10">
        <v>0</v>
      </c>
      <c r="O25" s="10">
        <v>0</v>
      </c>
      <c r="P25" s="10">
        <v>1</v>
      </c>
      <c r="Q25" s="10">
        <v>44440</v>
      </c>
      <c r="R25" s="10">
        <v>2</v>
      </c>
      <c r="S25" s="10">
        <v>91520</v>
      </c>
      <c r="T25" s="247">
        <f t="shared" ref="T25:T27" si="15">J25+L25+N25+P25+R25</f>
        <v>13</v>
      </c>
      <c r="U25" s="247">
        <f t="shared" ref="U25:U27" si="16">K25+M25+O25+Q25+S25</f>
        <v>1506420</v>
      </c>
      <c r="V25" s="251">
        <v>13</v>
      </c>
      <c r="W25" s="251">
        <v>1506420</v>
      </c>
      <c r="X25" s="247">
        <f t="shared" si="5"/>
        <v>0</v>
      </c>
      <c r="Y25" s="248">
        <f t="shared" si="6"/>
        <v>0</v>
      </c>
      <c r="Z25" s="1"/>
      <c r="AA25" s="69"/>
    </row>
    <row r="26" spans="1:27" ht="12" customHeight="1" x14ac:dyDescent="0.2">
      <c r="A26" s="1"/>
      <c r="B26" s="241">
        <v>46300</v>
      </c>
      <c r="C26" s="107">
        <f t="shared" si="7"/>
        <v>2026101</v>
      </c>
      <c r="D26" s="107">
        <v>4</v>
      </c>
      <c r="E26" s="108" t="s">
        <v>44</v>
      </c>
      <c r="F26" s="109" t="s">
        <v>102</v>
      </c>
      <c r="G26" s="110">
        <v>13</v>
      </c>
      <c r="H26" s="111" t="s">
        <v>95</v>
      </c>
      <c r="I26" s="112">
        <v>230887267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251">
        <f t="shared" ref="T26" si="17">J26+L26+N26+P26+R26</f>
        <v>0</v>
      </c>
      <c r="U26" s="251">
        <f t="shared" ref="U26" si="18">K26+M26+O26+Q26+S26</f>
        <v>0</v>
      </c>
      <c r="V26" s="251">
        <v>0</v>
      </c>
      <c r="W26" s="251">
        <v>0</v>
      </c>
      <c r="X26" s="249">
        <f t="shared" si="5"/>
        <v>0</v>
      </c>
      <c r="Y26" s="250">
        <f t="shared" si="6"/>
        <v>0</v>
      </c>
      <c r="Z26" s="1"/>
      <c r="AA26" s="69"/>
    </row>
    <row r="27" spans="1:27" ht="12" customHeight="1" thickBot="1" x14ac:dyDescent="0.25">
      <c r="A27" s="1"/>
      <c r="B27" s="242">
        <v>46300</v>
      </c>
      <c r="C27" s="113">
        <f t="shared" si="7"/>
        <v>2026101</v>
      </c>
      <c r="D27" s="113">
        <v>4</v>
      </c>
      <c r="E27" s="114" t="s">
        <v>44</v>
      </c>
      <c r="F27" s="115" t="s">
        <v>102</v>
      </c>
      <c r="G27" s="116">
        <v>14</v>
      </c>
      <c r="H27" s="117" t="s">
        <v>97</v>
      </c>
      <c r="I27" s="118">
        <v>230887267</v>
      </c>
      <c r="J27" s="119">
        <v>0</v>
      </c>
      <c r="K27" s="119">
        <v>0</v>
      </c>
      <c r="L27" s="119">
        <v>0</v>
      </c>
      <c r="M27" s="119">
        <v>0</v>
      </c>
      <c r="N27" s="119">
        <v>0</v>
      </c>
      <c r="O27" s="119">
        <v>0</v>
      </c>
      <c r="P27" s="119">
        <v>0</v>
      </c>
      <c r="Q27" s="119">
        <v>0</v>
      </c>
      <c r="R27" s="119">
        <v>0</v>
      </c>
      <c r="S27" s="119">
        <v>0</v>
      </c>
      <c r="T27" s="251">
        <f t="shared" si="15"/>
        <v>0</v>
      </c>
      <c r="U27" s="251">
        <f t="shared" si="16"/>
        <v>0</v>
      </c>
      <c r="V27" s="251">
        <v>0</v>
      </c>
      <c r="W27" s="251">
        <v>0</v>
      </c>
      <c r="X27" s="251">
        <f t="shared" si="5"/>
        <v>0</v>
      </c>
      <c r="Y27" s="252">
        <f t="shared" si="6"/>
        <v>0</v>
      </c>
      <c r="Z27" s="1"/>
      <c r="AA27" s="69"/>
    </row>
    <row r="28" spans="1:27" s="45" customFormat="1" ht="12" customHeight="1" thickBot="1" x14ac:dyDescent="0.25">
      <c r="A28" s="3"/>
      <c r="B28" s="129"/>
      <c r="C28" s="130">
        <f t="shared" si="7"/>
        <v>2026101</v>
      </c>
      <c r="D28" s="131"/>
      <c r="E28" s="121"/>
      <c r="F28" s="122" t="s">
        <v>4</v>
      </c>
      <c r="G28" s="122"/>
      <c r="H28" s="122"/>
      <c r="I28" s="122"/>
      <c r="J28" s="122">
        <f>SUM(J25:J27)</f>
        <v>0</v>
      </c>
      <c r="K28" s="122">
        <f t="shared" ref="K28:Y28" si="19">SUM(K25:K27)</f>
        <v>0</v>
      </c>
      <c r="L28" s="122">
        <f t="shared" si="19"/>
        <v>10</v>
      </c>
      <c r="M28" s="122">
        <f>SUM(M25:M27)</f>
        <v>1370460</v>
      </c>
      <c r="N28" s="122">
        <f t="shared" si="19"/>
        <v>0</v>
      </c>
      <c r="O28" s="122">
        <f t="shared" si="19"/>
        <v>0</v>
      </c>
      <c r="P28" s="122">
        <f t="shared" si="19"/>
        <v>1</v>
      </c>
      <c r="Q28" s="122">
        <f>SUM(Q25:Q27)</f>
        <v>44440</v>
      </c>
      <c r="R28" s="122">
        <f t="shared" si="19"/>
        <v>2</v>
      </c>
      <c r="S28" s="122">
        <f t="shared" si="19"/>
        <v>91520</v>
      </c>
      <c r="T28" s="122">
        <f t="shared" si="19"/>
        <v>13</v>
      </c>
      <c r="U28" s="122">
        <f>SUM(U25:U27)</f>
        <v>1506420</v>
      </c>
      <c r="V28" s="122">
        <f t="shared" si="19"/>
        <v>13</v>
      </c>
      <c r="W28" s="122">
        <f t="shared" si="19"/>
        <v>1506420</v>
      </c>
      <c r="X28" s="122">
        <f t="shared" si="19"/>
        <v>0</v>
      </c>
      <c r="Y28" s="253">
        <f t="shared" si="19"/>
        <v>0</v>
      </c>
      <c r="Z28" s="3"/>
      <c r="AA28" s="69"/>
    </row>
    <row r="29" spans="1:27" ht="12" customHeight="1" x14ac:dyDescent="0.2">
      <c r="A29" s="1"/>
      <c r="B29" s="379">
        <v>46301</v>
      </c>
      <c r="C29" s="123">
        <f t="shared" si="7"/>
        <v>2026101</v>
      </c>
      <c r="D29" s="123">
        <v>5</v>
      </c>
      <c r="E29" s="124" t="s">
        <v>44</v>
      </c>
      <c r="F29" s="125" t="s">
        <v>102</v>
      </c>
      <c r="G29" s="126">
        <v>12</v>
      </c>
      <c r="H29" s="127" t="s">
        <v>93</v>
      </c>
      <c r="I29" s="128">
        <v>230887267</v>
      </c>
      <c r="J29" s="10">
        <v>17</v>
      </c>
      <c r="K29" s="10">
        <v>1014150</v>
      </c>
      <c r="L29" s="10">
        <v>79</v>
      </c>
      <c r="M29" s="10">
        <v>10791500</v>
      </c>
      <c r="N29" s="10">
        <v>17</v>
      </c>
      <c r="O29" s="10">
        <v>1491490</v>
      </c>
      <c r="P29" s="10">
        <v>35</v>
      </c>
      <c r="Q29" s="10">
        <v>4096710</v>
      </c>
      <c r="R29" s="10">
        <v>13</v>
      </c>
      <c r="S29" s="10">
        <v>1473610</v>
      </c>
      <c r="T29" s="247">
        <f t="shared" ref="T29:T31" si="20">J29+L29+N29+P29+R29</f>
        <v>161</v>
      </c>
      <c r="U29" s="247">
        <f t="shared" ref="U29:U31" si="21">K29+M29+O29+Q29+S29</f>
        <v>18867460</v>
      </c>
      <c r="V29" s="251">
        <v>161</v>
      </c>
      <c r="W29" s="251">
        <v>18867460</v>
      </c>
      <c r="X29" s="334">
        <f t="shared" si="5"/>
        <v>0</v>
      </c>
      <c r="Y29" s="248">
        <f t="shared" si="6"/>
        <v>0</v>
      </c>
      <c r="Z29" s="1"/>
      <c r="AA29" s="69"/>
    </row>
    <row r="30" spans="1:27" ht="12" customHeight="1" x14ac:dyDescent="0.2">
      <c r="A30" s="1"/>
      <c r="B30" s="241">
        <v>46301</v>
      </c>
      <c r="C30" s="107">
        <f t="shared" si="7"/>
        <v>2026101</v>
      </c>
      <c r="D30" s="107">
        <v>5</v>
      </c>
      <c r="E30" s="108" t="s">
        <v>44</v>
      </c>
      <c r="F30" s="109" t="s">
        <v>102</v>
      </c>
      <c r="G30" s="110">
        <v>13</v>
      </c>
      <c r="H30" s="111" t="s">
        <v>95</v>
      </c>
      <c r="I30" s="112">
        <v>230887267</v>
      </c>
      <c r="J30" s="9">
        <f>50+4+34+11+6</f>
        <v>105</v>
      </c>
      <c r="K30" s="9">
        <f>16983680+3889590+2384060+832870+3316220</f>
        <v>27406420</v>
      </c>
      <c r="L30" s="9">
        <f>162+1+56</f>
        <v>219</v>
      </c>
      <c r="M30" s="9">
        <f>23025940+271290+6119300</f>
        <v>29416530</v>
      </c>
      <c r="N30" s="9">
        <f>71+1+11+1</f>
        <v>84</v>
      </c>
      <c r="O30" s="9">
        <f>18376790+52530+2186960+54370</f>
        <v>20670650</v>
      </c>
      <c r="P30" s="9">
        <f>4+63+51</f>
        <v>118</v>
      </c>
      <c r="Q30" s="9">
        <f>1435105+11376740+4692620</f>
        <v>17504465</v>
      </c>
      <c r="R30" s="9">
        <f>44+13</f>
        <v>57</v>
      </c>
      <c r="S30" s="9">
        <f>3736930+1052647</f>
        <v>4789577</v>
      </c>
      <c r="T30" s="249">
        <f t="shared" si="20"/>
        <v>583</v>
      </c>
      <c r="U30" s="249">
        <f t="shared" si="21"/>
        <v>99787642</v>
      </c>
      <c r="V30" s="251">
        <f>4+390+6+165+12+6</f>
        <v>583</v>
      </c>
      <c r="W30" s="251">
        <f>1435105+73500080+4213410+16435587+887240+3316220</f>
        <v>99787642</v>
      </c>
      <c r="X30" s="249">
        <f t="shared" si="5"/>
        <v>0</v>
      </c>
      <c r="Y30" s="250">
        <f t="shared" si="6"/>
        <v>0</v>
      </c>
      <c r="Z30" s="1"/>
      <c r="AA30" s="69"/>
    </row>
    <row r="31" spans="1:27" ht="12" customHeight="1" thickBot="1" x14ac:dyDescent="0.25">
      <c r="A31" s="1"/>
      <c r="B31" s="242">
        <v>46301</v>
      </c>
      <c r="C31" s="113">
        <f t="shared" si="7"/>
        <v>2026101</v>
      </c>
      <c r="D31" s="113">
        <v>5</v>
      </c>
      <c r="E31" s="114" t="s">
        <v>44</v>
      </c>
      <c r="F31" s="115" t="s">
        <v>102</v>
      </c>
      <c r="G31" s="116">
        <v>14</v>
      </c>
      <c r="H31" s="117" t="s">
        <v>97</v>
      </c>
      <c r="I31" s="118">
        <v>230887267</v>
      </c>
      <c r="J31" s="119">
        <v>33</v>
      </c>
      <c r="K31" s="119">
        <v>1556364</v>
      </c>
      <c r="L31" s="119">
        <v>86</v>
      </c>
      <c r="M31" s="119">
        <v>15092480</v>
      </c>
      <c r="N31" s="119">
        <v>10</v>
      </c>
      <c r="O31" s="119">
        <v>3121121</v>
      </c>
      <c r="P31" s="119">
        <v>93</v>
      </c>
      <c r="Q31" s="119">
        <v>16103935</v>
      </c>
      <c r="R31" s="119">
        <v>13</v>
      </c>
      <c r="S31" s="119">
        <v>1933478</v>
      </c>
      <c r="T31" s="251">
        <f t="shared" si="20"/>
        <v>235</v>
      </c>
      <c r="U31" s="251">
        <f t="shared" si="21"/>
        <v>37807378</v>
      </c>
      <c r="V31" s="251">
        <v>235</v>
      </c>
      <c r="W31" s="251">
        <v>37807378</v>
      </c>
      <c r="X31" s="334">
        <f>V31-T31</f>
        <v>0</v>
      </c>
      <c r="Y31" s="252">
        <f t="shared" si="6"/>
        <v>0</v>
      </c>
      <c r="Z31" s="1"/>
      <c r="AA31" s="69"/>
    </row>
    <row r="32" spans="1:27" s="45" customFormat="1" ht="12" customHeight="1" thickBot="1" x14ac:dyDescent="0.25">
      <c r="A32" s="3"/>
      <c r="B32" s="379"/>
      <c r="C32" s="130">
        <f t="shared" si="7"/>
        <v>2026101</v>
      </c>
      <c r="D32" s="131"/>
      <c r="E32" s="121"/>
      <c r="F32" s="122" t="s">
        <v>4</v>
      </c>
      <c r="G32" s="122"/>
      <c r="H32" s="122"/>
      <c r="I32" s="122"/>
      <c r="J32" s="122">
        <f t="shared" ref="J32:Y32" si="22">SUM(J29:J31)</f>
        <v>155</v>
      </c>
      <c r="K32" s="122">
        <f t="shared" si="22"/>
        <v>29976934</v>
      </c>
      <c r="L32" s="122">
        <f t="shared" si="22"/>
        <v>384</v>
      </c>
      <c r="M32" s="122">
        <f t="shared" si="22"/>
        <v>55300510</v>
      </c>
      <c r="N32" s="122">
        <f t="shared" si="22"/>
        <v>111</v>
      </c>
      <c r="O32" s="122">
        <f t="shared" si="22"/>
        <v>25283261</v>
      </c>
      <c r="P32" s="122">
        <f t="shared" si="22"/>
        <v>246</v>
      </c>
      <c r="Q32" s="122">
        <f t="shared" si="22"/>
        <v>37705110</v>
      </c>
      <c r="R32" s="122">
        <f t="shared" si="22"/>
        <v>83</v>
      </c>
      <c r="S32" s="122">
        <f t="shared" si="22"/>
        <v>8196665</v>
      </c>
      <c r="T32" s="122">
        <f t="shared" si="22"/>
        <v>979</v>
      </c>
      <c r="U32" s="122">
        <f t="shared" si="22"/>
        <v>156462480</v>
      </c>
      <c r="V32" s="122">
        <f t="shared" si="22"/>
        <v>979</v>
      </c>
      <c r="W32" s="122">
        <f t="shared" si="22"/>
        <v>156462480</v>
      </c>
      <c r="X32" s="122">
        <f t="shared" si="22"/>
        <v>0</v>
      </c>
      <c r="Y32" s="253">
        <f t="shared" si="22"/>
        <v>0</v>
      </c>
      <c r="Z32" s="3"/>
      <c r="AA32" s="69"/>
    </row>
    <row r="33" spans="1:27" ht="12" customHeight="1" x14ac:dyDescent="0.2">
      <c r="A33" s="1"/>
      <c r="B33" s="379">
        <v>46302</v>
      </c>
      <c r="C33" s="123">
        <f t="shared" si="7"/>
        <v>2026101</v>
      </c>
      <c r="D33" s="123">
        <v>6</v>
      </c>
      <c r="E33" s="124" t="s">
        <v>44</v>
      </c>
      <c r="F33" s="125" t="s">
        <v>102</v>
      </c>
      <c r="G33" s="126">
        <v>12</v>
      </c>
      <c r="H33" s="127" t="s">
        <v>93</v>
      </c>
      <c r="I33" s="128">
        <v>230887267</v>
      </c>
      <c r="J33" s="10">
        <v>13</v>
      </c>
      <c r="K33" s="10">
        <v>705990</v>
      </c>
      <c r="L33" s="10">
        <v>93</v>
      </c>
      <c r="M33" s="10">
        <v>11166610</v>
      </c>
      <c r="N33" s="10">
        <v>3</v>
      </c>
      <c r="O33" s="10">
        <v>184060</v>
      </c>
      <c r="P33" s="10">
        <v>53</v>
      </c>
      <c r="Q33" s="10">
        <v>5784650</v>
      </c>
      <c r="R33" s="10">
        <v>21</v>
      </c>
      <c r="S33" s="10">
        <v>1697180</v>
      </c>
      <c r="T33" s="247">
        <f t="shared" ref="T33:T35" si="23">J33+L33+N33+P33+R33</f>
        <v>183</v>
      </c>
      <c r="U33" s="247">
        <f t="shared" ref="U33:U35" si="24">K33+M33+O33+Q33+S33</f>
        <v>19538490</v>
      </c>
      <c r="V33" s="251">
        <v>183</v>
      </c>
      <c r="W33" s="251">
        <v>19538490</v>
      </c>
      <c r="X33" s="334">
        <f t="shared" si="5"/>
        <v>0</v>
      </c>
      <c r="Y33" s="335">
        <f t="shared" si="6"/>
        <v>0</v>
      </c>
      <c r="Z33" s="1"/>
      <c r="AA33" s="69"/>
    </row>
    <row r="34" spans="1:27" ht="12" customHeight="1" x14ac:dyDescent="0.2">
      <c r="A34" s="1"/>
      <c r="B34" s="241">
        <v>46302</v>
      </c>
      <c r="C34" s="107">
        <f t="shared" si="7"/>
        <v>2026101</v>
      </c>
      <c r="D34" s="107">
        <v>6</v>
      </c>
      <c r="E34" s="108" t="s">
        <v>44</v>
      </c>
      <c r="F34" s="109" t="s">
        <v>102</v>
      </c>
      <c r="G34" s="110">
        <v>13</v>
      </c>
      <c r="H34" s="111" t="s">
        <v>95</v>
      </c>
      <c r="I34" s="112">
        <v>230887267</v>
      </c>
      <c r="J34" s="9">
        <f>28+9+1</f>
        <v>38</v>
      </c>
      <c r="K34" s="9">
        <f>5187960+7606934+1853670</f>
        <v>14648564</v>
      </c>
      <c r="L34" s="9">
        <f>2+99+2+3</f>
        <v>106</v>
      </c>
      <c r="M34" s="9">
        <f>357220+41098350+202696+2012670</f>
        <v>43670936</v>
      </c>
      <c r="N34" s="9">
        <f>1+51</f>
        <v>52</v>
      </c>
      <c r="O34" s="9">
        <f>78110+33518440</f>
        <v>33596550</v>
      </c>
      <c r="P34" s="9">
        <f>1+60+2</f>
        <v>63</v>
      </c>
      <c r="Q34" s="9">
        <f>83780+6503720+259560</f>
        <v>6847060</v>
      </c>
      <c r="R34" s="9">
        <f>24+1</f>
        <v>25</v>
      </c>
      <c r="S34" s="9">
        <f>2851060+1575710</f>
        <v>4426770</v>
      </c>
      <c r="T34" s="249">
        <f t="shared" si="23"/>
        <v>284</v>
      </c>
      <c r="U34" s="249">
        <f t="shared" si="24"/>
        <v>103189880</v>
      </c>
      <c r="V34" s="251">
        <f>262+4+13+2+3</f>
        <v>284</v>
      </c>
      <c r="W34" s="251">
        <f>89159530+519110+8069190+3429380+2012670</f>
        <v>103189880</v>
      </c>
      <c r="X34" s="249">
        <f t="shared" si="5"/>
        <v>0</v>
      </c>
      <c r="Y34" s="333">
        <f t="shared" si="6"/>
        <v>0</v>
      </c>
      <c r="Z34" s="1"/>
      <c r="AA34" s="69"/>
    </row>
    <row r="35" spans="1:27" ht="12" customHeight="1" thickBot="1" x14ac:dyDescent="0.25">
      <c r="A35" s="1"/>
      <c r="B35" s="242">
        <v>46302</v>
      </c>
      <c r="C35" s="113">
        <f t="shared" si="7"/>
        <v>2026101</v>
      </c>
      <c r="D35" s="113">
        <v>6</v>
      </c>
      <c r="E35" s="114" t="s">
        <v>44</v>
      </c>
      <c r="F35" s="115" t="s">
        <v>102</v>
      </c>
      <c r="G35" s="116">
        <v>14</v>
      </c>
      <c r="H35" s="117" t="s">
        <v>97</v>
      </c>
      <c r="I35" s="118">
        <v>230887267</v>
      </c>
      <c r="J35" s="119">
        <v>107</v>
      </c>
      <c r="K35" s="119">
        <v>13139374</v>
      </c>
      <c r="L35" s="119">
        <v>92</v>
      </c>
      <c r="M35" s="119">
        <v>18961450</v>
      </c>
      <c r="N35" s="119">
        <v>22</v>
      </c>
      <c r="O35" s="119">
        <v>6080728</v>
      </c>
      <c r="P35" s="119">
        <v>97</v>
      </c>
      <c r="Q35" s="119">
        <v>43569768</v>
      </c>
      <c r="R35" s="119">
        <v>48</v>
      </c>
      <c r="S35" s="119">
        <v>2644290</v>
      </c>
      <c r="T35" s="251">
        <f t="shared" si="23"/>
        <v>366</v>
      </c>
      <c r="U35" s="249">
        <f t="shared" si="24"/>
        <v>84395610</v>
      </c>
      <c r="V35" s="251">
        <v>366</v>
      </c>
      <c r="W35" s="251">
        <v>84395610</v>
      </c>
      <c r="X35" s="334">
        <f t="shared" si="5"/>
        <v>0</v>
      </c>
      <c r="Y35" s="252">
        <f t="shared" si="6"/>
        <v>0</v>
      </c>
      <c r="Z35" s="1"/>
      <c r="AA35" s="69"/>
    </row>
    <row r="36" spans="1:27" s="45" customFormat="1" ht="12" customHeight="1" thickBot="1" x14ac:dyDescent="0.25">
      <c r="A36" s="3"/>
      <c r="B36" s="129"/>
      <c r="C36" s="130">
        <f t="shared" si="7"/>
        <v>2026101</v>
      </c>
      <c r="D36" s="131"/>
      <c r="E36" s="121"/>
      <c r="F36" s="122" t="s">
        <v>4</v>
      </c>
      <c r="G36" s="122"/>
      <c r="H36" s="122"/>
      <c r="I36" s="122"/>
      <c r="J36" s="122">
        <f t="shared" ref="J36:Y36" si="25">SUM(J33:J35)</f>
        <v>158</v>
      </c>
      <c r="K36" s="122">
        <f t="shared" si="25"/>
        <v>28493928</v>
      </c>
      <c r="L36" s="122">
        <f t="shared" si="25"/>
        <v>291</v>
      </c>
      <c r="M36" s="122">
        <f t="shared" si="25"/>
        <v>73798996</v>
      </c>
      <c r="N36" s="122">
        <f t="shared" si="25"/>
        <v>77</v>
      </c>
      <c r="O36" s="122">
        <f t="shared" si="25"/>
        <v>39861338</v>
      </c>
      <c r="P36" s="122">
        <f t="shared" si="25"/>
        <v>213</v>
      </c>
      <c r="Q36" s="122">
        <f t="shared" si="25"/>
        <v>56201478</v>
      </c>
      <c r="R36" s="122">
        <f t="shared" si="25"/>
        <v>94</v>
      </c>
      <c r="S36" s="122">
        <f t="shared" si="25"/>
        <v>8768240</v>
      </c>
      <c r="T36" s="382">
        <f t="shared" si="25"/>
        <v>833</v>
      </c>
      <c r="U36" s="382">
        <f t="shared" si="25"/>
        <v>207123980</v>
      </c>
      <c r="V36" s="122">
        <f t="shared" si="25"/>
        <v>833</v>
      </c>
      <c r="W36" s="122">
        <f t="shared" si="25"/>
        <v>207123980</v>
      </c>
      <c r="X36" s="122">
        <f t="shared" si="25"/>
        <v>0</v>
      </c>
      <c r="Y36" s="253">
        <f t="shared" si="25"/>
        <v>0</v>
      </c>
      <c r="Z36" s="3"/>
      <c r="AA36" s="69"/>
    </row>
    <row r="37" spans="1:27" ht="12" customHeight="1" x14ac:dyDescent="0.2">
      <c r="A37" s="1"/>
      <c r="B37" s="379">
        <v>46303</v>
      </c>
      <c r="C37" s="123">
        <f t="shared" si="7"/>
        <v>2026101</v>
      </c>
      <c r="D37" s="123">
        <v>7</v>
      </c>
      <c r="E37" s="124" t="s">
        <v>44</v>
      </c>
      <c r="F37" s="125" t="s">
        <v>102</v>
      </c>
      <c r="G37" s="126">
        <v>12</v>
      </c>
      <c r="H37" s="127" t="s">
        <v>93</v>
      </c>
      <c r="I37" s="128">
        <v>230887267</v>
      </c>
      <c r="J37" s="10">
        <v>53</v>
      </c>
      <c r="K37" s="10">
        <v>19997810</v>
      </c>
      <c r="L37" s="10">
        <v>105</v>
      </c>
      <c r="M37" s="10">
        <v>8998250</v>
      </c>
      <c r="N37" s="10">
        <v>32</v>
      </c>
      <c r="O37" s="10">
        <v>2458970</v>
      </c>
      <c r="P37" s="10">
        <v>64</v>
      </c>
      <c r="Q37" s="10">
        <v>6759070</v>
      </c>
      <c r="R37" s="10">
        <v>43</v>
      </c>
      <c r="S37" s="10">
        <v>3124160</v>
      </c>
      <c r="T37" s="247">
        <f t="shared" ref="T37:T39" si="26">J37+L37+N37+P37+R37</f>
        <v>297</v>
      </c>
      <c r="U37" s="247">
        <f t="shared" ref="U37:U39" si="27">K37+M37+O37+Q37+S37</f>
        <v>41338260</v>
      </c>
      <c r="V37" s="251">
        <v>297</v>
      </c>
      <c r="W37" s="251">
        <v>41338260</v>
      </c>
      <c r="X37" s="247">
        <f>V37-T37</f>
        <v>0</v>
      </c>
      <c r="Y37" s="248">
        <f>W37-U37</f>
        <v>0</v>
      </c>
      <c r="Z37" s="1"/>
      <c r="AA37" s="69"/>
    </row>
    <row r="38" spans="1:27" ht="12" customHeight="1" x14ac:dyDescent="0.2">
      <c r="A38" s="1"/>
      <c r="B38" s="241">
        <v>46303</v>
      </c>
      <c r="C38" s="107">
        <f t="shared" si="7"/>
        <v>2026101</v>
      </c>
      <c r="D38" s="107">
        <v>7</v>
      </c>
      <c r="E38" s="108" t="s">
        <v>44</v>
      </c>
      <c r="F38" s="109" t="s">
        <v>102</v>
      </c>
      <c r="G38" s="110">
        <v>13</v>
      </c>
      <c r="H38" s="111" t="s">
        <v>95</v>
      </c>
      <c r="I38" s="112">
        <v>230887267</v>
      </c>
      <c r="J38" s="9">
        <f>63+8</f>
        <v>71</v>
      </c>
      <c r="K38" s="9">
        <f>10359800+4621557</f>
        <v>14981357</v>
      </c>
      <c r="L38" s="9">
        <f>2+118+1</f>
        <v>121</v>
      </c>
      <c r="M38" s="9">
        <f>532110+21914850+1258530</f>
        <v>23705490</v>
      </c>
      <c r="N38" s="9">
        <f>46+11</f>
        <v>57</v>
      </c>
      <c r="O38" s="9">
        <f>14646650+3039740</f>
        <v>17686390</v>
      </c>
      <c r="P38" s="9">
        <f>104+1+1</f>
        <v>106</v>
      </c>
      <c r="Q38" s="9">
        <f>13371420+697432+84860</f>
        <v>14153712</v>
      </c>
      <c r="R38" s="9">
        <f>59+1</f>
        <v>60</v>
      </c>
      <c r="S38" s="9">
        <f>6794730+14060690</f>
        <v>20855420</v>
      </c>
      <c r="T38" s="249">
        <f>J38+L38+N38+P38+R38</f>
        <v>415</v>
      </c>
      <c r="U38" s="249">
        <f>K38+M38+O38+Q38+S38</f>
        <v>91382369</v>
      </c>
      <c r="V38" s="249">
        <f>2+390+10+11+2</f>
        <v>415</v>
      </c>
      <c r="W38" s="249">
        <f>532110+67087450+6577519+3039740+14145550</f>
        <v>91382369</v>
      </c>
      <c r="X38" s="249">
        <f>V38-T38</f>
        <v>0</v>
      </c>
      <c r="Y38" s="250">
        <f t="shared" si="6"/>
        <v>0</v>
      </c>
      <c r="Z38" s="1"/>
      <c r="AA38" s="69"/>
    </row>
    <row r="39" spans="1:27" ht="12" customHeight="1" thickBot="1" x14ac:dyDescent="0.25">
      <c r="A39" s="1"/>
      <c r="B39" s="242">
        <v>46303</v>
      </c>
      <c r="C39" s="113">
        <f t="shared" si="7"/>
        <v>2026101</v>
      </c>
      <c r="D39" s="113">
        <v>7</v>
      </c>
      <c r="E39" s="114" t="s">
        <v>44</v>
      </c>
      <c r="F39" s="115" t="s">
        <v>102</v>
      </c>
      <c r="G39" s="116">
        <v>14</v>
      </c>
      <c r="H39" s="117" t="s">
        <v>97</v>
      </c>
      <c r="I39" s="118">
        <v>230887267</v>
      </c>
      <c r="J39" s="119">
        <v>42</v>
      </c>
      <c r="K39" s="119">
        <v>5108016</v>
      </c>
      <c r="L39" s="119">
        <v>69</v>
      </c>
      <c r="M39" s="119">
        <v>10988692</v>
      </c>
      <c r="N39" s="119">
        <v>7</v>
      </c>
      <c r="O39" s="119">
        <v>506917</v>
      </c>
      <c r="P39" s="119">
        <v>80</v>
      </c>
      <c r="Q39" s="119">
        <v>11442563</v>
      </c>
      <c r="R39" s="119">
        <v>13</v>
      </c>
      <c r="S39" s="119">
        <v>541672</v>
      </c>
      <c r="T39" s="251">
        <f t="shared" si="26"/>
        <v>211</v>
      </c>
      <c r="U39" s="251">
        <f t="shared" si="27"/>
        <v>28587860</v>
      </c>
      <c r="V39" s="251">
        <v>211</v>
      </c>
      <c r="W39" s="251">
        <v>28587860</v>
      </c>
      <c r="X39" s="249">
        <f>V39-T39</f>
        <v>0</v>
      </c>
      <c r="Y39" s="252">
        <f t="shared" si="6"/>
        <v>0</v>
      </c>
      <c r="Z39" s="1"/>
      <c r="AA39" s="69"/>
    </row>
    <row r="40" spans="1:27" s="45" customFormat="1" ht="12" customHeight="1" thickBot="1" x14ac:dyDescent="0.25">
      <c r="A40" s="3"/>
      <c r="B40" s="257"/>
      <c r="C40" s="130">
        <f t="shared" si="7"/>
        <v>2026101</v>
      </c>
      <c r="D40" s="131"/>
      <c r="E40" s="121"/>
      <c r="F40" s="122" t="s">
        <v>4</v>
      </c>
      <c r="G40" s="122"/>
      <c r="H40" s="122"/>
      <c r="I40" s="122"/>
      <c r="J40" s="122">
        <f t="shared" ref="J40:Y40" si="28">SUM(J37:J39)</f>
        <v>166</v>
      </c>
      <c r="K40" s="122">
        <f t="shared" si="28"/>
        <v>40087183</v>
      </c>
      <c r="L40" s="122">
        <f t="shared" si="28"/>
        <v>295</v>
      </c>
      <c r="M40" s="122">
        <f t="shared" si="28"/>
        <v>43692432</v>
      </c>
      <c r="N40" s="122">
        <f t="shared" si="28"/>
        <v>96</v>
      </c>
      <c r="O40" s="122">
        <f t="shared" si="28"/>
        <v>20652277</v>
      </c>
      <c r="P40" s="122">
        <f t="shared" si="28"/>
        <v>250</v>
      </c>
      <c r="Q40" s="122">
        <f t="shared" si="28"/>
        <v>32355345</v>
      </c>
      <c r="R40" s="122">
        <f t="shared" si="28"/>
        <v>116</v>
      </c>
      <c r="S40" s="122">
        <f t="shared" si="28"/>
        <v>24521252</v>
      </c>
      <c r="T40" s="122">
        <f t="shared" si="28"/>
        <v>923</v>
      </c>
      <c r="U40" s="122">
        <f t="shared" si="28"/>
        <v>161308489</v>
      </c>
      <c r="V40" s="122">
        <f t="shared" si="28"/>
        <v>923</v>
      </c>
      <c r="W40" s="122">
        <f t="shared" si="28"/>
        <v>161308489</v>
      </c>
      <c r="X40" s="122">
        <f t="shared" si="28"/>
        <v>0</v>
      </c>
      <c r="Y40" s="253">
        <f t="shared" si="28"/>
        <v>0</v>
      </c>
      <c r="Z40" s="3"/>
      <c r="AA40" s="69"/>
    </row>
    <row r="41" spans="1:27" ht="12" customHeight="1" x14ac:dyDescent="0.2">
      <c r="A41" s="1"/>
      <c r="B41" s="379">
        <v>46304</v>
      </c>
      <c r="C41" s="343">
        <f t="shared" si="7"/>
        <v>2026101</v>
      </c>
      <c r="D41" s="123">
        <v>8</v>
      </c>
      <c r="E41" s="124" t="s">
        <v>44</v>
      </c>
      <c r="F41" s="125" t="s">
        <v>102</v>
      </c>
      <c r="G41" s="126">
        <v>12</v>
      </c>
      <c r="H41" s="127" t="s">
        <v>93</v>
      </c>
      <c r="I41" s="128">
        <v>230887267</v>
      </c>
      <c r="J41" s="10">
        <v>23</v>
      </c>
      <c r="K41" s="10">
        <v>3170540</v>
      </c>
      <c r="L41" s="10">
        <v>129</v>
      </c>
      <c r="M41" s="10">
        <v>9364430</v>
      </c>
      <c r="N41" s="10">
        <v>38</v>
      </c>
      <c r="O41" s="10">
        <v>3076550</v>
      </c>
      <c r="P41" s="10">
        <v>75</v>
      </c>
      <c r="Q41" s="10">
        <v>11616710</v>
      </c>
      <c r="R41" s="10">
        <v>18</v>
      </c>
      <c r="S41" s="10">
        <v>855810</v>
      </c>
      <c r="T41" s="247">
        <f t="shared" ref="T41:T43" si="29">J41+L41+N41+P41+R41</f>
        <v>283</v>
      </c>
      <c r="U41" s="247">
        <f t="shared" ref="U41:U43" si="30">K41+M41+O41+Q41+S41</f>
        <v>28084040</v>
      </c>
      <c r="V41" s="251">
        <v>283</v>
      </c>
      <c r="W41" s="251">
        <v>28084040</v>
      </c>
      <c r="X41" s="249">
        <f>V41-T41</f>
        <v>0</v>
      </c>
      <c r="Y41" s="250">
        <f>W41-U41</f>
        <v>0</v>
      </c>
      <c r="Z41" s="1"/>
      <c r="AA41" s="69"/>
    </row>
    <row r="42" spans="1:27" ht="12" customHeight="1" x14ac:dyDescent="0.2">
      <c r="A42" s="1"/>
      <c r="B42" s="241">
        <v>46304</v>
      </c>
      <c r="C42" s="344">
        <f t="shared" si="7"/>
        <v>2026101</v>
      </c>
      <c r="D42" s="107">
        <v>8</v>
      </c>
      <c r="E42" s="108" t="s">
        <v>44</v>
      </c>
      <c r="F42" s="109" t="s">
        <v>102</v>
      </c>
      <c r="G42" s="110">
        <v>13</v>
      </c>
      <c r="H42" s="111" t="s">
        <v>95</v>
      </c>
      <c r="I42" s="112">
        <v>230887267</v>
      </c>
      <c r="J42" s="9">
        <f>3+65+50</f>
        <v>118</v>
      </c>
      <c r="K42" s="9">
        <f>448170+9778630+7956790</f>
        <v>18183590</v>
      </c>
      <c r="L42" s="9">
        <f>4+110+20</f>
        <v>134</v>
      </c>
      <c r="M42" s="9">
        <f>8645190+52803300+20813210</f>
        <v>82261700</v>
      </c>
      <c r="N42" s="9">
        <f>1+75+11</f>
        <v>87</v>
      </c>
      <c r="O42" s="9">
        <f>56050+29536630+2881720</f>
        <v>32474400</v>
      </c>
      <c r="P42" s="9">
        <f>99+4</f>
        <v>103</v>
      </c>
      <c r="Q42" s="9">
        <f>9052200+691220</f>
        <v>9743420</v>
      </c>
      <c r="R42" s="9">
        <f>1+51+4</f>
        <v>56</v>
      </c>
      <c r="S42" s="9">
        <f>287080+3479240+464190</f>
        <v>4230510</v>
      </c>
      <c r="T42" s="249">
        <f t="shared" si="29"/>
        <v>498</v>
      </c>
      <c r="U42" s="249">
        <f t="shared" si="30"/>
        <v>146893620</v>
      </c>
      <c r="V42" s="251">
        <f>9+400+89</f>
        <v>498</v>
      </c>
      <c r="W42" s="251">
        <f>9436490+104650000+32807130</f>
        <v>146893620</v>
      </c>
      <c r="X42" s="249">
        <f>V42-T42</f>
        <v>0</v>
      </c>
      <c r="Y42" s="250">
        <f t="shared" si="6"/>
        <v>0</v>
      </c>
      <c r="Z42" s="1" t="s">
        <v>0</v>
      </c>
      <c r="AA42" s="69"/>
    </row>
    <row r="43" spans="1:27" ht="12" customHeight="1" thickBot="1" x14ac:dyDescent="0.25">
      <c r="A43" s="1"/>
      <c r="B43" s="242">
        <v>46304</v>
      </c>
      <c r="C43" s="345">
        <f t="shared" si="7"/>
        <v>2026101</v>
      </c>
      <c r="D43" s="113">
        <v>8</v>
      </c>
      <c r="E43" s="114" t="s">
        <v>44</v>
      </c>
      <c r="F43" s="115" t="s">
        <v>102</v>
      </c>
      <c r="G43" s="116">
        <v>14</v>
      </c>
      <c r="H43" s="117" t="s">
        <v>97</v>
      </c>
      <c r="I43" s="118">
        <v>230887267</v>
      </c>
      <c r="J43" s="119">
        <v>21</v>
      </c>
      <c r="K43" s="119">
        <v>1973651</v>
      </c>
      <c r="L43" s="119">
        <v>61</v>
      </c>
      <c r="M43" s="119">
        <v>15763078</v>
      </c>
      <c r="N43" s="119">
        <v>5</v>
      </c>
      <c r="O43" s="119">
        <v>517360</v>
      </c>
      <c r="P43" s="119">
        <v>50</v>
      </c>
      <c r="Q43" s="119">
        <v>6560147</v>
      </c>
      <c r="R43" s="119">
        <f>17</f>
        <v>17</v>
      </c>
      <c r="S43" s="119">
        <f>693148</f>
        <v>693148</v>
      </c>
      <c r="T43" s="251">
        <f t="shared" si="29"/>
        <v>154</v>
      </c>
      <c r="U43" s="251">
        <f t="shared" si="30"/>
        <v>25507384</v>
      </c>
      <c r="V43" s="251">
        <v>154</v>
      </c>
      <c r="W43" s="251">
        <v>25507384</v>
      </c>
      <c r="X43" s="317">
        <f>V43-T43</f>
        <v>0</v>
      </c>
      <c r="Y43" s="252">
        <f t="shared" si="6"/>
        <v>0</v>
      </c>
      <c r="Z43" s="1"/>
      <c r="AA43" s="69"/>
    </row>
    <row r="44" spans="1:27" s="45" customFormat="1" ht="12" customHeight="1" thickBot="1" x14ac:dyDescent="0.25">
      <c r="A44" s="3"/>
      <c r="B44" s="347"/>
      <c r="C44" s="346">
        <f t="shared" si="7"/>
        <v>2026101</v>
      </c>
      <c r="D44" s="131"/>
      <c r="E44" s="121"/>
      <c r="F44" s="122" t="s">
        <v>4</v>
      </c>
      <c r="G44" s="122"/>
      <c r="H44" s="122"/>
      <c r="I44" s="122"/>
      <c r="J44" s="122">
        <f t="shared" ref="J44:Y44" si="31">SUM(J41:J43)</f>
        <v>162</v>
      </c>
      <c r="K44" s="122">
        <f t="shared" si="31"/>
        <v>23327781</v>
      </c>
      <c r="L44" s="122">
        <f t="shared" si="31"/>
        <v>324</v>
      </c>
      <c r="M44" s="122">
        <f t="shared" si="31"/>
        <v>107389208</v>
      </c>
      <c r="N44" s="122">
        <f t="shared" si="31"/>
        <v>130</v>
      </c>
      <c r="O44" s="122">
        <f t="shared" si="31"/>
        <v>36068310</v>
      </c>
      <c r="P44" s="122">
        <f t="shared" si="31"/>
        <v>228</v>
      </c>
      <c r="Q44" s="122">
        <f>SUM(Q41:Q43)</f>
        <v>27920277</v>
      </c>
      <c r="R44" s="122">
        <f t="shared" si="31"/>
        <v>91</v>
      </c>
      <c r="S44" s="122">
        <f t="shared" si="31"/>
        <v>5779468</v>
      </c>
      <c r="T44" s="122">
        <f t="shared" si="31"/>
        <v>935</v>
      </c>
      <c r="U44" s="122">
        <f t="shared" si="31"/>
        <v>200485044</v>
      </c>
      <c r="V44" s="122">
        <f t="shared" si="31"/>
        <v>935</v>
      </c>
      <c r="W44" s="122">
        <f t="shared" si="31"/>
        <v>200485044</v>
      </c>
      <c r="X44" s="122">
        <f t="shared" si="31"/>
        <v>0</v>
      </c>
      <c r="Y44" s="253">
        <f t="shared" si="31"/>
        <v>0</v>
      </c>
      <c r="Z44" s="3"/>
      <c r="AA44" s="69"/>
    </row>
    <row r="45" spans="1:27" ht="12" customHeight="1" x14ac:dyDescent="0.2">
      <c r="A45" s="1"/>
      <c r="B45" s="379">
        <v>46308</v>
      </c>
      <c r="C45" s="123">
        <f t="shared" si="7"/>
        <v>2026101</v>
      </c>
      <c r="D45" s="123">
        <v>9</v>
      </c>
      <c r="E45" s="124" t="s">
        <v>44</v>
      </c>
      <c r="F45" s="125" t="s">
        <v>102</v>
      </c>
      <c r="G45" s="126">
        <v>12</v>
      </c>
      <c r="H45" s="127" t="s">
        <v>93</v>
      </c>
      <c r="I45" s="128">
        <v>230887267</v>
      </c>
      <c r="J45" s="10">
        <v>20</v>
      </c>
      <c r="K45" s="10">
        <v>1194110</v>
      </c>
      <c r="L45" s="10">
        <v>163</v>
      </c>
      <c r="M45" s="10">
        <v>18515830</v>
      </c>
      <c r="N45" s="10">
        <v>51</v>
      </c>
      <c r="O45" s="10">
        <v>3619130</v>
      </c>
      <c r="P45" s="10">
        <v>64</v>
      </c>
      <c r="Q45" s="10">
        <v>7583720</v>
      </c>
      <c r="R45" s="10">
        <v>19</v>
      </c>
      <c r="S45" s="10">
        <v>2648400</v>
      </c>
      <c r="T45" s="247">
        <f t="shared" ref="T45:T47" si="32">J45+L45+N45+P45+R45</f>
        <v>317</v>
      </c>
      <c r="U45" s="247">
        <f t="shared" ref="U45:U47" si="33">K45+M45+O45+Q45+S45</f>
        <v>33561190</v>
      </c>
      <c r="V45" s="251">
        <v>317</v>
      </c>
      <c r="W45" s="251">
        <v>33561190</v>
      </c>
      <c r="X45" s="247">
        <f t="shared" si="5"/>
        <v>0</v>
      </c>
      <c r="Y45" s="248">
        <f t="shared" si="6"/>
        <v>0</v>
      </c>
      <c r="Z45" s="1"/>
      <c r="AA45" s="69"/>
    </row>
    <row r="46" spans="1:27" ht="12" customHeight="1" x14ac:dyDescent="0.2">
      <c r="A46" s="1"/>
      <c r="B46" s="241">
        <v>46308</v>
      </c>
      <c r="C46" s="107">
        <f t="shared" si="7"/>
        <v>2026101</v>
      </c>
      <c r="D46" s="107">
        <v>9</v>
      </c>
      <c r="E46" s="108" t="s">
        <v>44</v>
      </c>
      <c r="F46" s="109" t="s">
        <v>102</v>
      </c>
      <c r="G46" s="110">
        <v>13</v>
      </c>
      <c r="H46" s="111" t="s">
        <v>95</v>
      </c>
      <c r="I46" s="112">
        <v>230887267</v>
      </c>
      <c r="J46" s="9">
        <f>1+82</f>
        <v>83</v>
      </c>
      <c r="K46" s="9">
        <f>229710+32296540</f>
        <v>32526250</v>
      </c>
      <c r="L46" s="9">
        <f>122+3</f>
        <v>125</v>
      </c>
      <c r="M46" s="9">
        <f>18486610+241110</f>
        <v>18727720</v>
      </c>
      <c r="N46" s="9">
        <f>2+86+1</f>
        <v>89</v>
      </c>
      <c r="O46" s="9">
        <f>111530+38063810+78110</f>
        <v>38253450</v>
      </c>
      <c r="P46" s="9">
        <f>1+91+4</f>
        <v>96</v>
      </c>
      <c r="Q46" s="9">
        <f>2693620+13494600+494190</f>
        <v>16682410</v>
      </c>
      <c r="R46" s="9">
        <v>42</v>
      </c>
      <c r="S46" s="9">
        <v>23757670</v>
      </c>
      <c r="T46" s="249">
        <f t="shared" si="32"/>
        <v>435</v>
      </c>
      <c r="U46" s="249">
        <f t="shared" si="33"/>
        <v>129947500</v>
      </c>
      <c r="V46" s="251">
        <f>4+423+8</f>
        <v>435</v>
      </c>
      <c r="W46" s="251">
        <f>3034860+126099230+813410</f>
        <v>129947500</v>
      </c>
      <c r="X46" s="249">
        <f t="shared" si="5"/>
        <v>0</v>
      </c>
      <c r="Y46" s="250">
        <f t="shared" si="6"/>
        <v>0</v>
      </c>
      <c r="Z46" s="1"/>
      <c r="AA46" s="69"/>
    </row>
    <row r="47" spans="1:27" ht="12" customHeight="1" thickBot="1" x14ac:dyDescent="0.25">
      <c r="A47" s="1"/>
      <c r="B47" s="242">
        <v>46308</v>
      </c>
      <c r="C47" s="113">
        <f t="shared" si="7"/>
        <v>2026101</v>
      </c>
      <c r="D47" s="113">
        <v>9</v>
      </c>
      <c r="E47" s="114" t="s">
        <v>44</v>
      </c>
      <c r="F47" s="115" t="s">
        <v>102</v>
      </c>
      <c r="G47" s="116">
        <v>14</v>
      </c>
      <c r="H47" s="117" t="s">
        <v>97</v>
      </c>
      <c r="I47" s="118">
        <v>230887267</v>
      </c>
      <c r="J47" s="119">
        <v>30</v>
      </c>
      <c r="K47" s="119">
        <v>2533842</v>
      </c>
      <c r="L47" s="119">
        <v>66</v>
      </c>
      <c r="M47" s="119">
        <v>15762628</v>
      </c>
      <c r="N47" s="119">
        <v>9</v>
      </c>
      <c r="O47" s="119">
        <v>4215896</v>
      </c>
      <c r="P47" s="119">
        <v>58</v>
      </c>
      <c r="Q47" s="119">
        <v>7149216</v>
      </c>
      <c r="R47" s="119">
        <v>26</v>
      </c>
      <c r="S47" s="119">
        <v>1416757</v>
      </c>
      <c r="T47" s="251">
        <f t="shared" si="32"/>
        <v>189</v>
      </c>
      <c r="U47" s="251">
        <f t="shared" si="33"/>
        <v>31078339</v>
      </c>
      <c r="V47" s="251">
        <v>189</v>
      </c>
      <c r="W47" s="251">
        <v>31078339</v>
      </c>
      <c r="X47" s="251">
        <f t="shared" si="5"/>
        <v>0</v>
      </c>
      <c r="Y47" s="252">
        <f t="shared" si="6"/>
        <v>0</v>
      </c>
      <c r="Z47" s="1"/>
      <c r="AA47" s="69"/>
    </row>
    <row r="48" spans="1:27" s="45" customFormat="1" ht="12" customHeight="1" thickBot="1" x14ac:dyDescent="0.25">
      <c r="A48" s="3"/>
      <c r="B48" s="129"/>
      <c r="C48" s="130">
        <f t="shared" si="7"/>
        <v>2026101</v>
      </c>
      <c r="D48" s="131"/>
      <c r="E48" s="121"/>
      <c r="F48" s="122" t="s">
        <v>4</v>
      </c>
      <c r="G48" s="122"/>
      <c r="H48" s="122"/>
      <c r="I48" s="122"/>
      <c r="J48" s="122">
        <f t="shared" ref="J48:S48" si="34">SUM(J45:J47)</f>
        <v>133</v>
      </c>
      <c r="K48" s="122">
        <f t="shared" si="34"/>
        <v>36254202</v>
      </c>
      <c r="L48" s="122">
        <f t="shared" si="34"/>
        <v>354</v>
      </c>
      <c r="M48" s="122">
        <f t="shared" si="34"/>
        <v>53006178</v>
      </c>
      <c r="N48" s="122">
        <f t="shared" si="34"/>
        <v>149</v>
      </c>
      <c r="O48" s="122">
        <f t="shared" si="34"/>
        <v>46088476</v>
      </c>
      <c r="P48" s="122">
        <f t="shared" si="34"/>
        <v>218</v>
      </c>
      <c r="Q48" s="122">
        <f t="shared" si="34"/>
        <v>31415346</v>
      </c>
      <c r="R48" s="122">
        <f t="shared" si="34"/>
        <v>87</v>
      </c>
      <c r="S48" s="122">
        <f t="shared" si="34"/>
        <v>27822827</v>
      </c>
      <c r="T48" s="122">
        <f t="shared" ref="T48:Y48" si="35">SUM(T45:T47)</f>
        <v>941</v>
      </c>
      <c r="U48" s="122">
        <f t="shared" si="35"/>
        <v>194587029</v>
      </c>
      <c r="V48" s="122">
        <f t="shared" si="35"/>
        <v>941</v>
      </c>
      <c r="W48" s="122">
        <f t="shared" si="35"/>
        <v>194587029</v>
      </c>
      <c r="X48" s="122">
        <f t="shared" si="35"/>
        <v>0</v>
      </c>
      <c r="Y48" s="253">
        <f t="shared" si="35"/>
        <v>0</v>
      </c>
      <c r="Z48" s="3"/>
      <c r="AA48" s="69"/>
    </row>
    <row r="49" spans="1:27" ht="12" customHeight="1" x14ac:dyDescent="0.2">
      <c r="A49" s="1"/>
      <c r="B49" s="379">
        <v>46308</v>
      </c>
      <c r="C49" s="123">
        <f t="shared" si="7"/>
        <v>2026101</v>
      </c>
      <c r="D49" s="123">
        <v>10</v>
      </c>
      <c r="E49" s="124" t="s">
        <v>44</v>
      </c>
      <c r="F49" s="125" t="s">
        <v>102</v>
      </c>
      <c r="G49" s="126">
        <v>12</v>
      </c>
      <c r="H49" s="127" t="s">
        <v>93</v>
      </c>
      <c r="I49" s="128">
        <v>230887267</v>
      </c>
      <c r="J49" s="10">
        <v>1</v>
      </c>
      <c r="K49" s="10">
        <v>24310</v>
      </c>
      <c r="L49" s="10">
        <v>63</v>
      </c>
      <c r="M49" s="10">
        <v>5003190</v>
      </c>
      <c r="N49" s="10">
        <v>7</v>
      </c>
      <c r="O49" s="10">
        <v>367900</v>
      </c>
      <c r="P49" s="10">
        <v>30</v>
      </c>
      <c r="Q49" s="10">
        <v>2253430</v>
      </c>
      <c r="R49" s="10">
        <v>8</v>
      </c>
      <c r="S49" s="10">
        <v>457970</v>
      </c>
      <c r="T49" s="247">
        <f t="shared" ref="T49:T51" si="36">J49+L49+N49+P49+R49</f>
        <v>109</v>
      </c>
      <c r="U49" s="247">
        <f t="shared" ref="U49:U51" si="37">K49+M49+O49+Q49+S49</f>
        <v>8106800</v>
      </c>
      <c r="V49" s="251">
        <v>109</v>
      </c>
      <c r="W49" s="251">
        <v>8106800</v>
      </c>
      <c r="X49" s="247">
        <f t="shared" si="5"/>
        <v>0</v>
      </c>
      <c r="Y49" s="248">
        <f t="shared" si="6"/>
        <v>0</v>
      </c>
      <c r="Z49" s="1"/>
      <c r="AA49" s="69"/>
    </row>
    <row r="50" spans="1:27" ht="12" customHeight="1" x14ac:dyDescent="0.2">
      <c r="A50" s="1"/>
      <c r="B50" s="241">
        <v>46308</v>
      </c>
      <c r="C50" s="107">
        <f t="shared" si="7"/>
        <v>2026101</v>
      </c>
      <c r="D50" s="107">
        <v>10</v>
      </c>
      <c r="E50" s="108" t="s">
        <v>44</v>
      </c>
      <c r="F50" s="109" t="s">
        <v>102</v>
      </c>
      <c r="G50" s="110">
        <v>13</v>
      </c>
      <c r="H50" s="111" t="s">
        <v>95</v>
      </c>
      <c r="I50" s="112">
        <v>230887267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249">
        <f t="shared" si="36"/>
        <v>0</v>
      </c>
      <c r="U50" s="249">
        <f t="shared" si="37"/>
        <v>0</v>
      </c>
      <c r="V50" s="251">
        <v>0</v>
      </c>
      <c r="W50" s="251">
        <v>0</v>
      </c>
      <c r="X50" s="249">
        <f t="shared" si="5"/>
        <v>0</v>
      </c>
      <c r="Y50" s="250">
        <f t="shared" si="6"/>
        <v>0</v>
      </c>
      <c r="Z50" s="1"/>
      <c r="AA50" s="69"/>
    </row>
    <row r="51" spans="1:27" ht="12" customHeight="1" thickBot="1" x14ac:dyDescent="0.25">
      <c r="A51" s="1"/>
      <c r="B51" s="242">
        <v>46308</v>
      </c>
      <c r="C51" s="113">
        <f t="shared" si="7"/>
        <v>2026101</v>
      </c>
      <c r="D51" s="113">
        <v>10</v>
      </c>
      <c r="E51" s="114" t="s">
        <v>44</v>
      </c>
      <c r="F51" s="115" t="s">
        <v>102</v>
      </c>
      <c r="G51" s="116">
        <v>14</v>
      </c>
      <c r="H51" s="117" t="s">
        <v>97</v>
      </c>
      <c r="I51" s="118">
        <v>230887267</v>
      </c>
      <c r="J51" s="119">
        <v>0</v>
      </c>
      <c r="K51" s="119">
        <v>0</v>
      </c>
      <c r="L51" s="119">
        <v>0</v>
      </c>
      <c r="M51" s="119">
        <v>0</v>
      </c>
      <c r="N51" s="119">
        <v>0</v>
      </c>
      <c r="O51" s="119">
        <v>0</v>
      </c>
      <c r="P51" s="119">
        <v>0</v>
      </c>
      <c r="Q51" s="119">
        <v>0</v>
      </c>
      <c r="R51" s="119">
        <v>0</v>
      </c>
      <c r="S51" s="119">
        <v>0</v>
      </c>
      <c r="T51" s="251">
        <f t="shared" si="36"/>
        <v>0</v>
      </c>
      <c r="U51" s="251">
        <f t="shared" si="37"/>
        <v>0</v>
      </c>
      <c r="V51" s="251">
        <v>0</v>
      </c>
      <c r="W51" s="251">
        <v>0</v>
      </c>
      <c r="X51" s="251">
        <f t="shared" si="5"/>
        <v>0</v>
      </c>
      <c r="Y51" s="252">
        <f t="shared" si="6"/>
        <v>0</v>
      </c>
      <c r="Z51" s="1"/>
      <c r="AA51" s="69"/>
    </row>
    <row r="52" spans="1:27" s="45" customFormat="1" ht="12" customHeight="1" thickBot="1" x14ac:dyDescent="0.25">
      <c r="A52" s="3"/>
      <c r="B52" s="129"/>
      <c r="C52" s="130">
        <f t="shared" si="7"/>
        <v>2026101</v>
      </c>
      <c r="D52" s="131"/>
      <c r="E52" s="121"/>
      <c r="F52" s="122" t="s">
        <v>4</v>
      </c>
      <c r="G52" s="122"/>
      <c r="H52" s="122"/>
      <c r="I52" s="122"/>
      <c r="J52" s="122">
        <f t="shared" ref="J52:S52" si="38">SUM(J49:J51)</f>
        <v>1</v>
      </c>
      <c r="K52" s="122">
        <f t="shared" si="38"/>
        <v>24310</v>
      </c>
      <c r="L52" s="122">
        <f t="shared" si="38"/>
        <v>63</v>
      </c>
      <c r="M52" s="122">
        <f t="shared" si="38"/>
        <v>5003190</v>
      </c>
      <c r="N52" s="122">
        <f t="shared" si="38"/>
        <v>7</v>
      </c>
      <c r="O52" s="122">
        <f t="shared" si="38"/>
        <v>367900</v>
      </c>
      <c r="P52" s="122">
        <f t="shared" si="38"/>
        <v>30</v>
      </c>
      <c r="Q52" s="122">
        <f t="shared" ref="Q52" si="39">SUM(Q49:Q51)</f>
        <v>2253430</v>
      </c>
      <c r="R52" s="122">
        <f t="shared" si="38"/>
        <v>8</v>
      </c>
      <c r="S52" s="122">
        <f t="shared" si="38"/>
        <v>457970</v>
      </c>
      <c r="T52" s="122">
        <f t="shared" ref="T52:Y52" si="40">SUM(T49:T51)</f>
        <v>109</v>
      </c>
      <c r="U52" s="122">
        <f t="shared" si="40"/>
        <v>8106800</v>
      </c>
      <c r="V52" s="122">
        <f t="shared" si="40"/>
        <v>109</v>
      </c>
      <c r="W52" s="122">
        <f t="shared" si="40"/>
        <v>8106800</v>
      </c>
      <c r="X52" s="122">
        <f t="shared" si="40"/>
        <v>0</v>
      </c>
      <c r="Y52" s="253">
        <f t="shared" si="40"/>
        <v>0</v>
      </c>
      <c r="Z52" s="3"/>
      <c r="AA52" s="69"/>
    </row>
    <row r="53" spans="1:27" ht="12" customHeight="1" x14ac:dyDescent="0.2">
      <c r="A53" s="1"/>
      <c r="B53" s="379">
        <v>46308</v>
      </c>
      <c r="C53" s="123">
        <f t="shared" si="7"/>
        <v>2026101</v>
      </c>
      <c r="D53" s="123">
        <v>11</v>
      </c>
      <c r="E53" s="124" t="s">
        <v>44</v>
      </c>
      <c r="F53" s="125" t="s">
        <v>102</v>
      </c>
      <c r="G53" s="126">
        <v>12</v>
      </c>
      <c r="H53" s="127" t="s">
        <v>93</v>
      </c>
      <c r="I53" s="128">
        <v>230887267</v>
      </c>
      <c r="J53" s="10">
        <v>3</v>
      </c>
      <c r="K53" s="10">
        <v>164700</v>
      </c>
      <c r="L53" s="10">
        <v>12</v>
      </c>
      <c r="M53" s="10">
        <v>543680</v>
      </c>
      <c r="N53" s="10">
        <v>3</v>
      </c>
      <c r="O53" s="10">
        <v>115670</v>
      </c>
      <c r="P53" s="10">
        <v>2</v>
      </c>
      <c r="Q53" s="10">
        <v>84250</v>
      </c>
      <c r="R53" s="10">
        <v>2</v>
      </c>
      <c r="S53" s="10">
        <v>79030</v>
      </c>
      <c r="T53" s="247">
        <f t="shared" ref="T53" si="41">J53+L53+N53+P53+R53</f>
        <v>22</v>
      </c>
      <c r="U53" s="247">
        <f t="shared" ref="U53" si="42">K53+M53+O53+Q53+S53</f>
        <v>987330</v>
      </c>
      <c r="V53" s="251">
        <v>22</v>
      </c>
      <c r="W53" s="251">
        <v>987330</v>
      </c>
      <c r="X53" s="247">
        <f t="shared" si="5"/>
        <v>0</v>
      </c>
      <c r="Y53" s="248">
        <f t="shared" si="6"/>
        <v>0</v>
      </c>
      <c r="Z53" s="1"/>
      <c r="AA53" s="69"/>
    </row>
    <row r="54" spans="1:27" ht="12" customHeight="1" x14ac:dyDescent="0.2">
      <c r="A54" s="1"/>
      <c r="B54" s="241">
        <v>46308</v>
      </c>
      <c r="C54" s="107">
        <f t="shared" si="7"/>
        <v>2026101</v>
      </c>
      <c r="D54" s="107">
        <v>11</v>
      </c>
      <c r="E54" s="108" t="s">
        <v>44</v>
      </c>
      <c r="F54" s="109" t="s">
        <v>102</v>
      </c>
      <c r="G54" s="110">
        <v>13</v>
      </c>
      <c r="H54" s="111" t="s">
        <v>95</v>
      </c>
      <c r="I54" s="112">
        <v>230887267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249">
        <f>J54+L54+N54+P54+R54</f>
        <v>0</v>
      </c>
      <c r="U54" s="249">
        <f>K54+M54+O54+Q54+S54</f>
        <v>0</v>
      </c>
      <c r="V54" s="251">
        <v>0</v>
      </c>
      <c r="W54" s="251">
        <v>0</v>
      </c>
      <c r="X54" s="249">
        <f>V54-T54</f>
        <v>0</v>
      </c>
      <c r="Y54" s="250">
        <f>W54-U54</f>
        <v>0</v>
      </c>
      <c r="Z54" s="1"/>
      <c r="AA54" s="69"/>
    </row>
    <row r="55" spans="1:27" ht="12" customHeight="1" thickBot="1" x14ac:dyDescent="0.25">
      <c r="A55" s="1"/>
      <c r="B55" s="242">
        <v>46308</v>
      </c>
      <c r="C55" s="113">
        <f t="shared" si="7"/>
        <v>2026101</v>
      </c>
      <c r="D55" s="113">
        <v>11</v>
      </c>
      <c r="E55" s="114" t="s">
        <v>44</v>
      </c>
      <c r="F55" s="115" t="s">
        <v>102</v>
      </c>
      <c r="G55" s="116">
        <v>14</v>
      </c>
      <c r="H55" s="117" t="s">
        <v>97</v>
      </c>
      <c r="I55" s="118">
        <v>230887267</v>
      </c>
      <c r="J55" s="119">
        <v>0</v>
      </c>
      <c r="K55" s="119">
        <v>0</v>
      </c>
      <c r="L55" s="119">
        <v>0</v>
      </c>
      <c r="M55" s="119">
        <v>0</v>
      </c>
      <c r="N55" s="119">
        <v>0</v>
      </c>
      <c r="O55" s="119">
        <v>0</v>
      </c>
      <c r="P55" s="119">
        <v>0</v>
      </c>
      <c r="Q55" s="119">
        <v>0</v>
      </c>
      <c r="R55" s="119">
        <v>0</v>
      </c>
      <c r="S55" s="119">
        <v>0</v>
      </c>
      <c r="T55" s="251">
        <f>J55+L55+N55+P55+R55</f>
        <v>0</v>
      </c>
      <c r="U55" s="251">
        <f>K55+M55+O55+Q55+S55</f>
        <v>0</v>
      </c>
      <c r="V55" s="251">
        <v>0</v>
      </c>
      <c r="W55" s="251">
        <v>0</v>
      </c>
      <c r="X55" s="251">
        <f>V55-T55</f>
        <v>0</v>
      </c>
      <c r="Y55" s="252">
        <f>W55-U55</f>
        <v>0</v>
      </c>
      <c r="Z55" s="1"/>
      <c r="AA55" s="69"/>
    </row>
    <row r="56" spans="1:27" s="45" customFormat="1" ht="12" customHeight="1" thickBot="1" x14ac:dyDescent="0.25">
      <c r="A56" s="3"/>
      <c r="B56" s="129"/>
      <c r="C56" s="130">
        <f t="shared" si="7"/>
        <v>2026101</v>
      </c>
      <c r="D56" s="131"/>
      <c r="E56" s="121"/>
      <c r="F56" s="122" t="s">
        <v>4</v>
      </c>
      <c r="G56" s="122"/>
      <c r="H56" s="122"/>
      <c r="I56" s="122"/>
      <c r="J56" s="122">
        <f t="shared" ref="J56:Y56" si="43">SUM(J53:J55)</f>
        <v>3</v>
      </c>
      <c r="K56" s="122">
        <f t="shared" si="43"/>
        <v>164700</v>
      </c>
      <c r="L56" s="122">
        <f t="shared" si="43"/>
        <v>12</v>
      </c>
      <c r="M56" s="122">
        <f t="shared" si="43"/>
        <v>543680</v>
      </c>
      <c r="N56" s="122">
        <f t="shared" si="43"/>
        <v>3</v>
      </c>
      <c r="O56" s="122">
        <f t="shared" si="43"/>
        <v>115670</v>
      </c>
      <c r="P56" s="122">
        <f t="shared" si="43"/>
        <v>2</v>
      </c>
      <c r="Q56" s="122">
        <f t="shared" si="43"/>
        <v>84250</v>
      </c>
      <c r="R56" s="122">
        <f t="shared" si="43"/>
        <v>2</v>
      </c>
      <c r="S56" s="122">
        <f t="shared" si="43"/>
        <v>79030</v>
      </c>
      <c r="T56" s="122">
        <f t="shared" si="43"/>
        <v>22</v>
      </c>
      <c r="U56" s="122">
        <f t="shared" si="43"/>
        <v>987330</v>
      </c>
      <c r="V56" s="122">
        <f>SUM(V53:V55)</f>
        <v>22</v>
      </c>
      <c r="W56" s="122">
        <f>SUM(W53:W55)</f>
        <v>987330</v>
      </c>
      <c r="X56" s="122">
        <f t="shared" si="43"/>
        <v>0</v>
      </c>
      <c r="Y56" s="253">
        <f t="shared" si="43"/>
        <v>0</v>
      </c>
      <c r="Z56" s="3"/>
      <c r="AA56" s="69"/>
    </row>
    <row r="57" spans="1:27" ht="12" customHeight="1" x14ac:dyDescent="0.2">
      <c r="A57" s="1"/>
      <c r="B57" s="379">
        <v>46308</v>
      </c>
      <c r="C57" s="123">
        <f t="shared" si="7"/>
        <v>2026101</v>
      </c>
      <c r="D57" s="123">
        <v>12</v>
      </c>
      <c r="E57" s="124" t="s">
        <v>44</v>
      </c>
      <c r="F57" s="125" t="s">
        <v>102</v>
      </c>
      <c r="G57" s="126">
        <v>12</v>
      </c>
      <c r="H57" s="127" t="s">
        <v>93</v>
      </c>
      <c r="I57" s="128">
        <v>230887267</v>
      </c>
      <c r="J57" s="10">
        <v>0</v>
      </c>
      <c r="K57" s="10">
        <v>0</v>
      </c>
      <c r="L57" s="10">
        <v>26</v>
      </c>
      <c r="M57" s="10">
        <v>1185600</v>
      </c>
      <c r="N57" s="10">
        <v>3</v>
      </c>
      <c r="O57" s="10">
        <v>115840</v>
      </c>
      <c r="P57" s="10">
        <v>4</v>
      </c>
      <c r="Q57" s="10">
        <v>1180020</v>
      </c>
      <c r="R57" s="10">
        <v>1</v>
      </c>
      <c r="S57" s="10">
        <v>44380</v>
      </c>
      <c r="T57" s="247">
        <f t="shared" ref="T57:T59" si="44">J57+L57+N57+P57+R57</f>
        <v>34</v>
      </c>
      <c r="U57" s="247">
        <f t="shared" ref="U57:U59" si="45">K57+M57+O57+Q57+S57</f>
        <v>2525840</v>
      </c>
      <c r="V57" s="251">
        <v>34</v>
      </c>
      <c r="W57" s="251">
        <v>2525840</v>
      </c>
      <c r="X57" s="247">
        <f t="shared" si="5"/>
        <v>0</v>
      </c>
      <c r="Y57" s="248">
        <f t="shared" si="6"/>
        <v>0</v>
      </c>
      <c r="Z57" s="1"/>
      <c r="AA57" s="69"/>
    </row>
    <row r="58" spans="1:27" ht="12" customHeight="1" x14ac:dyDescent="0.2">
      <c r="A58" s="1"/>
      <c r="B58" s="241">
        <v>46308</v>
      </c>
      <c r="C58" s="107">
        <f t="shared" si="7"/>
        <v>2026101</v>
      </c>
      <c r="D58" s="107">
        <v>12</v>
      </c>
      <c r="E58" s="108" t="s">
        <v>44</v>
      </c>
      <c r="F58" s="109" t="s">
        <v>102</v>
      </c>
      <c r="G58" s="110">
        <v>13</v>
      </c>
      <c r="H58" s="111" t="s">
        <v>95</v>
      </c>
      <c r="I58" s="112">
        <v>230887267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249">
        <f t="shared" si="44"/>
        <v>0</v>
      </c>
      <c r="U58" s="249">
        <f t="shared" si="45"/>
        <v>0</v>
      </c>
      <c r="V58" s="251">
        <v>0</v>
      </c>
      <c r="W58" s="251">
        <v>0</v>
      </c>
      <c r="X58" s="249">
        <f t="shared" si="5"/>
        <v>0</v>
      </c>
      <c r="Y58" s="250">
        <f t="shared" si="6"/>
        <v>0</v>
      </c>
      <c r="Z58" s="1"/>
      <c r="AA58" s="69"/>
    </row>
    <row r="59" spans="1:27" ht="12" customHeight="1" thickBot="1" x14ac:dyDescent="0.25">
      <c r="A59" s="1"/>
      <c r="B59" s="242">
        <v>46308</v>
      </c>
      <c r="C59" s="113">
        <f t="shared" si="7"/>
        <v>2026101</v>
      </c>
      <c r="D59" s="113">
        <v>12</v>
      </c>
      <c r="E59" s="114" t="s">
        <v>44</v>
      </c>
      <c r="F59" s="115" t="s">
        <v>102</v>
      </c>
      <c r="G59" s="116">
        <v>14</v>
      </c>
      <c r="H59" s="117" t="s">
        <v>97</v>
      </c>
      <c r="I59" s="118">
        <v>230887267</v>
      </c>
      <c r="J59" s="119">
        <v>0</v>
      </c>
      <c r="K59" s="119">
        <v>0</v>
      </c>
      <c r="L59" s="119">
        <v>0</v>
      </c>
      <c r="M59" s="119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251">
        <f t="shared" si="44"/>
        <v>0</v>
      </c>
      <c r="U59" s="251">
        <f t="shared" si="45"/>
        <v>0</v>
      </c>
      <c r="V59" s="251">
        <v>0</v>
      </c>
      <c r="W59" s="251">
        <v>0</v>
      </c>
      <c r="X59" s="249">
        <f t="shared" si="5"/>
        <v>0</v>
      </c>
      <c r="Y59" s="252">
        <f t="shared" si="6"/>
        <v>0</v>
      </c>
      <c r="Z59" s="1"/>
      <c r="AA59" s="69"/>
    </row>
    <row r="60" spans="1:27" s="45" customFormat="1" ht="12" customHeight="1" thickBot="1" x14ac:dyDescent="0.25">
      <c r="A60" s="3"/>
      <c r="B60" s="129"/>
      <c r="C60" s="130">
        <f t="shared" si="7"/>
        <v>2026101</v>
      </c>
      <c r="D60" s="131"/>
      <c r="E60" s="121"/>
      <c r="F60" s="122" t="s">
        <v>4</v>
      </c>
      <c r="G60" s="122"/>
      <c r="H60" s="122"/>
      <c r="I60" s="122"/>
      <c r="J60" s="122">
        <f t="shared" ref="J60:Y60" si="46">SUM(J57:J59)</f>
        <v>0</v>
      </c>
      <c r="K60" s="122">
        <f t="shared" si="46"/>
        <v>0</v>
      </c>
      <c r="L60" s="122">
        <f t="shared" si="46"/>
        <v>26</v>
      </c>
      <c r="M60" s="122">
        <f t="shared" si="46"/>
        <v>1185600</v>
      </c>
      <c r="N60" s="122">
        <f t="shared" si="46"/>
        <v>3</v>
      </c>
      <c r="O60" s="122">
        <f t="shared" si="46"/>
        <v>115840</v>
      </c>
      <c r="P60" s="122">
        <f t="shared" si="46"/>
        <v>4</v>
      </c>
      <c r="Q60" s="122">
        <f t="shared" si="46"/>
        <v>1180020</v>
      </c>
      <c r="R60" s="122">
        <f t="shared" si="46"/>
        <v>1</v>
      </c>
      <c r="S60" s="122">
        <f t="shared" si="46"/>
        <v>44380</v>
      </c>
      <c r="T60" s="122">
        <f t="shared" si="46"/>
        <v>34</v>
      </c>
      <c r="U60" s="122">
        <f t="shared" si="46"/>
        <v>2525840</v>
      </c>
      <c r="V60" s="122">
        <f t="shared" si="46"/>
        <v>34</v>
      </c>
      <c r="W60" s="122">
        <f t="shared" si="46"/>
        <v>2525840</v>
      </c>
      <c r="X60" s="122">
        <f t="shared" si="46"/>
        <v>0</v>
      </c>
      <c r="Y60" s="253">
        <f t="shared" si="46"/>
        <v>0</v>
      </c>
      <c r="Z60" s="3"/>
      <c r="AA60" s="69"/>
    </row>
    <row r="61" spans="1:27" ht="12" customHeight="1" x14ac:dyDescent="0.2">
      <c r="A61" s="1"/>
      <c r="B61" s="379">
        <v>46309</v>
      </c>
      <c r="C61" s="123">
        <f t="shared" si="7"/>
        <v>2026101</v>
      </c>
      <c r="D61" s="123">
        <v>13</v>
      </c>
      <c r="E61" s="124" t="s">
        <v>44</v>
      </c>
      <c r="F61" s="125" t="s">
        <v>102</v>
      </c>
      <c r="G61" s="126">
        <v>12</v>
      </c>
      <c r="H61" s="127" t="s">
        <v>93</v>
      </c>
      <c r="I61" s="128">
        <v>230887267</v>
      </c>
      <c r="J61" s="10">
        <v>41</v>
      </c>
      <c r="K61" s="10">
        <v>3174650</v>
      </c>
      <c r="L61" s="10">
        <v>275</v>
      </c>
      <c r="M61" s="10">
        <v>19192410</v>
      </c>
      <c r="N61" s="10">
        <v>70</v>
      </c>
      <c r="O61" s="10">
        <v>3441550</v>
      </c>
      <c r="P61" s="10">
        <v>111</v>
      </c>
      <c r="Q61" s="10">
        <v>10552310</v>
      </c>
      <c r="R61" s="10">
        <v>52</v>
      </c>
      <c r="S61" s="10">
        <v>2853750</v>
      </c>
      <c r="T61" s="247">
        <f t="shared" ref="T61:T63" si="47">J61+L61+N61+P61+R61</f>
        <v>549</v>
      </c>
      <c r="U61" s="247">
        <f t="shared" ref="U61:U63" si="48">K61+M61+O61+Q61+S61</f>
        <v>39214670</v>
      </c>
      <c r="V61" s="251">
        <v>549</v>
      </c>
      <c r="W61" s="251">
        <v>39214670</v>
      </c>
      <c r="X61" s="249">
        <f>V61-T61</f>
        <v>0</v>
      </c>
      <c r="Y61" s="250">
        <f>W61-U61</f>
        <v>0</v>
      </c>
      <c r="Z61" s="1"/>
      <c r="AA61" s="69"/>
    </row>
    <row r="62" spans="1:27" ht="12" customHeight="1" x14ac:dyDescent="0.2">
      <c r="A62" s="1"/>
      <c r="B62" s="241">
        <v>46309</v>
      </c>
      <c r="C62" s="107">
        <f t="shared" si="7"/>
        <v>2026101</v>
      </c>
      <c r="D62" s="107">
        <v>13</v>
      </c>
      <c r="E62" s="108" t="s">
        <v>44</v>
      </c>
      <c r="F62" s="109" t="s">
        <v>102</v>
      </c>
      <c r="G62" s="110">
        <v>13</v>
      </c>
      <c r="H62" s="111" t="s">
        <v>95</v>
      </c>
      <c r="I62" s="112">
        <v>230887267</v>
      </c>
      <c r="J62" s="9">
        <f>5+197+4</f>
        <v>206</v>
      </c>
      <c r="K62" s="9">
        <f>3013270+52336960+4362840</f>
        <v>59713070</v>
      </c>
      <c r="L62" s="9">
        <f>1+350+14+1</f>
        <v>366</v>
      </c>
      <c r="M62" s="9">
        <f>53580+52225320+78551410+151810</f>
        <v>130982120</v>
      </c>
      <c r="N62" s="9">
        <f>223+2+6+1</f>
        <v>232</v>
      </c>
      <c r="O62" s="9">
        <f>29178850+4920710+49759610+4199400</f>
        <v>88058570</v>
      </c>
      <c r="P62" s="9">
        <f>1+232+3+10</f>
        <v>246</v>
      </c>
      <c r="Q62" s="9">
        <f>339940+97256540+317170+6715590</f>
        <v>104629240</v>
      </c>
      <c r="R62" s="9">
        <f>132+2</f>
        <v>134</v>
      </c>
      <c r="S62" s="9">
        <f>22107610+100930</f>
        <v>22208540</v>
      </c>
      <c r="T62" s="249">
        <f t="shared" si="47"/>
        <v>1184</v>
      </c>
      <c r="U62" s="249">
        <f t="shared" si="48"/>
        <v>405591540</v>
      </c>
      <c r="V62" s="251">
        <f>1134+7+23+19+1</f>
        <v>1184</v>
      </c>
      <c r="W62" s="251">
        <f>253105280+3406790+88152130+56727940+4199400</f>
        <v>405591540</v>
      </c>
      <c r="X62" s="249">
        <f>T62-V62</f>
        <v>0</v>
      </c>
      <c r="Y62" s="250">
        <f>W62-U62</f>
        <v>0</v>
      </c>
      <c r="Z62" s="1"/>
      <c r="AA62" s="69"/>
    </row>
    <row r="63" spans="1:27" ht="12" customHeight="1" thickBot="1" x14ac:dyDescent="0.25">
      <c r="A63" s="1"/>
      <c r="B63" s="242">
        <v>46309</v>
      </c>
      <c r="C63" s="113">
        <f t="shared" si="7"/>
        <v>2026101</v>
      </c>
      <c r="D63" s="113">
        <v>13</v>
      </c>
      <c r="E63" s="114" t="s">
        <v>44</v>
      </c>
      <c r="F63" s="115" t="s">
        <v>102</v>
      </c>
      <c r="G63" s="116">
        <v>14</v>
      </c>
      <c r="H63" s="117" t="s">
        <v>97</v>
      </c>
      <c r="I63" s="118">
        <v>230887267</v>
      </c>
      <c r="J63" s="119">
        <v>49</v>
      </c>
      <c r="K63" s="119">
        <v>7371107</v>
      </c>
      <c r="L63" s="119">
        <v>82</v>
      </c>
      <c r="M63" s="119">
        <v>16278263</v>
      </c>
      <c r="N63" s="119">
        <v>15</v>
      </c>
      <c r="O63" s="119">
        <v>15006440</v>
      </c>
      <c r="P63" s="119">
        <v>85</v>
      </c>
      <c r="Q63" s="119">
        <v>30560298</v>
      </c>
      <c r="R63" s="119">
        <v>36</v>
      </c>
      <c r="S63" s="119">
        <v>1729087</v>
      </c>
      <c r="T63" s="251">
        <f t="shared" si="47"/>
        <v>267</v>
      </c>
      <c r="U63" s="251">
        <f t="shared" si="48"/>
        <v>70945195</v>
      </c>
      <c r="V63" s="251">
        <v>267</v>
      </c>
      <c r="W63" s="251">
        <v>70945195</v>
      </c>
      <c r="X63" s="249">
        <f>V63-T63</f>
        <v>0</v>
      </c>
      <c r="Y63" s="250">
        <f>W63-U63</f>
        <v>0</v>
      </c>
      <c r="Z63" s="1"/>
      <c r="AA63" s="69"/>
    </row>
    <row r="64" spans="1:27" s="45" customFormat="1" ht="12" customHeight="1" thickBot="1" x14ac:dyDescent="0.25">
      <c r="A64" s="3"/>
      <c r="B64" s="129"/>
      <c r="C64" s="130">
        <f t="shared" si="7"/>
        <v>2026101</v>
      </c>
      <c r="D64" s="131"/>
      <c r="E64" s="121"/>
      <c r="F64" s="122" t="s">
        <v>4</v>
      </c>
      <c r="G64" s="122"/>
      <c r="H64" s="122"/>
      <c r="I64" s="122"/>
      <c r="J64" s="122">
        <f t="shared" ref="J64:R64" si="49">SUM(J61:J63)</f>
        <v>296</v>
      </c>
      <c r="K64" s="122">
        <f>SUM(K61:K63)</f>
        <v>70258827</v>
      </c>
      <c r="L64" s="122">
        <f t="shared" si="49"/>
        <v>723</v>
      </c>
      <c r="M64" s="122">
        <f>SUM(M61:M63)</f>
        <v>166452793</v>
      </c>
      <c r="N64" s="122">
        <f t="shared" si="49"/>
        <v>317</v>
      </c>
      <c r="O64" s="122">
        <f>SUM(O61:O63)</f>
        <v>106506560</v>
      </c>
      <c r="P64" s="122">
        <f t="shared" si="49"/>
        <v>442</v>
      </c>
      <c r="Q64" s="122">
        <f>SUM(Q61:Q63)</f>
        <v>145741848</v>
      </c>
      <c r="R64" s="122">
        <f t="shared" si="49"/>
        <v>222</v>
      </c>
      <c r="S64" s="122">
        <f>SUM(S61:S63)</f>
        <v>26791377</v>
      </c>
      <c r="T64" s="122">
        <f t="shared" ref="T64:Y64" si="50">SUM(T61:T63)</f>
        <v>2000</v>
      </c>
      <c r="U64" s="122">
        <f t="shared" si="50"/>
        <v>515751405</v>
      </c>
      <c r="V64" s="122">
        <f t="shared" si="50"/>
        <v>2000</v>
      </c>
      <c r="W64" s="122">
        <f t="shared" si="50"/>
        <v>515751405</v>
      </c>
      <c r="X64" s="122">
        <f t="shared" si="50"/>
        <v>0</v>
      </c>
      <c r="Y64" s="253">
        <f t="shared" si="50"/>
        <v>0</v>
      </c>
      <c r="Z64" s="3"/>
      <c r="AA64" s="69"/>
    </row>
    <row r="65" spans="1:27" ht="12" customHeight="1" x14ac:dyDescent="0.2">
      <c r="A65" s="1"/>
      <c r="B65" s="379">
        <v>46310</v>
      </c>
      <c r="C65" s="123">
        <f t="shared" si="7"/>
        <v>2026101</v>
      </c>
      <c r="D65" s="123">
        <v>14</v>
      </c>
      <c r="E65" s="124" t="s">
        <v>44</v>
      </c>
      <c r="F65" s="125" t="s">
        <v>102</v>
      </c>
      <c r="G65" s="126">
        <v>12</v>
      </c>
      <c r="H65" s="127" t="s">
        <v>93</v>
      </c>
      <c r="I65" s="128">
        <v>230887267</v>
      </c>
      <c r="J65" s="10">
        <v>40</v>
      </c>
      <c r="K65" s="10">
        <v>4520220</v>
      </c>
      <c r="L65" s="10">
        <v>233</v>
      </c>
      <c r="M65" s="10">
        <v>20060270</v>
      </c>
      <c r="N65" s="10">
        <v>56</v>
      </c>
      <c r="O65" s="10">
        <v>9047700</v>
      </c>
      <c r="P65" s="10">
        <v>129</v>
      </c>
      <c r="Q65" s="10">
        <v>11737020</v>
      </c>
      <c r="R65" s="10">
        <v>48</v>
      </c>
      <c r="S65" s="10">
        <v>2472520</v>
      </c>
      <c r="T65" s="247">
        <f t="shared" ref="T65:T67" si="51">J65+L65+N65+P65+R65</f>
        <v>506</v>
      </c>
      <c r="U65" s="247">
        <f t="shared" ref="U65:U67" si="52">K65+M65+O65+Q65+S65</f>
        <v>47837730</v>
      </c>
      <c r="V65" s="251">
        <v>506</v>
      </c>
      <c r="W65" s="251">
        <v>47837730</v>
      </c>
      <c r="X65" s="247">
        <f t="shared" si="5"/>
        <v>0</v>
      </c>
      <c r="Y65" s="248">
        <f t="shared" si="6"/>
        <v>0</v>
      </c>
      <c r="Z65" s="1"/>
      <c r="AA65" s="69"/>
    </row>
    <row r="66" spans="1:27" ht="12" customHeight="1" x14ac:dyDescent="0.2">
      <c r="A66" s="1"/>
      <c r="B66" s="241">
        <v>46310</v>
      </c>
      <c r="C66" s="107">
        <f t="shared" si="7"/>
        <v>2026101</v>
      </c>
      <c r="D66" s="107">
        <v>14</v>
      </c>
      <c r="E66" s="108" t="s">
        <v>44</v>
      </c>
      <c r="F66" s="109" t="s">
        <v>102</v>
      </c>
      <c r="G66" s="110">
        <v>13</v>
      </c>
      <c r="H66" s="111" t="s">
        <v>95</v>
      </c>
      <c r="I66" s="112">
        <v>230887267</v>
      </c>
      <c r="J66" s="9">
        <f>1+139+2</f>
        <v>142</v>
      </c>
      <c r="K66" s="9">
        <f>55320+26700210+605260</f>
        <v>27360790</v>
      </c>
      <c r="L66" s="9">
        <f>12+6+2+157</f>
        <v>177</v>
      </c>
      <c r="M66" s="9">
        <f>2180250+3106049+4923020+70796020</f>
        <v>81005339</v>
      </c>
      <c r="N66" s="9">
        <f>1+86+1+4</f>
        <v>92</v>
      </c>
      <c r="O66" s="9">
        <f>102940+40779650+310080+3510610</f>
        <v>44703280</v>
      </c>
      <c r="P66" s="9">
        <f>1+138+2+6</f>
        <v>147</v>
      </c>
      <c r="Q66" s="9">
        <f>83780+20196360+14920+497190</f>
        <v>20792250</v>
      </c>
      <c r="R66" s="9">
        <f>5+58</f>
        <v>63</v>
      </c>
      <c r="S66" s="9">
        <f>402340+6004030</f>
        <v>6406370</v>
      </c>
      <c r="T66" s="249">
        <f t="shared" si="51"/>
        <v>621</v>
      </c>
      <c r="U66" s="249">
        <f t="shared" si="52"/>
        <v>180268029</v>
      </c>
      <c r="V66" s="251">
        <f>578+10+9+24</f>
        <v>621</v>
      </c>
      <c r="W66" s="251">
        <f>164476270+5567400+3431049+6793310</f>
        <v>180268029</v>
      </c>
      <c r="X66" s="249">
        <f t="shared" si="5"/>
        <v>0</v>
      </c>
      <c r="Y66" s="250">
        <f t="shared" si="6"/>
        <v>0</v>
      </c>
      <c r="Z66" s="1"/>
      <c r="AA66" s="69"/>
    </row>
    <row r="67" spans="1:27" ht="12" customHeight="1" thickBot="1" x14ac:dyDescent="0.25">
      <c r="A67" s="1"/>
      <c r="B67" s="242">
        <v>46310</v>
      </c>
      <c r="C67" s="113">
        <f t="shared" si="7"/>
        <v>2026101</v>
      </c>
      <c r="D67" s="113">
        <v>14</v>
      </c>
      <c r="E67" s="114" t="s">
        <v>44</v>
      </c>
      <c r="F67" s="115" t="s">
        <v>102</v>
      </c>
      <c r="G67" s="116">
        <v>14</v>
      </c>
      <c r="H67" s="117" t="s">
        <v>97</v>
      </c>
      <c r="I67" s="118">
        <v>230887267</v>
      </c>
      <c r="J67" s="119">
        <v>50</v>
      </c>
      <c r="K67" s="119">
        <v>2844683</v>
      </c>
      <c r="L67" s="119">
        <v>62</v>
      </c>
      <c r="M67" s="119">
        <v>12123532</v>
      </c>
      <c r="N67" s="119">
        <v>19</v>
      </c>
      <c r="O67" s="119">
        <v>4785508</v>
      </c>
      <c r="P67" s="119">
        <v>85</v>
      </c>
      <c r="Q67" s="119">
        <v>6535692</v>
      </c>
      <c r="R67" s="119">
        <v>32</v>
      </c>
      <c r="S67" s="119">
        <v>1902919</v>
      </c>
      <c r="T67" s="251">
        <f t="shared" si="51"/>
        <v>248</v>
      </c>
      <c r="U67" s="251">
        <f t="shared" si="52"/>
        <v>28192334</v>
      </c>
      <c r="V67" s="251">
        <v>248</v>
      </c>
      <c r="W67" s="251">
        <v>28192334</v>
      </c>
      <c r="X67" s="251">
        <f t="shared" si="5"/>
        <v>0</v>
      </c>
      <c r="Y67" s="252">
        <f t="shared" si="6"/>
        <v>0</v>
      </c>
      <c r="Z67" s="1"/>
      <c r="AA67" s="69"/>
    </row>
    <row r="68" spans="1:27" s="45" customFormat="1" ht="12" customHeight="1" thickBot="1" x14ac:dyDescent="0.25">
      <c r="A68" s="3"/>
      <c r="B68" s="129"/>
      <c r="C68" s="130">
        <f t="shared" si="7"/>
        <v>2026101</v>
      </c>
      <c r="D68" s="131"/>
      <c r="E68" s="121"/>
      <c r="F68" s="122" t="s">
        <v>4</v>
      </c>
      <c r="G68" s="122"/>
      <c r="H68" s="122"/>
      <c r="I68" s="122"/>
      <c r="J68" s="122">
        <f t="shared" ref="J68:S68" si="53">SUM(J65:J67)</f>
        <v>232</v>
      </c>
      <c r="K68" s="122">
        <f t="shared" si="53"/>
        <v>34725693</v>
      </c>
      <c r="L68" s="122">
        <f t="shared" si="53"/>
        <v>472</v>
      </c>
      <c r="M68" s="122">
        <f t="shared" si="53"/>
        <v>113189141</v>
      </c>
      <c r="N68" s="122">
        <f t="shared" si="53"/>
        <v>167</v>
      </c>
      <c r="O68" s="122">
        <f t="shared" si="53"/>
        <v>58536488</v>
      </c>
      <c r="P68" s="122">
        <f t="shared" si="53"/>
        <v>361</v>
      </c>
      <c r="Q68" s="122">
        <f t="shared" si="53"/>
        <v>39064962</v>
      </c>
      <c r="R68" s="122">
        <f t="shared" si="53"/>
        <v>143</v>
      </c>
      <c r="S68" s="122">
        <f t="shared" si="53"/>
        <v>10781809</v>
      </c>
      <c r="T68" s="122">
        <f t="shared" ref="T68:Y68" si="54">SUM(T65:T67)</f>
        <v>1375</v>
      </c>
      <c r="U68" s="122">
        <f>SUM(U65:U67)</f>
        <v>256298093</v>
      </c>
      <c r="V68" s="122">
        <f t="shared" si="54"/>
        <v>1375</v>
      </c>
      <c r="W68" s="122">
        <f>SUM(W65:W67)</f>
        <v>256298093</v>
      </c>
      <c r="X68" s="122">
        <f t="shared" si="54"/>
        <v>0</v>
      </c>
      <c r="Y68" s="253">
        <f t="shared" si="54"/>
        <v>0</v>
      </c>
      <c r="Z68" s="3"/>
      <c r="AA68" s="69"/>
    </row>
    <row r="69" spans="1:27" ht="12" customHeight="1" x14ac:dyDescent="0.2">
      <c r="A69" s="1"/>
      <c r="B69" s="379">
        <v>46311</v>
      </c>
      <c r="C69" s="123">
        <f t="shared" si="7"/>
        <v>2026101</v>
      </c>
      <c r="D69" s="123">
        <v>15</v>
      </c>
      <c r="E69" s="124" t="s">
        <v>44</v>
      </c>
      <c r="F69" s="125" t="s">
        <v>102</v>
      </c>
      <c r="G69" s="126">
        <v>12</v>
      </c>
      <c r="H69" s="127" t="s">
        <v>93</v>
      </c>
      <c r="I69" s="128">
        <v>230887267</v>
      </c>
      <c r="J69" s="10">
        <v>31</v>
      </c>
      <c r="K69" s="10">
        <v>2936140</v>
      </c>
      <c r="L69" s="10">
        <v>258</v>
      </c>
      <c r="M69" s="10">
        <v>21932460</v>
      </c>
      <c r="N69" s="10">
        <v>77</v>
      </c>
      <c r="O69" s="10">
        <v>5075770</v>
      </c>
      <c r="P69" s="10">
        <v>150</v>
      </c>
      <c r="Q69" s="10">
        <v>15195940</v>
      </c>
      <c r="R69" s="10">
        <v>45</v>
      </c>
      <c r="S69" s="10">
        <v>2055540</v>
      </c>
      <c r="T69" s="247">
        <f t="shared" ref="T69:T71" si="55">J69+L69+N69+P69+R69</f>
        <v>561</v>
      </c>
      <c r="U69" s="247">
        <f t="shared" ref="U69:U71" si="56">K69+M69+O69+Q69+S69</f>
        <v>47195850</v>
      </c>
      <c r="V69" s="251">
        <v>561</v>
      </c>
      <c r="W69" s="251">
        <v>47195850</v>
      </c>
      <c r="X69" s="247">
        <f t="shared" si="5"/>
        <v>0</v>
      </c>
      <c r="Y69" s="248">
        <f t="shared" si="6"/>
        <v>0</v>
      </c>
      <c r="Z69" s="1"/>
      <c r="AA69" s="69"/>
    </row>
    <row r="70" spans="1:27" ht="12" customHeight="1" x14ac:dyDescent="0.2">
      <c r="A70" s="1"/>
      <c r="B70" s="241">
        <v>46311</v>
      </c>
      <c r="C70" s="107">
        <f t="shared" si="7"/>
        <v>2026101</v>
      </c>
      <c r="D70" s="107">
        <v>15</v>
      </c>
      <c r="E70" s="108" t="s">
        <v>44</v>
      </c>
      <c r="F70" s="109" t="s">
        <v>102</v>
      </c>
      <c r="G70" s="110">
        <v>13</v>
      </c>
      <c r="H70" s="111" t="s">
        <v>95</v>
      </c>
      <c r="I70" s="112">
        <v>230887267</v>
      </c>
      <c r="J70" s="9">
        <f>83+2+26</f>
        <v>111</v>
      </c>
      <c r="K70" s="9">
        <f>29645230+1584990+1791800</f>
        <v>33022020</v>
      </c>
      <c r="L70" s="9">
        <f>161+3+25</f>
        <v>189</v>
      </c>
      <c r="M70" s="9">
        <f>31393620+4572110+5613070</f>
        <v>41578800</v>
      </c>
      <c r="N70" s="9">
        <f>104+2+1</f>
        <v>107</v>
      </c>
      <c r="O70" s="9">
        <f>42439920+3542940+39623</f>
        <v>46022483</v>
      </c>
      <c r="P70" s="9">
        <f>109+1+3</f>
        <v>113</v>
      </c>
      <c r="Q70" s="9">
        <f>14987190+444620+1819909</f>
        <v>17251719</v>
      </c>
      <c r="R70" s="9">
        <f>79+16</f>
        <v>95</v>
      </c>
      <c r="S70" s="9">
        <f>5629460+13064870</f>
        <v>18694330</v>
      </c>
      <c r="T70" s="249">
        <f t="shared" si="55"/>
        <v>615</v>
      </c>
      <c r="U70" s="249">
        <f t="shared" si="56"/>
        <v>156569352</v>
      </c>
      <c r="V70" s="251">
        <f>536+8+71</f>
        <v>615</v>
      </c>
      <c r="W70" s="251">
        <f>124095420+10144660+22329272</f>
        <v>156569352</v>
      </c>
      <c r="X70" s="249">
        <f t="shared" si="5"/>
        <v>0</v>
      </c>
      <c r="Y70" s="250">
        <f t="shared" si="6"/>
        <v>0</v>
      </c>
      <c r="Z70" s="1"/>
      <c r="AA70" s="69"/>
    </row>
    <row r="71" spans="1:27" ht="12" customHeight="1" thickBot="1" x14ac:dyDescent="0.25">
      <c r="A71" s="1"/>
      <c r="B71" s="242">
        <v>46311</v>
      </c>
      <c r="C71" s="113">
        <f t="shared" si="7"/>
        <v>2026101</v>
      </c>
      <c r="D71" s="113">
        <v>15</v>
      </c>
      <c r="E71" s="114" t="s">
        <v>44</v>
      </c>
      <c r="F71" s="115" t="s">
        <v>102</v>
      </c>
      <c r="G71" s="116">
        <v>14</v>
      </c>
      <c r="H71" s="117" t="s">
        <v>97</v>
      </c>
      <c r="I71" s="118">
        <v>230887267</v>
      </c>
      <c r="J71" s="119">
        <v>40</v>
      </c>
      <c r="K71" s="119">
        <v>2775794</v>
      </c>
      <c r="L71" s="119">
        <v>100</v>
      </c>
      <c r="M71" s="119">
        <v>12809277</v>
      </c>
      <c r="N71" s="119">
        <v>21</v>
      </c>
      <c r="O71" s="119">
        <v>1976090</v>
      </c>
      <c r="P71" s="119">
        <v>78</v>
      </c>
      <c r="Q71" s="119">
        <v>10343671</v>
      </c>
      <c r="R71" s="119">
        <v>43</v>
      </c>
      <c r="S71" s="119">
        <v>4323750</v>
      </c>
      <c r="T71" s="251">
        <f t="shared" si="55"/>
        <v>282</v>
      </c>
      <c r="U71" s="251">
        <f t="shared" si="56"/>
        <v>32228582</v>
      </c>
      <c r="V71" s="251">
        <v>282</v>
      </c>
      <c r="W71" s="251">
        <v>32228582</v>
      </c>
      <c r="X71" s="251">
        <f t="shared" si="5"/>
        <v>0</v>
      </c>
      <c r="Y71" s="252">
        <f t="shared" si="6"/>
        <v>0</v>
      </c>
      <c r="Z71" s="1"/>
      <c r="AA71" s="69"/>
    </row>
    <row r="72" spans="1:27" s="45" customFormat="1" ht="12" customHeight="1" thickBot="1" x14ac:dyDescent="0.25">
      <c r="A72" s="3"/>
      <c r="B72" s="129"/>
      <c r="C72" s="130">
        <f t="shared" si="7"/>
        <v>2026101</v>
      </c>
      <c r="D72" s="131"/>
      <c r="E72" s="121"/>
      <c r="F72" s="122" t="s">
        <v>4</v>
      </c>
      <c r="G72" s="122"/>
      <c r="H72" s="122"/>
      <c r="I72" s="122"/>
      <c r="J72" s="122">
        <f>SUM(J69:J71)</f>
        <v>182</v>
      </c>
      <c r="K72" s="122">
        <f t="shared" ref="K72:Y72" si="57">SUM(K69:K71)</f>
        <v>38733954</v>
      </c>
      <c r="L72" s="122">
        <f t="shared" si="57"/>
        <v>547</v>
      </c>
      <c r="M72" s="122">
        <f t="shared" si="57"/>
        <v>76320537</v>
      </c>
      <c r="N72" s="122">
        <f t="shared" si="57"/>
        <v>205</v>
      </c>
      <c r="O72" s="122">
        <f>SUM(O69:O71)</f>
        <v>53074343</v>
      </c>
      <c r="P72" s="122">
        <f t="shared" si="57"/>
        <v>341</v>
      </c>
      <c r="Q72" s="122">
        <f t="shared" si="57"/>
        <v>42791330</v>
      </c>
      <c r="R72" s="122">
        <f t="shared" si="57"/>
        <v>183</v>
      </c>
      <c r="S72" s="122">
        <f t="shared" si="57"/>
        <v>25073620</v>
      </c>
      <c r="T72" s="122">
        <f t="shared" si="57"/>
        <v>1458</v>
      </c>
      <c r="U72" s="122">
        <f t="shared" si="57"/>
        <v>235993784</v>
      </c>
      <c r="V72" s="122">
        <f t="shared" si="57"/>
        <v>1458</v>
      </c>
      <c r="W72" s="122">
        <f t="shared" si="57"/>
        <v>235993784</v>
      </c>
      <c r="X72" s="122">
        <f t="shared" si="57"/>
        <v>0</v>
      </c>
      <c r="Y72" s="253">
        <f t="shared" si="57"/>
        <v>0</v>
      </c>
      <c r="Z72" s="3"/>
      <c r="AA72" s="69"/>
    </row>
    <row r="73" spans="1:27" ht="12" customHeight="1" x14ac:dyDescent="0.2">
      <c r="A73" s="1"/>
      <c r="B73" s="379">
        <v>46314</v>
      </c>
      <c r="C73" s="132">
        <f>C2</f>
        <v>2026102</v>
      </c>
      <c r="D73" s="123">
        <v>16</v>
      </c>
      <c r="E73" s="124" t="s">
        <v>44</v>
      </c>
      <c r="F73" s="125" t="s">
        <v>102</v>
      </c>
      <c r="G73" s="126">
        <v>12</v>
      </c>
      <c r="H73" s="127" t="s">
        <v>93</v>
      </c>
      <c r="I73" s="128">
        <v>230887267</v>
      </c>
      <c r="J73" s="10">
        <v>58</v>
      </c>
      <c r="K73" s="10">
        <v>3979770</v>
      </c>
      <c r="L73" s="10">
        <v>262</v>
      </c>
      <c r="M73" s="10">
        <v>25866960</v>
      </c>
      <c r="N73" s="10">
        <v>61</v>
      </c>
      <c r="O73" s="10">
        <v>5895900</v>
      </c>
      <c r="P73" s="10">
        <v>147</v>
      </c>
      <c r="Q73" s="10">
        <v>18050270</v>
      </c>
      <c r="R73" s="10">
        <v>69</v>
      </c>
      <c r="S73" s="10">
        <v>4368960</v>
      </c>
      <c r="T73" s="247">
        <f t="shared" ref="T73:T75" si="58">J73+L73+N73+P73+R73</f>
        <v>597</v>
      </c>
      <c r="U73" s="247">
        <f t="shared" ref="U73:U75" si="59">K73+M73+O73+Q73+S73</f>
        <v>58161860</v>
      </c>
      <c r="V73" s="251">
        <v>597</v>
      </c>
      <c r="W73" s="251">
        <v>58161860</v>
      </c>
      <c r="X73" s="247">
        <f t="shared" si="5"/>
        <v>0</v>
      </c>
      <c r="Y73" s="248">
        <f t="shared" si="6"/>
        <v>0</v>
      </c>
      <c r="Z73" s="1"/>
      <c r="AA73" s="69"/>
    </row>
    <row r="74" spans="1:27" ht="12" customHeight="1" x14ac:dyDescent="0.2">
      <c r="A74" s="1"/>
      <c r="B74" s="241">
        <v>46314</v>
      </c>
      <c r="C74" s="133">
        <f>C73</f>
        <v>2026102</v>
      </c>
      <c r="D74" s="107">
        <v>16</v>
      </c>
      <c r="E74" s="108" t="s">
        <v>44</v>
      </c>
      <c r="F74" s="109" t="s">
        <v>102</v>
      </c>
      <c r="G74" s="110">
        <v>13</v>
      </c>
      <c r="H74" s="111" t="s">
        <v>95</v>
      </c>
      <c r="I74" s="112">
        <v>230887267</v>
      </c>
      <c r="J74" s="9">
        <f>1+156+16+32</f>
        <v>205</v>
      </c>
      <c r="K74" s="9">
        <f>112710+48804880+7432670+18238770</f>
        <v>74589030</v>
      </c>
      <c r="L74" s="9">
        <f>178+27</f>
        <v>205</v>
      </c>
      <c r="M74" s="9">
        <f>59868970+18585490</f>
        <v>78454460</v>
      </c>
      <c r="N74" s="9">
        <f>1+134+14</f>
        <v>149</v>
      </c>
      <c r="O74" s="9">
        <f>13491710+26909760+11230327</f>
        <v>51631797</v>
      </c>
      <c r="P74" s="9">
        <f>156+5</f>
        <v>161</v>
      </c>
      <c r="Q74" s="9">
        <f>28791100+15909829</f>
        <v>44700929</v>
      </c>
      <c r="R74" s="9">
        <f>98+4</f>
        <v>102</v>
      </c>
      <c r="S74" s="9">
        <f>20885490+3524320</f>
        <v>24409810</v>
      </c>
      <c r="T74" s="249">
        <f t="shared" si="58"/>
        <v>822</v>
      </c>
      <c r="U74" s="249">
        <f t="shared" si="59"/>
        <v>273786026</v>
      </c>
      <c r="V74" s="251">
        <f>6+718+16+82</f>
        <v>822</v>
      </c>
      <c r="W74" s="251">
        <f>21478780+177385840+7432670+67488736</f>
        <v>273786026</v>
      </c>
      <c r="X74" s="249">
        <f t="shared" si="5"/>
        <v>0</v>
      </c>
      <c r="Y74" s="250">
        <f t="shared" si="6"/>
        <v>0</v>
      </c>
      <c r="Z74" s="1"/>
      <c r="AA74" s="69"/>
    </row>
    <row r="75" spans="1:27" ht="12" customHeight="1" thickBot="1" x14ac:dyDescent="0.25">
      <c r="A75" s="1"/>
      <c r="B75" s="242">
        <v>46314</v>
      </c>
      <c r="C75" s="134">
        <f t="shared" ref="C75:C136" si="60">C74</f>
        <v>2026102</v>
      </c>
      <c r="D75" s="113">
        <v>16</v>
      </c>
      <c r="E75" s="114" t="s">
        <v>44</v>
      </c>
      <c r="F75" s="115" t="s">
        <v>102</v>
      </c>
      <c r="G75" s="116">
        <v>14</v>
      </c>
      <c r="H75" s="117" t="s">
        <v>97</v>
      </c>
      <c r="I75" s="118">
        <v>230887267</v>
      </c>
      <c r="J75" s="119">
        <f>50</f>
        <v>50</v>
      </c>
      <c r="K75" s="119">
        <v>5857169</v>
      </c>
      <c r="L75" s="119">
        <v>102</v>
      </c>
      <c r="M75" s="119">
        <v>43692734</v>
      </c>
      <c r="N75" s="119">
        <v>41</v>
      </c>
      <c r="O75" s="119">
        <v>49816397</v>
      </c>
      <c r="P75" s="119">
        <v>111</v>
      </c>
      <c r="Q75" s="119">
        <v>32697484</v>
      </c>
      <c r="R75" s="119">
        <v>24</v>
      </c>
      <c r="S75" s="119">
        <v>2884579</v>
      </c>
      <c r="T75" s="251">
        <f t="shared" si="58"/>
        <v>328</v>
      </c>
      <c r="U75" s="251">
        <f t="shared" si="59"/>
        <v>134948363</v>
      </c>
      <c r="V75" s="251">
        <v>328</v>
      </c>
      <c r="W75" s="251">
        <v>134948363</v>
      </c>
      <c r="X75" s="251">
        <f t="shared" si="5"/>
        <v>0</v>
      </c>
      <c r="Y75" s="252">
        <f t="shared" si="6"/>
        <v>0</v>
      </c>
      <c r="Z75" s="1"/>
      <c r="AA75" s="69"/>
    </row>
    <row r="76" spans="1:27" s="45" customFormat="1" ht="12" customHeight="1" thickBot="1" x14ac:dyDescent="0.25">
      <c r="A76" s="3"/>
      <c r="B76" s="129"/>
      <c r="C76" s="131">
        <f t="shared" si="60"/>
        <v>2026102</v>
      </c>
      <c r="D76" s="131"/>
      <c r="E76" s="121"/>
      <c r="F76" s="122" t="s">
        <v>4</v>
      </c>
      <c r="G76" s="122"/>
      <c r="H76" s="122"/>
      <c r="I76" s="122"/>
      <c r="J76" s="122">
        <f t="shared" ref="J76:Y76" si="61">SUM(J73:J75)</f>
        <v>313</v>
      </c>
      <c r="K76" s="122">
        <f t="shared" si="61"/>
        <v>84425969</v>
      </c>
      <c r="L76" s="122">
        <f t="shared" si="61"/>
        <v>569</v>
      </c>
      <c r="M76" s="122">
        <f t="shared" si="61"/>
        <v>148014154</v>
      </c>
      <c r="N76" s="122">
        <f t="shared" si="61"/>
        <v>251</v>
      </c>
      <c r="O76" s="122">
        <f t="shared" si="61"/>
        <v>107344094</v>
      </c>
      <c r="P76" s="122">
        <f t="shared" si="61"/>
        <v>419</v>
      </c>
      <c r="Q76" s="122">
        <f t="shared" si="61"/>
        <v>95448683</v>
      </c>
      <c r="R76" s="122">
        <f t="shared" si="61"/>
        <v>195</v>
      </c>
      <c r="S76" s="122">
        <f t="shared" si="61"/>
        <v>31663349</v>
      </c>
      <c r="T76" s="122">
        <f t="shared" si="61"/>
        <v>1747</v>
      </c>
      <c r="U76" s="122">
        <f t="shared" si="61"/>
        <v>466896249</v>
      </c>
      <c r="V76" s="122">
        <f t="shared" si="61"/>
        <v>1747</v>
      </c>
      <c r="W76" s="122">
        <f t="shared" si="61"/>
        <v>466896249</v>
      </c>
      <c r="X76" s="122">
        <f t="shared" si="61"/>
        <v>0</v>
      </c>
      <c r="Y76" s="253">
        <f t="shared" si="61"/>
        <v>0</v>
      </c>
      <c r="Z76" s="3"/>
      <c r="AA76" s="69"/>
    </row>
    <row r="77" spans="1:27" ht="12" customHeight="1" x14ac:dyDescent="0.2">
      <c r="A77" s="1"/>
      <c r="B77" s="379">
        <v>46314</v>
      </c>
      <c r="C77" s="132">
        <f t="shared" si="60"/>
        <v>2026102</v>
      </c>
      <c r="D77" s="123">
        <v>17</v>
      </c>
      <c r="E77" s="124" t="s">
        <v>44</v>
      </c>
      <c r="F77" s="125" t="s">
        <v>102</v>
      </c>
      <c r="G77" s="126">
        <v>12</v>
      </c>
      <c r="H77" s="127" t="s">
        <v>93</v>
      </c>
      <c r="I77" s="128">
        <v>230887267</v>
      </c>
      <c r="J77" s="10">
        <v>8</v>
      </c>
      <c r="K77" s="10">
        <v>357780</v>
      </c>
      <c r="L77" s="10">
        <v>140</v>
      </c>
      <c r="M77" s="10">
        <v>11225970</v>
      </c>
      <c r="N77" s="10">
        <v>18</v>
      </c>
      <c r="O77" s="10">
        <v>1038960</v>
      </c>
      <c r="P77" s="10">
        <v>48</v>
      </c>
      <c r="Q77" s="10">
        <v>5600570</v>
      </c>
      <c r="R77" s="10">
        <v>6</v>
      </c>
      <c r="S77" s="10">
        <v>208360</v>
      </c>
      <c r="T77" s="247">
        <f t="shared" ref="T77:T79" si="62">J77+L77+N77+P77+R77</f>
        <v>220</v>
      </c>
      <c r="U77" s="247">
        <f t="shared" ref="U77:U79" si="63">K77+M77+O77+Q77+S77</f>
        <v>18431640</v>
      </c>
      <c r="V77" s="251">
        <v>220</v>
      </c>
      <c r="W77" s="251">
        <v>18431640</v>
      </c>
      <c r="X77" s="247">
        <f t="shared" si="5"/>
        <v>0</v>
      </c>
      <c r="Y77" s="248">
        <f t="shared" si="6"/>
        <v>0</v>
      </c>
      <c r="Z77" s="1"/>
      <c r="AA77" s="69"/>
    </row>
    <row r="78" spans="1:27" ht="12" customHeight="1" x14ac:dyDescent="0.2">
      <c r="A78" s="1"/>
      <c r="B78" s="241">
        <v>46314</v>
      </c>
      <c r="C78" s="133">
        <f t="shared" si="60"/>
        <v>2026102</v>
      </c>
      <c r="D78" s="107">
        <v>17</v>
      </c>
      <c r="E78" s="108" t="s">
        <v>44</v>
      </c>
      <c r="F78" s="109" t="s">
        <v>102</v>
      </c>
      <c r="G78" s="110">
        <v>13</v>
      </c>
      <c r="H78" s="111" t="s">
        <v>95</v>
      </c>
      <c r="I78" s="112">
        <v>230887267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249">
        <f t="shared" si="62"/>
        <v>0</v>
      </c>
      <c r="U78" s="249">
        <f t="shared" si="63"/>
        <v>0</v>
      </c>
      <c r="V78" s="251">
        <v>0</v>
      </c>
      <c r="W78" s="251">
        <v>0</v>
      </c>
      <c r="X78" s="249">
        <f t="shared" ref="X78:X117" si="64">V78-T78</f>
        <v>0</v>
      </c>
      <c r="Y78" s="250">
        <f t="shared" ref="Y78:Y135" si="65">W78-U78</f>
        <v>0</v>
      </c>
      <c r="Z78" s="1"/>
      <c r="AA78" s="69"/>
    </row>
    <row r="79" spans="1:27" ht="12" customHeight="1" thickBot="1" x14ac:dyDescent="0.25">
      <c r="A79" s="1"/>
      <c r="B79" s="242">
        <v>46314</v>
      </c>
      <c r="C79" s="134">
        <f t="shared" si="60"/>
        <v>2026102</v>
      </c>
      <c r="D79" s="113">
        <v>17</v>
      </c>
      <c r="E79" s="114" t="s">
        <v>44</v>
      </c>
      <c r="F79" s="115" t="s">
        <v>102</v>
      </c>
      <c r="G79" s="116">
        <v>14</v>
      </c>
      <c r="H79" s="117" t="s">
        <v>97</v>
      </c>
      <c r="I79" s="118">
        <v>230887267</v>
      </c>
      <c r="J79" s="119">
        <v>0</v>
      </c>
      <c r="K79" s="119">
        <v>0</v>
      </c>
      <c r="L79" s="119">
        <v>0</v>
      </c>
      <c r="M79" s="119">
        <v>0</v>
      </c>
      <c r="N79" s="119">
        <v>0</v>
      </c>
      <c r="O79" s="119">
        <v>0</v>
      </c>
      <c r="P79" s="119">
        <v>0</v>
      </c>
      <c r="Q79" s="119">
        <v>0</v>
      </c>
      <c r="R79" s="119">
        <v>0</v>
      </c>
      <c r="S79" s="119">
        <v>0</v>
      </c>
      <c r="T79" s="251">
        <f t="shared" si="62"/>
        <v>0</v>
      </c>
      <c r="U79" s="251">
        <f t="shared" si="63"/>
        <v>0</v>
      </c>
      <c r="V79" s="251">
        <v>0</v>
      </c>
      <c r="W79" s="251">
        <v>0</v>
      </c>
      <c r="X79" s="251">
        <f t="shared" si="64"/>
        <v>0</v>
      </c>
      <c r="Y79" s="252">
        <f t="shared" si="65"/>
        <v>0</v>
      </c>
      <c r="Z79" s="1"/>
      <c r="AA79" s="69"/>
    </row>
    <row r="80" spans="1:27" s="45" customFormat="1" ht="12" customHeight="1" thickBot="1" x14ac:dyDescent="0.25">
      <c r="A80" s="3"/>
      <c r="B80" s="129"/>
      <c r="C80" s="131">
        <f t="shared" si="60"/>
        <v>2026102</v>
      </c>
      <c r="D80" s="131"/>
      <c r="E80" s="121"/>
      <c r="F80" s="122" t="s">
        <v>4</v>
      </c>
      <c r="G80" s="122"/>
      <c r="H80" s="122"/>
      <c r="I80" s="122"/>
      <c r="J80" s="122">
        <f t="shared" ref="J80:Y80" si="66">SUM(J77:J79)</f>
        <v>8</v>
      </c>
      <c r="K80" s="122">
        <f t="shared" si="66"/>
        <v>357780</v>
      </c>
      <c r="L80" s="122">
        <f t="shared" si="66"/>
        <v>140</v>
      </c>
      <c r="M80" s="122">
        <f t="shared" si="66"/>
        <v>11225970</v>
      </c>
      <c r="N80" s="122">
        <f t="shared" si="66"/>
        <v>18</v>
      </c>
      <c r="O80" s="122">
        <f t="shared" si="66"/>
        <v>1038960</v>
      </c>
      <c r="P80" s="122">
        <f t="shared" si="66"/>
        <v>48</v>
      </c>
      <c r="Q80" s="122">
        <f t="shared" si="66"/>
        <v>5600570</v>
      </c>
      <c r="R80" s="122">
        <f t="shared" si="66"/>
        <v>6</v>
      </c>
      <c r="S80" s="122">
        <f t="shared" si="66"/>
        <v>208360</v>
      </c>
      <c r="T80" s="122">
        <f t="shared" si="66"/>
        <v>220</v>
      </c>
      <c r="U80" s="122">
        <f t="shared" si="66"/>
        <v>18431640</v>
      </c>
      <c r="V80" s="122">
        <f t="shared" si="66"/>
        <v>220</v>
      </c>
      <c r="W80" s="122">
        <f t="shared" si="66"/>
        <v>18431640</v>
      </c>
      <c r="X80" s="122">
        <f t="shared" si="66"/>
        <v>0</v>
      </c>
      <c r="Y80" s="253">
        <f t="shared" si="66"/>
        <v>0</v>
      </c>
      <c r="Z80" s="3"/>
      <c r="AA80" s="69"/>
    </row>
    <row r="81" spans="1:27" ht="12" customHeight="1" x14ac:dyDescent="0.2">
      <c r="A81" s="1"/>
      <c r="B81" s="379">
        <v>46314</v>
      </c>
      <c r="C81" s="132">
        <f t="shared" si="60"/>
        <v>2026102</v>
      </c>
      <c r="D81" s="123">
        <v>18</v>
      </c>
      <c r="E81" s="124" t="s">
        <v>44</v>
      </c>
      <c r="F81" s="125" t="s">
        <v>102</v>
      </c>
      <c r="G81" s="126">
        <v>12</v>
      </c>
      <c r="H81" s="127" t="s">
        <v>93</v>
      </c>
      <c r="I81" s="128">
        <v>230887267</v>
      </c>
      <c r="J81" s="10">
        <v>2</v>
      </c>
      <c r="K81" s="10">
        <v>71560</v>
      </c>
      <c r="L81" s="10">
        <v>32</v>
      </c>
      <c r="M81" s="10">
        <v>2008780</v>
      </c>
      <c r="N81" s="10">
        <v>5</v>
      </c>
      <c r="O81" s="10">
        <v>190520</v>
      </c>
      <c r="P81" s="10">
        <v>15</v>
      </c>
      <c r="Q81" s="10">
        <v>1252680</v>
      </c>
      <c r="R81" s="10">
        <v>5</v>
      </c>
      <c r="S81" s="10">
        <v>188350</v>
      </c>
      <c r="T81" s="247">
        <f t="shared" ref="T81:T83" si="67">J81+L81+N81+P81+R81</f>
        <v>59</v>
      </c>
      <c r="U81" s="247">
        <f t="shared" ref="U81:U83" si="68">K81+M81+O81+Q81+S81</f>
        <v>3711890</v>
      </c>
      <c r="V81" s="251">
        <v>59</v>
      </c>
      <c r="W81" s="251">
        <v>3711890</v>
      </c>
      <c r="X81" s="247">
        <f t="shared" si="64"/>
        <v>0</v>
      </c>
      <c r="Y81" s="248">
        <f t="shared" si="65"/>
        <v>0</v>
      </c>
      <c r="Z81" s="1"/>
      <c r="AA81" s="69"/>
    </row>
    <row r="82" spans="1:27" ht="12" customHeight="1" x14ac:dyDescent="0.2">
      <c r="A82" s="1"/>
      <c r="B82" s="241">
        <v>46314</v>
      </c>
      <c r="C82" s="133">
        <f t="shared" si="60"/>
        <v>2026102</v>
      </c>
      <c r="D82" s="107">
        <v>18</v>
      </c>
      <c r="E82" s="108" t="s">
        <v>44</v>
      </c>
      <c r="F82" s="109" t="s">
        <v>102</v>
      </c>
      <c r="G82" s="110">
        <v>13</v>
      </c>
      <c r="H82" s="111" t="s">
        <v>95</v>
      </c>
      <c r="I82" s="112">
        <v>230887267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249">
        <f t="shared" si="67"/>
        <v>0</v>
      </c>
      <c r="U82" s="249">
        <f t="shared" si="68"/>
        <v>0</v>
      </c>
      <c r="V82" s="251">
        <v>0</v>
      </c>
      <c r="W82" s="251">
        <v>0</v>
      </c>
      <c r="X82" s="249">
        <f>V82-T82</f>
        <v>0</v>
      </c>
      <c r="Y82" s="250">
        <f>W82-U82</f>
        <v>0</v>
      </c>
      <c r="Z82" s="1"/>
      <c r="AA82" s="69"/>
    </row>
    <row r="83" spans="1:27" ht="12" customHeight="1" thickBot="1" x14ac:dyDescent="0.25">
      <c r="A83" s="1"/>
      <c r="B83" s="242">
        <v>46314</v>
      </c>
      <c r="C83" s="134">
        <f t="shared" si="60"/>
        <v>2026102</v>
      </c>
      <c r="D83" s="113">
        <v>18</v>
      </c>
      <c r="E83" s="114" t="s">
        <v>44</v>
      </c>
      <c r="F83" s="115" t="s">
        <v>102</v>
      </c>
      <c r="G83" s="116">
        <v>14</v>
      </c>
      <c r="H83" s="117" t="s">
        <v>97</v>
      </c>
      <c r="I83" s="118">
        <v>230887267</v>
      </c>
      <c r="J83" s="119">
        <v>0</v>
      </c>
      <c r="K83" s="119">
        <v>0</v>
      </c>
      <c r="L83" s="119">
        <v>0</v>
      </c>
      <c r="M83" s="119">
        <v>0</v>
      </c>
      <c r="N83" s="119">
        <v>0</v>
      </c>
      <c r="O83" s="119">
        <v>0</v>
      </c>
      <c r="P83" s="119">
        <v>0</v>
      </c>
      <c r="Q83" s="119">
        <v>0</v>
      </c>
      <c r="R83" s="119">
        <v>0</v>
      </c>
      <c r="S83" s="119">
        <v>0</v>
      </c>
      <c r="T83" s="251">
        <f t="shared" si="67"/>
        <v>0</v>
      </c>
      <c r="U83" s="251">
        <f t="shared" si="68"/>
        <v>0</v>
      </c>
      <c r="V83" s="251">
        <v>0</v>
      </c>
      <c r="W83" s="251">
        <v>0</v>
      </c>
      <c r="X83" s="251">
        <f t="shared" si="64"/>
        <v>0</v>
      </c>
      <c r="Y83" s="252">
        <f t="shared" si="65"/>
        <v>0</v>
      </c>
      <c r="Z83" s="1"/>
      <c r="AA83" s="69"/>
    </row>
    <row r="84" spans="1:27" s="45" customFormat="1" ht="12" customHeight="1" thickBot="1" x14ac:dyDescent="0.25">
      <c r="A84" s="3"/>
      <c r="B84" s="129"/>
      <c r="C84" s="131">
        <f t="shared" si="60"/>
        <v>2026102</v>
      </c>
      <c r="D84" s="131"/>
      <c r="E84" s="121"/>
      <c r="F84" s="122" t="s">
        <v>4</v>
      </c>
      <c r="G84" s="122"/>
      <c r="H84" s="122"/>
      <c r="I84" s="122"/>
      <c r="J84" s="122">
        <f t="shared" ref="J84:Y84" si="69">SUM(J81:J83)</f>
        <v>2</v>
      </c>
      <c r="K84" s="122">
        <f t="shared" si="69"/>
        <v>71560</v>
      </c>
      <c r="L84" s="122">
        <f t="shared" si="69"/>
        <v>32</v>
      </c>
      <c r="M84" s="122">
        <f t="shared" si="69"/>
        <v>2008780</v>
      </c>
      <c r="N84" s="122">
        <f t="shared" si="69"/>
        <v>5</v>
      </c>
      <c r="O84" s="122">
        <f t="shared" si="69"/>
        <v>190520</v>
      </c>
      <c r="P84" s="122">
        <f t="shared" si="69"/>
        <v>15</v>
      </c>
      <c r="Q84" s="122">
        <f t="shared" si="69"/>
        <v>1252680</v>
      </c>
      <c r="R84" s="122">
        <f t="shared" si="69"/>
        <v>5</v>
      </c>
      <c r="S84" s="122">
        <f t="shared" si="69"/>
        <v>188350</v>
      </c>
      <c r="T84" s="122">
        <f t="shared" si="69"/>
        <v>59</v>
      </c>
      <c r="U84" s="122">
        <f t="shared" si="69"/>
        <v>3711890</v>
      </c>
      <c r="V84" s="122">
        <f t="shared" si="69"/>
        <v>59</v>
      </c>
      <c r="W84" s="122">
        <f>SUM(W81:W83)</f>
        <v>3711890</v>
      </c>
      <c r="X84" s="122">
        <f t="shared" si="69"/>
        <v>0</v>
      </c>
      <c r="Y84" s="253">
        <f t="shared" si="69"/>
        <v>0</v>
      </c>
      <c r="Z84" s="3"/>
      <c r="AA84" s="69"/>
    </row>
    <row r="85" spans="1:27" ht="12" customHeight="1" x14ac:dyDescent="0.2">
      <c r="A85" s="1"/>
      <c r="B85" s="379">
        <v>46315</v>
      </c>
      <c r="C85" s="132">
        <f t="shared" si="60"/>
        <v>2026102</v>
      </c>
      <c r="D85" s="123">
        <v>19</v>
      </c>
      <c r="E85" s="124" t="s">
        <v>44</v>
      </c>
      <c r="F85" s="125" t="s">
        <v>102</v>
      </c>
      <c r="G85" s="126">
        <v>12</v>
      </c>
      <c r="H85" s="127" t="s">
        <v>93</v>
      </c>
      <c r="I85" s="128">
        <v>230887267</v>
      </c>
      <c r="J85" s="10">
        <v>67</v>
      </c>
      <c r="K85" s="10">
        <v>4533680</v>
      </c>
      <c r="L85" s="10">
        <v>436</v>
      </c>
      <c r="M85" s="10">
        <v>47466860</v>
      </c>
      <c r="N85" s="10">
        <v>94</v>
      </c>
      <c r="O85" s="10">
        <v>6875450</v>
      </c>
      <c r="P85" s="10">
        <v>216</v>
      </c>
      <c r="Q85" s="10">
        <v>27033930</v>
      </c>
      <c r="R85" s="10">
        <v>46</v>
      </c>
      <c r="S85" s="10">
        <v>2273770</v>
      </c>
      <c r="T85" s="247">
        <f t="shared" ref="T85:T87" si="70">J85+L85+N85+P85+R85</f>
        <v>859</v>
      </c>
      <c r="U85" s="247">
        <f t="shared" ref="U85:U87" si="71">K85+M85+O85+Q85+S85</f>
        <v>88183690</v>
      </c>
      <c r="V85" s="251">
        <v>859</v>
      </c>
      <c r="W85" s="251">
        <v>88183690</v>
      </c>
      <c r="X85" s="247">
        <f t="shared" si="64"/>
        <v>0</v>
      </c>
      <c r="Y85" s="248">
        <f t="shared" si="65"/>
        <v>0</v>
      </c>
      <c r="Z85" s="1"/>
      <c r="AA85" s="69"/>
    </row>
    <row r="86" spans="1:27" ht="12.75" x14ac:dyDescent="0.2">
      <c r="A86" s="1"/>
      <c r="B86" s="241">
        <v>46315</v>
      </c>
      <c r="C86" s="133">
        <f t="shared" si="60"/>
        <v>2026102</v>
      </c>
      <c r="D86" s="107">
        <v>19</v>
      </c>
      <c r="E86" s="108" t="s">
        <v>44</v>
      </c>
      <c r="F86" s="109" t="s">
        <v>102</v>
      </c>
      <c r="G86" s="110">
        <v>13</v>
      </c>
      <c r="H86" s="111" t="s">
        <v>95</v>
      </c>
      <c r="I86" s="112">
        <v>230887267</v>
      </c>
      <c r="J86" s="9">
        <f>1+132+55</f>
        <v>188</v>
      </c>
      <c r="K86" s="9">
        <f>1536660+43968250+5533350</f>
        <v>51038260</v>
      </c>
      <c r="L86" s="9">
        <f>3+378+70</f>
        <v>451</v>
      </c>
      <c r="M86" s="9">
        <f>10880760+35819440+18880370</f>
        <v>65580570</v>
      </c>
      <c r="N86" s="9">
        <f>1+205+26</f>
        <v>232</v>
      </c>
      <c r="O86" s="9">
        <f>56050+46229240+6353970</f>
        <v>52639260</v>
      </c>
      <c r="P86" s="9">
        <f>3+251+20</f>
        <v>274</v>
      </c>
      <c r="Q86" s="9">
        <f>3428070+35456860+5119510</f>
        <v>44004440</v>
      </c>
      <c r="R86" s="9">
        <f>157+16</f>
        <v>173</v>
      </c>
      <c r="S86" s="9">
        <f>16134070+14396946</f>
        <v>30531016</v>
      </c>
      <c r="T86" s="249">
        <f t="shared" si="70"/>
        <v>1318</v>
      </c>
      <c r="U86" s="249">
        <f t="shared" si="71"/>
        <v>243793546</v>
      </c>
      <c r="V86" s="251">
        <f>8+1123+187</f>
        <v>1318</v>
      </c>
      <c r="W86" s="251">
        <f>15901540+177607860+50284146</f>
        <v>243793546</v>
      </c>
      <c r="X86" s="249">
        <f t="shared" si="64"/>
        <v>0</v>
      </c>
      <c r="Y86" s="250">
        <f t="shared" si="65"/>
        <v>0</v>
      </c>
      <c r="Z86" s="1"/>
      <c r="AA86" s="69"/>
    </row>
    <row r="87" spans="1:27" ht="13.5" thickBot="1" x14ac:dyDescent="0.25">
      <c r="A87" s="1"/>
      <c r="B87" s="242">
        <v>46315</v>
      </c>
      <c r="C87" s="134">
        <f t="shared" si="60"/>
        <v>2026102</v>
      </c>
      <c r="D87" s="113">
        <v>19</v>
      </c>
      <c r="E87" s="114" t="s">
        <v>44</v>
      </c>
      <c r="F87" s="115" t="s">
        <v>102</v>
      </c>
      <c r="G87" s="116">
        <v>14</v>
      </c>
      <c r="H87" s="117" t="s">
        <v>97</v>
      </c>
      <c r="I87" s="118">
        <v>230887267</v>
      </c>
      <c r="J87" s="119">
        <v>88</v>
      </c>
      <c r="K87" s="119">
        <v>45954808</v>
      </c>
      <c r="L87" s="119">
        <v>127</v>
      </c>
      <c r="M87" s="119">
        <v>64065869</v>
      </c>
      <c r="N87" s="119">
        <v>20</v>
      </c>
      <c r="O87" s="119">
        <v>7428209</v>
      </c>
      <c r="P87" s="119">
        <v>126</v>
      </c>
      <c r="Q87" s="119">
        <v>20201309</v>
      </c>
      <c r="R87" s="119">
        <v>86</v>
      </c>
      <c r="S87" s="119">
        <v>15421551</v>
      </c>
      <c r="T87" s="251">
        <f t="shared" si="70"/>
        <v>447</v>
      </c>
      <c r="U87" s="251">
        <f t="shared" si="71"/>
        <v>153071746</v>
      </c>
      <c r="V87" s="251">
        <v>447</v>
      </c>
      <c r="W87" s="251">
        <v>153071746</v>
      </c>
      <c r="X87" s="251">
        <f t="shared" si="64"/>
        <v>0</v>
      </c>
      <c r="Y87" s="252">
        <f t="shared" si="65"/>
        <v>0</v>
      </c>
      <c r="Z87" s="1"/>
      <c r="AA87" s="69"/>
    </row>
    <row r="88" spans="1:27" s="45" customFormat="1" ht="12" customHeight="1" thickBot="1" x14ac:dyDescent="0.25">
      <c r="A88" s="3"/>
      <c r="B88" s="129"/>
      <c r="C88" s="131">
        <f t="shared" si="60"/>
        <v>2026102</v>
      </c>
      <c r="D88" s="131"/>
      <c r="E88" s="121"/>
      <c r="F88" s="122" t="s">
        <v>4</v>
      </c>
      <c r="G88" s="122"/>
      <c r="H88" s="122"/>
      <c r="I88" s="122"/>
      <c r="J88" s="122">
        <f t="shared" ref="J88:Y88" si="72">SUM(J85:J87)</f>
        <v>343</v>
      </c>
      <c r="K88" s="122">
        <f t="shared" si="72"/>
        <v>101526748</v>
      </c>
      <c r="L88" s="122">
        <f t="shared" si="72"/>
        <v>1014</v>
      </c>
      <c r="M88" s="122">
        <f t="shared" si="72"/>
        <v>177113299</v>
      </c>
      <c r="N88" s="122">
        <f t="shared" si="72"/>
        <v>346</v>
      </c>
      <c r="O88" s="122">
        <f t="shared" si="72"/>
        <v>66942919</v>
      </c>
      <c r="P88" s="122">
        <f t="shared" si="72"/>
        <v>616</v>
      </c>
      <c r="Q88" s="122">
        <f t="shared" si="72"/>
        <v>91239679</v>
      </c>
      <c r="R88" s="122">
        <f t="shared" si="72"/>
        <v>305</v>
      </c>
      <c r="S88" s="122">
        <f t="shared" si="72"/>
        <v>48226337</v>
      </c>
      <c r="T88" s="122">
        <f t="shared" si="72"/>
        <v>2624</v>
      </c>
      <c r="U88" s="122">
        <f t="shared" si="72"/>
        <v>485048982</v>
      </c>
      <c r="V88" s="122">
        <f t="shared" si="72"/>
        <v>2624</v>
      </c>
      <c r="W88" s="122">
        <f t="shared" si="72"/>
        <v>485048982</v>
      </c>
      <c r="X88" s="122">
        <f t="shared" si="72"/>
        <v>0</v>
      </c>
      <c r="Y88" s="253">
        <f t="shared" si="72"/>
        <v>0</v>
      </c>
      <c r="Z88" s="3"/>
      <c r="AA88" s="69"/>
    </row>
    <row r="89" spans="1:27" ht="12" customHeight="1" x14ac:dyDescent="0.2">
      <c r="A89" s="1"/>
      <c r="B89" s="379"/>
      <c r="C89" s="132">
        <f t="shared" si="60"/>
        <v>2026102</v>
      </c>
      <c r="D89" s="123">
        <v>20</v>
      </c>
      <c r="E89" s="124" t="s">
        <v>44</v>
      </c>
      <c r="F89" s="125" t="s">
        <v>102</v>
      </c>
      <c r="G89" s="126">
        <v>12</v>
      </c>
      <c r="H89" s="127" t="s">
        <v>93</v>
      </c>
      <c r="I89" s="128">
        <v>230887267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247">
        <f t="shared" ref="T89:T91" si="73">J89+L89+N89+P89+R89</f>
        <v>0</v>
      </c>
      <c r="U89" s="247">
        <f t="shared" ref="U89:U91" si="74">K89+M89+O89+Q89+S89</f>
        <v>0</v>
      </c>
      <c r="V89" s="251">
        <v>0</v>
      </c>
      <c r="W89" s="251">
        <v>0</v>
      </c>
      <c r="X89" s="247">
        <f t="shared" si="64"/>
        <v>0</v>
      </c>
      <c r="Y89" s="248">
        <f t="shared" si="65"/>
        <v>0</v>
      </c>
      <c r="Z89" s="1"/>
      <c r="AA89" s="69"/>
    </row>
    <row r="90" spans="1:27" ht="12" customHeight="1" x14ac:dyDescent="0.2">
      <c r="A90" s="1"/>
      <c r="B90" s="241"/>
      <c r="C90" s="133">
        <f t="shared" si="60"/>
        <v>2026102</v>
      </c>
      <c r="D90" s="107">
        <v>20</v>
      </c>
      <c r="E90" s="108" t="s">
        <v>44</v>
      </c>
      <c r="F90" s="109" t="s">
        <v>102</v>
      </c>
      <c r="G90" s="110">
        <v>13</v>
      </c>
      <c r="H90" s="111" t="s">
        <v>95</v>
      </c>
      <c r="I90" s="112">
        <v>230887267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249">
        <f t="shared" si="73"/>
        <v>0</v>
      </c>
      <c r="U90" s="249">
        <f t="shared" si="74"/>
        <v>0</v>
      </c>
      <c r="V90" s="251">
        <v>0</v>
      </c>
      <c r="W90" s="251">
        <v>0</v>
      </c>
      <c r="X90" s="249">
        <f t="shared" si="64"/>
        <v>0</v>
      </c>
      <c r="Y90" s="250">
        <f t="shared" si="65"/>
        <v>0</v>
      </c>
      <c r="Z90" s="1"/>
      <c r="AA90" s="69"/>
    </row>
    <row r="91" spans="1:27" ht="12" customHeight="1" thickBot="1" x14ac:dyDescent="0.25">
      <c r="A91" s="1"/>
      <c r="B91" s="242"/>
      <c r="C91" s="134">
        <f t="shared" si="60"/>
        <v>2026102</v>
      </c>
      <c r="D91" s="113">
        <v>20</v>
      </c>
      <c r="E91" s="114" t="s">
        <v>44</v>
      </c>
      <c r="F91" s="115" t="s">
        <v>102</v>
      </c>
      <c r="G91" s="116">
        <v>14</v>
      </c>
      <c r="H91" s="117" t="s">
        <v>97</v>
      </c>
      <c r="I91" s="118">
        <v>230887267</v>
      </c>
      <c r="J91" s="119">
        <v>0</v>
      </c>
      <c r="K91" s="119">
        <v>0</v>
      </c>
      <c r="L91" s="119">
        <v>0</v>
      </c>
      <c r="M91" s="119">
        <v>0</v>
      </c>
      <c r="N91" s="119">
        <v>0</v>
      </c>
      <c r="O91" s="119">
        <v>0</v>
      </c>
      <c r="P91" s="119">
        <v>0</v>
      </c>
      <c r="Q91" s="119">
        <v>0</v>
      </c>
      <c r="R91" s="119">
        <v>0</v>
      </c>
      <c r="S91" s="119">
        <v>0</v>
      </c>
      <c r="T91" s="251">
        <f t="shared" si="73"/>
        <v>0</v>
      </c>
      <c r="U91" s="251">
        <f t="shared" si="74"/>
        <v>0</v>
      </c>
      <c r="V91" s="251">
        <v>0</v>
      </c>
      <c r="W91" s="251">
        <v>0</v>
      </c>
      <c r="X91" s="120">
        <f t="shared" si="64"/>
        <v>0</v>
      </c>
      <c r="Y91" s="252">
        <f t="shared" si="65"/>
        <v>0</v>
      </c>
      <c r="Z91" s="1"/>
      <c r="AA91" s="69"/>
    </row>
    <row r="92" spans="1:27" s="45" customFormat="1" ht="12" customHeight="1" thickBot="1" x14ac:dyDescent="0.25">
      <c r="A92" s="3"/>
      <c r="B92" s="129"/>
      <c r="C92" s="131">
        <f t="shared" si="60"/>
        <v>2026102</v>
      </c>
      <c r="D92" s="131"/>
      <c r="E92" s="121"/>
      <c r="F92" s="122" t="s">
        <v>4</v>
      </c>
      <c r="G92" s="122"/>
      <c r="H92" s="122"/>
      <c r="I92" s="122"/>
      <c r="J92" s="122">
        <f t="shared" ref="J92:Y92" si="75">SUM(J89:J91)</f>
        <v>0</v>
      </c>
      <c r="K92" s="122">
        <f t="shared" si="75"/>
        <v>0</v>
      </c>
      <c r="L92" s="122">
        <f t="shared" si="75"/>
        <v>0</v>
      </c>
      <c r="M92" s="122">
        <f t="shared" si="75"/>
        <v>0</v>
      </c>
      <c r="N92" s="122">
        <f t="shared" si="75"/>
        <v>0</v>
      </c>
      <c r="O92" s="122">
        <f t="shared" si="75"/>
        <v>0</v>
      </c>
      <c r="P92" s="122">
        <f t="shared" si="75"/>
        <v>0</v>
      </c>
      <c r="Q92" s="122">
        <f t="shared" si="75"/>
        <v>0</v>
      </c>
      <c r="R92" s="122">
        <f t="shared" si="75"/>
        <v>0</v>
      </c>
      <c r="S92" s="122">
        <f t="shared" si="75"/>
        <v>0</v>
      </c>
      <c r="T92" s="122">
        <f t="shared" si="75"/>
        <v>0</v>
      </c>
      <c r="U92" s="122">
        <f t="shared" si="75"/>
        <v>0</v>
      </c>
      <c r="V92" s="122">
        <f t="shared" si="75"/>
        <v>0</v>
      </c>
      <c r="W92" s="122">
        <f t="shared" si="75"/>
        <v>0</v>
      </c>
      <c r="X92" s="122">
        <f t="shared" si="75"/>
        <v>0</v>
      </c>
      <c r="Y92" s="253">
        <f t="shared" si="75"/>
        <v>0</v>
      </c>
      <c r="Z92" s="3"/>
      <c r="AA92" s="69"/>
    </row>
    <row r="93" spans="1:27" ht="12" customHeight="1" x14ac:dyDescent="0.2">
      <c r="A93" s="1"/>
      <c r="B93" s="379"/>
      <c r="C93" s="132">
        <f t="shared" si="60"/>
        <v>2026102</v>
      </c>
      <c r="D93" s="123">
        <v>21</v>
      </c>
      <c r="E93" s="124" t="s">
        <v>44</v>
      </c>
      <c r="F93" s="125" t="s">
        <v>102</v>
      </c>
      <c r="G93" s="126">
        <v>12</v>
      </c>
      <c r="H93" s="127" t="s">
        <v>93</v>
      </c>
      <c r="I93" s="128">
        <v>230887267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247">
        <f t="shared" ref="T93:T95" si="76">J93+L93+N93+P93+R93</f>
        <v>0</v>
      </c>
      <c r="U93" s="247">
        <f t="shared" ref="U93:U95" si="77">K93+M93+O93+Q93+S93</f>
        <v>0</v>
      </c>
      <c r="V93" s="251">
        <v>0</v>
      </c>
      <c r="W93" s="251">
        <v>0</v>
      </c>
      <c r="X93" s="62">
        <f t="shared" si="64"/>
        <v>0</v>
      </c>
      <c r="Y93" s="248">
        <f t="shared" si="65"/>
        <v>0</v>
      </c>
      <c r="Z93" s="1"/>
      <c r="AA93" s="69"/>
    </row>
    <row r="94" spans="1:27" ht="12" customHeight="1" x14ac:dyDescent="0.2">
      <c r="A94" s="1"/>
      <c r="B94" s="241"/>
      <c r="C94" s="133">
        <f t="shared" si="60"/>
        <v>2026102</v>
      </c>
      <c r="D94" s="107">
        <v>21</v>
      </c>
      <c r="E94" s="108" t="s">
        <v>44</v>
      </c>
      <c r="F94" s="109" t="s">
        <v>102</v>
      </c>
      <c r="G94" s="110">
        <v>13</v>
      </c>
      <c r="H94" s="111" t="s">
        <v>95</v>
      </c>
      <c r="I94" s="112">
        <v>230887267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249">
        <f t="shared" si="76"/>
        <v>0</v>
      </c>
      <c r="U94" s="249">
        <f t="shared" si="77"/>
        <v>0</v>
      </c>
      <c r="V94" s="251">
        <v>0</v>
      </c>
      <c r="W94" s="251">
        <v>0</v>
      </c>
      <c r="X94" s="46">
        <f>V94-T94</f>
        <v>0</v>
      </c>
      <c r="Y94" s="250">
        <f t="shared" si="65"/>
        <v>0</v>
      </c>
      <c r="Z94" s="1"/>
      <c r="AA94" s="69"/>
    </row>
    <row r="95" spans="1:27" ht="12" customHeight="1" thickBot="1" x14ac:dyDescent="0.25">
      <c r="A95" s="1"/>
      <c r="B95" s="242"/>
      <c r="C95" s="134">
        <f t="shared" si="60"/>
        <v>2026102</v>
      </c>
      <c r="D95" s="113">
        <v>21</v>
      </c>
      <c r="E95" s="114" t="s">
        <v>44</v>
      </c>
      <c r="F95" s="115" t="s">
        <v>102</v>
      </c>
      <c r="G95" s="116">
        <v>14</v>
      </c>
      <c r="H95" s="117" t="s">
        <v>97</v>
      </c>
      <c r="I95" s="118">
        <v>230887267</v>
      </c>
      <c r="J95" s="119">
        <v>0</v>
      </c>
      <c r="K95" s="119">
        <v>0</v>
      </c>
      <c r="L95" s="119">
        <v>0</v>
      </c>
      <c r="M95" s="119">
        <v>0</v>
      </c>
      <c r="N95" s="119">
        <v>0</v>
      </c>
      <c r="O95" s="119">
        <v>0</v>
      </c>
      <c r="P95" s="119">
        <v>0</v>
      </c>
      <c r="Q95" s="119">
        <v>0</v>
      </c>
      <c r="R95" s="119">
        <v>0</v>
      </c>
      <c r="S95" s="119">
        <v>0</v>
      </c>
      <c r="T95" s="251">
        <f t="shared" si="76"/>
        <v>0</v>
      </c>
      <c r="U95" s="251">
        <f t="shared" si="77"/>
        <v>0</v>
      </c>
      <c r="V95" s="251">
        <v>0</v>
      </c>
      <c r="W95" s="251">
        <v>0</v>
      </c>
      <c r="X95" s="120">
        <f>V95-T95</f>
        <v>0</v>
      </c>
      <c r="Y95" s="252">
        <f>W95-U95</f>
        <v>0</v>
      </c>
      <c r="Z95" s="1"/>
      <c r="AA95" s="69"/>
    </row>
    <row r="96" spans="1:27" s="45" customFormat="1" ht="12" customHeight="1" thickBot="1" x14ac:dyDescent="0.25">
      <c r="A96" s="3"/>
      <c r="B96" s="129"/>
      <c r="C96" s="131">
        <f t="shared" si="60"/>
        <v>2026102</v>
      </c>
      <c r="D96" s="131"/>
      <c r="E96" s="121"/>
      <c r="F96" s="122" t="s">
        <v>4</v>
      </c>
      <c r="G96" s="122"/>
      <c r="H96" s="122"/>
      <c r="I96" s="122"/>
      <c r="J96" s="122">
        <f t="shared" ref="J96:Y96" si="78">SUM(J93:J95)</f>
        <v>0</v>
      </c>
      <c r="K96" s="122">
        <f t="shared" si="78"/>
        <v>0</v>
      </c>
      <c r="L96" s="122">
        <f t="shared" si="78"/>
        <v>0</v>
      </c>
      <c r="M96" s="122">
        <f t="shared" si="78"/>
        <v>0</v>
      </c>
      <c r="N96" s="122">
        <f t="shared" si="78"/>
        <v>0</v>
      </c>
      <c r="O96" s="122">
        <f t="shared" si="78"/>
        <v>0</v>
      </c>
      <c r="P96" s="122">
        <f t="shared" si="78"/>
        <v>0</v>
      </c>
      <c r="Q96" s="122">
        <f t="shared" si="78"/>
        <v>0</v>
      </c>
      <c r="R96" s="122">
        <f t="shared" si="78"/>
        <v>0</v>
      </c>
      <c r="S96" s="122">
        <f t="shared" si="78"/>
        <v>0</v>
      </c>
      <c r="T96" s="122">
        <f t="shared" si="78"/>
        <v>0</v>
      </c>
      <c r="U96" s="122">
        <f t="shared" si="78"/>
        <v>0</v>
      </c>
      <c r="V96" s="122">
        <f t="shared" si="78"/>
        <v>0</v>
      </c>
      <c r="W96" s="122">
        <f t="shared" si="78"/>
        <v>0</v>
      </c>
      <c r="X96" s="122">
        <f t="shared" si="78"/>
        <v>0</v>
      </c>
      <c r="Y96" s="253">
        <f t="shared" si="78"/>
        <v>0</v>
      </c>
      <c r="Z96" s="3"/>
      <c r="AA96" s="69"/>
    </row>
    <row r="97" spans="1:27" ht="12" customHeight="1" x14ac:dyDescent="0.2">
      <c r="A97" s="1"/>
      <c r="B97" s="379"/>
      <c r="C97" s="132">
        <f t="shared" si="60"/>
        <v>2026102</v>
      </c>
      <c r="D97" s="123">
        <v>22</v>
      </c>
      <c r="E97" s="124" t="s">
        <v>44</v>
      </c>
      <c r="F97" s="125" t="s">
        <v>102</v>
      </c>
      <c r="G97" s="126">
        <v>12</v>
      </c>
      <c r="H97" s="127" t="s">
        <v>93</v>
      </c>
      <c r="I97" s="128">
        <v>230887267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247">
        <f t="shared" ref="T97:T99" si="79">J97+L97+N97+P97+R97</f>
        <v>0</v>
      </c>
      <c r="U97" s="247">
        <f t="shared" ref="U97:U99" si="80">K97+M97+O97+Q97+S97</f>
        <v>0</v>
      </c>
      <c r="V97" s="251">
        <v>0</v>
      </c>
      <c r="W97" s="251">
        <v>0</v>
      </c>
      <c r="X97" s="62">
        <f t="shared" si="64"/>
        <v>0</v>
      </c>
      <c r="Y97" s="248">
        <f t="shared" si="65"/>
        <v>0</v>
      </c>
      <c r="Z97" s="1"/>
      <c r="AA97" s="69"/>
    </row>
    <row r="98" spans="1:27" ht="12" customHeight="1" x14ac:dyDescent="0.2">
      <c r="A98" s="1"/>
      <c r="B98" s="241"/>
      <c r="C98" s="133">
        <f t="shared" si="60"/>
        <v>2026102</v>
      </c>
      <c r="D98" s="107">
        <v>22</v>
      </c>
      <c r="E98" s="108" t="s">
        <v>44</v>
      </c>
      <c r="F98" s="109" t="s">
        <v>102</v>
      </c>
      <c r="G98" s="110">
        <v>13</v>
      </c>
      <c r="H98" s="111" t="s">
        <v>95</v>
      </c>
      <c r="I98" s="112">
        <v>230887267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249">
        <f t="shared" si="79"/>
        <v>0</v>
      </c>
      <c r="U98" s="249">
        <f t="shared" si="80"/>
        <v>0</v>
      </c>
      <c r="V98" s="251">
        <v>0</v>
      </c>
      <c r="W98" s="251">
        <v>0</v>
      </c>
      <c r="X98" s="46">
        <f t="shared" si="64"/>
        <v>0</v>
      </c>
      <c r="Y98" s="250">
        <f t="shared" si="65"/>
        <v>0</v>
      </c>
      <c r="Z98" s="1"/>
      <c r="AA98" s="69"/>
    </row>
    <row r="99" spans="1:27" ht="12" customHeight="1" thickBot="1" x14ac:dyDescent="0.25">
      <c r="A99" s="1"/>
      <c r="B99" s="242"/>
      <c r="C99" s="134">
        <f t="shared" si="60"/>
        <v>2026102</v>
      </c>
      <c r="D99" s="113">
        <v>22</v>
      </c>
      <c r="E99" s="114" t="s">
        <v>44</v>
      </c>
      <c r="F99" s="115" t="s">
        <v>102</v>
      </c>
      <c r="G99" s="116">
        <v>14</v>
      </c>
      <c r="H99" s="117" t="s">
        <v>97</v>
      </c>
      <c r="I99" s="118">
        <v>230887267</v>
      </c>
      <c r="J99" s="119">
        <v>0</v>
      </c>
      <c r="K99" s="119">
        <v>0</v>
      </c>
      <c r="L99" s="119">
        <v>0</v>
      </c>
      <c r="M99" s="119">
        <v>0</v>
      </c>
      <c r="N99" s="119">
        <v>0</v>
      </c>
      <c r="O99" s="119">
        <v>0</v>
      </c>
      <c r="P99" s="119">
        <v>0</v>
      </c>
      <c r="Q99" s="119">
        <v>0</v>
      </c>
      <c r="R99" s="119">
        <v>0</v>
      </c>
      <c r="S99" s="119">
        <v>0</v>
      </c>
      <c r="T99" s="251">
        <f t="shared" si="79"/>
        <v>0</v>
      </c>
      <c r="U99" s="251">
        <f t="shared" si="80"/>
        <v>0</v>
      </c>
      <c r="V99" s="251">
        <v>0</v>
      </c>
      <c r="W99" s="251">
        <v>0</v>
      </c>
      <c r="X99" s="120">
        <f t="shared" si="64"/>
        <v>0</v>
      </c>
      <c r="Y99" s="252">
        <f t="shared" si="65"/>
        <v>0</v>
      </c>
      <c r="Z99" s="1"/>
      <c r="AA99" s="69"/>
    </row>
    <row r="100" spans="1:27" s="45" customFormat="1" ht="12" customHeight="1" thickBot="1" x14ac:dyDescent="0.25">
      <c r="A100" s="3"/>
      <c r="B100" s="129"/>
      <c r="C100" s="131">
        <f t="shared" si="60"/>
        <v>2026102</v>
      </c>
      <c r="D100" s="131"/>
      <c r="E100" s="121"/>
      <c r="F100" s="122" t="s">
        <v>4</v>
      </c>
      <c r="G100" s="122"/>
      <c r="H100" s="122"/>
      <c r="I100" s="122"/>
      <c r="J100" s="122">
        <f t="shared" ref="J100:Y100" si="81">SUM(J97:J99)</f>
        <v>0</v>
      </c>
      <c r="K100" s="122">
        <f t="shared" si="81"/>
        <v>0</v>
      </c>
      <c r="L100" s="122">
        <f t="shared" si="81"/>
        <v>0</v>
      </c>
      <c r="M100" s="122">
        <f t="shared" si="81"/>
        <v>0</v>
      </c>
      <c r="N100" s="122">
        <f t="shared" si="81"/>
        <v>0</v>
      </c>
      <c r="O100" s="122">
        <f t="shared" si="81"/>
        <v>0</v>
      </c>
      <c r="P100" s="122">
        <f t="shared" si="81"/>
        <v>0</v>
      </c>
      <c r="Q100" s="122">
        <f t="shared" si="81"/>
        <v>0</v>
      </c>
      <c r="R100" s="122">
        <f t="shared" si="81"/>
        <v>0</v>
      </c>
      <c r="S100" s="122">
        <f t="shared" si="81"/>
        <v>0</v>
      </c>
      <c r="T100" s="122">
        <f t="shared" si="81"/>
        <v>0</v>
      </c>
      <c r="U100" s="122">
        <f t="shared" si="81"/>
        <v>0</v>
      </c>
      <c r="V100" s="122">
        <f t="shared" si="81"/>
        <v>0</v>
      </c>
      <c r="W100" s="122">
        <f t="shared" si="81"/>
        <v>0</v>
      </c>
      <c r="X100" s="122">
        <f t="shared" si="81"/>
        <v>0</v>
      </c>
      <c r="Y100" s="253">
        <f t="shared" si="81"/>
        <v>0</v>
      </c>
      <c r="Z100" s="3"/>
      <c r="AA100" s="69"/>
    </row>
    <row r="101" spans="1:27" ht="12" customHeight="1" x14ac:dyDescent="0.2">
      <c r="A101" s="1"/>
      <c r="B101" s="379"/>
      <c r="C101" s="132">
        <f t="shared" si="60"/>
        <v>2026102</v>
      </c>
      <c r="D101" s="123">
        <v>23</v>
      </c>
      <c r="E101" s="124" t="s">
        <v>44</v>
      </c>
      <c r="F101" s="125" t="s">
        <v>102</v>
      </c>
      <c r="G101" s="126">
        <v>12</v>
      </c>
      <c r="H101" s="127" t="s">
        <v>93</v>
      </c>
      <c r="I101" s="128">
        <v>230887267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247">
        <f t="shared" ref="T101:T103" si="82">J101+L101+N101+P101+R101</f>
        <v>0</v>
      </c>
      <c r="U101" s="247">
        <f t="shared" ref="U101:U103" si="83">K101+M101+O101+Q101+S101</f>
        <v>0</v>
      </c>
      <c r="V101" s="251">
        <v>0</v>
      </c>
      <c r="W101" s="251">
        <v>0</v>
      </c>
      <c r="X101" s="62">
        <f t="shared" si="64"/>
        <v>0</v>
      </c>
      <c r="Y101" s="248">
        <f t="shared" si="65"/>
        <v>0</v>
      </c>
      <c r="Z101" s="1"/>
      <c r="AA101" s="69"/>
    </row>
    <row r="102" spans="1:27" ht="12" customHeight="1" x14ac:dyDescent="0.2">
      <c r="A102" s="1"/>
      <c r="B102" s="241"/>
      <c r="C102" s="133">
        <f t="shared" si="60"/>
        <v>2026102</v>
      </c>
      <c r="D102" s="107">
        <v>23</v>
      </c>
      <c r="E102" s="108" t="s">
        <v>44</v>
      </c>
      <c r="F102" s="109" t="s">
        <v>102</v>
      </c>
      <c r="G102" s="110">
        <v>13</v>
      </c>
      <c r="H102" s="111" t="s">
        <v>95</v>
      </c>
      <c r="I102" s="112">
        <v>230887267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249">
        <f t="shared" si="82"/>
        <v>0</v>
      </c>
      <c r="U102" s="249">
        <f t="shared" si="83"/>
        <v>0</v>
      </c>
      <c r="V102" s="251">
        <v>0</v>
      </c>
      <c r="W102" s="251">
        <v>0</v>
      </c>
      <c r="X102" s="46">
        <f t="shared" si="64"/>
        <v>0</v>
      </c>
      <c r="Y102" s="250">
        <f t="shared" si="65"/>
        <v>0</v>
      </c>
      <c r="Z102" s="1"/>
      <c r="AA102" s="69"/>
    </row>
    <row r="103" spans="1:27" ht="12" customHeight="1" thickBot="1" x14ac:dyDescent="0.25">
      <c r="A103" s="1"/>
      <c r="B103" s="242"/>
      <c r="C103" s="134">
        <f t="shared" si="60"/>
        <v>2026102</v>
      </c>
      <c r="D103" s="113">
        <v>23</v>
      </c>
      <c r="E103" s="114" t="s">
        <v>44</v>
      </c>
      <c r="F103" s="115" t="s">
        <v>102</v>
      </c>
      <c r="G103" s="116">
        <v>14</v>
      </c>
      <c r="H103" s="117" t="s">
        <v>97</v>
      </c>
      <c r="I103" s="118">
        <v>230887267</v>
      </c>
      <c r="J103" s="119">
        <v>0</v>
      </c>
      <c r="K103" s="119">
        <v>0</v>
      </c>
      <c r="L103" s="119">
        <v>0</v>
      </c>
      <c r="M103" s="119">
        <v>0</v>
      </c>
      <c r="N103" s="119">
        <v>0</v>
      </c>
      <c r="O103" s="119">
        <v>0</v>
      </c>
      <c r="P103" s="119">
        <v>0</v>
      </c>
      <c r="Q103" s="119">
        <v>0</v>
      </c>
      <c r="R103" s="119">
        <v>0</v>
      </c>
      <c r="S103" s="119">
        <v>0</v>
      </c>
      <c r="T103" s="251">
        <f t="shared" si="82"/>
        <v>0</v>
      </c>
      <c r="U103" s="251">
        <f t="shared" si="83"/>
        <v>0</v>
      </c>
      <c r="V103" s="251">
        <v>0</v>
      </c>
      <c r="W103" s="251">
        <v>0</v>
      </c>
      <c r="X103" s="46">
        <f t="shared" si="64"/>
        <v>0</v>
      </c>
      <c r="Y103" s="252">
        <f t="shared" si="65"/>
        <v>0</v>
      </c>
      <c r="Z103" s="1"/>
      <c r="AA103" s="69"/>
    </row>
    <row r="104" spans="1:27" s="45" customFormat="1" ht="12" customHeight="1" thickBot="1" x14ac:dyDescent="0.25">
      <c r="A104" s="3"/>
      <c r="B104" s="129"/>
      <c r="C104" s="131">
        <f t="shared" si="60"/>
        <v>2026102</v>
      </c>
      <c r="D104" s="131"/>
      <c r="E104" s="121"/>
      <c r="F104" s="122" t="s">
        <v>4</v>
      </c>
      <c r="G104" s="122"/>
      <c r="H104" s="122"/>
      <c r="I104" s="122"/>
      <c r="J104" s="122">
        <f t="shared" ref="J104:Y104" si="84">SUM(J101:J103)</f>
        <v>0</v>
      </c>
      <c r="K104" s="122">
        <f t="shared" si="84"/>
        <v>0</v>
      </c>
      <c r="L104" s="122">
        <f t="shared" si="84"/>
        <v>0</v>
      </c>
      <c r="M104" s="122">
        <f t="shared" si="84"/>
        <v>0</v>
      </c>
      <c r="N104" s="122">
        <f t="shared" si="84"/>
        <v>0</v>
      </c>
      <c r="O104" s="122">
        <f t="shared" si="84"/>
        <v>0</v>
      </c>
      <c r="P104" s="122">
        <f t="shared" si="84"/>
        <v>0</v>
      </c>
      <c r="Q104" s="122">
        <f t="shared" si="84"/>
        <v>0</v>
      </c>
      <c r="R104" s="122">
        <f t="shared" si="84"/>
        <v>0</v>
      </c>
      <c r="S104" s="122">
        <f t="shared" si="84"/>
        <v>0</v>
      </c>
      <c r="T104" s="122">
        <f t="shared" si="84"/>
        <v>0</v>
      </c>
      <c r="U104" s="122">
        <f t="shared" si="84"/>
        <v>0</v>
      </c>
      <c r="V104" s="122">
        <f t="shared" si="84"/>
        <v>0</v>
      </c>
      <c r="W104" s="122">
        <f t="shared" si="84"/>
        <v>0</v>
      </c>
      <c r="X104" s="122">
        <f t="shared" si="84"/>
        <v>0</v>
      </c>
      <c r="Y104" s="253">
        <f t="shared" si="84"/>
        <v>0</v>
      </c>
      <c r="Z104" s="3"/>
      <c r="AA104" s="69"/>
    </row>
    <row r="105" spans="1:27" ht="12" customHeight="1" x14ac:dyDescent="0.2">
      <c r="A105" s="1"/>
      <c r="B105" s="379"/>
      <c r="C105" s="132">
        <f t="shared" si="60"/>
        <v>2026102</v>
      </c>
      <c r="D105" s="123">
        <v>24</v>
      </c>
      <c r="E105" s="124" t="s">
        <v>44</v>
      </c>
      <c r="F105" s="125" t="s">
        <v>102</v>
      </c>
      <c r="G105" s="126">
        <v>12</v>
      </c>
      <c r="H105" s="127" t="s">
        <v>93</v>
      </c>
      <c r="I105" s="128">
        <v>230887267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247">
        <f t="shared" ref="T105:T107" si="85">J105+L105+N105+P105+R105</f>
        <v>0</v>
      </c>
      <c r="U105" s="247">
        <f t="shared" ref="U105:U107" si="86">K105+M105+O105+Q105+S105</f>
        <v>0</v>
      </c>
      <c r="V105" s="251">
        <v>0</v>
      </c>
      <c r="W105" s="251">
        <v>0</v>
      </c>
      <c r="X105" s="62">
        <f>V105-T105</f>
        <v>0</v>
      </c>
      <c r="Y105" s="248">
        <f>W105-U105</f>
        <v>0</v>
      </c>
      <c r="Z105" s="1"/>
      <c r="AA105" s="69"/>
    </row>
    <row r="106" spans="1:27" ht="12" customHeight="1" x14ac:dyDescent="0.2">
      <c r="A106" s="1"/>
      <c r="B106" s="241"/>
      <c r="C106" s="133">
        <f t="shared" si="60"/>
        <v>2026102</v>
      </c>
      <c r="D106" s="107">
        <v>24</v>
      </c>
      <c r="E106" s="108" t="s">
        <v>44</v>
      </c>
      <c r="F106" s="109" t="s">
        <v>102</v>
      </c>
      <c r="G106" s="110">
        <v>13</v>
      </c>
      <c r="H106" s="111" t="s">
        <v>95</v>
      </c>
      <c r="I106" s="112">
        <v>230887267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249">
        <f t="shared" ref="T106" si="87">J106+L106+N106+P106+R106</f>
        <v>0</v>
      </c>
      <c r="U106" s="249">
        <f t="shared" ref="U106" si="88">K106+M106+O106+Q106+S106</f>
        <v>0</v>
      </c>
      <c r="V106" s="251">
        <v>0</v>
      </c>
      <c r="W106" s="251">
        <v>0</v>
      </c>
      <c r="X106" s="46">
        <f t="shared" si="64"/>
        <v>0</v>
      </c>
      <c r="Y106" s="250">
        <f t="shared" si="65"/>
        <v>0</v>
      </c>
      <c r="Z106" s="1"/>
      <c r="AA106" s="69"/>
    </row>
    <row r="107" spans="1:27" ht="12" customHeight="1" thickBot="1" x14ac:dyDescent="0.25">
      <c r="A107" s="1"/>
      <c r="B107" s="242"/>
      <c r="C107" s="134">
        <f t="shared" si="60"/>
        <v>2026102</v>
      </c>
      <c r="D107" s="113">
        <v>24</v>
      </c>
      <c r="E107" s="114" t="s">
        <v>44</v>
      </c>
      <c r="F107" s="115" t="s">
        <v>102</v>
      </c>
      <c r="G107" s="116">
        <v>14</v>
      </c>
      <c r="H107" s="117" t="s">
        <v>97</v>
      </c>
      <c r="I107" s="118">
        <v>230887267</v>
      </c>
      <c r="J107" s="119">
        <v>0</v>
      </c>
      <c r="K107" s="119">
        <v>0</v>
      </c>
      <c r="L107" s="119">
        <v>0</v>
      </c>
      <c r="M107" s="119">
        <v>0</v>
      </c>
      <c r="N107" s="119">
        <v>0</v>
      </c>
      <c r="O107" s="119">
        <v>0</v>
      </c>
      <c r="P107" s="119">
        <v>0</v>
      </c>
      <c r="Q107" s="119">
        <v>0</v>
      </c>
      <c r="R107" s="119">
        <v>0</v>
      </c>
      <c r="S107" s="119">
        <v>0</v>
      </c>
      <c r="T107" s="251">
        <f t="shared" si="85"/>
        <v>0</v>
      </c>
      <c r="U107" s="251">
        <f t="shared" si="86"/>
        <v>0</v>
      </c>
      <c r="V107" s="251">
        <v>0</v>
      </c>
      <c r="W107" s="251">
        <v>0</v>
      </c>
      <c r="X107" s="120">
        <f t="shared" si="64"/>
        <v>0</v>
      </c>
      <c r="Y107" s="252">
        <f t="shared" si="65"/>
        <v>0</v>
      </c>
      <c r="Z107" s="1"/>
      <c r="AA107" s="69"/>
    </row>
    <row r="108" spans="1:27" s="45" customFormat="1" ht="12" customHeight="1" thickBot="1" x14ac:dyDescent="0.25">
      <c r="A108" s="3"/>
      <c r="B108" s="129"/>
      <c r="C108" s="131">
        <f t="shared" si="60"/>
        <v>2026102</v>
      </c>
      <c r="D108" s="131"/>
      <c r="E108" s="121"/>
      <c r="F108" s="122" t="s">
        <v>4</v>
      </c>
      <c r="G108" s="122"/>
      <c r="H108" s="122"/>
      <c r="I108" s="122"/>
      <c r="J108" s="122">
        <f t="shared" ref="J108:Y108" si="89">SUM(J105:J107)</f>
        <v>0</v>
      </c>
      <c r="K108" s="122">
        <f t="shared" si="89"/>
        <v>0</v>
      </c>
      <c r="L108" s="122">
        <f t="shared" si="89"/>
        <v>0</v>
      </c>
      <c r="M108" s="122">
        <f t="shared" si="89"/>
        <v>0</v>
      </c>
      <c r="N108" s="122">
        <f t="shared" si="89"/>
        <v>0</v>
      </c>
      <c r="O108" s="122">
        <f t="shared" si="89"/>
        <v>0</v>
      </c>
      <c r="P108" s="122">
        <f t="shared" si="89"/>
        <v>0</v>
      </c>
      <c r="Q108" s="122">
        <f t="shared" si="89"/>
        <v>0</v>
      </c>
      <c r="R108" s="122">
        <f t="shared" si="89"/>
        <v>0</v>
      </c>
      <c r="S108" s="122">
        <f t="shared" si="89"/>
        <v>0</v>
      </c>
      <c r="T108" s="122">
        <f t="shared" si="89"/>
        <v>0</v>
      </c>
      <c r="U108" s="122">
        <f t="shared" si="89"/>
        <v>0</v>
      </c>
      <c r="V108" s="122">
        <f t="shared" si="89"/>
        <v>0</v>
      </c>
      <c r="W108" s="122">
        <f t="shared" si="89"/>
        <v>0</v>
      </c>
      <c r="X108" s="122">
        <f t="shared" si="89"/>
        <v>0</v>
      </c>
      <c r="Y108" s="253">
        <f t="shared" si="89"/>
        <v>0</v>
      </c>
      <c r="Z108" s="3"/>
      <c r="AA108" s="69"/>
    </row>
    <row r="109" spans="1:27" ht="12" customHeight="1" x14ac:dyDescent="0.2">
      <c r="A109" s="1"/>
      <c r="B109" s="379"/>
      <c r="C109" s="132">
        <f t="shared" si="60"/>
        <v>2026102</v>
      </c>
      <c r="D109" s="123">
        <v>25</v>
      </c>
      <c r="E109" s="124" t="s">
        <v>44</v>
      </c>
      <c r="F109" s="125" t="s">
        <v>102</v>
      </c>
      <c r="G109" s="126">
        <v>12</v>
      </c>
      <c r="H109" s="127" t="s">
        <v>93</v>
      </c>
      <c r="I109" s="128">
        <v>230887267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247">
        <f t="shared" ref="T109:T111" si="90">J109+L109+N109+P109+R109</f>
        <v>0</v>
      </c>
      <c r="U109" s="247">
        <f t="shared" ref="U109:U111" si="91">K109+M109+O109+Q109+S109</f>
        <v>0</v>
      </c>
      <c r="V109" s="251">
        <v>0</v>
      </c>
      <c r="W109" s="251">
        <v>0</v>
      </c>
      <c r="X109" s="62">
        <f t="shared" si="64"/>
        <v>0</v>
      </c>
      <c r="Y109" s="248">
        <f t="shared" si="65"/>
        <v>0</v>
      </c>
      <c r="Z109" s="1"/>
      <c r="AA109" s="69"/>
    </row>
    <row r="110" spans="1:27" ht="12" customHeight="1" x14ac:dyDescent="0.2">
      <c r="A110" s="1"/>
      <c r="B110" s="241"/>
      <c r="C110" s="133">
        <f t="shared" si="60"/>
        <v>2026102</v>
      </c>
      <c r="D110" s="107">
        <v>25</v>
      </c>
      <c r="E110" s="108" t="s">
        <v>44</v>
      </c>
      <c r="F110" s="109" t="s">
        <v>102</v>
      </c>
      <c r="G110" s="110">
        <v>13</v>
      </c>
      <c r="H110" s="111" t="s">
        <v>95</v>
      </c>
      <c r="I110" s="112">
        <v>230887267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249">
        <f t="shared" si="90"/>
        <v>0</v>
      </c>
      <c r="U110" s="249">
        <f t="shared" si="91"/>
        <v>0</v>
      </c>
      <c r="V110" s="251">
        <v>0</v>
      </c>
      <c r="W110" s="251">
        <v>0</v>
      </c>
      <c r="X110" s="46">
        <f t="shared" si="64"/>
        <v>0</v>
      </c>
      <c r="Y110" s="250">
        <f t="shared" si="65"/>
        <v>0</v>
      </c>
      <c r="Z110" s="1"/>
      <c r="AA110" s="69"/>
    </row>
    <row r="111" spans="1:27" ht="12" customHeight="1" thickBot="1" x14ac:dyDescent="0.25">
      <c r="A111" s="1"/>
      <c r="B111" s="242"/>
      <c r="C111" s="134">
        <f t="shared" si="60"/>
        <v>2026102</v>
      </c>
      <c r="D111" s="113">
        <v>25</v>
      </c>
      <c r="E111" s="114" t="s">
        <v>44</v>
      </c>
      <c r="F111" s="115" t="s">
        <v>102</v>
      </c>
      <c r="G111" s="116">
        <v>14</v>
      </c>
      <c r="H111" s="117" t="s">
        <v>97</v>
      </c>
      <c r="I111" s="118">
        <v>230887267</v>
      </c>
      <c r="J111" s="119">
        <v>0</v>
      </c>
      <c r="K111" s="119">
        <v>0</v>
      </c>
      <c r="L111" s="119">
        <v>0</v>
      </c>
      <c r="M111" s="119">
        <v>0</v>
      </c>
      <c r="N111" s="119">
        <v>0</v>
      </c>
      <c r="O111" s="119">
        <v>0</v>
      </c>
      <c r="P111" s="119">
        <v>0</v>
      </c>
      <c r="Q111" s="119">
        <v>0</v>
      </c>
      <c r="R111" s="119">
        <v>0</v>
      </c>
      <c r="S111" s="119">
        <v>0</v>
      </c>
      <c r="T111" s="251">
        <f t="shared" si="90"/>
        <v>0</v>
      </c>
      <c r="U111" s="251">
        <f t="shared" si="91"/>
        <v>0</v>
      </c>
      <c r="V111" s="251">
        <v>0</v>
      </c>
      <c r="W111" s="251">
        <v>0</v>
      </c>
      <c r="X111" s="120">
        <f t="shared" si="64"/>
        <v>0</v>
      </c>
      <c r="Y111" s="252">
        <f t="shared" si="65"/>
        <v>0</v>
      </c>
      <c r="Z111" s="1"/>
      <c r="AA111" s="69"/>
    </row>
    <row r="112" spans="1:27" s="45" customFormat="1" ht="12" customHeight="1" thickBot="1" x14ac:dyDescent="0.25">
      <c r="A112" s="3"/>
      <c r="B112" s="129"/>
      <c r="C112" s="131">
        <f t="shared" si="60"/>
        <v>2026102</v>
      </c>
      <c r="D112" s="131"/>
      <c r="E112" s="121"/>
      <c r="F112" s="122" t="s">
        <v>4</v>
      </c>
      <c r="G112" s="122"/>
      <c r="H112" s="122"/>
      <c r="I112" s="122"/>
      <c r="J112" s="122">
        <f t="shared" ref="J112:Y112" si="92">SUM(J109:J111)</f>
        <v>0</v>
      </c>
      <c r="K112" s="122">
        <f t="shared" si="92"/>
        <v>0</v>
      </c>
      <c r="L112" s="122">
        <f t="shared" si="92"/>
        <v>0</v>
      </c>
      <c r="M112" s="122">
        <f t="shared" si="92"/>
        <v>0</v>
      </c>
      <c r="N112" s="122">
        <f t="shared" si="92"/>
        <v>0</v>
      </c>
      <c r="O112" s="122">
        <f t="shared" si="92"/>
        <v>0</v>
      </c>
      <c r="P112" s="122">
        <f t="shared" si="92"/>
        <v>0</v>
      </c>
      <c r="Q112" s="122">
        <f t="shared" si="92"/>
        <v>0</v>
      </c>
      <c r="R112" s="122">
        <f t="shared" si="92"/>
        <v>0</v>
      </c>
      <c r="S112" s="122">
        <f t="shared" si="92"/>
        <v>0</v>
      </c>
      <c r="T112" s="122">
        <f t="shared" si="92"/>
        <v>0</v>
      </c>
      <c r="U112" s="122">
        <f t="shared" si="92"/>
        <v>0</v>
      </c>
      <c r="V112" s="122">
        <f t="shared" si="92"/>
        <v>0</v>
      </c>
      <c r="W112" s="122">
        <f t="shared" si="92"/>
        <v>0</v>
      </c>
      <c r="X112" s="122">
        <f t="shared" si="92"/>
        <v>0</v>
      </c>
      <c r="Y112" s="253">
        <f t="shared" si="92"/>
        <v>0</v>
      </c>
      <c r="Z112" s="3"/>
      <c r="AA112" s="69"/>
    </row>
    <row r="113" spans="1:27" ht="12" customHeight="1" x14ac:dyDescent="0.2">
      <c r="A113" s="1"/>
      <c r="B113" s="379"/>
      <c r="C113" s="132">
        <f t="shared" si="60"/>
        <v>2026102</v>
      </c>
      <c r="D113" s="123">
        <v>26</v>
      </c>
      <c r="E113" s="124" t="s">
        <v>44</v>
      </c>
      <c r="F113" s="125" t="s">
        <v>102</v>
      </c>
      <c r="G113" s="126">
        <v>12</v>
      </c>
      <c r="H113" s="127" t="s">
        <v>93</v>
      </c>
      <c r="I113" s="128">
        <v>230887267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247">
        <f t="shared" ref="T113:T115" si="93">J113+L113+N113+P113+R113</f>
        <v>0</v>
      </c>
      <c r="U113" s="247">
        <f t="shared" ref="U113:U115" si="94">K113+M113+O113+Q113+S113</f>
        <v>0</v>
      </c>
      <c r="V113" s="251">
        <v>0</v>
      </c>
      <c r="W113" s="251">
        <v>0</v>
      </c>
      <c r="X113" s="62">
        <f t="shared" si="64"/>
        <v>0</v>
      </c>
      <c r="Y113" s="248">
        <f t="shared" si="65"/>
        <v>0</v>
      </c>
      <c r="Z113" s="1"/>
      <c r="AA113" s="69"/>
    </row>
    <row r="114" spans="1:27" ht="12" customHeight="1" x14ac:dyDescent="0.2">
      <c r="A114" s="1"/>
      <c r="B114" s="241"/>
      <c r="C114" s="133">
        <f t="shared" si="60"/>
        <v>2026102</v>
      </c>
      <c r="D114" s="107">
        <v>26</v>
      </c>
      <c r="E114" s="108" t="s">
        <v>44</v>
      </c>
      <c r="F114" s="109" t="s">
        <v>102</v>
      </c>
      <c r="G114" s="110">
        <v>13</v>
      </c>
      <c r="H114" s="111" t="s">
        <v>95</v>
      </c>
      <c r="I114" s="112">
        <v>230887267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249">
        <f t="shared" si="93"/>
        <v>0</v>
      </c>
      <c r="U114" s="249">
        <f t="shared" si="94"/>
        <v>0</v>
      </c>
      <c r="V114" s="251">
        <v>0</v>
      </c>
      <c r="W114" s="251">
        <v>0</v>
      </c>
      <c r="X114" s="46">
        <f t="shared" si="64"/>
        <v>0</v>
      </c>
      <c r="Y114" s="250">
        <f t="shared" si="65"/>
        <v>0</v>
      </c>
      <c r="Z114" s="1"/>
      <c r="AA114" s="69"/>
    </row>
    <row r="115" spans="1:27" ht="12" customHeight="1" thickBot="1" x14ac:dyDescent="0.25">
      <c r="A115" s="1"/>
      <c r="B115" s="242"/>
      <c r="C115" s="134">
        <f t="shared" si="60"/>
        <v>2026102</v>
      </c>
      <c r="D115" s="113">
        <v>26</v>
      </c>
      <c r="E115" s="114" t="s">
        <v>44</v>
      </c>
      <c r="F115" s="115" t="s">
        <v>102</v>
      </c>
      <c r="G115" s="116">
        <v>14</v>
      </c>
      <c r="H115" s="117" t="s">
        <v>97</v>
      </c>
      <c r="I115" s="118">
        <v>230887267</v>
      </c>
      <c r="J115" s="119">
        <v>0</v>
      </c>
      <c r="K115" s="119">
        <v>0</v>
      </c>
      <c r="L115" s="119">
        <v>0</v>
      </c>
      <c r="M115" s="119">
        <v>0</v>
      </c>
      <c r="N115" s="119">
        <v>0</v>
      </c>
      <c r="O115" s="119">
        <v>0</v>
      </c>
      <c r="P115" s="119">
        <v>0</v>
      </c>
      <c r="Q115" s="119">
        <v>0</v>
      </c>
      <c r="R115" s="119">
        <v>0</v>
      </c>
      <c r="S115" s="119">
        <v>0</v>
      </c>
      <c r="T115" s="251">
        <f t="shared" si="93"/>
        <v>0</v>
      </c>
      <c r="U115" s="251">
        <f t="shared" si="94"/>
        <v>0</v>
      </c>
      <c r="V115" s="251">
        <v>0</v>
      </c>
      <c r="W115" s="251">
        <v>0</v>
      </c>
      <c r="X115" s="120">
        <f t="shared" si="64"/>
        <v>0</v>
      </c>
      <c r="Y115" s="252">
        <f t="shared" si="65"/>
        <v>0</v>
      </c>
      <c r="Z115" s="1"/>
      <c r="AA115" s="69"/>
    </row>
    <row r="116" spans="1:27" s="45" customFormat="1" ht="12" customHeight="1" thickBot="1" x14ac:dyDescent="0.25">
      <c r="A116" s="3"/>
      <c r="B116" s="129"/>
      <c r="C116" s="131">
        <f t="shared" si="60"/>
        <v>2026102</v>
      </c>
      <c r="D116" s="131"/>
      <c r="E116" s="121"/>
      <c r="F116" s="122" t="s">
        <v>4</v>
      </c>
      <c r="G116" s="122"/>
      <c r="H116" s="122"/>
      <c r="I116" s="122"/>
      <c r="J116" s="122">
        <f t="shared" ref="J116:Y116" si="95">SUM(J113:J115)</f>
        <v>0</v>
      </c>
      <c r="K116" s="122">
        <f t="shared" si="95"/>
        <v>0</v>
      </c>
      <c r="L116" s="122">
        <f t="shared" si="95"/>
        <v>0</v>
      </c>
      <c r="M116" s="122">
        <f t="shared" si="95"/>
        <v>0</v>
      </c>
      <c r="N116" s="122">
        <f t="shared" si="95"/>
        <v>0</v>
      </c>
      <c r="O116" s="122">
        <f t="shared" si="95"/>
        <v>0</v>
      </c>
      <c r="P116" s="122">
        <f t="shared" si="95"/>
        <v>0</v>
      </c>
      <c r="Q116" s="122">
        <f t="shared" si="95"/>
        <v>0</v>
      </c>
      <c r="R116" s="122">
        <f t="shared" si="95"/>
        <v>0</v>
      </c>
      <c r="S116" s="122">
        <f t="shared" si="95"/>
        <v>0</v>
      </c>
      <c r="T116" s="122">
        <f t="shared" si="95"/>
        <v>0</v>
      </c>
      <c r="U116" s="122">
        <f t="shared" si="95"/>
        <v>0</v>
      </c>
      <c r="V116" s="122">
        <f t="shared" si="95"/>
        <v>0</v>
      </c>
      <c r="W116" s="122">
        <f t="shared" si="95"/>
        <v>0</v>
      </c>
      <c r="X116" s="122">
        <f t="shared" si="95"/>
        <v>0</v>
      </c>
      <c r="Y116" s="253">
        <f t="shared" si="95"/>
        <v>0</v>
      </c>
      <c r="Z116" s="3"/>
      <c r="AA116" s="69"/>
    </row>
    <row r="117" spans="1:27" ht="12" customHeight="1" x14ac:dyDescent="0.2">
      <c r="A117" s="1"/>
      <c r="B117" s="379"/>
      <c r="C117" s="132">
        <f t="shared" si="60"/>
        <v>2026102</v>
      </c>
      <c r="D117" s="123">
        <v>27</v>
      </c>
      <c r="E117" s="124" t="s">
        <v>44</v>
      </c>
      <c r="F117" s="125" t="s">
        <v>102</v>
      </c>
      <c r="G117" s="126">
        <v>12</v>
      </c>
      <c r="H117" s="127" t="s">
        <v>93</v>
      </c>
      <c r="I117" s="128">
        <v>230887267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247">
        <f t="shared" ref="T117:T119" si="96">J117+L117+N117+P117+R117</f>
        <v>0</v>
      </c>
      <c r="U117" s="247">
        <f t="shared" ref="U117:U119" si="97">K117+M117+O117+Q117+S117</f>
        <v>0</v>
      </c>
      <c r="V117" s="251">
        <v>0</v>
      </c>
      <c r="W117" s="251">
        <v>0</v>
      </c>
      <c r="X117" s="62">
        <f t="shared" si="64"/>
        <v>0</v>
      </c>
      <c r="Y117" s="248">
        <f t="shared" si="65"/>
        <v>0</v>
      </c>
      <c r="Z117" s="1"/>
      <c r="AA117" s="69"/>
    </row>
    <row r="118" spans="1:27" ht="12" customHeight="1" x14ac:dyDescent="0.2">
      <c r="A118" s="1"/>
      <c r="B118" s="241"/>
      <c r="C118" s="133">
        <f t="shared" si="60"/>
        <v>2026102</v>
      </c>
      <c r="D118" s="107">
        <v>27</v>
      </c>
      <c r="E118" s="108" t="s">
        <v>44</v>
      </c>
      <c r="F118" s="109" t="s">
        <v>102</v>
      </c>
      <c r="G118" s="110">
        <v>13</v>
      </c>
      <c r="H118" s="111" t="s">
        <v>95</v>
      </c>
      <c r="I118" s="112">
        <v>230887267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251">
        <f t="shared" ref="T118" si="98">J118+L118+N118+P118+R118</f>
        <v>0</v>
      </c>
      <c r="U118" s="251">
        <f t="shared" ref="U118" si="99">K118+M118+O118+Q118+S118</f>
        <v>0</v>
      </c>
      <c r="V118" s="251">
        <v>0</v>
      </c>
      <c r="W118" s="251">
        <v>0</v>
      </c>
      <c r="X118" s="46">
        <f>V118-T118</f>
        <v>0</v>
      </c>
      <c r="Y118" s="250">
        <f t="shared" si="65"/>
        <v>0</v>
      </c>
      <c r="Z118" s="1"/>
      <c r="AA118" s="69"/>
    </row>
    <row r="119" spans="1:27" ht="12" customHeight="1" thickBot="1" x14ac:dyDescent="0.25">
      <c r="A119" s="1"/>
      <c r="B119" s="242"/>
      <c r="C119" s="134">
        <f t="shared" si="60"/>
        <v>2026102</v>
      </c>
      <c r="D119" s="113">
        <v>27</v>
      </c>
      <c r="E119" s="114" t="s">
        <v>44</v>
      </c>
      <c r="F119" s="115" t="s">
        <v>102</v>
      </c>
      <c r="G119" s="116">
        <v>14</v>
      </c>
      <c r="H119" s="117" t="s">
        <v>97</v>
      </c>
      <c r="I119" s="118">
        <v>230887267</v>
      </c>
      <c r="J119" s="119">
        <v>0</v>
      </c>
      <c r="K119" s="119">
        <v>0</v>
      </c>
      <c r="L119" s="119">
        <v>0</v>
      </c>
      <c r="M119" s="119">
        <v>0</v>
      </c>
      <c r="N119" s="119">
        <v>0</v>
      </c>
      <c r="O119" s="119">
        <v>0</v>
      </c>
      <c r="P119" s="119">
        <v>0</v>
      </c>
      <c r="Q119" s="119">
        <v>0</v>
      </c>
      <c r="R119" s="119">
        <v>0</v>
      </c>
      <c r="S119" s="119">
        <v>0</v>
      </c>
      <c r="T119" s="251">
        <f t="shared" si="96"/>
        <v>0</v>
      </c>
      <c r="U119" s="251">
        <f t="shared" si="97"/>
        <v>0</v>
      </c>
      <c r="V119" s="251">
        <v>0</v>
      </c>
      <c r="W119" s="251">
        <v>0</v>
      </c>
      <c r="X119" s="120">
        <f>V119-T119</f>
        <v>0</v>
      </c>
      <c r="Y119" s="252">
        <f t="shared" si="65"/>
        <v>0</v>
      </c>
      <c r="Z119" s="1"/>
      <c r="AA119" s="69"/>
    </row>
    <row r="120" spans="1:27" s="45" customFormat="1" ht="12" customHeight="1" thickBot="1" x14ac:dyDescent="0.25">
      <c r="A120" s="3"/>
      <c r="B120" s="129"/>
      <c r="C120" s="131">
        <f t="shared" si="60"/>
        <v>2026102</v>
      </c>
      <c r="D120" s="131"/>
      <c r="E120" s="121"/>
      <c r="F120" s="122" t="s">
        <v>4</v>
      </c>
      <c r="G120" s="122"/>
      <c r="H120" s="122"/>
      <c r="I120" s="122"/>
      <c r="J120" s="122">
        <f t="shared" ref="J120:Y120" si="100">SUM(J117:J119)</f>
        <v>0</v>
      </c>
      <c r="K120" s="122">
        <f t="shared" si="100"/>
        <v>0</v>
      </c>
      <c r="L120" s="122">
        <f t="shared" si="100"/>
        <v>0</v>
      </c>
      <c r="M120" s="122">
        <f t="shared" si="100"/>
        <v>0</v>
      </c>
      <c r="N120" s="122">
        <f t="shared" si="100"/>
        <v>0</v>
      </c>
      <c r="O120" s="122">
        <f t="shared" si="100"/>
        <v>0</v>
      </c>
      <c r="P120" s="122">
        <f t="shared" si="100"/>
        <v>0</v>
      </c>
      <c r="Q120" s="122">
        <f t="shared" si="100"/>
        <v>0</v>
      </c>
      <c r="R120" s="122">
        <f t="shared" si="100"/>
        <v>0</v>
      </c>
      <c r="S120" s="122">
        <f t="shared" si="100"/>
        <v>0</v>
      </c>
      <c r="T120" s="122">
        <f t="shared" si="100"/>
        <v>0</v>
      </c>
      <c r="U120" s="122">
        <f t="shared" si="100"/>
        <v>0</v>
      </c>
      <c r="V120" s="122">
        <f t="shared" ref="V120" si="101">SUM(V117:V119)</f>
        <v>0</v>
      </c>
      <c r="W120" s="122">
        <f t="shared" si="100"/>
        <v>0</v>
      </c>
      <c r="X120" s="122">
        <f t="shared" si="100"/>
        <v>0</v>
      </c>
      <c r="Y120" s="253">
        <f t="shared" si="100"/>
        <v>0</v>
      </c>
      <c r="Z120" s="3"/>
      <c r="AA120" s="69"/>
    </row>
    <row r="121" spans="1:27" ht="12" customHeight="1" x14ac:dyDescent="0.2">
      <c r="A121" s="1"/>
      <c r="B121" s="379"/>
      <c r="C121" s="132">
        <f t="shared" si="60"/>
        <v>2026102</v>
      </c>
      <c r="D121" s="123">
        <v>28</v>
      </c>
      <c r="E121" s="124" t="s">
        <v>44</v>
      </c>
      <c r="F121" s="125" t="s">
        <v>102</v>
      </c>
      <c r="G121" s="126">
        <v>12</v>
      </c>
      <c r="H121" s="127" t="s">
        <v>93</v>
      </c>
      <c r="I121" s="128">
        <v>230887267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247">
        <f t="shared" ref="T121:T123" si="102">J121+L121+N121+P121+R121</f>
        <v>0</v>
      </c>
      <c r="U121" s="247">
        <f t="shared" ref="U121:U123" si="103">K121+M121+O121+Q121+S121</f>
        <v>0</v>
      </c>
      <c r="V121" s="251">
        <v>0</v>
      </c>
      <c r="W121" s="251">
        <v>0</v>
      </c>
      <c r="X121" s="62">
        <f>V121-T121</f>
        <v>0</v>
      </c>
      <c r="Y121" s="248">
        <f t="shared" si="65"/>
        <v>0</v>
      </c>
      <c r="Z121" s="1"/>
      <c r="AA121" s="69"/>
    </row>
    <row r="122" spans="1:27" ht="12" customHeight="1" x14ac:dyDescent="0.2">
      <c r="A122" s="1"/>
      <c r="B122" s="241"/>
      <c r="C122" s="133">
        <f t="shared" si="60"/>
        <v>2026102</v>
      </c>
      <c r="D122" s="107">
        <v>28</v>
      </c>
      <c r="E122" s="108" t="s">
        <v>44</v>
      </c>
      <c r="F122" s="109" t="s">
        <v>102</v>
      </c>
      <c r="G122" s="110">
        <v>13</v>
      </c>
      <c r="H122" s="111" t="s">
        <v>95</v>
      </c>
      <c r="I122" s="112">
        <v>230887267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249">
        <f t="shared" si="102"/>
        <v>0</v>
      </c>
      <c r="U122" s="249">
        <f t="shared" si="103"/>
        <v>0</v>
      </c>
      <c r="V122" s="251">
        <v>0</v>
      </c>
      <c r="W122" s="251">
        <v>0</v>
      </c>
      <c r="X122" s="46">
        <f>V122-T122</f>
        <v>0</v>
      </c>
      <c r="Y122" s="250">
        <f t="shared" ref="Y122" si="104">W122-U122</f>
        <v>0</v>
      </c>
      <c r="Z122" s="1"/>
      <c r="AA122" s="69"/>
    </row>
    <row r="123" spans="1:27" ht="12" customHeight="1" thickBot="1" x14ac:dyDescent="0.25">
      <c r="A123" s="1"/>
      <c r="B123" s="242"/>
      <c r="C123" s="134">
        <f t="shared" si="60"/>
        <v>2026102</v>
      </c>
      <c r="D123" s="113">
        <v>28</v>
      </c>
      <c r="E123" s="114" t="s">
        <v>44</v>
      </c>
      <c r="F123" s="115" t="s">
        <v>102</v>
      </c>
      <c r="G123" s="116">
        <v>14</v>
      </c>
      <c r="H123" s="117" t="s">
        <v>97</v>
      </c>
      <c r="I123" s="118">
        <v>230887267</v>
      </c>
      <c r="J123" s="119">
        <v>0</v>
      </c>
      <c r="K123" s="119">
        <v>0</v>
      </c>
      <c r="L123" s="119">
        <v>0</v>
      </c>
      <c r="M123" s="119">
        <v>0</v>
      </c>
      <c r="N123" s="119">
        <v>0</v>
      </c>
      <c r="O123" s="119">
        <v>0</v>
      </c>
      <c r="P123" s="119">
        <v>0</v>
      </c>
      <c r="Q123" s="119">
        <v>0</v>
      </c>
      <c r="R123" s="119">
        <v>0</v>
      </c>
      <c r="S123" s="119">
        <v>0</v>
      </c>
      <c r="T123" s="251">
        <f t="shared" si="102"/>
        <v>0</v>
      </c>
      <c r="U123" s="251">
        <f t="shared" si="103"/>
        <v>0</v>
      </c>
      <c r="V123" s="251">
        <v>0</v>
      </c>
      <c r="W123" s="251">
        <v>0</v>
      </c>
      <c r="X123" s="120">
        <f>V123-T123</f>
        <v>0</v>
      </c>
      <c r="Y123" s="252">
        <f t="shared" si="65"/>
        <v>0</v>
      </c>
      <c r="Z123" s="1"/>
      <c r="AA123" s="69"/>
    </row>
    <row r="124" spans="1:27" s="45" customFormat="1" ht="12" customHeight="1" thickBot="1" x14ac:dyDescent="0.25">
      <c r="A124" s="3"/>
      <c r="B124" s="129"/>
      <c r="C124" s="131">
        <f t="shared" si="60"/>
        <v>2026102</v>
      </c>
      <c r="D124" s="131"/>
      <c r="E124" s="121"/>
      <c r="F124" s="122" t="s">
        <v>4</v>
      </c>
      <c r="G124" s="122"/>
      <c r="H124" s="122"/>
      <c r="I124" s="122"/>
      <c r="J124" s="122">
        <f>SUM(J121:J123)</f>
        <v>0</v>
      </c>
      <c r="K124" s="122">
        <f>SUM(K121:K123)</f>
        <v>0</v>
      </c>
      <c r="L124" s="122">
        <f>SUM(L121:L123)</f>
        <v>0</v>
      </c>
      <c r="M124" s="122">
        <f>SUM(M121:M123)</f>
        <v>0</v>
      </c>
      <c r="N124" s="122">
        <f>SUM(N121:N123)</f>
        <v>0</v>
      </c>
      <c r="O124" s="122">
        <f t="shared" ref="O124:Y124" si="105">SUM(O121:O123)</f>
        <v>0</v>
      </c>
      <c r="P124" s="122">
        <f t="shared" si="105"/>
        <v>0</v>
      </c>
      <c r="Q124" s="122">
        <f t="shared" si="105"/>
        <v>0</v>
      </c>
      <c r="R124" s="122">
        <f t="shared" si="105"/>
        <v>0</v>
      </c>
      <c r="S124" s="122">
        <f t="shared" si="105"/>
        <v>0</v>
      </c>
      <c r="T124" s="122">
        <f t="shared" si="105"/>
        <v>0</v>
      </c>
      <c r="U124" s="122">
        <f t="shared" si="105"/>
        <v>0</v>
      </c>
      <c r="V124" s="122">
        <f t="shared" ref="V124" si="106">SUM(V121:V123)</f>
        <v>0</v>
      </c>
      <c r="W124" s="122">
        <f t="shared" si="105"/>
        <v>0</v>
      </c>
      <c r="X124" s="122">
        <f t="shared" si="105"/>
        <v>0</v>
      </c>
      <c r="Y124" s="253">
        <f t="shared" si="105"/>
        <v>0</v>
      </c>
      <c r="Z124" s="3"/>
      <c r="AA124" s="69"/>
    </row>
    <row r="125" spans="1:27" ht="12" customHeight="1" x14ac:dyDescent="0.2">
      <c r="A125" s="1"/>
      <c r="B125" s="241"/>
      <c r="C125" s="132">
        <f t="shared" si="60"/>
        <v>2026102</v>
      </c>
      <c r="D125" s="123">
        <v>29</v>
      </c>
      <c r="E125" s="124" t="s">
        <v>44</v>
      </c>
      <c r="F125" s="125" t="s">
        <v>102</v>
      </c>
      <c r="G125" s="126">
        <v>12</v>
      </c>
      <c r="H125" s="127" t="s">
        <v>93</v>
      </c>
      <c r="I125" s="128">
        <v>230887267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247">
        <f t="shared" ref="T125:T127" si="107">J125+L125+N125+P125+R125</f>
        <v>0</v>
      </c>
      <c r="U125" s="247">
        <f t="shared" ref="U125:U127" si="108">K125+M125+O125+Q125+S125</f>
        <v>0</v>
      </c>
      <c r="V125" s="251">
        <v>0</v>
      </c>
      <c r="W125" s="251">
        <v>0</v>
      </c>
      <c r="X125" s="62">
        <f>V125-T125</f>
        <v>0</v>
      </c>
      <c r="Y125" s="248">
        <f>W125-U125</f>
        <v>0</v>
      </c>
      <c r="Z125" s="1"/>
      <c r="AA125" s="69"/>
    </row>
    <row r="126" spans="1:27" ht="12" customHeight="1" x14ac:dyDescent="0.2">
      <c r="A126" s="1"/>
      <c r="B126" s="241"/>
      <c r="C126" s="133">
        <f t="shared" si="60"/>
        <v>2026102</v>
      </c>
      <c r="D126" s="107">
        <v>29</v>
      </c>
      <c r="E126" s="108" t="s">
        <v>44</v>
      </c>
      <c r="F126" s="109" t="s">
        <v>102</v>
      </c>
      <c r="G126" s="110">
        <v>13</v>
      </c>
      <c r="H126" s="111" t="s">
        <v>95</v>
      </c>
      <c r="I126" s="112">
        <v>230887267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249">
        <f t="shared" si="107"/>
        <v>0</v>
      </c>
      <c r="U126" s="249">
        <f t="shared" si="108"/>
        <v>0</v>
      </c>
      <c r="V126" s="251">
        <v>0</v>
      </c>
      <c r="W126" s="251">
        <v>0</v>
      </c>
      <c r="X126" s="46">
        <f>V126-T126</f>
        <v>0</v>
      </c>
      <c r="Y126" s="250">
        <f t="shared" si="65"/>
        <v>0</v>
      </c>
      <c r="Z126" s="1"/>
      <c r="AA126" s="69"/>
    </row>
    <row r="127" spans="1:27" ht="12" customHeight="1" thickBot="1" x14ac:dyDescent="0.25">
      <c r="A127" s="1"/>
      <c r="B127" s="241"/>
      <c r="C127" s="134">
        <f t="shared" si="60"/>
        <v>2026102</v>
      </c>
      <c r="D127" s="113">
        <v>29</v>
      </c>
      <c r="E127" s="114" t="s">
        <v>44</v>
      </c>
      <c r="F127" s="115" t="s">
        <v>102</v>
      </c>
      <c r="G127" s="116">
        <v>14</v>
      </c>
      <c r="H127" s="117" t="s">
        <v>97</v>
      </c>
      <c r="I127" s="118">
        <v>230887267</v>
      </c>
      <c r="J127" s="119">
        <v>0</v>
      </c>
      <c r="K127" s="119">
        <v>0</v>
      </c>
      <c r="L127" s="119">
        <v>0</v>
      </c>
      <c r="M127" s="119">
        <v>0</v>
      </c>
      <c r="N127" s="119">
        <v>0</v>
      </c>
      <c r="O127" s="119">
        <v>0</v>
      </c>
      <c r="P127" s="119">
        <v>0</v>
      </c>
      <c r="Q127" s="119">
        <v>0</v>
      </c>
      <c r="R127" s="119">
        <v>0</v>
      </c>
      <c r="S127" s="119">
        <v>0</v>
      </c>
      <c r="T127" s="251">
        <f t="shared" si="107"/>
        <v>0</v>
      </c>
      <c r="U127" s="251">
        <f t="shared" si="108"/>
        <v>0</v>
      </c>
      <c r="V127" s="251">
        <v>0</v>
      </c>
      <c r="W127" s="251">
        <v>0</v>
      </c>
      <c r="X127" s="120">
        <f>V127-T127</f>
        <v>0</v>
      </c>
      <c r="Y127" s="252">
        <f t="shared" si="65"/>
        <v>0</v>
      </c>
      <c r="Z127" s="1"/>
      <c r="AA127" s="69"/>
    </row>
    <row r="128" spans="1:27" s="45" customFormat="1" ht="12" customHeight="1" thickBot="1" x14ac:dyDescent="0.25">
      <c r="A128" s="3"/>
      <c r="B128" s="129"/>
      <c r="C128" s="131">
        <f t="shared" si="60"/>
        <v>2026102</v>
      </c>
      <c r="D128" s="131"/>
      <c r="E128" s="121"/>
      <c r="F128" s="122" t="s">
        <v>4</v>
      </c>
      <c r="G128" s="122"/>
      <c r="H128" s="122"/>
      <c r="I128" s="122"/>
      <c r="J128" s="122">
        <f t="shared" ref="J128:Y128" si="109">SUM(J125:J127)</f>
        <v>0</v>
      </c>
      <c r="K128" s="122">
        <f t="shared" si="109"/>
        <v>0</v>
      </c>
      <c r="L128" s="122">
        <f t="shared" si="109"/>
        <v>0</v>
      </c>
      <c r="M128" s="122">
        <f t="shared" si="109"/>
        <v>0</v>
      </c>
      <c r="N128" s="122">
        <f t="shared" si="109"/>
        <v>0</v>
      </c>
      <c r="O128" s="122">
        <f t="shared" si="109"/>
        <v>0</v>
      </c>
      <c r="P128" s="122">
        <f t="shared" si="109"/>
        <v>0</v>
      </c>
      <c r="Q128" s="122">
        <f t="shared" si="109"/>
        <v>0</v>
      </c>
      <c r="R128" s="122">
        <f t="shared" si="109"/>
        <v>0</v>
      </c>
      <c r="S128" s="122">
        <f t="shared" si="109"/>
        <v>0</v>
      </c>
      <c r="T128" s="122">
        <f t="shared" si="109"/>
        <v>0</v>
      </c>
      <c r="U128" s="122">
        <f t="shared" si="109"/>
        <v>0</v>
      </c>
      <c r="V128" s="122">
        <f t="shared" ref="V128" si="110">SUM(V125:V127)</f>
        <v>0</v>
      </c>
      <c r="W128" s="122">
        <f t="shared" si="109"/>
        <v>0</v>
      </c>
      <c r="X128" s="122">
        <f t="shared" si="109"/>
        <v>0</v>
      </c>
      <c r="Y128" s="253">
        <f t="shared" si="109"/>
        <v>0</v>
      </c>
      <c r="Z128" s="3"/>
      <c r="AA128" s="69"/>
    </row>
    <row r="129" spans="1:27" ht="12" customHeight="1" x14ac:dyDescent="0.2">
      <c r="A129" s="1"/>
      <c r="B129" s="241"/>
      <c r="C129" s="132">
        <f t="shared" si="60"/>
        <v>2026102</v>
      </c>
      <c r="D129" s="123">
        <v>30</v>
      </c>
      <c r="E129" s="124" t="s">
        <v>44</v>
      </c>
      <c r="F129" s="125" t="s">
        <v>102</v>
      </c>
      <c r="G129" s="126">
        <v>12</v>
      </c>
      <c r="H129" s="127" t="s">
        <v>93</v>
      </c>
      <c r="I129" s="128">
        <v>230887267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247">
        <f t="shared" ref="T129:T131" si="111">J129+L129+N129+P129+R129</f>
        <v>0</v>
      </c>
      <c r="U129" s="247">
        <f t="shared" ref="U129:U131" si="112">K129+M129+O129+Q129+S129</f>
        <v>0</v>
      </c>
      <c r="V129" s="251">
        <v>0</v>
      </c>
      <c r="W129" s="251">
        <v>0</v>
      </c>
      <c r="X129" s="62">
        <f>V129-T129</f>
        <v>0</v>
      </c>
      <c r="Y129" s="248">
        <f t="shared" si="65"/>
        <v>0</v>
      </c>
      <c r="Z129" s="1"/>
      <c r="AA129" s="69"/>
    </row>
    <row r="130" spans="1:27" ht="12" customHeight="1" x14ac:dyDescent="0.2">
      <c r="A130" s="1"/>
      <c r="B130" s="241"/>
      <c r="C130" s="133">
        <f t="shared" si="60"/>
        <v>2026102</v>
      </c>
      <c r="D130" s="107">
        <v>30</v>
      </c>
      <c r="E130" s="108" t="s">
        <v>44</v>
      </c>
      <c r="F130" s="109" t="s">
        <v>102</v>
      </c>
      <c r="G130" s="110">
        <v>13</v>
      </c>
      <c r="H130" s="111" t="s">
        <v>95</v>
      </c>
      <c r="I130" s="112">
        <v>230887267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249">
        <f t="shared" si="111"/>
        <v>0</v>
      </c>
      <c r="U130" s="249">
        <f t="shared" si="112"/>
        <v>0</v>
      </c>
      <c r="V130" s="251">
        <v>0</v>
      </c>
      <c r="W130" s="251">
        <v>0</v>
      </c>
      <c r="X130" s="46">
        <f>V130-T130</f>
        <v>0</v>
      </c>
      <c r="Y130" s="250">
        <f t="shared" si="65"/>
        <v>0</v>
      </c>
      <c r="Z130" s="1"/>
      <c r="AA130" s="69"/>
    </row>
    <row r="131" spans="1:27" ht="12" customHeight="1" thickBot="1" x14ac:dyDescent="0.25">
      <c r="A131" s="1"/>
      <c r="B131" s="241"/>
      <c r="C131" s="134">
        <f t="shared" si="60"/>
        <v>2026102</v>
      </c>
      <c r="D131" s="113">
        <v>30</v>
      </c>
      <c r="E131" s="114" t="s">
        <v>44</v>
      </c>
      <c r="F131" s="115" t="s">
        <v>102</v>
      </c>
      <c r="G131" s="116">
        <v>14</v>
      </c>
      <c r="H131" s="117" t="s">
        <v>97</v>
      </c>
      <c r="I131" s="118">
        <v>230887267</v>
      </c>
      <c r="J131" s="119">
        <v>0</v>
      </c>
      <c r="K131" s="119">
        <v>0</v>
      </c>
      <c r="L131" s="119">
        <v>0</v>
      </c>
      <c r="M131" s="119">
        <v>0</v>
      </c>
      <c r="N131" s="119">
        <v>0</v>
      </c>
      <c r="O131" s="119">
        <v>0</v>
      </c>
      <c r="P131" s="119">
        <v>0</v>
      </c>
      <c r="Q131" s="119">
        <v>0</v>
      </c>
      <c r="R131" s="119">
        <v>0</v>
      </c>
      <c r="S131" s="119">
        <v>0</v>
      </c>
      <c r="T131" s="251">
        <f t="shared" si="111"/>
        <v>0</v>
      </c>
      <c r="U131" s="251">
        <f t="shared" si="112"/>
        <v>0</v>
      </c>
      <c r="V131" s="251">
        <v>0</v>
      </c>
      <c r="W131" s="251">
        <v>0</v>
      </c>
      <c r="X131" s="120">
        <f>V131-T131</f>
        <v>0</v>
      </c>
      <c r="Y131" s="252">
        <f t="shared" si="65"/>
        <v>0</v>
      </c>
      <c r="Z131" s="1"/>
      <c r="AA131" s="69"/>
    </row>
    <row r="132" spans="1:27" s="45" customFormat="1" ht="12" customHeight="1" thickBot="1" x14ac:dyDescent="0.25">
      <c r="A132" s="3"/>
      <c r="B132" s="129"/>
      <c r="C132" s="131">
        <f t="shared" si="60"/>
        <v>2026102</v>
      </c>
      <c r="D132" s="131"/>
      <c r="E132" s="121"/>
      <c r="F132" s="122" t="s">
        <v>4</v>
      </c>
      <c r="G132" s="122"/>
      <c r="H132" s="122"/>
      <c r="I132" s="122"/>
      <c r="J132" s="122">
        <f t="shared" ref="J132:Y132" si="113">SUM(J129:J131)</f>
        <v>0</v>
      </c>
      <c r="K132" s="122">
        <f t="shared" si="113"/>
        <v>0</v>
      </c>
      <c r="L132" s="122">
        <f t="shared" si="113"/>
        <v>0</v>
      </c>
      <c r="M132" s="122">
        <f t="shared" si="113"/>
        <v>0</v>
      </c>
      <c r="N132" s="122">
        <f t="shared" si="113"/>
        <v>0</v>
      </c>
      <c r="O132" s="122">
        <f t="shared" si="113"/>
        <v>0</v>
      </c>
      <c r="P132" s="122">
        <f t="shared" si="113"/>
        <v>0</v>
      </c>
      <c r="Q132" s="122">
        <f t="shared" si="113"/>
        <v>0</v>
      </c>
      <c r="R132" s="122">
        <f t="shared" si="113"/>
        <v>0</v>
      </c>
      <c r="S132" s="122">
        <f t="shared" si="113"/>
        <v>0</v>
      </c>
      <c r="T132" s="122">
        <f t="shared" si="113"/>
        <v>0</v>
      </c>
      <c r="U132" s="122">
        <f t="shared" si="113"/>
        <v>0</v>
      </c>
      <c r="V132" s="122">
        <f t="shared" ref="V132" si="114">SUM(V129:V131)</f>
        <v>0</v>
      </c>
      <c r="W132" s="122">
        <f t="shared" si="113"/>
        <v>0</v>
      </c>
      <c r="X132" s="122">
        <f t="shared" si="113"/>
        <v>0</v>
      </c>
      <c r="Y132" s="253">
        <f t="shared" si="113"/>
        <v>0</v>
      </c>
      <c r="Z132" s="3"/>
      <c r="AA132" s="69"/>
    </row>
    <row r="133" spans="1:27" ht="12" customHeight="1" x14ac:dyDescent="0.2">
      <c r="A133" s="1"/>
      <c r="B133" s="379"/>
      <c r="C133" s="132">
        <f t="shared" si="60"/>
        <v>2026102</v>
      </c>
      <c r="D133" s="123">
        <v>31</v>
      </c>
      <c r="E133" s="124" t="s">
        <v>44</v>
      </c>
      <c r="F133" s="125" t="s">
        <v>102</v>
      </c>
      <c r="G133" s="126">
        <v>12</v>
      </c>
      <c r="H133" s="127" t="s">
        <v>93</v>
      </c>
      <c r="I133" s="128">
        <v>230887267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62">
        <f t="shared" ref="T133:U135" si="115">J133+L133+N133+P133+R133</f>
        <v>0</v>
      </c>
      <c r="U133" s="62">
        <f t="shared" si="115"/>
        <v>0</v>
      </c>
      <c r="V133" s="251">
        <v>0</v>
      </c>
      <c r="W133" s="251">
        <v>0</v>
      </c>
      <c r="X133" s="62">
        <f>V133-T133</f>
        <v>0</v>
      </c>
      <c r="Y133" s="248">
        <f>W133-U133</f>
        <v>0</v>
      </c>
      <c r="Z133" s="1"/>
      <c r="AA133" s="69"/>
    </row>
    <row r="134" spans="1:27" ht="12" customHeight="1" x14ac:dyDescent="0.2">
      <c r="A134" s="1"/>
      <c r="B134" s="241"/>
      <c r="C134" s="133">
        <f t="shared" si="60"/>
        <v>2026102</v>
      </c>
      <c r="D134" s="107">
        <v>31</v>
      </c>
      <c r="E134" s="108" t="s">
        <v>44</v>
      </c>
      <c r="F134" s="109" t="s">
        <v>102</v>
      </c>
      <c r="G134" s="110">
        <v>13</v>
      </c>
      <c r="H134" s="111" t="s">
        <v>95</v>
      </c>
      <c r="I134" s="112">
        <v>230887267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46">
        <f t="shared" si="115"/>
        <v>0</v>
      </c>
      <c r="U134" s="46">
        <f t="shared" si="115"/>
        <v>0</v>
      </c>
      <c r="V134" s="251">
        <v>0</v>
      </c>
      <c r="W134" s="251">
        <v>0</v>
      </c>
      <c r="X134" s="46">
        <f>V134-T134</f>
        <v>0</v>
      </c>
      <c r="Y134" s="250">
        <f t="shared" si="65"/>
        <v>0</v>
      </c>
      <c r="Z134" s="1"/>
      <c r="AA134" s="69"/>
    </row>
    <row r="135" spans="1:27" ht="12" customHeight="1" thickBot="1" x14ac:dyDescent="0.25">
      <c r="A135" s="1"/>
      <c r="B135" s="242"/>
      <c r="C135" s="134">
        <f t="shared" si="60"/>
        <v>2026102</v>
      </c>
      <c r="D135" s="113">
        <v>31</v>
      </c>
      <c r="E135" s="114" t="s">
        <v>44</v>
      </c>
      <c r="F135" s="115" t="s">
        <v>102</v>
      </c>
      <c r="G135" s="116">
        <v>14</v>
      </c>
      <c r="H135" s="117" t="s">
        <v>97</v>
      </c>
      <c r="I135" s="118">
        <v>230887267</v>
      </c>
      <c r="J135" s="119">
        <v>0</v>
      </c>
      <c r="K135" s="119">
        <v>0</v>
      </c>
      <c r="L135" s="119">
        <v>0</v>
      </c>
      <c r="M135" s="119">
        <v>0</v>
      </c>
      <c r="N135" s="119">
        <v>0</v>
      </c>
      <c r="O135" s="119">
        <v>0</v>
      </c>
      <c r="P135" s="119">
        <v>0</v>
      </c>
      <c r="Q135" s="119">
        <v>0</v>
      </c>
      <c r="R135" s="119">
        <v>0</v>
      </c>
      <c r="S135" s="119">
        <v>0</v>
      </c>
      <c r="T135" s="120">
        <f t="shared" si="115"/>
        <v>0</v>
      </c>
      <c r="U135" s="120">
        <f t="shared" si="115"/>
        <v>0</v>
      </c>
      <c r="V135" s="251">
        <v>0</v>
      </c>
      <c r="W135" s="251">
        <v>0</v>
      </c>
      <c r="X135" s="120">
        <f>V135-T135</f>
        <v>0</v>
      </c>
      <c r="Y135" s="252">
        <f t="shared" si="65"/>
        <v>0</v>
      </c>
      <c r="Z135" s="1"/>
      <c r="AA135" s="69"/>
    </row>
    <row r="136" spans="1:27" s="45" customFormat="1" ht="12" customHeight="1" thickBot="1" x14ac:dyDescent="0.25">
      <c r="A136" s="3"/>
      <c r="B136" s="129"/>
      <c r="C136" s="131">
        <f t="shared" si="60"/>
        <v>2026102</v>
      </c>
      <c r="D136" s="131"/>
      <c r="E136" s="121"/>
      <c r="F136" s="122" t="s">
        <v>4</v>
      </c>
      <c r="G136" s="122"/>
      <c r="H136" s="122"/>
      <c r="I136" s="122"/>
      <c r="J136" s="122">
        <f t="shared" ref="J136:Y136" si="116">SUM(J133:J135)</f>
        <v>0</v>
      </c>
      <c r="K136" s="122">
        <f t="shared" si="116"/>
        <v>0</v>
      </c>
      <c r="L136" s="122">
        <f t="shared" si="116"/>
        <v>0</v>
      </c>
      <c r="M136" s="122">
        <f t="shared" si="116"/>
        <v>0</v>
      </c>
      <c r="N136" s="122">
        <f t="shared" si="116"/>
        <v>0</v>
      </c>
      <c r="O136" s="122">
        <f t="shared" si="116"/>
        <v>0</v>
      </c>
      <c r="P136" s="122">
        <f t="shared" si="116"/>
        <v>0</v>
      </c>
      <c r="Q136" s="122">
        <f t="shared" si="116"/>
        <v>0</v>
      </c>
      <c r="R136" s="122">
        <f t="shared" si="116"/>
        <v>0</v>
      </c>
      <c r="S136" s="122">
        <f t="shared" si="116"/>
        <v>0</v>
      </c>
      <c r="T136" s="122">
        <f t="shared" si="116"/>
        <v>0</v>
      </c>
      <c r="U136" s="122">
        <f t="shared" si="116"/>
        <v>0</v>
      </c>
      <c r="V136" s="122">
        <f t="shared" ref="V136" si="117">SUM(V133:V135)</f>
        <v>0</v>
      </c>
      <c r="W136" s="122">
        <f t="shared" si="116"/>
        <v>0</v>
      </c>
      <c r="X136" s="122">
        <f t="shared" si="116"/>
        <v>0</v>
      </c>
      <c r="Y136" s="253">
        <f t="shared" si="116"/>
        <v>0</v>
      </c>
      <c r="Z136" s="3"/>
      <c r="AA136" s="69"/>
    </row>
    <row r="137" spans="1:27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1"/>
      <c r="Y137" s="1"/>
      <c r="Z137" s="1"/>
      <c r="AA137" s="69"/>
    </row>
    <row r="138" spans="1:27" ht="12" customHeight="1" x14ac:dyDescent="0.2">
      <c r="A138" s="69"/>
      <c r="B138" s="69"/>
      <c r="C138" s="69"/>
      <c r="D138" s="69"/>
      <c r="E138" s="135"/>
      <c r="F138" s="135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</row>
    <row r="139" spans="1:27" ht="12" customHeight="1" x14ac:dyDescent="0.2">
      <c r="A139" s="1"/>
      <c r="B139" s="1"/>
      <c r="C139" s="1"/>
      <c r="D139" s="1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64"/>
    </row>
    <row r="140" spans="1:27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64"/>
    </row>
    <row r="141" spans="1:27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64"/>
    </row>
    <row r="142" spans="1:27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64"/>
    </row>
    <row r="143" spans="1:27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64"/>
    </row>
    <row r="144" spans="1:27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64"/>
    </row>
    <row r="145" spans="1:27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64"/>
    </row>
    <row r="146" spans="1:27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64"/>
    </row>
    <row r="147" spans="1:27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64"/>
    </row>
    <row r="148" spans="1:27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64"/>
    </row>
    <row r="149" spans="1:27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64"/>
    </row>
    <row r="150" spans="1:27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64"/>
    </row>
    <row r="151" spans="1:27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64"/>
    </row>
    <row r="152" spans="1:27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64"/>
    </row>
    <row r="153" spans="1:27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64"/>
    </row>
    <row r="154" spans="1:27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64"/>
    </row>
    <row r="155" spans="1:27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64"/>
    </row>
    <row r="156" spans="1:27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64"/>
    </row>
    <row r="157" spans="1:27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 t="s">
        <v>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64"/>
    </row>
    <row r="158" spans="1:27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 t="s">
        <v>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64"/>
    </row>
    <row r="159" spans="1:27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 t="s">
        <v>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64"/>
    </row>
    <row r="160" spans="1:27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 t="s">
        <v>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64"/>
    </row>
    <row r="161" spans="1:27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 t="s"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4"/>
    </row>
    <row r="162" spans="1:27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 t="s"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4"/>
    </row>
    <row r="163" spans="1:27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 t="s"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4"/>
    </row>
    <row r="164" spans="1:27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 t="s"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4"/>
    </row>
    <row r="165" spans="1:27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 t="s"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4"/>
    </row>
    <row r="166" spans="1:27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64"/>
    </row>
    <row r="167" spans="1:27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64"/>
    </row>
    <row r="168" spans="1:27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64"/>
    </row>
    <row r="169" spans="1:27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64"/>
    </row>
    <row r="170" spans="1:27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64"/>
    </row>
    <row r="171" spans="1:27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64"/>
    </row>
    <row r="172" spans="1:27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64"/>
    </row>
    <row r="173" spans="1:27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64"/>
    </row>
    <row r="174" spans="1:27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64"/>
    </row>
    <row r="175" spans="1:27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64"/>
    </row>
    <row r="176" spans="1:27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64"/>
    </row>
    <row r="177" spans="1:27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64"/>
    </row>
    <row r="178" spans="1:27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64"/>
    </row>
    <row r="179" spans="1:27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64"/>
    </row>
    <row r="180" spans="1:27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64"/>
    </row>
    <row r="181" spans="1:27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64"/>
    </row>
    <row r="182" spans="1:27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64"/>
    </row>
    <row r="183" spans="1:27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64"/>
    </row>
    <row r="184" spans="1:27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64"/>
    </row>
    <row r="185" spans="1:27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64"/>
    </row>
    <row r="186" spans="1:27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64"/>
    </row>
    <row r="187" spans="1:27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64"/>
    </row>
    <row r="188" spans="1:27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64"/>
    </row>
    <row r="189" spans="1:27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64"/>
    </row>
    <row r="190" spans="1:27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64"/>
    </row>
    <row r="191" spans="1:27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64"/>
    </row>
    <row r="192" spans="1:27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64"/>
    </row>
    <row r="193" spans="1:27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64"/>
    </row>
    <row r="194" spans="1:27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64"/>
    </row>
    <row r="195" spans="1:27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64"/>
    </row>
    <row r="196" spans="1:27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64"/>
    </row>
    <row r="197" spans="1:27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64"/>
    </row>
    <row r="198" spans="1:27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64"/>
    </row>
    <row r="199" spans="1:27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64"/>
    </row>
    <row r="200" spans="1:27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64"/>
    </row>
    <row r="201" spans="1:27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64"/>
    </row>
    <row r="202" spans="1:27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64"/>
    </row>
    <row r="203" spans="1:27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64"/>
    </row>
    <row r="204" spans="1:27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64"/>
    </row>
    <row r="205" spans="1:27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64"/>
    </row>
    <row r="206" spans="1:27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64"/>
    </row>
    <row r="207" spans="1:27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64"/>
    </row>
    <row r="208" spans="1:27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64"/>
    </row>
    <row r="209" spans="1:27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64"/>
    </row>
    <row r="210" spans="1:27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64"/>
    </row>
    <row r="211" spans="1:27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64"/>
    </row>
    <row r="212" spans="1:27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64"/>
    </row>
    <row r="213" spans="1:27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64"/>
    </row>
    <row r="214" spans="1:27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64"/>
    </row>
    <row r="215" spans="1:27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64"/>
    </row>
    <row r="216" spans="1:27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64"/>
    </row>
    <row r="217" spans="1:27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64"/>
    </row>
    <row r="218" spans="1:27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64"/>
    </row>
    <row r="219" spans="1:27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64"/>
    </row>
    <row r="220" spans="1:27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64"/>
    </row>
    <row r="221" spans="1:27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64"/>
    </row>
    <row r="222" spans="1:27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64"/>
    </row>
    <row r="223" spans="1:27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64"/>
    </row>
    <row r="224" spans="1:27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64"/>
    </row>
    <row r="225" spans="1:27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64"/>
    </row>
    <row r="226" spans="1:27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64"/>
    </row>
    <row r="227" spans="1:27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64"/>
    </row>
    <row r="228" spans="1:27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64"/>
    </row>
    <row r="229" spans="1:27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64"/>
    </row>
    <row r="230" spans="1:27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64"/>
    </row>
    <row r="231" spans="1:27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64"/>
    </row>
    <row r="232" spans="1:27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64"/>
    </row>
    <row r="233" spans="1:27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64"/>
    </row>
    <row r="234" spans="1:27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64"/>
    </row>
    <row r="235" spans="1:27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64"/>
    </row>
    <row r="236" spans="1:27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64"/>
    </row>
    <row r="237" spans="1:27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64"/>
    </row>
    <row r="238" spans="1:27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64"/>
    </row>
    <row r="239" spans="1:27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64"/>
    </row>
    <row r="240" spans="1:27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64"/>
    </row>
    <row r="241" spans="1:27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64"/>
    </row>
    <row r="242" spans="1:27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64"/>
    </row>
    <row r="243" spans="1:27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64"/>
    </row>
    <row r="244" spans="1:27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64"/>
    </row>
    <row r="245" spans="1:27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64"/>
    </row>
    <row r="246" spans="1:27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64"/>
    </row>
    <row r="247" spans="1:27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64"/>
    </row>
    <row r="248" spans="1:27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64"/>
    </row>
    <row r="249" spans="1:27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64"/>
    </row>
    <row r="250" spans="1:27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64"/>
    </row>
    <row r="251" spans="1:27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64"/>
    </row>
    <row r="252" spans="1:27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64"/>
    </row>
    <row r="253" spans="1:27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64"/>
    </row>
    <row r="254" spans="1:27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64"/>
    </row>
    <row r="255" spans="1:27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64"/>
    </row>
    <row r="256" spans="1:27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64"/>
    </row>
    <row r="257" spans="1:27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64"/>
    </row>
    <row r="258" spans="1:27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64"/>
    </row>
    <row r="259" spans="1:27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64"/>
    </row>
    <row r="260" spans="1:27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64"/>
    </row>
    <row r="261" spans="1:27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64"/>
    </row>
    <row r="262" spans="1:27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64"/>
    </row>
    <row r="263" spans="1:27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64"/>
    </row>
    <row r="264" spans="1:27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64"/>
    </row>
    <row r="265" spans="1:27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64"/>
    </row>
    <row r="266" spans="1:27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64"/>
    </row>
    <row r="267" spans="1:27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64"/>
    </row>
    <row r="268" spans="1:27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64"/>
    </row>
    <row r="269" spans="1:27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64"/>
    </row>
    <row r="270" spans="1:27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64"/>
    </row>
    <row r="271" spans="1:27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64"/>
    </row>
    <row r="272" spans="1:27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64"/>
    </row>
    <row r="273" spans="1:27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64"/>
    </row>
    <row r="274" spans="1:27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64"/>
    </row>
    <row r="275" spans="1:27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64"/>
    </row>
    <row r="276" spans="1:27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64"/>
    </row>
    <row r="277" spans="1:27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64"/>
    </row>
    <row r="278" spans="1:27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64"/>
    </row>
    <row r="279" spans="1:27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64"/>
    </row>
    <row r="280" spans="1:27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64"/>
    </row>
    <row r="281" spans="1:27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64"/>
    </row>
    <row r="282" spans="1:27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64"/>
    </row>
    <row r="283" spans="1:27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64"/>
    </row>
    <row r="284" spans="1:27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64"/>
    </row>
    <row r="285" spans="1:27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64"/>
    </row>
    <row r="286" spans="1:27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64"/>
    </row>
    <row r="287" spans="1:27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64"/>
    </row>
    <row r="288" spans="1:27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64"/>
    </row>
    <row r="289" spans="1:27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64"/>
    </row>
    <row r="290" spans="1:27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64"/>
    </row>
    <row r="291" spans="1:27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64"/>
    </row>
    <row r="292" spans="1:27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64"/>
    </row>
    <row r="293" spans="1:27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64"/>
    </row>
    <row r="294" spans="1:27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64"/>
    </row>
    <row r="295" spans="1:27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64"/>
    </row>
    <row r="296" spans="1:27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64"/>
    </row>
    <row r="297" spans="1:27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64"/>
    </row>
    <row r="298" spans="1:27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64"/>
    </row>
    <row r="299" spans="1:27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64"/>
    </row>
    <row r="300" spans="1:27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64"/>
    </row>
    <row r="301" spans="1:27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64"/>
    </row>
    <row r="302" spans="1:27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64"/>
    </row>
    <row r="303" spans="1:27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64"/>
    </row>
    <row r="304" spans="1:27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64"/>
    </row>
    <row r="305" spans="1:27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64"/>
    </row>
    <row r="306" spans="1:27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64"/>
    </row>
    <row r="307" spans="1:27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64"/>
    </row>
    <row r="308" spans="1:27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64"/>
    </row>
    <row r="309" spans="1:27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64"/>
    </row>
    <row r="310" spans="1:27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64"/>
    </row>
    <row r="311" spans="1:27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64"/>
    </row>
    <row r="312" spans="1:27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64"/>
    </row>
    <row r="313" spans="1:27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64"/>
    </row>
    <row r="314" spans="1:27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64"/>
    </row>
    <row r="315" spans="1:27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64"/>
    </row>
    <row r="316" spans="1:27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64"/>
    </row>
    <row r="317" spans="1:27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64"/>
    </row>
    <row r="318" spans="1:27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64"/>
    </row>
    <row r="319" spans="1:27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64"/>
    </row>
    <row r="320" spans="1:27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64"/>
    </row>
    <row r="321" spans="1:27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64"/>
    </row>
    <row r="322" spans="1:27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64"/>
    </row>
    <row r="323" spans="1:27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64"/>
    </row>
    <row r="324" spans="1:27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64"/>
    </row>
    <row r="325" spans="1:27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64"/>
    </row>
    <row r="326" spans="1:27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64"/>
    </row>
    <row r="327" spans="1:27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64"/>
    </row>
    <row r="328" spans="1:27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64"/>
    </row>
    <row r="329" spans="1:27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64"/>
    </row>
    <row r="330" spans="1:27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64"/>
    </row>
    <row r="331" spans="1:27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64"/>
    </row>
    <row r="332" spans="1:27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64"/>
    </row>
    <row r="333" spans="1:27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W333" s="1"/>
      <c r="X333" s="1"/>
      <c r="Y333" s="1"/>
      <c r="Z333" s="1"/>
      <c r="AA333" s="64"/>
    </row>
    <row r="334" spans="1:27" ht="15.75" customHeight="1" x14ac:dyDescent="0.2"/>
    <row r="335" spans="1:27" ht="15.75" customHeight="1" x14ac:dyDescent="0.2"/>
    <row r="336" spans="1:27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pageMargins left="0.7" right="0.7" top="0.75" bottom="0.75" header="0" footer="0"/>
  <pageSetup orientation="landscape" r:id="rId1"/>
  <ignoredErrors>
    <ignoredError sqref="C7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WQK1048555"/>
  <sheetViews>
    <sheetView topLeftCell="A72" zoomScaleNormal="100" workbookViewId="0">
      <selection activeCell="C99" sqref="C99"/>
    </sheetView>
  </sheetViews>
  <sheetFormatPr baseColWidth="10" defaultColWidth="11.42578125" defaultRowHeight="12" x14ac:dyDescent="0.2"/>
  <cols>
    <col min="1" max="1" width="3" style="136" customWidth="1"/>
    <col min="2" max="2" width="11.5703125" style="136" customWidth="1"/>
    <col min="3" max="3" width="15.42578125" style="136" customWidth="1"/>
    <col min="4" max="4" width="11" style="136" customWidth="1"/>
    <col min="5" max="5" width="9.5703125" style="136" customWidth="1"/>
    <col min="6" max="6" width="17.140625" style="136" customWidth="1"/>
    <col min="7" max="7" width="8.42578125" style="136" customWidth="1"/>
    <col min="8" max="8" width="24.42578125" style="136" customWidth="1"/>
    <col min="9" max="9" width="14.42578125" style="136" customWidth="1"/>
    <col min="10" max="10" width="12.85546875" style="136" customWidth="1"/>
    <col min="11" max="11" width="16.140625" style="136" customWidth="1"/>
    <col min="12" max="12" width="12.85546875" style="136" customWidth="1"/>
    <col min="13" max="13" width="15.5703125" style="136" bestFit="1" customWidth="1"/>
    <col min="14" max="14" width="12.85546875" style="136" customWidth="1"/>
    <col min="15" max="15" width="15.5703125" style="136" bestFit="1" customWidth="1"/>
    <col min="16" max="16" width="12.85546875" style="136" customWidth="1"/>
    <col min="17" max="17" width="13.85546875" style="136" customWidth="1"/>
    <col min="18" max="18" width="12.85546875" style="136" customWidth="1"/>
    <col min="19" max="19" width="15.5703125" style="136" bestFit="1" customWidth="1"/>
    <col min="20" max="20" width="11.140625" style="136" bestFit="1" customWidth="1"/>
    <col min="21" max="21" width="17.5703125" style="136" bestFit="1" customWidth="1"/>
    <col min="22" max="22" width="13.42578125" style="136" bestFit="1" customWidth="1"/>
    <col min="23" max="23" width="19" style="136" bestFit="1" customWidth="1"/>
    <col min="24" max="24" width="13.42578125" style="136" bestFit="1" customWidth="1"/>
    <col min="25" max="25" width="12" style="136" bestFit="1" customWidth="1"/>
    <col min="26" max="26" width="5.42578125" style="136" customWidth="1"/>
    <col min="27" max="27" width="2.5703125" style="136" customWidth="1"/>
    <col min="28" max="28" width="3" style="136" customWidth="1"/>
    <col min="29" max="16384" width="11.42578125" style="136"/>
  </cols>
  <sheetData>
    <row r="1" spans="2:27 16000:16001" ht="12.95" customHeight="1" x14ac:dyDescent="0.2">
      <c r="C1" s="65">
        <f>OPORTUNO!C1</f>
        <v>2026101</v>
      </c>
      <c r="D1" s="362"/>
      <c r="E1" s="137"/>
      <c r="F1" s="137"/>
      <c r="G1" s="137"/>
      <c r="H1" s="137"/>
      <c r="I1" s="137"/>
      <c r="J1" s="67">
        <f t="shared" ref="J1:Y1" si="0">SUM(J13:J77)</f>
        <v>73</v>
      </c>
      <c r="K1" s="291">
        <f t="shared" si="0"/>
        <v>48127653</v>
      </c>
      <c r="L1" s="291">
        <f t="shared" si="0"/>
        <v>54</v>
      </c>
      <c r="M1" s="291">
        <f t="shared" si="0"/>
        <v>132160935</v>
      </c>
      <c r="N1" s="291">
        <f t="shared" si="0"/>
        <v>11</v>
      </c>
      <c r="O1" s="291">
        <f t="shared" si="0"/>
        <v>19609348</v>
      </c>
      <c r="P1" s="291">
        <f t="shared" si="0"/>
        <v>9</v>
      </c>
      <c r="Q1" s="291">
        <f t="shared" si="0"/>
        <v>118198907</v>
      </c>
      <c r="R1" s="291">
        <f t="shared" si="0"/>
        <v>27</v>
      </c>
      <c r="S1" s="291">
        <f t="shared" si="0"/>
        <v>7112332</v>
      </c>
      <c r="T1" s="67">
        <f t="shared" si="0"/>
        <v>174</v>
      </c>
      <c r="U1" s="67">
        <f t="shared" si="0"/>
        <v>325209175</v>
      </c>
      <c r="V1" s="67">
        <f t="shared" si="0"/>
        <v>174</v>
      </c>
      <c r="W1" s="67">
        <f t="shared" si="0"/>
        <v>325209175</v>
      </c>
      <c r="X1" s="67">
        <f t="shared" si="0"/>
        <v>0</v>
      </c>
      <c r="Y1" s="68">
        <f t="shared" si="0"/>
        <v>0</v>
      </c>
      <c r="AA1" s="138"/>
    </row>
    <row r="2" spans="2:27 16000:16001" ht="12.95" customHeight="1" x14ac:dyDescent="0.2">
      <c r="C2" s="71">
        <f>OPORTUNO!C2</f>
        <v>2026102</v>
      </c>
      <c r="D2" s="352"/>
      <c r="E2" s="139"/>
      <c r="F2" s="139"/>
      <c r="G2" s="139"/>
      <c r="H2" s="139"/>
      <c r="I2" s="139"/>
      <c r="J2" s="73">
        <f t="shared" ref="J2:Y2" si="1">SUM(J82:J166)</f>
        <v>106</v>
      </c>
      <c r="K2" s="73">
        <f t="shared" si="1"/>
        <v>21888196</v>
      </c>
      <c r="L2" s="73">
        <f t="shared" si="1"/>
        <v>27</v>
      </c>
      <c r="M2" s="73">
        <f t="shared" si="1"/>
        <v>49312788</v>
      </c>
      <c r="N2" s="73">
        <f t="shared" si="1"/>
        <v>3</v>
      </c>
      <c r="O2" s="73">
        <f t="shared" si="1"/>
        <v>1810000</v>
      </c>
      <c r="P2" s="73">
        <f t="shared" si="1"/>
        <v>10</v>
      </c>
      <c r="Q2" s="73">
        <f t="shared" si="1"/>
        <v>560460</v>
      </c>
      <c r="R2" s="73">
        <f t="shared" si="1"/>
        <v>3</v>
      </c>
      <c r="S2" s="73">
        <f t="shared" si="1"/>
        <v>251760</v>
      </c>
      <c r="T2" s="73">
        <f t="shared" si="1"/>
        <v>149</v>
      </c>
      <c r="U2" s="73">
        <f t="shared" si="1"/>
        <v>73823204</v>
      </c>
      <c r="V2" s="73">
        <f t="shared" si="1"/>
        <v>149</v>
      </c>
      <c r="W2" s="73">
        <f t="shared" si="1"/>
        <v>73823204</v>
      </c>
      <c r="X2" s="73">
        <f t="shared" si="1"/>
        <v>0</v>
      </c>
      <c r="Y2" s="74">
        <f t="shared" si="1"/>
        <v>0</v>
      </c>
      <c r="AA2" s="138"/>
    </row>
    <row r="3" spans="2:27 16000:16001" ht="12.95" customHeight="1" thickBot="1" x14ac:dyDescent="0.25">
      <c r="C3" s="75">
        <f>OPORTUNO!C3</f>
        <v>202610</v>
      </c>
      <c r="D3" s="363"/>
      <c r="E3" s="140"/>
      <c r="F3" s="140"/>
      <c r="G3" s="140"/>
      <c r="H3" s="140"/>
      <c r="I3" s="140"/>
      <c r="J3" s="77">
        <f>SUM(J1:J2)</f>
        <v>179</v>
      </c>
      <c r="K3" s="348">
        <f>SUM(K1:K2)</f>
        <v>70015849</v>
      </c>
      <c r="L3" s="348">
        <f t="shared" ref="L3:V3" si="2">SUM(L1:L2)</f>
        <v>81</v>
      </c>
      <c r="M3" s="348">
        <f t="shared" si="2"/>
        <v>181473723</v>
      </c>
      <c r="N3" s="348">
        <f t="shared" si="2"/>
        <v>14</v>
      </c>
      <c r="O3" s="348">
        <f t="shared" si="2"/>
        <v>21419348</v>
      </c>
      <c r="P3" s="348">
        <f t="shared" si="2"/>
        <v>19</v>
      </c>
      <c r="Q3" s="348">
        <f t="shared" si="2"/>
        <v>118759367</v>
      </c>
      <c r="R3" s="348">
        <f t="shared" si="2"/>
        <v>30</v>
      </c>
      <c r="S3" s="348">
        <f t="shared" si="2"/>
        <v>7364092</v>
      </c>
      <c r="T3" s="77">
        <f t="shared" si="2"/>
        <v>323</v>
      </c>
      <c r="U3" s="77">
        <f t="shared" si="2"/>
        <v>399032379</v>
      </c>
      <c r="V3" s="77">
        <f t="shared" si="2"/>
        <v>323</v>
      </c>
      <c r="W3" s="77">
        <f>SUM(W1:W2)</f>
        <v>399032379</v>
      </c>
      <c r="X3" s="77">
        <f>SUM(X1:X2)</f>
        <v>0</v>
      </c>
      <c r="Y3" s="78">
        <f>SUM(Y1:Y2)</f>
        <v>0</v>
      </c>
      <c r="AA3" s="138"/>
    </row>
    <row r="4" spans="2:27 16000:16001" ht="12" customHeight="1" thickBot="1" x14ac:dyDescent="0.25">
      <c r="AA4" s="138"/>
    </row>
    <row r="5" spans="2:27 16000:16001" ht="12.75" x14ac:dyDescent="0.2">
      <c r="B5" s="141"/>
      <c r="C5" s="142"/>
      <c r="D5" s="143"/>
      <c r="E5" s="86"/>
      <c r="F5" s="144" t="s">
        <v>0</v>
      </c>
      <c r="G5" s="88"/>
      <c r="H5" s="88"/>
      <c r="I5" s="144"/>
      <c r="J5" s="145" t="s">
        <v>0</v>
      </c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6"/>
      <c r="AA5" s="138"/>
      <c r="WQJ5" s="147"/>
      <c r="WQK5" s="147"/>
    </row>
    <row r="6" spans="2:27 16000:16001" ht="15.75" x14ac:dyDescent="0.25">
      <c r="B6" s="148"/>
      <c r="C6" s="149"/>
      <c r="D6" s="150"/>
      <c r="E6" s="92"/>
      <c r="G6" s="93"/>
      <c r="H6" s="151" t="s">
        <v>18</v>
      </c>
      <c r="N6" s="189"/>
      <c r="O6" s="189"/>
      <c r="P6" s="189"/>
      <c r="Q6" s="189"/>
      <c r="W6" s="93"/>
      <c r="Y6" s="152"/>
      <c r="AA6" s="138"/>
      <c r="WQJ6" s="147"/>
      <c r="WQK6" s="147"/>
    </row>
    <row r="7" spans="2:27 16000:16001" ht="15.75" x14ac:dyDescent="0.25">
      <c r="B7" s="148"/>
      <c r="C7" s="149"/>
      <c r="D7" s="150"/>
      <c r="E7" s="92"/>
      <c r="G7" s="93"/>
      <c r="H7" s="151" t="s">
        <v>19</v>
      </c>
      <c r="Y7" s="152"/>
      <c r="AA7" s="138"/>
      <c r="WQJ7" s="147"/>
      <c r="WQK7" s="147"/>
    </row>
    <row r="8" spans="2:27 16000:16001" ht="15.75" x14ac:dyDescent="0.25">
      <c r="B8" s="148"/>
      <c r="C8" s="149"/>
      <c r="D8" s="150"/>
      <c r="E8" s="92"/>
      <c r="G8" s="93"/>
      <c r="H8" s="153" t="s">
        <v>105</v>
      </c>
      <c r="Y8" s="152"/>
      <c r="AA8" s="138"/>
      <c r="WQJ8" s="147"/>
      <c r="WQK8" s="147"/>
    </row>
    <row r="9" spans="2:27 16000:16001" ht="13.5" customHeight="1" x14ac:dyDescent="0.2">
      <c r="B9" s="148"/>
      <c r="C9" s="149"/>
      <c r="D9" s="150"/>
      <c r="E9" s="95" t="s">
        <v>1</v>
      </c>
      <c r="F9" s="154"/>
      <c r="G9" s="97"/>
      <c r="H9" s="155" t="s">
        <v>0</v>
      </c>
      <c r="W9" s="98"/>
      <c r="X9" s="156"/>
      <c r="Y9" s="152"/>
      <c r="AA9" s="138"/>
      <c r="WQJ9" s="147"/>
      <c r="WQK9" s="147"/>
    </row>
    <row r="10" spans="2:27 16000:16001" ht="13.5" customHeight="1" x14ac:dyDescent="0.25">
      <c r="B10" s="148"/>
      <c r="C10" s="149"/>
      <c r="D10" s="150"/>
      <c r="E10" s="99"/>
      <c r="G10" s="93"/>
      <c r="H10" s="157" t="str">
        <f>OPORTUNO!H10</f>
        <v>OCTUBRE_2026</v>
      </c>
      <c r="I10" s="93"/>
      <c r="K10" s="13" t="s">
        <v>124</v>
      </c>
      <c r="M10" s="189"/>
      <c r="O10" s="189"/>
      <c r="Q10" s="189"/>
      <c r="S10" s="189"/>
      <c r="T10" s="93"/>
      <c r="U10" s="93"/>
      <c r="V10" s="93"/>
      <c r="Y10" s="158"/>
      <c r="AA10" s="138"/>
      <c r="WQJ10" s="147"/>
      <c r="WQK10" s="147"/>
    </row>
    <row r="11" spans="2:27 16000:16001" ht="13.5" customHeight="1" thickBot="1" x14ac:dyDescent="0.25">
      <c r="B11" s="159"/>
      <c r="C11" s="160"/>
      <c r="D11" s="161"/>
      <c r="E11" s="104"/>
      <c r="F11" s="162"/>
      <c r="G11" s="106"/>
      <c r="H11" s="106"/>
      <c r="I11" s="162"/>
      <c r="J11" s="162"/>
      <c r="K11" s="349"/>
      <c r="L11" s="162"/>
      <c r="M11" s="349"/>
      <c r="N11" s="162"/>
      <c r="O11" s="349"/>
      <c r="P11" s="162"/>
      <c r="Q11" s="349"/>
      <c r="R11" s="162"/>
      <c r="S11" s="349"/>
      <c r="T11" s="106"/>
      <c r="U11" s="106"/>
      <c r="V11" s="106"/>
      <c r="W11" s="162"/>
      <c r="X11" s="162"/>
      <c r="Y11" s="163"/>
      <c r="AA11" s="138"/>
      <c r="WQJ11" s="147"/>
      <c r="WQK11" s="147"/>
    </row>
    <row r="12" spans="2:27 16000:16001" ht="41.25" customHeight="1" thickBot="1" x14ac:dyDescent="0.25">
      <c r="B12" s="80" t="s">
        <v>14</v>
      </c>
      <c r="C12" s="165" t="s">
        <v>2</v>
      </c>
      <c r="D12" s="364" t="s">
        <v>22</v>
      </c>
      <c r="E12" s="165" t="s">
        <v>23</v>
      </c>
      <c r="F12" s="165" t="s">
        <v>24</v>
      </c>
      <c r="G12" s="165" t="s">
        <v>25</v>
      </c>
      <c r="H12" s="165" t="s">
        <v>26</v>
      </c>
      <c r="I12" s="165" t="s">
        <v>27</v>
      </c>
      <c r="J12" s="166" t="s">
        <v>28</v>
      </c>
      <c r="K12" s="166" t="s">
        <v>29</v>
      </c>
      <c r="L12" s="166" t="s">
        <v>30</v>
      </c>
      <c r="M12" s="166" t="s">
        <v>31</v>
      </c>
      <c r="N12" s="167" t="s">
        <v>32</v>
      </c>
      <c r="O12" s="168" t="s">
        <v>33</v>
      </c>
      <c r="P12" s="167" t="s">
        <v>34</v>
      </c>
      <c r="Q12" s="168" t="s">
        <v>35</v>
      </c>
      <c r="R12" s="167" t="s">
        <v>36</v>
      </c>
      <c r="S12" s="168" t="s">
        <v>37</v>
      </c>
      <c r="T12" s="169" t="s">
        <v>38</v>
      </c>
      <c r="U12" s="169" t="s">
        <v>39</v>
      </c>
      <c r="V12" s="170" t="s">
        <v>40</v>
      </c>
      <c r="W12" s="171" t="s">
        <v>41</v>
      </c>
      <c r="X12" s="166" t="s">
        <v>42</v>
      </c>
      <c r="Y12" s="172" t="s">
        <v>43</v>
      </c>
      <c r="AA12" s="138"/>
      <c r="WQJ12" s="147"/>
      <c r="WQK12" s="147"/>
    </row>
    <row r="13" spans="2:27 16000:16001" ht="12.95" customHeight="1" x14ac:dyDescent="0.2">
      <c r="B13" s="296">
        <v>46300</v>
      </c>
      <c r="C13" s="287">
        <f>C1</f>
        <v>2026101</v>
      </c>
      <c r="D13" s="296">
        <v>46132</v>
      </c>
      <c r="E13" s="289" t="s">
        <v>44</v>
      </c>
      <c r="F13" s="290" t="str">
        <f>VLOOKUP(E13,'Códigos Banco'!$B$3:$D$27,2,0)</f>
        <v>Occidente - Directa</v>
      </c>
      <c r="G13" s="289">
        <v>13</v>
      </c>
      <c r="H13" s="175" t="str">
        <f>VLOOKUP(G13,'Códigos Banco'!$F$3:$G$18,2,0)</f>
        <v>T23 Directa - Transferencias</v>
      </c>
      <c r="I13" s="290">
        <f>VLOOKUP(E13,'Códigos Banco'!$B$3:$D$27,3,0)</f>
        <v>230887267</v>
      </c>
      <c r="J13" s="291">
        <v>0</v>
      </c>
      <c r="K13" s="291">
        <v>0</v>
      </c>
      <c r="L13" s="291">
        <v>1</v>
      </c>
      <c r="M13" s="291">
        <v>3212690</v>
      </c>
      <c r="N13" s="291">
        <v>0</v>
      </c>
      <c r="O13" s="291">
        <v>0</v>
      </c>
      <c r="P13" s="291">
        <v>0</v>
      </c>
      <c r="Q13" s="291">
        <v>0</v>
      </c>
      <c r="R13" s="292">
        <v>0</v>
      </c>
      <c r="S13" s="292">
        <v>0</v>
      </c>
      <c r="T13" s="181">
        <f t="shared" ref="T13:T43" si="3">J13+L13+N13+P13+R13</f>
        <v>1</v>
      </c>
      <c r="U13" s="181">
        <f t="shared" ref="U13:U43" si="4">K13+M13+O13+Q13+S13</f>
        <v>3212690</v>
      </c>
      <c r="V13" s="291">
        <v>1</v>
      </c>
      <c r="W13" s="291">
        <v>3212690</v>
      </c>
      <c r="X13" s="294">
        <f t="shared" ref="X13:X43" si="5">V13-T13</f>
        <v>0</v>
      </c>
      <c r="Y13" s="295">
        <f t="shared" ref="Y13:Y43" si="6">W13-U13</f>
        <v>0</v>
      </c>
      <c r="AA13" s="138"/>
    </row>
    <row r="14" spans="2:27 16000:16001" ht="12.95" customHeight="1" x14ac:dyDescent="0.2">
      <c r="B14" s="296">
        <v>46300</v>
      </c>
      <c r="C14" s="176">
        <f t="shared" ref="C14:C48" si="7">C13</f>
        <v>2026101</v>
      </c>
      <c r="D14" s="177">
        <v>46255</v>
      </c>
      <c r="E14" s="178" t="s">
        <v>44</v>
      </c>
      <c r="F14" s="175" t="str">
        <f>VLOOKUP(E14,'Códigos Banco'!$B$3:$D$27,2,0)</f>
        <v>Occidente - Directa</v>
      </c>
      <c r="G14" s="178">
        <v>13</v>
      </c>
      <c r="H14" s="175" t="str">
        <f>VLOOKUP(G14,'Códigos Banco'!$F$3:$G$18,2,0)</f>
        <v>T23 Directa - Transferencias</v>
      </c>
      <c r="I14" s="175">
        <f>VLOOKUP(E14,'Códigos Banco'!$B$3:$D$27,3,0)</f>
        <v>230887267</v>
      </c>
      <c r="J14" s="179">
        <v>0</v>
      </c>
      <c r="K14" s="179">
        <v>0</v>
      </c>
      <c r="L14" s="179">
        <v>1</v>
      </c>
      <c r="M14" s="179">
        <v>102310</v>
      </c>
      <c r="N14" s="179">
        <v>0</v>
      </c>
      <c r="O14" s="179">
        <v>0</v>
      </c>
      <c r="P14" s="179">
        <v>0</v>
      </c>
      <c r="Q14" s="179">
        <v>0</v>
      </c>
      <c r="R14" s="180">
        <v>0</v>
      </c>
      <c r="S14" s="180">
        <v>0</v>
      </c>
      <c r="T14" s="181">
        <f t="shared" si="3"/>
        <v>1</v>
      </c>
      <c r="U14" s="181">
        <f t="shared" si="4"/>
        <v>102310</v>
      </c>
      <c r="V14" s="179">
        <v>1</v>
      </c>
      <c r="W14" s="179">
        <v>102310</v>
      </c>
      <c r="X14" s="182">
        <f t="shared" si="5"/>
        <v>0</v>
      </c>
      <c r="Y14" s="297">
        <f t="shared" si="6"/>
        <v>0</v>
      </c>
      <c r="AA14" s="138"/>
    </row>
    <row r="15" spans="2:27 16000:16001" ht="12.95" customHeight="1" x14ac:dyDescent="0.2">
      <c r="B15" s="296">
        <v>46300</v>
      </c>
      <c r="C15" s="176">
        <f t="shared" si="7"/>
        <v>2026101</v>
      </c>
      <c r="D15" s="174">
        <v>46265</v>
      </c>
      <c r="E15" s="178" t="s">
        <v>44</v>
      </c>
      <c r="F15" s="175" t="str">
        <f>VLOOKUP(E15,'Códigos Banco'!$B$3:$D$27,2,0)</f>
        <v>Occidente - Directa</v>
      </c>
      <c r="G15" s="178">
        <v>13</v>
      </c>
      <c r="H15" s="175" t="str">
        <f>VLOOKUP(G15,'Códigos Banco'!$F$3:$G$18,2,0)</f>
        <v>T23 Directa - Transferencias</v>
      </c>
      <c r="I15" s="175">
        <f>VLOOKUP(E15,'Códigos Banco'!$B$3:$D$27,3,0)</f>
        <v>230887267</v>
      </c>
      <c r="J15" s="179">
        <f>8</f>
        <v>8</v>
      </c>
      <c r="K15" s="179">
        <f>7296440</f>
        <v>7296440</v>
      </c>
      <c r="L15" s="179">
        <v>1</v>
      </c>
      <c r="M15" s="179">
        <v>633420</v>
      </c>
      <c r="N15" s="179">
        <v>1</v>
      </c>
      <c r="O15" s="179">
        <v>783040</v>
      </c>
      <c r="P15" s="179">
        <v>3</v>
      </c>
      <c r="Q15" s="179">
        <v>15346300</v>
      </c>
      <c r="R15" s="179">
        <v>0</v>
      </c>
      <c r="S15" s="179">
        <v>0</v>
      </c>
      <c r="T15" s="181">
        <f t="shared" si="3"/>
        <v>13</v>
      </c>
      <c r="U15" s="181">
        <f t="shared" si="4"/>
        <v>24059200</v>
      </c>
      <c r="V15" s="179">
        <f>5+8</f>
        <v>13</v>
      </c>
      <c r="W15" s="179">
        <f>16762760+7296440</f>
        <v>24059200</v>
      </c>
      <c r="X15" s="182">
        <f t="shared" si="5"/>
        <v>0</v>
      </c>
      <c r="Y15" s="297">
        <f t="shared" si="6"/>
        <v>0</v>
      </c>
      <c r="AA15" s="138"/>
    </row>
    <row r="16" spans="2:27 16000:16001" ht="12.95" customHeight="1" x14ac:dyDescent="0.2">
      <c r="B16" s="296">
        <v>46300</v>
      </c>
      <c r="C16" s="176">
        <f t="shared" si="7"/>
        <v>2026101</v>
      </c>
      <c r="D16" s="177">
        <v>46266</v>
      </c>
      <c r="E16" s="178" t="s">
        <v>44</v>
      </c>
      <c r="F16" s="175" t="str">
        <f>VLOOKUP(E16,'Códigos Banco'!$B$3:$D$27,2,0)</f>
        <v>Occidente - Directa</v>
      </c>
      <c r="G16" s="178">
        <v>13</v>
      </c>
      <c r="H16" s="175" t="str">
        <f>VLOOKUP(G16,'Códigos Banco'!$F$3:$G$18,2,0)</f>
        <v>T23 Directa - Transferencias</v>
      </c>
      <c r="I16" s="175">
        <f>VLOOKUP(E16,'Códigos Banco'!$B$3:$D$27,3,0)</f>
        <v>230887267</v>
      </c>
      <c r="J16" s="179">
        <v>0</v>
      </c>
      <c r="K16" s="179">
        <v>0</v>
      </c>
      <c r="L16" s="179">
        <v>0</v>
      </c>
      <c r="M16" s="179">
        <v>0</v>
      </c>
      <c r="N16" s="179">
        <v>0</v>
      </c>
      <c r="O16" s="179">
        <v>0</v>
      </c>
      <c r="P16" s="179">
        <v>2</v>
      </c>
      <c r="Q16" s="179">
        <v>38500960</v>
      </c>
      <c r="R16" s="180">
        <v>0</v>
      </c>
      <c r="S16" s="180">
        <v>0</v>
      </c>
      <c r="T16" s="181">
        <f t="shared" si="3"/>
        <v>2</v>
      </c>
      <c r="U16" s="181">
        <f t="shared" si="4"/>
        <v>38500960</v>
      </c>
      <c r="V16" s="179">
        <v>2</v>
      </c>
      <c r="W16" s="179">
        <v>38500960</v>
      </c>
      <c r="X16" s="182">
        <f t="shared" si="5"/>
        <v>0</v>
      </c>
      <c r="Y16" s="297">
        <f t="shared" si="6"/>
        <v>0</v>
      </c>
      <c r="AA16" s="138"/>
    </row>
    <row r="17" spans="2:27" ht="12.95" customHeight="1" x14ac:dyDescent="0.2">
      <c r="B17" s="296">
        <v>46300</v>
      </c>
      <c r="C17" s="176">
        <f t="shared" si="7"/>
        <v>2026101</v>
      </c>
      <c r="D17" s="177">
        <v>46267</v>
      </c>
      <c r="E17" s="178" t="s">
        <v>44</v>
      </c>
      <c r="F17" s="175" t="str">
        <f>VLOOKUP(E17,'Códigos Banco'!$B$3:$D$27,2,0)</f>
        <v>Occidente - Directa</v>
      </c>
      <c r="G17" s="178">
        <v>13</v>
      </c>
      <c r="H17" s="175" t="str">
        <f>VLOOKUP(G17,'Códigos Banco'!$F$3:$G$18,2,0)</f>
        <v>T23 Directa - Transferencias</v>
      </c>
      <c r="I17" s="175">
        <f>VLOOKUP(E17,'Códigos Banco'!$B$3:$D$27,3,0)</f>
        <v>230887267</v>
      </c>
      <c r="J17" s="179">
        <v>0</v>
      </c>
      <c r="K17" s="179">
        <v>0</v>
      </c>
      <c r="L17" s="179">
        <v>1</v>
      </c>
      <c r="M17" s="179">
        <v>182660</v>
      </c>
      <c r="N17" s="179">
        <v>0</v>
      </c>
      <c r="O17" s="179">
        <v>0</v>
      </c>
      <c r="P17" s="179">
        <v>0</v>
      </c>
      <c r="Q17" s="179">
        <v>0</v>
      </c>
      <c r="R17" s="180">
        <v>0</v>
      </c>
      <c r="S17" s="180">
        <v>0</v>
      </c>
      <c r="T17" s="181">
        <f t="shared" si="3"/>
        <v>1</v>
      </c>
      <c r="U17" s="181">
        <f t="shared" si="4"/>
        <v>182660</v>
      </c>
      <c r="V17" s="179">
        <v>1</v>
      </c>
      <c r="W17" s="179">
        <v>182660</v>
      </c>
      <c r="X17" s="182">
        <f t="shared" si="5"/>
        <v>0</v>
      </c>
      <c r="Y17" s="297">
        <f t="shared" si="6"/>
        <v>0</v>
      </c>
      <c r="AA17" s="138"/>
    </row>
    <row r="18" spans="2:27" ht="12.95" customHeight="1" x14ac:dyDescent="0.2">
      <c r="B18" s="296">
        <v>46300</v>
      </c>
      <c r="C18" s="176">
        <f t="shared" si="7"/>
        <v>2026101</v>
      </c>
      <c r="D18" s="177">
        <v>46274</v>
      </c>
      <c r="E18" s="178" t="s">
        <v>44</v>
      </c>
      <c r="F18" s="175" t="str">
        <f>VLOOKUP(E18,'Códigos Banco'!$B$3:$D$27,2,0)</f>
        <v>Occidente - Directa</v>
      </c>
      <c r="G18" s="178">
        <v>13</v>
      </c>
      <c r="H18" s="175" t="str">
        <f>VLOOKUP(G18,'Códigos Banco'!$F$3:$G$18,2,0)</f>
        <v>T23 Directa - Transferencias</v>
      </c>
      <c r="I18" s="175">
        <f>VLOOKUP(E18,'Códigos Banco'!$B$3:$D$27,3,0)</f>
        <v>230887267</v>
      </c>
      <c r="J18" s="179">
        <v>0</v>
      </c>
      <c r="K18" s="179">
        <v>0</v>
      </c>
      <c r="L18" s="179">
        <v>0</v>
      </c>
      <c r="M18" s="179">
        <v>0</v>
      </c>
      <c r="N18" s="179">
        <v>0</v>
      </c>
      <c r="O18" s="179">
        <v>0</v>
      </c>
      <c r="P18" s="179">
        <v>2</v>
      </c>
      <c r="Q18" s="179">
        <v>39051447</v>
      </c>
      <c r="R18" s="180">
        <v>0</v>
      </c>
      <c r="S18" s="180">
        <v>0</v>
      </c>
      <c r="T18" s="181">
        <f t="shared" si="3"/>
        <v>2</v>
      </c>
      <c r="U18" s="181">
        <f t="shared" si="4"/>
        <v>39051447</v>
      </c>
      <c r="V18" s="179">
        <v>2</v>
      </c>
      <c r="W18" s="179">
        <v>39051447</v>
      </c>
      <c r="X18" s="182">
        <f t="shared" si="5"/>
        <v>0</v>
      </c>
      <c r="Y18" s="297">
        <f t="shared" si="6"/>
        <v>0</v>
      </c>
      <c r="AA18" s="138"/>
    </row>
    <row r="19" spans="2:27" ht="12.95" customHeight="1" x14ac:dyDescent="0.2">
      <c r="B19" s="296">
        <v>46300</v>
      </c>
      <c r="C19" s="176">
        <f t="shared" si="7"/>
        <v>2026101</v>
      </c>
      <c r="D19" s="380">
        <v>46281</v>
      </c>
      <c r="E19" s="178" t="s">
        <v>44</v>
      </c>
      <c r="F19" s="175" t="str">
        <f>VLOOKUP(E19,'Códigos Banco'!$B$3:$D$27,2,0)</f>
        <v>Occidente - Directa</v>
      </c>
      <c r="G19" s="178">
        <v>13</v>
      </c>
      <c r="H19" s="175" t="str">
        <f>VLOOKUP(G19,'Códigos Banco'!$F$3:$G$18,2,0)</f>
        <v>T23 Directa - Transferencias</v>
      </c>
      <c r="I19" s="175">
        <f>VLOOKUP(E19,'Códigos Banco'!$B$3:$D$27,3,0)</f>
        <v>230887267</v>
      </c>
      <c r="J19" s="179">
        <v>9</v>
      </c>
      <c r="K19" s="179">
        <v>12691930</v>
      </c>
      <c r="L19" s="179">
        <v>0</v>
      </c>
      <c r="M19" s="179">
        <v>0</v>
      </c>
      <c r="N19" s="179">
        <v>0</v>
      </c>
      <c r="O19" s="179">
        <v>0</v>
      </c>
      <c r="P19" s="179">
        <v>0</v>
      </c>
      <c r="Q19" s="179">
        <v>0</v>
      </c>
      <c r="R19" s="179">
        <v>1</v>
      </c>
      <c r="S19" s="179">
        <v>527440</v>
      </c>
      <c r="T19" s="181">
        <f t="shared" si="3"/>
        <v>10</v>
      </c>
      <c r="U19" s="181">
        <f t="shared" si="4"/>
        <v>13219370</v>
      </c>
      <c r="V19" s="179">
        <f>9+1</f>
        <v>10</v>
      </c>
      <c r="W19" s="179">
        <f>12691930+527440</f>
        <v>13219370</v>
      </c>
      <c r="X19" s="182">
        <f t="shared" si="5"/>
        <v>0</v>
      </c>
      <c r="Y19" s="297">
        <f t="shared" si="6"/>
        <v>0</v>
      </c>
      <c r="AA19" s="138"/>
    </row>
    <row r="20" spans="2:27" ht="12.95" customHeight="1" x14ac:dyDescent="0.2">
      <c r="B20" s="296">
        <v>46300</v>
      </c>
      <c r="C20" s="176">
        <f t="shared" si="7"/>
        <v>2026101</v>
      </c>
      <c r="D20" s="177">
        <v>46283</v>
      </c>
      <c r="E20" s="178" t="s">
        <v>44</v>
      </c>
      <c r="F20" s="175" t="str">
        <f>VLOOKUP(E20,'Códigos Banco'!$B$3:$D$27,2,0)</f>
        <v>Occidente - Directa</v>
      </c>
      <c r="G20" s="178">
        <v>13</v>
      </c>
      <c r="H20" s="175" t="str">
        <f>VLOOKUP(G20,'Códigos Banco'!$F$3:$G$18,2,0)</f>
        <v>T23 Directa - Transferencias</v>
      </c>
      <c r="I20" s="175">
        <f>VLOOKUP(E20,'Códigos Banco'!$B$3:$D$27,3,0)</f>
        <v>230887267</v>
      </c>
      <c r="J20" s="179">
        <v>9</v>
      </c>
      <c r="K20" s="179">
        <v>480304</v>
      </c>
      <c r="L20" s="179">
        <v>17</v>
      </c>
      <c r="M20" s="179">
        <v>5832230</v>
      </c>
      <c r="N20" s="179">
        <v>0</v>
      </c>
      <c r="O20" s="179">
        <v>0</v>
      </c>
      <c r="P20" s="179">
        <v>0</v>
      </c>
      <c r="Q20" s="179">
        <v>0</v>
      </c>
      <c r="R20" s="179">
        <v>0</v>
      </c>
      <c r="S20" s="179">
        <v>0</v>
      </c>
      <c r="T20" s="181">
        <f t="shared" si="3"/>
        <v>26</v>
      </c>
      <c r="U20" s="181">
        <f t="shared" si="4"/>
        <v>6312534</v>
      </c>
      <c r="V20" s="179">
        <f>9+17</f>
        <v>26</v>
      </c>
      <c r="W20" s="179">
        <f>480304+5832230</f>
        <v>6312534</v>
      </c>
      <c r="X20" s="182">
        <f t="shared" si="5"/>
        <v>0</v>
      </c>
      <c r="Y20" s="297">
        <f t="shared" si="6"/>
        <v>0</v>
      </c>
      <c r="AA20" s="138"/>
    </row>
    <row r="21" spans="2:27" ht="12.95" customHeight="1" x14ac:dyDescent="0.2">
      <c r="B21" s="296">
        <v>46300</v>
      </c>
      <c r="C21" s="176">
        <f t="shared" si="7"/>
        <v>2026101</v>
      </c>
      <c r="D21" s="177">
        <v>46286</v>
      </c>
      <c r="E21" s="178" t="s">
        <v>44</v>
      </c>
      <c r="F21" s="175" t="str">
        <f>VLOOKUP(E21,'Códigos Banco'!$B$3:$D$27,2,0)</f>
        <v>Occidente - Directa</v>
      </c>
      <c r="G21" s="178">
        <v>13</v>
      </c>
      <c r="H21" s="175" t="str">
        <f>VLOOKUP(G21,'Códigos Banco'!$F$3:$G$18,2,0)</f>
        <v>T23 Directa - Transferencias</v>
      </c>
      <c r="I21" s="175">
        <f>VLOOKUP(E21,'Códigos Banco'!$B$3:$D$27,3,0)</f>
        <v>230887267</v>
      </c>
      <c r="J21" s="179">
        <f>1</f>
        <v>1</v>
      </c>
      <c r="K21" s="179">
        <f>5936660+1419719</f>
        <v>7356379</v>
      </c>
      <c r="L21" s="179">
        <v>2</v>
      </c>
      <c r="M21" s="179">
        <v>156076</v>
      </c>
      <c r="N21" s="179">
        <v>0</v>
      </c>
      <c r="O21" s="179">
        <v>0</v>
      </c>
      <c r="P21" s="179">
        <v>0</v>
      </c>
      <c r="Q21" s="179">
        <v>0</v>
      </c>
      <c r="R21" s="179">
        <v>0</v>
      </c>
      <c r="S21" s="179">
        <v>0</v>
      </c>
      <c r="T21" s="181">
        <f t="shared" si="3"/>
        <v>3</v>
      </c>
      <c r="U21" s="181">
        <f t="shared" si="4"/>
        <v>7512455</v>
      </c>
      <c r="V21" s="179">
        <v>3</v>
      </c>
      <c r="W21" s="179">
        <f>5936660+1575795</f>
        <v>7512455</v>
      </c>
      <c r="X21" s="182">
        <f t="shared" si="5"/>
        <v>0</v>
      </c>
      <c r="Y21" s="297">
        <f t="shared" si="6"/>
        <v>0</v>
      </c>
      <c r="AA21" s="138"/>
    </row>
    <row r="22" spans="2:27" ht="12.95" customHeight="1" x14ac:dyDescent="0.2">
      <c r="B22" s="296">
        <v>46300</v>
      </c>
      <c r="C22" s="176">
        <f t="shared" si="7"/>
        <v>2026101</v>
      </c>
      <c r="D22" s="177">
        <v>46293</v>
      </c>
      <c r="E22" s="178" t="s">
        <v>44</v>
      </c>
      <c r="F22" s="175" t="str">
        <f>VLOOKUP(E22,'Códigos Banco'!$B$3:$D$27,2,0)</f>
        <v>Occidente - Directa</v>
      </c>
      <c r="G22" s="178">
        <v>13</v>
      </c>
      <c r="H22" s="175" t="str">
        <f>VLOOKUP(G22,'Códigos Banco'!$F$3:$G$18,2,0)</f>
        <v>T23 Directa - Transferencias</v>
      </c>
      <c r="I22" s="175">
        <f>VLOOKUP(E22,'Códigos Banco'!$B$3:$D$27,3,0)</f>
        <v>230887267</v>
      </c>
      <c r="J22" s="179"/>
      <c r="K22" s="179"/>
      <c r="L22" s="179">
        <v>5</v>
      </c>
      <c r="M22" s="179">
        <v>96248690</v>
      </c>
      <c r="N22" s="179">
        <v>0</v>
      </c>
      <c r="O22" s="179">
        <v>0</v>
      </c>
      <c r="P22" s="179">
        <v>0</v>
      </c>
      <c r="Q22" s="179">
        <v>0</v>
      </c>
      <c r="R22" s="179">
        <v>0</v>
      </c>
      <c r="S22" s="179">
        <v>0</v>
      </c>
      <c r="T22" s="181">
        <f t="shared" si="3"/>
        <v>5</v>
      </c>
      <c r="U22" s="181">
        <f t="shared" si="4"/>
        <v>96248690</v>
      </c>
      <c r="V22" s="179">
        <f>5</f>
        <v>5</v>
      </c>
      <c r="W22" s="179">
        <f>96248690</f>
        <v>96248690</v>
      </c>
      <c r="X22" s="182">
        <f t="shared" si="5"/>
        <v>0</v>
      </c>
      <c r="Y22" s="297">
        <f t="shared" si="6"/>
        <v>0</v>
      </c>
      <c r="AA22" s="138"/>
    </row>
    <row r="23" spans="2:27" ht="12.95" customHeight="1" x14ac:dyDescent="0.2">
      <c r="B23" s="296">
        <v>46300</v>
      </c>
      <c r="C23" s="176">
        <f t="shared" si="7"/>
        <v>2026101</v>
      </c>
      <c r="D23" s="177">
        <v>46294</v>
      </c>
      <c r="E23" s="178" t="s">
        <v>44</v>
      </c>
      <c r="F23" s="175" t="str">
        <f>VLOOKUP(E23,'Códigos Banco'!$B$3:$D$27,2,0)</f>
        <v>Occidente - Directa</v>
      </c>
      <c r="G23" s="178">
        <v>13</v>
      </c>
      <c r="H23" s="175" t="str">
        <f>VLOOKUP(G23,'Códigos Banco'!$F$3:$G$18,2,0)</f>
        <v>T23 Directa - Transferencias</v>
      </c>
      <c r="I23" s="175">
        <f>VLOOKUP(E23,'Códigos Banco'!$B$3:$D$27,3,0)</f>
        <v>230887267</v>
      </c>
      <c r="J23" s="179">
        <f>5</f>
        <v>5</v>
      </c>
      <c r="K23" s="179">
        <f>344356</f>
        <v>344356</v>
      </c>
      <c r="L23" s="179">
        <v>0</v>
      </c>
      <c r="M23" s="179">
        <v>0</v>
      </c>
      <c r="N23" s="179">
        <v>0</v>
      </c>
      <c r="O23" s="179">
        <v>0</v>
      </c>
      <c r="P23" s="179">
        <v>0</v>
      </c>
      <c r="Q23" s="179">
        <v>0</v>
      </c>
      <c r="R23" s="179">
        <v>0</v>
      </c>
      <c r="S23" s="179">
        <v>0</v>
      </c>
      <c r="T23" s="181">
        <f t="shared" si="3"/>
        <v>5</v>
      </c>
      <c r="U23" s="181">
        <f t="shared" si="4"/>
        <v>344356</v>
      </c>
      <c r="V23" s="179">
        <f>5</f>
        <v>5</v>
      </c>
      <c r="W23" s="179">
        <f>344356</f>
        <v>344356</v>
      </c>
      <c r="X23" s="182">
        <f t="shared" si="5"/>
        <v>0</v>
      </c>
      <c r="Y23" s="297">
        <f t="shared" si="6"/>
        <v>0</v>
      </c>
      <c r="AA23" s="138"/>
    </row>
    <row r="24" spans="2:27" ht="12.95" customHeight="1" x14ac:dyDescent="0.2">
      <c r="B24" s="296">
        <v>46300</v>
      </c>
      <c r="C24" s="176">
        <f t="shared" si="7"/>
        <v>2026101</v>
      </c>
      <c r="D24" s="177">
        <v>46295</v>
      </c>
      <c r="E24" s="178" t="s">
        <v>44</v>
      </c>
      <c r="F24" s="175" t="str">
        <f>VLOOKUP(E24,'Códigos Banco'!$B$3:$D$27,2,0)</f>
        <v>Occidente - Directa</v>
      </c>
      <c r="G24" s="178">
        <v>13</v>
      </c>
      <c r="H24" s="175" t="str">
        <f>VLOOKUP(G24,'Códigos Banco'!$F$3:$G$18,2,0)</f>
        <v>T23 Directa - Transferencias</v>
      </c>
      <c r="I24" s="175">
        <f>VLOOKUP(E24,'Códigos Banco'!$B$3:$D$27,3,0)</f>
        <v>230887267</v>
      </c>
      <c r="J24" s="179">
        <f>1</f>
        <v>1</v>
      </c>
      <c r="K24" s="179">
        <f>56790</f>
        <v>56790</v>
      </c>
      <c r="L24" s="179">
        <v>1</v>
      </c>
      <c r="M24" s="179">
        <v>1425707</v>
      </c>
      <c r="N24" s="179">
        <v>0</v>
      </c>
      <c r="O24" s="179">
        <v>0</v>
      </c>
      <c r="P24" s="179">
        <v>0</v>
      </c>
      <c r="Q24" s="179">
        <v>0</v>
      </c>
      <c r="R24" s="179">
        <v>0</v>
      </c>
      <c r="S24" s="179">
        <v>0</v>
      </c>
      <c r="T24" s="181">
        <f t="shared" si="3"/>
        <v>2</v>
      </c>
      <c r="U24" s="181">
        <f t="shared" si="4"/>
        <v>1482497</v>
      </c>
      <c r="V24" s="179">
        <f>2</f>
        <v>2</v>
      </c>
      <c r="W24" s="179">
        <f>1482497</f>
        <v>1482497</v>
      </c>
      <c r="X24" s="182">
        <f t="shared" si="5"/>
        <v>0</v>
      </c>
      <c r="Y24" s="297">
        <f t="shared" si="6"/>
        <v>0</v>
      </c>
      <c r="AA24" s="138"/>
    </row>
    <row r="25" spans="2:27" ht="12.95" customHeight="1" x14ac:dyDescent="0.2">
      <c r="B25" s="296">
        <v>46301</v>
      </c>
      <c r="C25" s="176">
        <f t="shared" si="7"/>
        <v>2026101</v>
      </c>
      <c r="D25" s="177">
        <v>46070</v>
      </c>
      <c r="E25" s="178" t="s">
        <v>44</v>
      </c>
      <c r="F25" s="175" t="str">
        <f>VLOOKUP(E25,'Códigos Banco'!$B$3:$D$27,2,0)</f>
        <v>Occidente - Directa</v>
      </c>
      <c r="G25" s="178">
        <v>13</v>
      </c>
      <c r="H25" s="175" t="str">
        <f>VLOOKUP(G25,'Códigos Banco'!$F$3:$G$18,2,0)</f>
        <v>T23 Directa - Transferencias</v>
      </c>
      <c r="I25" s="175">
        <f>VLOOKUP(E25,'Códigos Banco'!$B$3:$D$27,3,0)</f>
        <v>230887267</v>
      </c>
      <c r="J25" s="179">
        <v>9</v>
      </c>
      <c r="K25" s="179">
        <v>4822020</v>
      </c>
      <c r="L25" s="179">
        <v>0</v>
      </c>
      <c r="M25" s="179">
        <v>0</v>
      </c>
      <c r="N25" s="179">
        <v>0</v>
      </c>
      <c r="O25" s="179">
        <v>0</v>
      </c>
      <c r="P25" s="179">
        <v>0</v>
      </c>
      <c r="Q25" s="179">
        <v>0</v>
      </c>
      <c r="R25" s="179">
        <v>0</v>
      </c>
      <c r="S25" s="179">
        <v>0</v>
      </c>
      <c r="T25" s="181">
        <f t="shared" si="3"/>
        <v>9</v>
      </c>
      <c r="U25" s="181">
        <f t="shared" si="4"/>
        <v>4822020</v>
      </c>
      <c r="V25" s="179">
        <v>9</v>
      </c>
      <c r="W25" s="179">
        <v>4822020</v>
      </c>
      <c r="X25" s="182">
        <f t="shared" si="5"/>
        <v>0</v>
      </c>
      <c r="Y25" s="297">
        <f t="shared" si="6"/>
        <v>0</v>
      </c>
      <c r="AA25" s="138"/>
    </row>
    <row r="26" spans="2:27" ht="12.95" customHeight="1" x14ac:dyDescent="0.2">
      <c r="B26" s="296">
        <v>46301</v>
      </c>
      <c r="C26" s="176">
        <f t="shared" si="7"/>
        <v>2026101</v>
      </c>
      <c r="D26" s="177">
        <v>46225</v>
      </c>
      <c r="E26" s="178" t="s">
        <v>44</v>
      </c>
      <c r="F26" s="175" t="str">
        <f>VLOOKUP(E26,'Códigos Banco'!$B$3:$D$27,2,0)</f>
        <v>Occidente - Directa</v>
      </c>
      <c r="G26" s="178">
        <v>13</v>
      </c>
      <c r="H26" s="175" t="str">
        <f>VLOOKUP(G26,'Códigos Banco'!$F$3:$G$18,2,0)</f>
        <v>T23 Directa - Transferencias</v>
      </c>
      <c r="I26" s="175">
        <f>VLOOKUP(E26,'Códigos Banco'!$B$3:$D$27,3,0)</f>
        <v>230887267</v>
      </c>
      <c r="J26" s="179">
        <v>0</v>
      </c>
      <c r="K26" s="179">
        <v>0</v>
      </c>
      <c r="L26" s="179">
        <v>0</v>
      </c>
      <c r="M26" s="179">
        <v>0</v>
      </c>
      <c r="N26" s="179">
        <v>1</v>
      </c>
      <c r="O26" s="179">
        <v>1212933</v>
      </c>
      <c r="P26" s="179">
        <v>0</v>
      </c>
      <c r="Q26" s="179">
        <v>0</v>
      </c>
      <c r="R26" s="179">
        <v>0</v>
      </c>
      <c r="S26" s="179">
        <v>0</v>
      </c>
      <c r="T26" s="181">
        <f t="shared" si="3"/>
        <v>1</v>
      </c>
      <c r="U26" s="181">
        <f t="shared" si="4"/>
        <v>1212933</v>
      </c>
      <c r="V26" s="179">
        <v>1</v>
      </c>
      <c r="W26" s="179">
        <v>1212933</v>
      </c>
      <c r="X26" s="182">
        <f t="shared" si="5"/>
        <v>0</v>
      </c>
      <c r="Y26" s="297">
        <f t="shared" si="6"/>
        <v>0</v>
      </c>
      <c r="AA26" s="138"/>
    </row>
    <row r="27" spans="2:27" ht="12.95" customHeight="1" x14ac:dyDescent="0.2">
      <c r="B27" s="296">
        <v>46301</v>
      </c>
      <c r="C27" s="176">
        <f t="shared" si="7"/>
        <v>2026101</v>
      </c>
      <c r="D27" s="177">
        <v>46280</v>
      </c>
      <c r="E27" s="178" t="s">
        <v>44</v>
      </c>
      <c r="F27" s="175" t="str">
        <f>VLOOKUP(E27,'Códigos Banco'!$B$3:$D$27,2,0)</f>
        <v>Occidente - Directa</v>
      </c>
      <c r="G27" s="178">
        <v>13</v>
      </c>
      <c r="H27" s="175" t="str">
        <f>VLOOKUP(G27,'Códigos Banco'!$F$3:$G$18,2,0)</f>
        <v>T23 Directa - Transferencias</v>
      </c>
      <c r="I27" s="175">
        <f>VLOOKUP(E27,'Códigos Banco'!$B$3:$D$27,3,0)</f>
        <v>230887267</v>
      </c>
      <c r="J27" s="179">
        <v>0</v>
      </c>
      <c r="K27" s="179">
        <v>0</v>
      </c>
      <c r="L27" s="179">
        <v>0</v>
      </c>
      <c r="M27" s="179">
        <v>0</v>
      </c>
      <c r="N27" s="179">
        <v>7</v>
      </c>
      <c r="O27" s="179">
        <v>12659140</v>
      </c>
      <c r="P27" s="179">
        <v>0</v>
      </c>
      <c r="Q27" s="179">
        <v>0</v>
      </c>
      <c r="R27" s="179">
        <v>0</v>
      </c>
      <c r="S27" s="179">
        <v>0</v>
      </c>
      <c r="T27" s="181">
        <f t="shared" si="3"/>
        <v>7</v>
      </c>
      <c r="U27" s="181">
        <f t="shared" si="4"/>
        <v>12659140</v>
      </c>
      <c r="V27" s="179">
        <v>7</v>
      </c>
      <c r="W27" s="179">
        <v>12659140</v>
      </c>
      <c r="X27" s="182">
        <f t="shared" si="5"/>
        <v>0</v>
      </c>
      <c r="Y27" s="297">
        <f t="shared" si="6"/>
        <v>0</v>
      </c>
      <c r="AA27" s="138"/>
    </row>
    <row r="28" spans="2:27" ht="12.95" customHeight="1" x14ac:dyDescent="0.2">
      <c r="B28" s="296">
        <v>46304</v>
      </c>
      <c r="C28" s="176">
        <f t="shared" si="7"/>
        <v>2026101</v>
      </c>
      <c r="D28" s="177">
        <v>46227</v>
      </c>
      <c r="E28" s="178" t="s">
        <v>44</v>
      </c>
      <c r="F28" s="175" t="str">
        <f>VLOOKUP(E28,'Códigos Banco'!$B$3:$D$27,2,0)</f>
        <v>Occidente - Directa</v>
      </c>
      <c r="G28" s="178">
        <v>13</v>
      </c>
      <c r="H28" s="175" t="str">
        <f>VLOOKUP(G28,'Códigos Banco'!$F$3:$G$18,2,0)</f>
        <v>T23 Directa - Transferencias</v>
      </c>
      <c r="I28" s="175">
        <f>VLOOKUP(E28,'Códigos Banco'!$B$3:$D$27,3,0)</f>
        <v>230887267</v>
      </c>
      <c r="J28" s="179">
        <v>0</v>
      </c>
      <c r="K28" s="179">
        <v>0</v>
      </c>
      <c r="L28" s="179">
        <f>1+1</f>
        <v>2</v>
      </c>
      <c r="M28" s="179">
        <f>158910+402900</f>
        <v>561810</v>
      </c>
      <c r="N28" s="179">
        <v>0</v>
      </c>
      <c r="O28" s="179">
        <v>0</v>
      </c>
      <c r="P28" s="179">
        <v>0</v>
      </c>
      <c r="Q28" s="179">
        <v>0</v>
      </c>
      <c r="R28" s="179">
        <v>0</v>
      </c>
      <c r="S28" s="179">
        <v>0</v>
      </c>
      <c r="T28" s="181">
        <f t="shared" si="3"/>
        <v>2</v>
      </c>
      <c r="U28" s="181">
        <f t="shared" si="4"/>
        <v>561810</v>
      </c>
      <c r="V28" s="179">
        <f>1+1</f>
        <v>2</v>
      </c>
      <c r="W28" s="179">
        <f>158910+402900</f>
        <v>561810</v>
      </c>
      <c r="X28" s="182">
        <f t="shared" si="5"/>
        <v>0</v>
      </c>
      <c r="Y28" s="297">
        <f t="shared" si="6"/>
        <v>0</v>
      </c>
      <c r="AA28" s="138"/>
    </row>
    <row r="29" spans="2:27" ht="12.95" customHeight="1" x14ac:dyDescent="0.2">
      <c r="B29" s="296">
        <v>46304</v>
      </c>
      <c r="C29" s="176">
        <f t="shared" si="7"/>
        <v>2026101</v>
      </c>
      <c r="D29" s="177">
        <v>46260</v>
      </c>
      <c r="E29" s="178" t="s">
        <v>44</v>
      </c>
      <c r="F29" s="175" t="str">
        <f>VLOOKUP(E29,'Códigos Banco'!$B$3:$D$27,2,0)</f>
        <v>Occidente - Directa</v>
      </c>
      <c r="G29" s="178">
        <v>13</v>
      </c>
      <c r="H29" s="175" t="str">
        <f>VLOOKUP(G29,'Códigos Banco'!$F$3:$G$18,2,0)</f>
        <v>T23 Directa - Transferencias</v>
      </c>
      <c r="I29" s="175">
        <f>VLOOKUP(E29,'Códigos Banco'!$B$3:$D$27,3,0)</f>
        <v>230887267</v>
      </c>
      <c r="J29" s="179">
        <v>14</v>
      </c>
      <c r="K29" s="179">
        <v>3352270</v>
      </c>
      <c r="L29" s="179">
        <v>0</v>
      </c>
      <c r="M29" s="179">
        <v>0</v>
      </c>
      <c r="N29" s="179">
        <v>0</v>
      </c>
      <c r="O29" s="179">
        <v>0</v>
      </c>
      <c r="P29" s="179">
        <v>0</v>
      </c>
      <c r="Q29" s="179">
        <v>0</v>
      </c>
      <c r="R29" s="179">
        <v>0</v>
      </c>
      <c r="S29" s="179">
        <v>0</v>
      </c>
      <c r="T29" s="181">
        <f t="shared" si="3"/>
        <v>14</v>
      </c>
      <c r="U29" s="181">
        <f t="shared" si="4"/>
        <v>3352270</v>
      </c>
      <c r="V29" s="179">
        <v>14</v>
      </c>
      <c r="W29" s="179">
        <v>3352270</v>
      </c>
      <c r="X29" s="182">
        <f t="shared" si="5"/>
        <v>0</v>
      </c>
      <c r="Y29" s="297">
        <f t="shared" si="6"/>
        <v>0</v>
      </c>
      <c r="AA29" s="138"/>
    </row>
    <row r="30" spans="2:27" ht="12.95" customHeight="1" x14ac:dyDescent="0.2">
      <c r="B30" s="296">
        <v>46304</v>
      </c>
      <c r="C30" s="176">
        <f t="shared" si="7"/>
        <v>2026101</v>
      </c>
      <c r="D30" s="177">
        <v>46287</v>
      </c>
      <c r="E30" s="178" t="s">
        <v>44</v>
      </c>
      <c r="F30" s="175" t="str">
        <f>VLOOKUP(E30,'Códigos Banco'!$B$3:$D$27,2,0)</f>
        <v>Occidente - Directa</v>
      </c>
      <c r="G30" s="178">
        <v>13</v>
      </c>
      <c r="H30" s="175" t="str">
        <f>VLOOKUP(G30,'Códigos Banco'!$F$3:$G$18,2,0)</f>
        <v>T23 Directa - Transferencias</v>
      </c>
      <c r="I30" s="175">
        <f>VLOOKUP(E30,'Códigos Banco'!$B$3:$D$27,3,0)</f>
        <v>230887267</v>
      </c>
      <c r="J30" s="179">
        <v>10</v>
      </c>
      <c r="K30" s="179">
        <v>1019125</v>
      </c>
      <c r="L30" s="179">
        <v>22</v>
      </c>
      <c r="M30" s="179">
        <v>14190630</v>
      </c>
      <c r="N30" s="179">
        <v>0</v>
      </c>
      <c r="O30" s="179">
        <v>0</v>
      </c>
      <c r="P30" s="179">
        <v>0</v>
      </c>
      <c r="Q30" s="179">
        <v>0</v>
      </c>
      <c r="R30" s="179">
        <v>0</v>
      </c>
      <c r="S30" s="179">
        <v>0</v>
      </c>
      <c r="T30" s="181">
        <f t="shared" si="3"/>
        <v>32</v>
      </c>
      <c r="U30" s="181">
        <f t="shared" si="4"/>
        <v>15209755</v>
      </c>
      <c r="V30" s="179">
        <v>32</v>
      </c>
      <c r="W30" s="179">
        <v>15209755</v>
      </c>
      <c r="X30" s="182">
        <f t="shared" si="5"/>
        <v>0</v>
      </c>
      <c r="Y30" s="297">
        <f t="shared" si="6"/>
        <v>0</v>
      </c>
      <c r="AA30" s="138"/>
    </row>
    <row r="31" spans="2:27" ht="12.95" customHeight="1" x14ac:dyDescent="0.2">
      <c r="B31" s="296">
        <v>46308</v>
      </c>
      <c r="C31" s="176">
        <f t="shared" si="7"/>
        <v>2026101</v>
      </c>
      <c r="D31" s="177">
        <v>46282</v>
      </c>
      <c r="E31" s="178" t="s">
        <v>44</v>
      </c>
      <c r="F31" s="175" t="str">
        <f>VLOOKUP(E31,'Códigos Banco'!$B$3:$D$27,2,0)</f>
        <v>Occidente - Directa</v>
      </c>
      <c r="G31" s="178">
        <v>13</v>
      </c>
      <c r="H31" s="175" t="str">
        <f>VLOOKUP(G31,'Códigos Banco'!$F$3:$G$18,2,0)</f>
        <v>T23 Directa - Transferencias</v>
      </c>
      <c r="I31" s="175">
        <f>VLOOKUP(E31,'Códigos Banco'!$B$3:$D$27,3,0)</f>
        <v>230887267</v>
      </c>
      <c r="J31" s="179">
        <v>0</v>
      </c>
      <c r="K31" s="179">
        <v>0</v>
      </c>
      <c r="L31" s="179">
        <v>0</v>
      </c>
      <c r="M31" s="179">
        <v>0</v>
      </c>
      <c r="N31" s="179">
        <v>0</v>
      </c>
      <c r="O31" s="179">
        <v>0</v>
      </c>
      <c r="P31" s="179">
        <v>0</v>
      </c>
      <c r="Q31" s="179">
        <v>0</v>
      </c>
      <c r="R31" s="179">
        <v>10</v>
      </c>
      <c r="S31" s="179">
        <v>3331120</v>
      </c>
      <c r="T31" s="181">
        <f t="shared" si="3"/>
        <v>10</v>
      </c>
      <c r="U31" s="181">
        <f t="shared" si="4"/>
        <v>3331120</v>
      </c>
      <c r="V31" s="179">
        <v>10</v>
      </c>
      <c r="W31" s="179">
        <v>3331120</v>
      </c>
      <c r="X31" s="182">
        <f t="shared" si="5"/>
        <v>0</v>
      </c>
      <c r="Y31" s="297">
        <f t="shared" si="6"/>
        <v>0</v>
      </c>
      <c r="AA31" s="138"/>
    </row>
    <row r="32" spans="2:27" ht="12.95" customHeight="1" x14ac:dyDescent="0.2">
      <c r="B32" s="296">
        <v>46279</v>
      </c>
      <c r="C32" s="176">
        <f t="shared" si="7"/>
        <v>2026101</v>
      </c>
      <c r="D32" s="177">
        <v>46288</v>
      </c>
      <c r="E32" s="178" t="s">
        <v>44</v>
      </c>
      <c r="F32" s="175" t="str">
        <f>VLOOKUP(E32,'Códigos Banco'!$B$3:$D$27,2,0)</f>
        <v>Occidente - Directa</v>
      </c>
      <c r="G32" s="178">
        <v>13</v>
      </c>
      <c r="H32" s="175" t="str">
        <f>VLOOKUP(G32,'Códigos Banco'!$F$3:$G$18,2,0)</f>
        <v>T23 Directa - Transferencias</v>
      </c>
      <c r="I32" s="175">
        <f>VLOOKUP(E32,'Códigos Banco'!$B$3:$D$27,3,0)</f>
        <v>230887267</v>
      </c>
      <c r="J32" s="179">
        <v>1</v>
      </c>
      <c r="K32" s="179">
        <v>1982922</v>
      </c>
      <c r="L32" s="179">
        <v>0</v>
      </c>
      <c r="M32" s="179">
        <v>0</v>
      </c>
      <c r="N32" s="179">
        <v>0</v>
      </c>
      <c r="O32" s="179">
        <v>0</v>
      </c>
      <c r="P32" s="179">
        <v>0</v>
      </c>
      <c r="Q32" s="179">
        <v>0</v>
      </c>
      <c r="R32" s="179">
        <v>0</v>
      </c>
      <c r="S32" s="179">
        <v>0</v>
      </c>
      <c r="T32" s="181">
        <f t="shared" si="3"/>
        <v>1</v>
      </c>
      <c r="U32" s="181">
        <f t="shared" si="4"/>
        <v>1982922</v>
      </c>
      <c r="V32" s="179">
        <v>1</v>
      </c>
      <c r="W32" s="179">
        <v>1982922</v>
      </c>
      <c r="X32" s="182">
        <f t="shared" si="5"/>
        <v>0</v>
      </c>
      <c r="Y32" s="297">
        <f t="shared" si="6"/>
        <v>0</v>
      </c>
      <c r="AA32" s="138"/>
    </row>
    <row r="33" spans="2:27" ht="12.95" customHeight="1" x14ac:dyDescent="0.2">
      <c r="B33" s="296">
        <v>46279</v>
      </c>
      <c r="C33" s="176">
        <f t="shared" si="7"/>
        <v>2026101</v>
      </c>
      <c r="D33" s="177">
        <v>46289</v>
      </c>
      <c r="E33" s="178" t="s">
        <v>44</v>
      </c>
      <c r="F33" s="175" t="str">
        <f>VLOOKUP(E33,'Códigos Banco'!$B$3:$D$27,2,0)</f>
        <v>Occidente - Directa</v>
      </c>
      <c r="G33" s="178">
        <v>13</v>
      </c>
      <c r="H33" s="175" t="str">
        <f>VLOOKUP(G33,'Códigos Banco'!$F$3:$G$18,2,0)</f>
        <v>T23 Directa - Transferencias</v>
      </c>
      <c r="I33" s="175">
        <f>VLOOKUP(E33,'Códigos Banco'!$B$3:$D$27,3,0)</f>
        <v>230887267</v>
      </c>
      <c r="J33" s="179">
        <v>2</v>
      </c>
      <c r="K33" s="179">
        <v>5305437</v>
      </c>
      <c r="L33" s="179">
        <v>1</v>
      </c>
      <c r="M33" s="179">
        <v>9614712</v>
      </c>
      <c r="N33" s="179">
        <v>2</v>
      </c>
      <c r="O33" s="179">
        <v>4954235</v>
      </c>
      <c r="P33" s="179">
        <v>2</v>
      </c>
      <c r="Q33" s="179">
        <v>25300200</v>
      </c>
      <c r="R33" s="179">
        <v>1</v>
      </c>
      <c r="S33" s="179">
        <v>944904</v>
      </c>
      <c r="T33" s="181">
        <f t="shared" si="3"/>
        <v>8</v>
      </c>
      <c r="U33" s="181">
        <f t="shared" si="4"/>
        <v>46119488</v>
      </c>
      <c r="V33" s="179">
        <v>8</v>
      </c>
      <c r="W33" s="179">
        <v>46119488</v>
      </c>
      <c r="X33" s="182">
        <f t="shared" si="5"/>
        <v>0</v>
      </c>
      <c r="Y33" s="297">
        <f t="shared" si="6"/>
        <v>0</v>
      </c>
      <c r="AA33" s="138"/>
    </row>
    <row r="34" spans="2:27" ht="12.95" customHeight="1" x14ac:dyDescent="0.2">
      <c r="B34" s="296">
        <v>46311</v>
      </c>
      <c r="C34" s="176">
        <f t="shared" si="7"/>
        <v>2026101</v>
      </c>
      <c r="D34" s="177">
        <v>46076</v>
      </c>
      <c r="E34" s="178" t="s">
        <v>44</v>
      </c>
      <c r="F34" s="175" t="str">
        <f>VLOOKUP(E34,'Códigos Banco'!$B$3:$D$27,2,0)</f>
        <v>Occidente - Directa</v>
      </c>
      <c r="G34" s="178">
        <v>13</v>
      </c>
      <c r="H34" s="175" t="str">
        <f>VLOOKUP(G34,'Códigos Banco'!$F$3:$G$18,2,0)</f>
        <v>T23 Directa - Transferencias</v>
      </c>
      <c r="I34" s="175">
        <f>VLOOKUP(E34,'Códigos Banco'!$B$3:$D$27,3,0)</f>
        <v>230887267</v>
      </c>
      <c r="J34" s="179">
        <v>0</v>
      </c>
      <c r="K34" s="179">
        <v>0</v>
      </c>
      <c r="L34" s="179">
        <v>0</v>
      </c>
      <c r="M34" s="179">
        <v>0</v>
      </c>
      <c r="N34" s="179">
        <v>0</v>
      </c>
      <c r="O34" s="179">
        <v>0</v>
      </c>
      <c r="P34" s="179">
        <v>0</v>
      </c>
      <c r="Q34" s="179">
        <v>0</v>
      </c>
      <c r="R34" s="179">
        <v>3</v>
      </c>
      <c r="S34" s="179">
        <v>407691</v>
      </c>
      <c r="T34" s="181">
        <f t="shared" si="3"/>
        <v>3</v>
      </c>
      <c r="U34" s="181">
        <f t="shared" si="4"/>
        <v>407691</v>
      </c>
      <c r="V34" s="179">
        <v>3</v>
      </c>
      <c r="W34" s="179">
        <v>407691</v>
      </c>
      <c r="X34" s="182">
        <f t="shared" si="5"/>
        <v>0</v>
      </c>
      <c r="Y34" s="297">
        <f t="shared" si="6"/>
        <v>0</v>
      </c>
      <c r="AA34" s="138"/>
    </row>
    <row r="35" spans="2:27" ht="12.95" customHeight="1" x14ac:dyDescent="0.2">
      <c r="B35" s="296">
        <v>46311</v>
      </c>
      <c r="C35" s="176">
        <f t="shared" si="7"/>
        <v>2026101</v>
      </c>
      <c r="D35" s="177">
        <v>46106</v>
      </c>
      <c r="E35" s="178" t="s">
        <v>44</v>
      </c>
      <c r="F35" s="175" t="str">
        <f>VLOOKUP(E35,'Códigos Banco'!$B$3:$D$27,2,0)</f>
        <v>Occidente - Directa</v>
      </c>
      <c r="G35" s="178">
        <v>13</v>
      </c>
      <c r="H35" s="175" t="str">
        <f>VLOOKUP(G35,'Códigos Banco'!$F$3:$G$18,2,0)</f>
        <v>T23 Directa - Transferencias</v>
      </c>
      <c r="I35" s="175">
        <f>VLOOKUP(E35,'Códigos Banco'!$B$3:$D$27,3,0)</f>
        <v>230887267</v>
      </c>
      <c r="J35" s="179">
        <v>0</v>
      </c>
      <c r="K35" s="179">
        <v>0</v>
      </c>
      <c r="L35" s="179">
        <v>0</v>
      </c>
      <c r="M35" s="179">
        <v>0</v>
      </c>
      <c r="N35" s="179">
        <v>0</v>
      </c>
      <c r="O35" s="179">
        <v>0</v>
      </c>
      <c r="P35" s="179">
        <v>0</v>
      </c>
      <c r="Q35" s="179">
        <v>0</v>
      </c>
      <c r="R35" s="179">
        <v>2</v>
      </c>
      <c r="S35" s="179">
        <v>324553</v>
      </c>
      <c r="T35" s="181">
        <f t="shared" si="3"/>
        <v>2</v>
      </c>
      <c r="U35" s="181">
        <f t="shared" si="4"/>
        <v>324553</v>
      </c>
      <c r="V35" s="179">
        <v>2</v>
      </c>
      <c r="W35" s="179">
        <v>324553</v>
      </c>
      <c r="X35" s="182">
        <f t="shared" si="5"/>
        <v>0</v>
      </c>
      <c r="Y35" s="297">
        <f t="shared" si="6"/>
        <v>0</v>
      </c>
      <c r="AA35" s="138"/>
    </row>
    <row r="36" spans="2:27" ht="12.95" customHeight="1" x14ac:dyDescent="0.2">
      <c r="B36" s="296">
        <v>46311</v>
      </c>
      <c r="C36" s="176">
        <f t="shared" si="7"/>
        <v>2026101</v>
      </c>
      <c r="D36" s="177">
        <v>46128</v>
      </c>
      <c r="E36" s="178" t="s">
        <v>44</v>
      </c>
      <c r="F36" s="175" t="str">
        <f>VLOOKUP(E36,'Códigos Banco'!$B$3:$D$27,2,0)</f>
        <v>Occidente - Directa</v>
      </c>
      <c r="G36" s="178">
        <v>13</v>
      </c>
      <c r="H36" s="175" t="str">
        <f>VLOOKUP(G36,'Códigos Banco'!$F$3:$G$18,2,0)</f>
        <v>T23 Directa - Transferencias</v>
      </c>
      <c r="I36" s="175">
        <f>VLOOKUP(E36,'Códigos Banco'!$B$3:$D$27,3,0)</f>
        <v>230887267</v>
      </c>
      <c r="J36" s="179">
        <v>0</v>
      </c>
      <c r="K36" s="179">
        <v>0</v>
      </c>
      <c r="L36" s="179">
        <v>0</v>
      </c>
      <c r="M36" s="179">
        <v>0</v>
      </c>
      <c r="N36" s="179">
        <v>0</v>
      </c>
      <c r="O36" s="179">
        <v>0</v>
      </c>
      <c r="P36" s="179">
        <v>0</v>
      </c>
      <c r="Q36" s="179">
        <v>0</v>
      </c>
      <c r="R36" s="179">
        <v>2</v>
      </c>
      <c r="S36" s="179">
        <v>284399</v>
      </c>
      <c r="T36" s="181">
        <f t="shared" si="3"/>
        <v>2</v>
      </c>
      <c r="U36" s="181">
        <f t="shared" si="4"/>
        <v>284399</v>
      </c>
      <c r="V36" s="179">
        <v>2</v>
      </c>
      <c r="W36" s="179">
        <v>284399</v>
      </c>
      <c r="X36" s="182">
        <f t="shared" si="5"/>
        <v>0</v>
      </c>
      <c r="Y36" s="297">
        <f t="shared" si="6"/>
        <v>0</v>
      </c>
      <c r="AA36" s="138"/>
    </row>
    <row r="37" spans="2:27" ht="12.95" customHeight="1" x14ac:dyDescent="0.2">
      <c r="B37" s="296">
        <v>46311</v>
      </c>
      <c r="C37" s="176">
        <f t="shared" si="7"/>
        <v>2026101</v>
      </c>
      <c r="D37" s="177">
        <v>46157</v>
      </c>
      <c r="E37" s="178" t="s">
        <v>44</v>
      </c>
      <c r="F37" s="175" t="str">
        <f>VLOOKUP(E37,'Códigos Banco'!$B$3:$D$27,2,0)</f>
        <v>Occidente - Directa</v>
      </c>
      <c r="G37" s="178">
        <v>13</v>
      </c>
      <c r="H37" s="175" t="str">
        <f>VLOOKUP(G37,'Códigos Banco'!$F$3:$G$18,2,0)</f>
        <v>T23 Directa - Transferencias</v>
      </c>
      <c r="I37" s="175">
        <f>VLOOKUP(E37,'Códigos Banco'!$B$3:$D$27,3,0)</f>
        <v>230887267</v>
      </c>
      <c r="J37" s="179">
        <v>0</v>
      </c>
      <c r="K37" s="179">
        <v>0</v>
      </c>
      <c r="L37" s="179">
        <v>0</v>
      </c>
      <c r="M37" s="179">
        <v>0</v>
      </c>
      <c r="N37" s="179">
        <v>0</v>
      </c>
      <c r="O37" s="179">
        <v>0</v>
      </c>
      <c r="P37" s="179">
        <v>0</v>
      </c>
      <c r="Q37" s="179">
        <v>0</v>
      </c>
      <c r="R37" s="179">
        <v>2</v>
      </c>
      <c r="S37" s="179">
        <v>331585</v>
      </c>
      <c r="T37" s="181">
        <f t="shared" si="3"/>
        <v>2</v>
      </c>
      <c r="U37" s="181">
        <f t="shared" si="4"/>
        <v>331585</v>
      </c>
      <c r="V37" s="179">
        <v>2</v>
      </c>
      <c r="W37" s="179">
        <v>331585</v>
      </c>
      <c r="X37" s="182">
        <f t="shared" si="5"/>
        <v>0</v>
      </c>
      <c r="Y37" s="297">
        <f t="shared" si="6"/>
        <v>0</v>
      </c>
      <c r="AA37" s="138"/>
    </row>
    <row r="38" spans="2:27" ht="12.95" customHeight="1" x14ac:dyDescent="0.2">
      <c r="B38" s="296">
        <v>46311</v>
      </c>
      <c r="C38" s="176">
        <f t="shared" si="7"/>
        <v>2026101</v>
      </c>
      <c r="D38" s="177">
        <v>46191</v>
      </c>
      <c r="E38" s="178" t="s">
        <v>44</v>
      </c>
      <c r="F38" s="175" t="str">
        <f>VLOOKUP(E38,'Códigos Banco'!$B$3:$D$27,2,0)</f>
        <v>Occidente - Directa</v>
      </c>
      <c r="G38" s="178">
        <v>13</v>
      </c>
      <c r="H38" s="175" t="str">
        <f>VLOOKUP(G38,'Códigos Banco'!$F$3:$G$18,2,0)</f>
        <v>T23 Directa - Transferencias</v>
      </c>
      <c r="I38" s="175">
        <f>VLOOKUP(E38,'Códigos Banco'!$B$3:$D$27,3,0)</f>
        <v>230887267</v>
      </c>
      <c r="J38" s="179">
        <v>0</v>
      </c>
      <c r="K38" s="179">
        <v>0</v>
      </c>
      <c r="L38" s="179">
        <v>0</v>
      </c>
      <c r="M38" s="179">
        <v>0</v>
      </c>
      <c r="N38" s="179">
        <v>0</v>
      </c>
      <c r="O38" s="179">
        <v>0</v>
      </c>
      <c r="P38" s="179">
        <v>0</v>
      </c>
      <c r="Q38" s="179">
        <v>0</v>
      </c>
      <c r="R38" s="179">
        <v>2</v>
      </c>
      <c r="S38" s="179">
        <v>312220</v>
      </c>
      <c r="T38" s="181">
        <f t="shared" si="3"/>
        <v>2</v>
      </c>
      <c r="U38" s="181">
        <f t="shared" si="4"/>
        <v>312220</v>
      </c>
      <c r="V38" s="179">
        <v>2</v>
      </c>
      <c r="W38" s="179">
        <v>312220</v>
      </c>
      <c r="X38" s="182">
        <f t="shared" si="5"/>
        <v>0</v>
      </c>
      <c r="Y38" s="297">
        <f t="shared" si="6"/>
        <v>0</v>
      </c>
      <c r="AA38" s="138"/>
    </row>
    <row r="39" spans="2:27" ht="12.95" customHeight="1" x14ac:dyDescent="0.2">
      <c r="B39" s="296">
        <v>46311</v>
      </c>
      <c r="C39" s="176">
        <f t="shared" si="7"/>
        <v>2026101</v>
      </c>
      <c r="D39" s="177">
        <v>46220</v>
      </c>
      <c r="E39" s="178" t="s">
        <v>44</v>
      </c>
      <c r="F39" s="175" t="str">
        <f>VLOOKUP(E39,'Códigos Banco'!$B$3:$D$27,2,0)</f>
        <v>Occidente - Directa</v>
      </c>
      <c r="G39" s="178">
        <v>13</v>
      </c>
      <c r="H39" s="175" t="str">
        <f>VLOOKUP(G39,'Códigos Banco'!$F$3:$G$18,2,0)</f>
        <v>T23 Directa - Transferencias</v>
      </c>
      <c r="I39" s="175">
        <f>VLOOKUP(E39,'Códigos Banco'!$B$3:$D$27,3,0)</f>
        <v>230887267</v>
      </c>
      <c r="J39" s="179">
        <v>0</v>
      </c>
      <c r="K39" s="179">
        <v>0</v>
      </c>
      <c r="L39" s="179">
        <v>0</v>
      </c>
      <c r="M39" s="179">
        <v>0</v>
      </c>
      <c r="N39" s="179">
        <v>0</v>
      </c>
      <c r="O39" s="179">
        <v>0</v>
      </c>
      <c r="P39" s="179">
        <v>0</v>
      </c>
      <c r="Q39" s="179">
        <v>0</v>
      </c>
      <c r="R39" s="179">
        <v>2</v>
      </c>
      <c r="S39" s="179">
        <v>331300</v>
      </c>
      <c r="T39" s="181">
        <f t="shared" si="3"/>
        <v>2</v>
      </c>
      <c r="U39" s="181">
        <f t="shared" si="4"/>
        <v>331300</v>
      </c>
      <c r="V39" s="179">
        <v>2</v>
      </c>
      <c r="W39" s="179">
        <v>331300</v>
      </c>
      <c r="X39" s="182">
        <f t="shared" si="5"/>
        <v>0</v>
      </c>
      <c r="Y39" s="297">
        <f t="shared" si="6"/>
        <v>0</v>
      </c>
      <c r="AA39" s="138"/>
    </row>
    <row r="40" spans="2:27" ht="12.95" customHeight="1" x14ac:dyDescent="0.2">
      <c r="B40" s="296">
        <v>46311</v>
      </c>
      <c r="C40" s="176">
        <f t="shared" si="7"/>
        <v>2026101</v>
      </c>
      <c r="D40" s="177">
        <v>46254</v>
      </c>
      <c r="E40" s="178" t="s">
        <v>44</v>
      </c>
      <c r="F40" s="175" t="str">
        <f>VLOOKUP(E40,'Códigos Banco'!$B$3:$D$27,2,0)</f>
        <v>Occidente - Directa</v>
      </c>
      <c r="G40" s="178">
        <v>13</v>
      </c>
      <c r="H40" s="175" t="str">
        <f>VLOOKUP(G40,'Códigos Banco'!$F$3:$G$18,2,0)</f>
        <v>T23 Directa - Transferencias</v>
      </c>
      <c r="I40" s="175">
        <f>VLOOKUP(E40,'Códigos Banco'!$B$3:$D$27,3,0)</f>
        <v>230887267</v>
      </c>
      <c r="J40" s="179">
        <v>0</v>
      </c>
      <c r="K40" s="179">
        <v>0</v>
      </c>
      <c r="L40" s="179">
        <v>0</v>
      </c>
      <c r="M40" s="179">
        <v>0</v>
      </c>
      <c r="N40" s="179">
        <v>0</v>
      </c>
      <c r="O40" s="179">
        <v>0</v>
      </c>
      <c r="P40" s="179">
        <v>0</v>
      </c>
      <c r="Q40" s="179">
        <v>0</v>
      </c>
      <c r="R40" s="179">
        <v>2</v>
      </c>
      <c r="S40" s="179">
        <v>317120</v>
      </c>
      <c r="T40" s="181">
        <f t="shared" si="3"/>
        <v>2</v>
      </c>
      <c r="U40" s="181">
        <f t="shared" si="4"/>
        <v>317120</v>
      </c>
      <c r="V40" s="179">
        <v>2</v>
      </c>
      <c r="W40" s="179">
        <v>317120</v>
      </c>
      <c r="X40" s="182">
        <f t="shared" si="5"/>
        <v>0</v>
      </c>
      <c r="Y40" s="297">
        <f t="shared" si="6"/>
        <v>0</v>
      </c>
      <c r="AA40" s="138"/>
    </row>
    <row r="41" spans="2:27" ht="12.95" customHeight="1" x14ac:dyDescent="0.2">
      <c r="B41" s="296">
        <v>46311</v>
      </c>
      <c r="C41" s="176">
        <f t="shared" si="7"/>
        <v>2026101</v>
      </c>
      <c r="D41" s="177">
        <v>46279</v>
      </c>
      <c r="E41" s="178" t="s">
        <v>44</v>
      </c>
      <c r="F41" s="175" t="str">
        <f>VLOOKUP(E41,'Códigos Banco'!$B$3:$D$27,2,0)</f>
        <v>Occidente - Directa</v>
      </c>
      <c r="G41" s="178">
        <v>13</v>
      </c>
      <c r="H41" s="175" t="str">
        <f>VLOOKUP(G41,'Códigos Banco'!$F$3:$G$18,2,0)</f>
        <v>T23 Directa - Transferencias</v>
      </c>
      <c r="I41" s="175">
        <f>VLOOKUP(E41,'Códigos Banco'!$B$3:$D$27,3,0)</f>
        <v>230887267</v>
      </c>
      <c r="J41" s="179">
        <v>4</v>
      </c>
      <c r="K41" s="179">
        <v>3419680</v>
      </c>
      <c r="L41" s="179">
        <v>0</v>
      </c>
      <c r="M41" s="179">
        <v>0</v>
      </c>
      <c r="N41" s="179">
        <v>0</v>
      </c>
      <c r="O41" s="179">
        <v>0</v>
      </c>
      <c r="P41" s="179">
        <v>0</v>
      </c>
      <c r="Q41" s="179">
        <v>0</v>
      </c>
      <c r="R41" s="179">
        <v>0</v>
      </c>
      <c r="S41" s="179">
        <v>0</v>
      </c>
      <c r="T41" s="181">
        <f t="shared" si="3"/>
        <v>4</v>
      </c>
      <c r="U41" s="181">
        <f t="shared" si="4"/>
        <v>3419680</v>
      </c>
      <c r="V41" s="179">
        <v>4</v>
      </c>
      <c r="W41" s="179">
        <v>3419680</v>
      </c>
      <c r="X41" s="182">
        <f t="shared" si="5"/>
        <v>0</v>
      </c>
      <c r="Y41" s="297">
        <f t="shared" si="6"/>
        <v>0</v>
      </c>
      <c r="AA41" s="138"/>
    </row>
    <row r="42" spans="2:27" ht="12.95" customHeight="1" x14ac:dyDescent="0.2">
      <c r="B42" s="296"/>
      <c r="C42" s="176">
        <f t="shared" si="7"/>
        <v>2026101</v>
      </c>
      <c r="D42" s="380"/>
      <c r="E42" s="178" t="s">
        <v>44</v>
      </c>
      <c r="F42" s="175" t="str">
        <f>VLOOKUP(E42,'Códigos Banco'!$B$3:$D$27,2,0)</f>
        <v>Occidente - Directa</v>
      </c>
      <c r="G42" s="178">
        <v>13</v>
      </c>
      <c r="H42" s="175" t="str">
        <f>VLOOKUP(G42,'Códigos Banco'!$F$3:$G$18,2,0)</f>
        <v>T23 Directa - Transferencias</v>
      </c>
      <c r="I42" s="175">
        <f>VLOOKUP(E42,'Códigos Banco'!$B$3:$D$27,3,0)</f>
        <v>230887267</v>
      </c>
      <c r="J42" s="179">
        <v>0</v>
      </c>
      <c r="K42" s="179">
        <v>0</v>
      </c>
      <c r="L42" s="179">
        <v>0</v>
      </c>
      <c r="M42" s="179">
        <v>0</v>
      </c>
      <c r="N42" s="179">
        <v>0</v>
      </c>
      <c r="O42" s="179">
        <v>0</v>
      </c>
      <c r="P42" s="179">
        <v>0</v>
      </c>
      <c r="Q42" s="179">
        <v>0</v>
      </c>
      <c r="R42" s="179">
        <v>0</v>
      </c>
      <c r="S42" s="179">
        <v>0</v>
      </c>
      <c r="T42" s="181">
        <f t="shared" si="3"/>
        <v>0</v>
      </c>
      <c r="U42" s="181">
        <f t="shared" si="4"/>
        <v>0</v>
      </c>
      <c r="V42" s="179"/>
      <c r="W42" s="179"/>
      <c r="X42" s="182">
        <f t="shared" si="5"/>
        <v>0</v>
      </c>
      <c r="Y42" s="297">
        <f t="shared" si="6"/>
        <v>0</v>
      </c>
      <c r="AA42" s="138"/>
    </row>
    <row r="43" spans="2:27" ht="12.95" customHeight="1" x14ac:dyDescent="0.2">
      <c r="B43" s="296"/>
      <c r="C43" s="176">
        <f t="shared" si="7"/>
        <v>2026101</v>
      </c>
      <c r="D43" s="177"/>
      <c r="E43" s="178" t="s">
        <v>44</v>
      </c>
      <c r="F43" s="175" t="str">
        <f>VLOOKUP(E43,'Códigos Banco'!$B$3:$D$27,2,0)</f>
        <v>Occidente - Directa</v>
      </c>
      <c r="G43" s="178">
        <v>13</v>
      </c>
      <c r="H43" s="175" t="str">
        <f>VLOOKUP(G43,'Códigos Banco'!$F$3:$G$18,2,0)</f>
        <v>T23 Directa - Transferencias</v>
      </c>
      <c r="I43" s="175">
        <f>VLOOKUP(E43,'Códigos Banco'!$B$3:$D$27,3,0)</f>
        <v>230887267</v>
      </c>
      <c r="J43" s="179">
        <v>0</v>
      </c>
      <c r="K43" s="179">
        <v>0</v>
      </c>
      <c r="L43" s="179">
        <v>0</v>
      </c>
      <c r="M43" s="179">
        <v>0</v>
      </c>
      <c r="N43" s="179">
        <v>0</v>
      </c>
      <c r="O43" s="179">
        <v>0</v>
      </c>
      <c r="P43" s="179">
        <v>0</v>
      </c>
      <c r="Q43" s="179">
        <v>0</v>
      </c>
      <c r="R43" s="179">
        <v>0</v>
      </c>
      <c r="S43" s="179">
        <v>0</v>
      </c>
      <c r="T43" s="181">
        <f t="shared" si="3"/>
        <v>0</v>
      </c>
      <c r="U43" s="181">
        <f t="shared" si="4"/>
        <v>0</v>
      </c>
      <c r="V43" s="179"/>
      <c r="W43" s="179"/>
      <c r="X43" s="182">
        <f t="shared" si="5"/>
        <v>0</v>
      </c>
      <c r="Y43" s="297">
        <f t="shared" si="6"/>
        <v>0</v>
      </c>
      <c r="AA43" s="138"/>
    </row>
    <row r="44" spans="2:27" ht="12.95" customHeight="1" x14ac:dyDescent="0.2">
      <c r="B44" s="296"/>
      <c r="C44" s="176">
        <f t="shared" si="7"/>
        <v>2026101</v>
      </c>
      <c r="D44" s="380"/>
      <c r="E44" s="178" t="s">
        <v>44</v>
      </c>
      <c r="F44" s="175" t="str">
        <f>VLOOKUP(E44,'Códigos Banco'!$B$3:$D$27,2,0)</f>
        <v>Occidente - Directa</v>
      </c>
      <c r="G44" s="178">
        <v>13</v>
      </c>
      <c r="H44" s="175" t="str">
        <f>VLOOKUP(G44,'Códigos Banco'!$F$3:$G$18,2,0)</f>
        <v>T23 Directa - Transferencias</v>
      </c>
      <c r="I44" s="175">
        <f>VLOOKUP(E44,'Códigos Banco'!$B$3:$D$27,3,0)</f>
        <v>230887267</v>
      </c>
      <c r="J44" s="179">
        <v>0</v>
      </c>
      <c r="K44" s="179">
        <v>0</v>
      </c>
      <c r="L44" s="179">
        <v>0</v>
      </c>
      <c r="M44" s="179">
        <v>0</v>
      </c>
      <c r="N44" s="179">
        <v>0</v>
      </c>
      <c r="O44" s="179">
        <v>0</v>
      </c>
      <c r="P44" s="179">
        <v>0</v>
      </c>
      <c r="Q44" s="179">
        <v>0</v>
      </c>
      <c r="R44" s="179">
        <v>0</v>
      </c>
      <c r="S44" s="179">
        <v>0</v>
      </c>
      <c r="T44" s="181">
        <f t="shared" ref="T44:T77" si="8">J44+L44+N44+P44+R44</f>
        <v>0</v>
      </c>
      <c r="U44" s="181">
        <f t="shared" ref="U44:U77" si="9">K44+M44+O44+Q44+S44</f>
        <v>0</v>
      </c>
      <c r="V44" s="179"/>
      <c r="W44" s="179"/>
      <c r="X44" s="182">
        <f t="shared" ref="X44:X77" si="10">V44-T44</f>
        <v>0</v>
      </c>
      <c r="Y44" s="297">
        <f t="shared" ref="Y44:Y77" si="11">W44-U44</f>
        <v>0</v>
      </c>
      <c r="AA44" s="138"/>
    </row>
    <row r="45" spans="2:27" ht="12.95" customHeight="1" x14ac:dyDescent="0.2">
      <c r="B45" s="296"/>
      <c r="C45" s="176">
        <f t="shared" si="7"/>
        <v>2026101</v>
      </c>
      <c r="D45" s="380"/>
      <c r="E45" s="178" t="s">
        <v>44</v>
      </c>
      <c r="F45" s="175" t="str">
        <f>VLOOKUP(E45,'Códigos Banco'!$B$3:$D$27,2,0)</f>
        <v>Occidente - Directa</v>
      </c>
      <c r="G45" s="178">
        <v>13</v>
      </c>
      <c r="H45" s="175" t="str">
        <f>VLOOKUP(G45,'Códigos Banco'!$F$3:$G$18,2,0)</f>
        <v>T23 Directa - Transferencias</v>
      </c>
      <c r="I45" s="175">
        <f>VLOOKUP(E45,'Códigos Banco'!$B$3:$D$27,3,0)</f>
        <v>230887267</v>
      </c>
      <c r="J45" s="179">
        <v>0</v>
      </c>
      <c r="K45" s="179">
        <v>0</v>
      </c>
      <c r="L45" s="179">
        <v>0</v>
      </c>
      <c r="M45" s="179">
        <v>0</v>
      </c>
      <c r="N45" s="179">
        <v>0</v>
      </c>
      <c r="O45" s="179">
        <v>0</v>
      </c>
      <c r="P45" s="179">
        <v>0</v>
      </c>
      <c r="Q45" s="179">
        <v>0</v>
      </c>
      <c r="R45" s="179">
        <v>0</v>
      </c>
      <c r="S45" s="179">
        <v>0</v>
      </c>
      <c r="T45" s="181">
        <f t="shared" si="8"/>
        <v>0</v>
      </c>
      <c r="U45" s="181">
        <f t="shared" si="9"/>
        <v>0</v>
      </c>
      <c r="V45" s="179"/>
      <c r="W45" s="179"/>
      <c r="X45" s="182">
        <f t="shared" si="10"/>
        <v>0</v>
      </c>
      <c r="Y45" s="297">
        <f t="shared" si="11"/>
        <v>0</v>
      </c>
      <c r="AA45" s="138"/>
    </row>
    <row r="46" spans="2:27" ht="12.95" customHeight="1" x14ac:dyDescent="0.2">
      <c r="B46" s="296"/>
      <c r="C46" s="176">
        <f t="shared" si="7"/>
        <v>2026101</v>
      </c>
      <c r="D46" s="177"/>
      <c r="E46" s="178" t="s">
        <v>44</v>
      </c>
      <c r="F46" s="175" t="str">
        <f>VLOOKUP(E46,'Códigos Banco'!$B$3:$D$27,2,0)</f>
        <v>Occidente - Directa</v>
      </c>
      <c r="G46" s="178">
        <v>13</v>
      </c>
      <c r="H46" s="175" t="str">
        <f>VLOOKUP(G46,'Códigos Banco'!$F$3:$G$18,2,0)</f>
        <v>T23 Directa - Transferencias</v>
      </c>
      <c r="I46" s="175">
        <f>VLOOKUP(E46,'Códigos Banco'!$B$3:$D$27,3,0)</f>
        <v>230887267</v>
      </c>
      <c r="J46" s="179">
        <v>0</v>
      </c>
      <c r="K46" s="179">
        <v>0</v>
      </c>
      <c r="L46" s="179">
        <v>0</v>
      </c>
      <c r="M46" s="179">
        <v>0</v>
      </c>
      <c r="N46" s="179">
        <v>0</v>
      </c>
      <c r="O46" s="179">
        <v>0</v>
      </c>
      <c r="P46" s="179">
        <v>0</v>
      </c>
      <c r="Q46" s="179">
        <v>0</v>
      </c>
      <c r="R46" s="179">
        <v>0</v>
      </c>
      <c r="S46" s="179">
        <v>0</v>
      </c>
      <c r="T46" s="181">
        <f t="shared" si="8"/>
        <v>0</v>
      </c>
      <c r="U46" s="181">
        <f t="shared" si="9"/>
        <v>0</v>
      </c>
      <c r="V46" s="179"/>
      <c r="W46" s="179"/>
      <c r="X46" s="182">
        <f t="shared" si="10"/>
        <v>0</v>
      </c>
      <c r="Y46" s="297">
        <f t="shared" si="11"/>
        <v>0</v>
      </c>
      <c r="AA46" s="138"/>
    </row>
    <row r="47" spans="2:27" ht="12.95" customHeight="1" x14ac:dyDescent="0.2">
      <c r="B47" s="296"/>
      <c r="C47" s="176">
        <f t="shared" si="7"/>
        <v>2026101</v>
      </c>
      <c r="D47" s="177"/>
      <c r="E47" s="178" t="s">
        <v>44</v>
      </c>
      <c r="F47" s="175" t="str">
        <f>VLOOKUP(E47,'Códigos Banco'!$B$3:$D$27,2,0)</f>
        <v>Occidente - Directa</v>
      </c>
      <c r="G47" s="178">
        <v>13</v>
      </c>
      <c r="H47" s="175" t="str">
        <f>VLOOKUP(G47,'Códigos Banco'!$F$3:$G$18,2,0)</f>
        <v>T23 Directa - Transferencias</v>
      </c>
      <c r="I47" s="175">
        <f>VLOOKUP(E47,'Códigos Banco'!$B$3:$D$27,3,0)</f>
        <v>230887267</v>
      </c>
      <c r="J47" s="179">
        <v>0</v>
      </c>
      <c r="K47" s="179">
        <v>0</v>
      </c>
      <c r="L47" s="179">
        <v>0</v>
      </c>
      <c r="M47" s="179">
        <v>0</v>
      </c>
      <c r="N47" s="179">
        <v>0</v>
      </c>
      <c r="O47" s="179">
        <v>0</v>
      </c>
      <c r="P47" s="179">
        <v>0</v>
      </c>
      <c r="Q47" s="179">
        <v>0</v>
      </c>
      <c r="R47" s="179">
        <v>0</v>
      </c>
      <c r="S47" s="179">
        <v>0</v>
      </c>
      <c r="T47" s="181">
        <f t="shared" si="8"/>
        <v>0</v>
      </c>
      <c r="U47" s="181">
        <f t="shared" si="9"/>
        <v>0</v>
      </c>
      <c r="V47" s="179"/>
      <c r="W47" s="179"/>
      <c r="X47" s="182">
        <f t="shared" si="10"/>
        <v>0</v>
      </c>
      <c r="Y47" s="297">
        <f t="shared" si="11"/>
        <v>0</v>
      </c>
      <c r="AA47" s="138"/>
    </row>
    <row r="48" spans="2:27" ht="12.95" customHeight="1" x14ac:dyDescent="0.2">
      <c r="B48" s="296"/>
      <c r="C48" s="176">
        <f t="shared" si="7"/>
        <v>2026101</v>
      </c>
      <c r="D48" s="177"/>
      <c r="E48" s="178" t="s">
        <v>44</v>
      </c>
      <c r="F48" s="175" t="str">
        <f>VLOOKUP(E48,'Códigos Banco'!$B$3:$D$27,2,0)</f>
        <v>Occidente - Directa</v>
      </c>
      <c r="G48" s="178">
        <v>13</v>
      </c>
      <c r="H48" s="175" t="str">
        <f>VLOOKUP(G48,'Códigos Banco'!$F$3:$G$18,2,0)</f>
        <v>T23 Directa - Transferencias</v>
      </c>
      <c r="I48" s="175">
        <f>VLOOKUP(E48,'Códigos Banco'!$B$3:$D$27,3,0)</f>
        <v>230887267</v>
      </c>
      <c r="J48" s="179">
        <v>0</v>
      </c>
      <c r="K48" s="179">
        <v>0</v>
      </c>
      <c r="L48" s="179">
        <v>0</v>
      </c>
      <c r="M48" s="179">
        <v>0</v>
      </c>
      <c r="N48" s="179">
        <v>0</v>
      </c>
      <c r="O48" s="179">
        <v>0</v>
      </c>
      <c r="P48" s="179">
        <v>0</v>
      </c>
      <c r="Q48" s="179">
        <v>0</v>
      </c>
      <c r="R48" s="179">
        <v>0</v>
      </c>
      <c r="S48" s="179">
        <v>0</v>
      </c>
      <c r="T48" s="181">
        <f t="shared" si="8"/>
        <v>0</v>
      </c>
      <c r="U48" s="181">
        <f t="shared" si="9"/>
        <v>0</v>
      </c>
      <c r="V48" s="179"/>
      <c r="W48" s="179"/>
      <c r="X48" s="182">
        <f t="shared" si="10"/>
        <v>0</v>
      </c>
      <c r="Y48" s="297">
        <f t="shared" si="11"/>
        <v>0</v>
      </c>
      <c r="AA48" s="138"/>
    </row>
    <row r="49" spans="1:27" ht="12.95" customHeight="1" x14ac:dyDescent="0.2">
      <c r="B49" s="296"/>
      <c r="C49" s="176">
        <f t="shared" ref="C49:C77" si="12">C48</f>
        <v>2026101</v>
      </c>
      <c r="D49" s="177"/>
      <c r="E49" s="178" t="s">
        <v>44</v>
      </c>
      <c r="F49" s="175" t="str">
        <f>VLOOKUP(E49,'Códigos Banco'!$B$3:$D$27,2,0)</f>
        <v>Occidente - Directa</v>
      </c>
      <c r="G49" s="178">
        <v>13</v>
      </c>
      <c r="H49" s="175" t="str">
        <f>VLOOKUP(G49,'Códigos Banco'!$F$3:$G$18,2,0)</f>
        <v>T23 Directa - Transferencias</v>
      </c>
      <c r="I49" s="175">
        <f>VLOOKUP(E49,'Códigos Banco'!$B$3:$D$27,3,0)</f>
        <v>230887267</v>
      </c>
      <c r="J49" s="179">
        <v>0</v>
      </c>
      <c r="K49" s="179">
        <v>0</v>
      </c>
      <c r="L49" s="179">
        <v>0</v>
      </c>
      <c r="M49" s="179">
        <v>0</v>
      </c>
      <c r="N49" s="179">
        <v>0</v>
      </c>
      <c r="O49" s="179">
        <v>0</v>
      </c>
      <c r="P49" s="179">
        <v>0</v>
      </c>
      <c r="Q49" s="179">
        <v>0</v>
      </c>
      <c r="R49" s="179">
        <v>0</v>
      </c>
      <c r="S49" s="179">
        <v>0</v>
      </c>
      <c r="T49" s="181">
        <f t="shared" si="8"/>
        <v>0</v>
      </c>
      <c r="U49" s="181">
        <f t="shared" si="9"/>
        <v>0</v>
      </c>
      <c r="V49" s="179"/>
      <c r="W49" s="179"/>
      <c r="X49" s="182">
        <f t="shared" si="10"/>
        <v>0</v>
      </c>
      <c r="Y49" s="297">
        <f t="shared" si="11"/>
        <v>0</v>
      </c>
      <c r="AA49" s="138"/>
    </row>
    <row r="50" spans="1:27" ht="12.95" customHeight="1" x14ac:dyDescent="0.2">
      <c r="B50" s="296"/>
      <c r="C50" s="176">
        <f t="shared" si="12"/>
        <v>2026101</v>
      </c>
      <c r="D50" s="177"/>
      <c r="E50" s="178" t="s">
        <v>44</v>
      </c>
      <c r="F50" s="175" t="str">
        <f>VLOOKUP(E50,'Códigos Banco'!$B$3:$D$27,2,0)</f>
        <v>Occidente - Directa</v>
      </c>
      <c r="G50" s="178">
        <v>13</v>
      </c>
      <c r="H50" s="175" t="str">
        <f>VLOOKUP(G50,'Códigos Banco'!$F$3:$G$18,2,0)</f>
        <v>T23 Directa - Transferencias</v>
      </c>
      <c r="I50" s="175">
        <f>VLOOKUP(E50,'Códigos Banco'!$B$3:$D$27,3,0)</f>
        <v>230887267</v>
      </c>
      <c r="J50" s="179">
        <v>0</v>
      </c>
      <c r="K50" s="179">
        <v>0</v>
      </c>
      <c r="L50" s="179">
        <v>0</v>
      </c>
      <c r="M50" s="179">
        <v>0</v>
      </c>
      <c r="N50" s="179">
        <v>0</v>
      </c>
      <c r="O50" s="179">
        <v>0</v>
      </c>
      <c r="P50" s="179">
        <v>0</v>
      </c>
      <c r="Q50" s="179">
        <v>0</v>
      </c>
      <c r="R50" s="179">
        <v>0</v>
      </c>
      <c r="S50" s="179">
        <v>0</v>
      </c>
      <c r="T50" s="181">
        <f t="shared" si="8"/>
        <v>0</v>
      </c>
      <c r="U50" s="181">
        <f t="shared" si="9"/>
        <v>0</v>
      </c>
      <c r="V50" s="179">
        <v>0</v>
      </c>
      <c r="W50" s="179">
        <v>0</v>
      </c>
      <c r="X50" s="182">
        <f t="shared" si="10"/>
        <v>0</v>
      </c>
      <c r="Y50" s="297">
        <f t="shared" si="11"/>
        <v>0</v>
      </c>
      <c r="AA50" s="138"/>
    </row>
    <row r="51" spans="1:27" ht="12.95" customHeight="1" x14ac:dyDescent="0.2">
      <c r="B51" s="296"/>
      <c r="C51" s="176">
        <f t="shared" si="12"/>
        <v>2026101</v>
      </c>
      <c r="D51" s="177"/>
      <c r="E51" s="178" t="s">
        <v>44</v>
      </c>
      <c r="F51" s="175" t="str">
        <f>VLOOKUP(E51,'Códigos Banco'!$B$3:$D$27,2,0)</f>
        <v>Occidente - Directa</v>
      </c>
      <c r="G51" s="178">
        <v>13</v>
      </c>
      <c r="H51" s="175" t="str">
        <f>VLOOKUP(G51,'Códigos Banco'!$F$3:$G$18,2,0)</f>
        <v>T23 Directa - Transferencias</v>
      </c>
      <c r="I51" s="175">
        <f>VLOOKUP(E51,'Códigos Banco'!$B$3:$D$27,3,0)</f>
        <v>230887267</v>
      </c>
      <c r="J51" s="179">
        <v>0</v>
      </c>
      <c r="K51" s="179">
        <v>0</v>
      </c>
      <c r="L51" s="179">
        <v>0</v>
      </c>
      <c r="M51" s="179">
        <v>0</v>
      </c>
      <c r="N51" s="179">
        <v>0</v>
      </c>
      <c r="O51" s="179">
        <v>0</v>
      </c>
      <c r="P51" s="179">
        <v>0</v>
      </c>
      <c r="Q51" s="179">
        <v>0</v>
      </c>
      <c r="R51" s="179">
        <v>0</v>
      </c>
      <c r="S51" s="179">
        <v>0</v>
      </c>
      <c r="T51" s="181">
        <f t="shared" si="8"/>
        <v>0</v>
      </c>
      <c r="U51" s="181">
        <f t="shared" si="9"/>
        <v>0</v>
      </c>
      <c r="V51" s="179">
        <v>0</v>
      </c>
      <c r="W51" s="179">
        <v>0</v>
      </c>
      <c r="X51" s="182">
        <f t="shared" si="10"/>
        <v>0</v>
      </c>
      <c r="Y51" s="297">
        <f t="shared" si="11"/>
        <v>0</v>
      </c>
      <c r="AA51" s="138"/>
    </row>
    <row r="52" spans="1:27" ht="12.95" customHeight="1" x14ac:dyDescent="0.2">
      <c r="B52" s="296"/>
      <c r="C52" s="176">
        <f t="shared" si="12"/>
        <v>2026101</v>
      </c>
      <c r="D52" s="177"/>
      <c r="E52" s="178" t="s">
        <v>44</v>
      </c>
      <c r="F52" s="175" t="str">
        <f>VLOOKUP(E52,'Códigos Banco'!$B$3:$D$27,2,0)</f>
        <v>Occidente - Directa</v>
      </c>
      <c r="G52" s="178">
        <v>13</v>
      </c>
      <c r="H52" s="175" t="str">
        <f>VLOOKUP(G52,'Códigos Banco'!$F$3:$G$18,2,0)</f>
        <v>T23 Directa - Transferencias</v>
      </c>
      <c r="I52" s="175">
        <f>VLOOKUP(E52,'Códigos Banco'!$B$3:$D$27,3,0)</f>
        <v>230887267</v>
      </c>
      <c r="J52" s="179">
        <v>0</v>
      </c>
      <c r="K52" s="179">
        <v>0</v>
      </c>
      <c r="L52" s="179">
        <v>0</v>
      </c>
      <c r="M52" s="179">
        <v>0</v>
      </c>
      <c r="N52" s="179">
        <v>0</v>
      </c>
      <c r="O52" s="179">
        <v>0</v>
      </c>
      <c r="P52" s="179">
        <v>0</v>
      </c>
      <c r="Q52" s="179">
        <v>0</v>
      </c>
      <c r="R52" s="179">
        <v>0</v>
      </c>
      <c r="S52" s="179">
        <v>0</v>
      </c>
      <c r="T52" s="181">
        <f t="shared" si="8"/>
        <v>0</v>
      </c>
      <c r="U52" s="181">
        <f t="shared" si="9"/>
        <v>0</v>
      </c>
      <c r="V52" s="179">
        <v>0</v>
      </c>
      <c r="W52" s="179">
        <v>0</v>
      </c>
      <c r="X52" s="182">
        <f t="shared" si="10"/>
        <v>0</v>
      </c>
      <c r="Y52" s="297">
        <f t="shared" si="11"/>
        <v>0</v>
      </c>
      <c r="AA52" s="138"/>
    </row>
    <row r="53" spans="1:27" ht="12.75" x14ac:dyDescent="0.2">
      <c r="B53" s="296"/>
      <c r="C53" s="176">
        <f t="shared" si="12"/>
        <v>2026101</v>
      </c>
      <c r="D53" s="177"/>
      <c r="E53" s="178" t="s">
        <v>44</v>
      </c>
      <c r="F53" s="175" t="str">
        <f>VLOOKUP(E53,'Códigos Banco'!$B$3:$D$27,2,0)</f>
        <v>Occidente - Directa</v>
      </c>
      <c r="G53" s="178">
        <v>13</v>
      </c>
      <c r="H53" s="175" t="str">
        <f>VLOOKUP(G53,'Códigos Banco'!$F$3:$G$18,2,0)</f>
        <v>T23 Directa - Transferencias</v>
      </c>
      <c r="I53" s="175">
        <f>VLOOKUP(E53,'Códigos Banco'!$B$3:$D$27,3,0)</f>
        <v>230887267</v>
      </c>
      <c r="J53" s="179">
        <v>0</v>
      </c>
      <c r="K53" s="179">
        <v>0</v>
      </c>
      <c r="L53" s="179">
        <v>0</v>
      </c>
      <c r="M53" s="179">
        <v>0</v>
      </c>
      <c r="N53" s="179">
        <v>0</v>
      </c>
      <c r="O53" s="179">
        <v>0</v>
      </c>
      <c r="P53" s="179">
        <v>0</v>
      </c>
      <c r="Q53" s="179">
        <v>0</v>
      </c>
      <c r="R53" s="179">
        <v>0</v>
      </c>
      <c r="S53" s="179">
        <v>0</v>
      </c>
      <c r="T53" s="181">
        <f t="shared" si="8"/>
        <v>0</v>
      </c>
      <c r="U53" s="181">
        <f t="shared" si="9"/>
        <v>0</v>
      </c>
      <c r="V53" s="179">
        <v>0</v>
      </c>
      <c r="W53" s="179">
        <v>0</v>
      </c>
      <c r="X53" s="182">
        <f t="shared" si="10"/>
        <v>0</v>
      </c>
      <c r="Y53" s="297">
        <f t="shared" si="11"/>
        <v>0</v>
      </c>
      <c r="AA53" s="138"/>
    </row>
    <row r="54" spans="1:27" ht="12.95" customHeight="1" x14ac:dyDescent="0.2">
      <c r="B54" s="296"/>
      <c r="C54" s="176">
        <f t="shared" si="12"/>
        <v>2026101</v>
      </c>
      <c r="D54" s="177"/>
      <c r="E54" s="178" t="s">
        <v>44</v>
      </c>
      <c r="F54" s="175" t="str">
        <f>VLOOKUP(E54,'Códigos Banco'!$B$3:$D$27,2,0)</f>
        <v>Occidente - Directa</v>
      </c>
      <c r="G54" s="178">
        <v>13</v>
      </c>
      <c r="H54" s="175" t="str">
        <f>VLOOKUP(G54,'Códigos Banco'!$F$3:$G$18,2,0)</f>
        <v>T23 Directa - Transferencias</v>
      </c>
      <c r="I54" s="175">
        <f>VLOOKUP(E54,'Códigos Banco'!$B$3:$D$27,3,0)</f>
        <v>230887267</v>
      </c>
      <c r="J54" s="179">
        <v>0</v>
      </c>
      <c r="K54" s="179">
        <v>0</v>
      </c>
      <c r="L54" s="179">
        <v>0</v>
      </c>
      <c r="M54" s="179">
        <v>0</v>
      </c>
      <c r="N54" s="179">
        <v>0</v>
      </c>
      <c r="O54" s="179">
        <v>0</v>
      </c>
      <c r="P54" s="179">
        <v>0</v>
      </c>
      <c r="Q54" s="179">
        <v>0</v>
      </c>
      <c r="R54" s="179">
        <v>0</v>
      </c>
      <c r="S54" s="179">
        <v>0</v>
      </c>
      <c r="T54" s="181">
        <f t="shared" si="8"/>
        <v>0</v>
      </c>
      <c r="U54" s="181">
        <f t="shared" si="9"/>
        <v>0</v>
      </c>
      <c r="V54" s="179">
        <v>0</v>
      </c>
      <c r="W54" s="179">
        <v>0</v>
      </c>
      <c r="X54" s="182">
        <f t="shared" si="10"/>
        <v>0</v>
      </c>
      <c r="Y54" s="297">
        <f t="shared" si="11"/>
        <v>0</v>
      </c>
      <c r="AA54" s="138"/>
    </row>
    <row r="55" spans="1:27" ht="12.95" customHeight="1" x14ac:dyDescent="0.2">
      <c r="B55" s="296"/>
      <c r="C55" s="176">
        <f t="shared" si="12"/>
        <v>2026101</v>
      </c>
      <c r="D55" s="177"/>
      <c r="E55" s="178" t="s">
        <v>44</v>
      </c>
      <c r="F55" s="175" t="str">
        <f>VLOOKUP(E55,'Códigos Banco'!$B$3:$D$27,2,0)</f>
        <v>Occidente - Directa</v>
      </c>
      <c r="G55" s="178">
        <v>13</v>
      </c>
      <c r="H55" s="175" t="str">
        <f>VLOOKUP(G55,'Códigos Banco'!$F$3:$G$18,2,0)</f>
        <v>T23 Directa - Transferencias</v>
      </c>
      <c r="I55" s="175">
        <f>VLOOKUP(E55,'Códigos Banco'!$B$3:$D$27,3,0)</f>
        <v>230887267</v>
      </c>
      <c r="J55" s="179">
        <v>0</v>
      </c>
      <c r="K55" s="179">
        <v>0</v>
      </c>
      <c r="L55" s="179">
        <v>0</v>
      </c>
      <c r="M55" s="179">
        <v>0</v>
      </c>
      <c r="N55" s="179">
        <v>0</v>
      </c>
      <c r="O55" s="179">
        <v>0</v>
      </c>
      <c r="P55" s="179">
        <v>0</v>
      </c>
      <c r="Q55" s="179">
        <v>0</v>
      </c>
      <c r="R55" s="179">
        <v>0</v>
      </c>
      <c r="S55" s="179">
        <v>0</v>
      </c>
      <c r="T55" s="181">
        <f t="shared" si="8"/>
        <v>0</v>
      </c>
      <c r="U55" s="181">
        <f t="shared" si="9"/>
        <v>0</v>
      </c>
      <c r="V55" s="179">
        <v>0</v>
      </c>
      <c r="W55" s="179">
        <v>0</v>
      </c>
      <c r="X55" s="182">
        <f t="shared" si="10"/>
        <v>0</v>
      </c>
      <c r="Y55" s="297">
        <f t="shared" si="11"/>
        <v>0</v>
      </c>
      <c r="AA55" s="138"/>
    </row>
    <row r="56" spans="1:27" ht="12.95" customHeight="1" x14ac:dyDescent="0.2">
      <c r="A56" s="152"/>
      <c r="B56" s="296"/>
      <c r="C56" s="176">
        <f t="shared" si="12"/>
        <v>2026101</v>
      </c>
      <c r="D56" s="177"/>
      <c r="E56" s="178" t="s">
        <v>44</v>
      </c>
      <c r="F56" s="175" t="str">
        <f>VLOOKUP(E56,'Códigos Banco'!$B$3:$D$27,2,0)</f>
        <v>Occidente - Directa</v>
      </c>
      <c r="G56" s="178">
        <v>13</v>
      </c>
      <c r="H56" s="175" t="str">
        <f>VLOOKUP(G56,'Códigos Banco'!$F$3:$G$18,2,0)</f>
        <v>T23 Directa - Transferencias</v>
      </c>
      <c r="I56" s="310">
        <f>VLOOKUP(E56,'Códigos Banco'!$B$3:$D$27,3,0)</f>
        <v>230887267</v>
      </c>
      <c r="J56" s="179">
        <v>0</v>
      </c>
      <c r="K56" s="179">
        <v>0</v>
      </c>
      <c r="L56" s="179">
        <v>0</v>
      </c>
      <c r="M56" s="179">
        <v>0</v>
      </c>
      <c r="N56" s="179">
        <v>0</v>
      </c>
      <c r="O56" s="179">
        <v>0</v>
      </c>
      <c r="P56" s="179">
        <v>0</v>
      </c>
      <c r="Q56" s="179">
        <v>0</v>
      </c>
      <c r="R56" s="179">
        <v>0</v>
      </c>
      <c r="S56" s="179">
        <v>0</v>
      </c>
      <c r="T56" s="181">
        <f t="shared" si="8"/>
        <v>0</v>
      </c>
      <c r="U56" s="181">
        <f t="shared" si="9"/>
        <v>0</v>
      </c>
      <c r="V56" s="179">
        <v>0</v>
      </c>
      <c r="W56" s="179">
        <v>0</v>
      </c>
      <c r="X56" s="182">
        <f t="shared" si="10"/>
        <v>0</v>
      </c>
      <c r="Y56" s="297">
        <f t="shared" si="11"/>
        <v>0</v>
      </c>
      <c r="AA56" s="138"/>
    </row>
    <row r="57" spans="1:27" ht="12.95" customHeight="1" x14ac:dyDescent="0.2">
      <c r="A57" s="152"/>
      <c r="B57" s="296"/>
      <c r="C57" s="176">
        <f t="shared" si="12"/>
        <v>2026101</v>
      </c>
      <c r="D57" s="177"/>
      <c r="E57" s="178" t="s">
        <v>44</v>
      </c>
      <c r="F57" s="175" t="s">
        <v>102</v>
      </c>
      <c r="G57" s="178">
        <v>13</v>
      </c>
      <c r="H57" s="175" t="str">
        <f>VLOOKUP(G57,'Códigos Banco'!$F$3:$G$18,2,0)</f>
        <v>T23 Directa - Transferencias</v>
      </c>
      <c r="I57" s="310">
        <v>230887267</v>
      </c>
      <c r="J57" s="179">
        <v>0</v>
      </c>
      <c r="K57" s="179">
        <v>0</v>
      </c>
      <c r="L57" s="179">
        <v>0</v>
      </c>
      <c r="M57" s="179">
        <v>0</v>
      </c>
      <c r="N57" s="179">
        <v>0</v>
      </c>
      <c r="O57" s="179">
        <v>0</v>
      </c>
      <c r="P57" s="179">
        <v>0</v>
      </c>
      <c r="Q57" s="179">
        <v>0</v>
      </c>
      <c r="R57" s="179">
        <v>0</v>
      </c>
      <c r="S57" s="179">
        <v>0</v>
      </c>
      <c r="T57" s="181">
        <f t="shared" si="8"/>
        <v>0</v>
      </c>
      <c r="U57" s="181">
        <f t="shared" si="9"/>
        <v>0</v>
      </c>
      <c r="V57" s="179">
        <v>0</v>
      </c>
      <c r="W57" s="179">
        <v>0</v>
      </c>
      <c r="X57" s="182">
        <f t="shared" si="10"/>
        <v>0</v>
      </c>
      <c r="Y57" s="297">
        <f t="shared" si="11"/>
        <v>0</v>
      </c>
      <c r="AA57" s="138"/>
    </row>
    <row r="58" spans="1:27" ht="12.95" customHeight="1" x14ac:dyDescent="0.2">
      <c r="A58" s="152"/>
      <c r="B58" s="296"/>
      <c r="C58" s="176">
        <f t="shared" si="12"/>
        <v>2026101</v>
      </c>
      <c r="D58" s="177"/>
      <c r="E58" s="178" t="s">
        <v>44</v>
      </c>
      <c r="F58" s="175" t="s">
        <v>102</v>
      </c>
      <c r="G58" s="178">
        <v>13</v>
      </c>
      <c r="H58" s="175" t="str">
        <f>VLOOKUP(G58,'Códigos Banco'!$F$3:$G$18,2,0)</f>
        <v>T23 Directa - Transferencias</v>
      </c>
      <c r="I58" s="310">
        <v>230887267</v>
      </c>
      <c r="J58" s="179">
        <v>0</v>
      </c>
      <c r="K58" s="179">
        <v>0</v>
      </c>
      <c r="L58" s="179">
        <v>0</v>
      </c>
      <c r="M58" s="179">
        <v>0</v>
      </c>
      <c r="N58" s="179">
        <v>0</v>
      </c>
      <c r="O58" s="179">
        <v>0</v>
      </c>
      <c r="P58" s="179">
        <v>0</v>
      </c>
      <c r="Q58" s="179">
        <v>0</v>
      </c>
      <c r="R58" s="179">
        <v>0</v>
      </c>
      <c r="S58" s="179">
        <v>0</v>
      </c>
      <c r="T58" s="181">
        <f t="shared" si="8"/>
        <v>0</v>
      </c>
      <c r="U58" s="181">
        <f t="shared" si="9"/>
        <v>0</v>
      </c>
      <c r="V58" s="179">
        <v>0</v>
      </c>
      <c r="W58" s="179">
        <v>0</v>
      </c>
      <c r="X58" s="182">
        <f t="shared" si="10"/>
        <v>0</v>
      </c>
      <c r="Y58" s="297">
        <f t="shared" si="11"/>
        <v>0</v>
      </c>
      <c r="AA58" s="138"/>
    </row>
    <row r="59" spans="1:27" ht="12.95" customHeight="1" x14ac:dyDescent="0.2">
      <c r="A59" s="152"/>
      <c r="B59" s="296"/>
      <c r="C59" s="176">
        <f t="shared" si="12"/>
        <v>2026101</v>
      </c>
      <c r="D59" s="177"/>
      <c r="E59" s="178" t="s">
        <v>44</v>
      </c>
      <c r="F59" s="175" t="s">
        <v>102</v>
      </c>
      <c r="G59" s="178">
        <v>13</v>
      </c>
      <c r="H59" s="175" t="str">
        <f>VLOOKUP(G59,'Códigos Banco'!$F$3:$G$18,2,0)</f>
        <v>T23 Directa - Transferencias</v>
      </c>
      <c r="I59" s="310">
        <v>230887267</v>
      </c>
      <c r="J59" s="179">
        <v>0</v>
      </c>
      <c r="K59" s="179">
        <v>0</v>
      </c>
      <c r="L59" s="179">
        <v>0</v>
      </c>
      <c r="M59" s="179">
        <v>0</v>
      </c>
      <c r="N59" s="179">
        <v>0</v>
      </c>
      <c r="O59" s="179">
        <v>0</v>
      </c>
      <c r="P59" s="179">
        <v>0</v>
      </c>
      <c r="Q59" s="179">
        <v>0</v>
      </c>
      <c r="R59" s="179">
        <v>0</v>
      </c>
      <c r="S59" s="179">
        <v>0</v>
      </c>
      <c r="T59" s="181">
        <f t="shared" si="8"/>
        <v>0</v>
      </c>
      <c r="U59" s="182">
        <f t="shared" si="9"/>
        <v>0</v>
      </c>
      <c r="V59" s="179">
        <v>0</v>
      </c>
      <c r="W59" s="179">
        <v>0</v>
      </c>
      <c r="X59" s="182">
        <f t="shared" si="10"/>
        <v>0</v>
      </c>
      <c r="Y59" s="297">
        <f t="shared" si="11"/>
        <v>0</v>
      </c>
      <c r="AA59" s="138"/>
    </row>
    <row r="60" spans="1:27" ht="12.95" customHeight="1" x14ac:dyDescent="0.2">
      <c r="A60" s="152"/>
      <c r="B60" s="296"/>
      <c r="C60" s="176">
        <f t="shared" si="12"/>
        <v>2026101</v>
      </c>
      <c r="D60" s="177"/>
      <c r="E60" s="178" t="s">
        <v>44</v>
      </c>
      <c r="F60" s="175" t="s">
        <v>102</v>
      </c>
      <c r="G60" s="183"/>
      <c r="H60" s="175" t="e">
        <f>VLOOKUP(G60,'Códigos Banco'!$F$3:$G$18,2,0)</f>
        <v>#N/A</v>
      </c>
      <c r="I60" s="310">
        <v>230887267</v>
      </c>
      <c r="J60" s="179">
        <v>0</v>
      </c>
      <c r="K60" s="179">
        <v>0</v>
      </c>
      <c r="L60" s="179">
        <v>0</v>
      </c>
      <c r="M60" s="179">
        <v>0</v>
      </c>
      <c r="N60" s="179">
        <v>0</v>
      </c>
      <c r="O60" s="179">
        <v>0</v>
      </c>
      <c r="P60" s="179">
        <v>0</v>
      </c>
      <c r="Q60" s="179">
        <v>0</v>
      </c>
      <c r="R60" s="179">
        <v>0</v>
      </c>
      <c r="S60" s="179">
        <v>0</v>
      </c>
      <c r="T60" s="181">
        <f t="shared" si="8"/>
        <v>0</v>
      </c>
      <c r="U60" s="182">
        <f t="shared" si="9"/>
        <v>0</v>
      </c>
      <c r="V60" s="179">
        <v>0</v>
      </c>
      <c r="W60" s="179">
        <v>0</v>
      </c>
      <c r="X60" s="182">
        <f t="shared" si="10"/>
        <v>0</v>
      </c>
      <c r="Y60" s="297">
        <f t="shared" si="11"/>
        <v>0</v>
      </c>
      <c r="AA60" s="138"/>
    </row>
    <row r="61" spans="1:27" ht="12.95" customHeight="1" x14ac:dyDescent="0.2">
      <c r="A61" s="152"/>
      <c r="B61" s="296"/>
      <c r="C61" s="176">
        <f t="shared" si="12"/>
        <v>2026101</v>
      </c>
      <c r="D61" s="177"/>
      <c r="E61" s="178" t="s">
        <v>44</v>
      </c>
      <c r="F61" s="175" t="s">
        <v>102</v>
      </c>
      <c r="G61" s="183"/>
      <c r="H61" s="175" t="e">
        <f>VLOOKUP(G61,'Códigos Banco'!$F$3:$G$18,2,0)</f>
        <v>#N/A</v>
      </c>
      <c r="I61" s="310">
        <v>230887267</v>
      </c>
      <c r="J61" s="179">
        <v>0</v>
      </c>
      <c r="K61" s="179">
        <v>0</v>
      </c>
      <c r="L61" s="179">
        <v>0</v>
      </c>
      <c r="M61" s="179">
        <v>0</v>
      </c>
      <c r="N61" s="179">
        <v>0</v>
      </c>
      <c r="O61" s="179">
        <v>0</v>
      </c>
      <c r="P61" s="179">
        <v>0</v>
      </c>
      <c r="Q61" s="179">
        <v>0</v>
      </c>
      <c r="R61" s="179">
        <v>0</v>
      </c>
      <c r="S61" s="179">
        <v>0</v>
      </c>
      <c r="T61" s="181">
        <f t="shared" si="8"/>
        <v>0</v>
      </c>
      <c r="U61" s="182">
        <f t="shared" si="9"/>
        <v>0</v>
      </c>
      <c r="V61" s="179">
        <v>0</v>
      </c>
      <c r="W61" s="179">
        <v>0</v>
      </c>
      <c r="X61" s="182">
        <f t="shared" si="10"/>
        <v>0</v>
      </c>
      <c r="Y61" s="297">
        <f t="shared" si="11"/>
        <v>0</v>
      </c>
      <c r="AA61" s="138"/>
    </row>
    <row r="62" spans="1:27" ht="12.95" customHeight="1" x14ac:dyDescent="0.2">
      <c r="A62" s="152"/>
      <c r="B62" s="296"/>
      <c r="C62" s="176">
        <f t="shared" si="12"/>
        <v>2026101</v>
      </c>
      <c r="D62" s="177"/>
      <c r="E62" s="178" t="s">
        <v>44</v>
      </c>
      <c r="F62" s="175" t="s">
        <v>102</v>
      </c>
      <c r="G62" s="183"/>
      <c r="H62" s="175" t="e">
        <f>VLOOKUP(G62,'Códigos Banco'!$F$3:$G$18,2,0)</f>
        <v>#N/A</v>
      </c>
      <c r="I62" s="310">
        <v>230887267</v>
      </c>
      <c r="J62" s="179">
        <v>0</v>
      </c>
      <c r="K62" s="179">
        <v>0</v>
      </c>
      <c r="L62" s="179">
        <v>0</v>
      </c>
      <c r="M62" s="179">
        <v>0</v>
      </c>
      <c r="N62" s="179">
        <v>0</v>
      </c>
      <c r="O62" s="179">
        <v>0</v>
      </c>
      <c r="P62" s="179">
        <v>0</v>
      </c>
      <c r="Q62" s="179">
        <v>0</v>
      </c>
      <c r="R62" s="179">
        <v>0</v>
      </c>
      <c r="S62" s="179">
        <v>0</v>
      </c>
      <c r="T62" s="181">
        <f t="shared" si="8"/>
        <v>0</v>
      </c>
      <c r="U62" s="182">
        <f t="shared" si="9"/>
        <v>0</v>
      </c>
      <c r="V62" s="179">
        <v>0</v>
      </c>
      <c r="W62" s="179">
        <v>0</v>
      </c>
      <c r="X62" s="182">
        <f t="shared" si="10"/>
        <v>0</v>
      </c>
      <c r="Y62" s="297">
        <f t="shared" si="11"/>
        <v>0</v>
      </c>
      <c r="AA62" s="138"/>
    </row>
    <row r="63" spans="1:27" ht="12.95" customHeight="1" x14ac:dyDescent="0.2">
      <c r="A63" s="152"/>
      <c r="B63" s="296"/>
      <c r="C63" s="176">
        <f t="shared" si="12"/>
        <v>2026101</v>
      </c>
      <c r="D63" s="177"/>
      <c r="E63" s="178" t="s">
        <v>44</v>
      </c>
      <c r="F63" s="175" t="s">
        <v>102</v>
      </c>
      <c r="G63" s="183"/>
      <c r="H63" s="175" t="e">
        <f>VLOOKUP(G63,'Códigos Banco'!$F$3:$G$18,2,0)</f>
        <v>#N/A</v>
      </c>
      <c r="I63" s="310">
        <v>230887267</v>
      </c>
      <c r="J63" s="179">
        <v>0</v>
      </c>
      <c r="K63" s="179">
        <v>0</v>
      </c>
      <c r="L63" s="179">
        <v>0</v>
      </c>
      <c r="M63" s="179">
        <v>0</v>
      </c>
      <c r="N63" s="179">
        <v>0</v>
      </c>
      <c r="O63" s="179">
        <v>0</v>
      </c>
      <c r="P63" s="179">
        <v>0</v>
      </c>
      <c r="Q63" s="179">
        <v>0</v>
      </c>
      <c r="R63" s="179">
        <v>0</v>
      </c>
      <c r="S63" s="179">
        <v>0</v>
      </c>
      <c r="T63" s="181">
        <f t="shared" si="8"/>
        <v>0</v>
      </c>
      <c r="U63" s="182">
        <f t="shared" si="9"/>
        <v>0</v>
      </c>
      <c r="V63" s="179">
        <v>0</v>
      </c>
      <c r="W63" s="179">
        <v>0</v>
      </c>
      <c r="X63" s="182">
        <f t="shared" si="10"/>
        <v>0</v>
      </c>
      <c r="Y63" s="297">
        <f t="shared" si="11"/>
        <v>0</v>
      </c>
      <c r="AA63" s="138"/>
    </row>
    <row r="64" spans="1:27" ht="12.95" customHeight="1" x14ac:dyDescent="0.2">
      <c r="A64" s="152"/>
      <c r="B64" s="296"/>
      <c r="C64" s="176">
        <f t="shared" si="12"/>
        <v>2026101</v>
      </c>
      <c r="D64" s="177"/>
      <c r="E64" s="178" t="s">
        <v>44</v>
      </c>
      <c r="F64" s="175" t="s">
        <v>102</v>
      </c>
      <c r="G64" s="183"/>
      <c r="H64" s="175" t="e">
        <f>VLOOKUP(G64,'Códigos Banco'!$F$3:$G$18,2,0)</f>
        <v>#N/A</v>
      </c>
      <c r="I64" s="310">
        <v>230887267</v>
      </c>
      <c r="J64" s="179">
        <v>0</v>
      </c>
      <c r="K64" s="179">
        <v>0</v>
      </c>
      <c r="L64" s="179">
        <v>0</v>
      </c>
      <c r="M64" s="179">
        <v>0</v>
      </c>
      <c r="N64" s="179">
        <v>0</v>
      </c>
      <c r="O64" s="179">
        <v>0</v>
      </c>
      <c r="P64" s="179">
        <v>0</v>
      </c>
      <c r="Q64" s="179">
        <v>0</v>
      </c>
      <c r="R64" s="179">
        <v>0</v>
      </c>
      <c r="S64" s="179">
        <v>0</v>
      </c>
      <c r="T64" s="181">
        <f t="shared" si="8"/>
        <v>0</v>
      </c>
      <c r="U64" s="182">
        <f t="shared" si="9"/>
        <v>0</v>
      </c>
      <c r="V64" s="179">
        <v>0</v>
      </c>
      <c r="W64" s="179">
        <v>0</v>
      </c>
      <c r="X64" s="182">
        <f t="shared" si="10"/>
        <v>0</v>
      </c>
      <c r="Y64" s="297">
        <f t="shared" si="11"/>
        <v>0</v>
      </c>
      <c r="AA64" s="138"/>
    </row>
    <row r="65" spans="1:27" ht="12.95" customHeight="1" x14ac:dyDescent="0.2">
      <c r="A65" s="152"/>
      <c r="B65" s="296"/>
      <c r="C65" s="176">
        <f t="shared" si="12"/>
        <v>2026101</v>
      </c>
      <c r="D65" s="177"/>
      <c r="E65" s="178" t="s">
        <v>44</v>
      </c>
      <c r="F65" s="175" t="s">
        <v>102</v>
      </c>
      <c r="G65" s="183"/>
      <c r="H65" s="175" t="e">
        <f>VLOOKUP(G65,'Códigos Banco'!$F$3:$G$18,2,0)</f>
        <v>#N/A</v>
      </c>
      <c r="I65" s="310">
        <v>230887267</v>
      </c>
      <c r="J65" s="179">
        <v>0</v>
      </c>
      <c r="K65" s="179">
        <v>0</v>
      </c>
      <c r="L65" s="179">
        <v>0</v>
      </c>
      <c r="M65" s="179">
        <v>0</v>
      </c>
      <c r="N65" s="179">
        <v>0</v>
      </c>
      <c r="O65" s="179">
        <v>0</v>
      </c>
      <c r="P65" s="179">
        <v>0</v>
      </c>
      <c r="Q65" s="179">
        <v>0</v>
      </c>
      <c r="R65" s="179">
        <v>0</v>
      </c>
      <c r="S65" s="179">
        <v>0</v>
      </c>
      <c r="T65" s="181">
        <f t="shared" si="8"/>
        <v>0</v>
      </c>
      <c r="U65" s="182">
        <f t="shared" si="9"/>
        <v>0</v>
      </c>
      <c r="V65" s="179">
        <v>0</v>
      </c>
      <c r="W65" s="179">
        <v>0</v>
      </c>
      <c r="X65" s="182">
        <f t="shared" si="10"/>
        <v>0</v>
      </c>
      <c r="Y65" s="297">
        <f t="shared" si="11"/>
        <v>0</v>
      </c>
      <c r="AA65" s="138"/>
    </row>
    <row r="66" spans="1:27" ht="12.95" customHeight="1" x14ac:dyDescent="0.2">
      <c r="A66" s="152"/>
      <c r="B66" s="296"/>
      <c r="C66" s="176">
        <f t="shared" si="12"/>
        <v>2026101</v>
      </c>
      <c r="D66" s="177"/>
      <c r="E66" s="178" t="s">
        <v>44</v>
      </c>
      <c r="F66" s="175" t="s">
        <v>102</v>
      </c>
      <c r="G66" s="183"/>
      <c r="H66" s="175" t="e">
        <f>VLOOKUP(G66,'Códigos Banco'!$F$3:$G$18,2,0)</f>
        <v>#N/A</v>
      </c>
      <c r="I66" s="310">
        <v>230887267</v>
      </c>
      <c r="J66" s="179">
        <v>0</v>
      </c>
      <c r="K66" s="179">
        <v>0</v>
      </c>
      <c r="L66" s="179">
        <v>0</v>
      </c>
      <c r="M66" s="179">
        <v>0</v>
      </c>
      <c r="N66" s="179">
        <v>0</v>
      </c>
      <c r="O66" s="179">
        <v>0</v>
      </c>
      <c r="P66" s="179">
        <v>0</v>
      </c>
      <c r="Q66" s="179">
        <v>0</v>
      </c>
      <c r="R66" s="179">
        <v>0</v>
      </c>
      <c r="S66" s="179">
        <v>0</v>
      </c>
      <c r="T66" s="181">
        <f t="shared" si="8"/>
        <v>0</v>
      </c>
      <c r="U66" s="182">
        <f t="shared" si="9"/>
        <v>0</v>
      </c>
      <c r="V66" s="179">
        <v>0</v>
      </c>
      <c r="W66" s="179">
        <v>0</v>
      </c>
      <c r="X66" s="182">
        <f t="shared" si="10"/>
        <v>0</v>
      </c>
      <c r="Y66" s="297">
        <f t="shared" si="11"/>
        <v>0</v>
      </c>
      <c r="AA66" s="138"/>
    </row>
    <row r="67" spans="1:27" ht="12.95" customHeight="1" x14ac:dyDescent="0.2">
      <c r="A67" s="152"/>
      <c r="B67" s="296"/>
      <c r="C67" s="176">
        <f t="shared" si="12"/>
        <v>2026101</v>
      </c>
      <c r="D67" s="177"/>
      <c r="E67" s="178" t="s">
        <v>44</v>
      </c>
      <c r="F67" s="175" t="s">
        <v>102</v>
      </c>
      <c r="G67" s="183"/>
      <c r="H67" s="175" t="e">
        <f>VLOOKUP(G67,'Códigos Banco'!$F$3:$G$18,2,0)</f>
        <v>#N/A</v>
      </c>
      <c r="I67" s="310">
        <v>230887267</v>
      </c>
      <c r="J67" s="179">
        <v>0</v>
      </c>
      <c r="K67" s="179">
        <v>0</v>
      </c>
      <c r="L67" s="179">
        <v>0</v>
      </c>
      <c r="M67" s="179">
        <v>0</v>
      </c>
      <c r="N67" s="179">
        <v>0</v>
      </c>
      <c r="O67" s="179">
        <v>0</v>
      </c>
      <c r="P67" s="179">
        <v>0</v>
      </c>
      <c r="Q67" s="179">
        <v>0</v>
      </c>
      <c r="R67" s="179">
        <v>0</v>
      </c>
      <c r="S67" s="179">
        <v>0</v>
      </c>
      <c r="T67" s="181">
        <f t="shared" si="8"/>
        <v>0</v>
      </c>
      <c r="U67" s="182">
        <f t="shared" si="9"/>
        <v>0</v>
      </c>
      <c r="V67" s="179">
        <v>0</v>
      </c>
      <c r="W67" s="179">
        <v>0</v>
      </c>
      <c r="X67" s="182">
        <f t="shared" si="10"/>
        <v>0</v>
      </c>
      <c r="Y67" s="297">
        <f t="shared" si="11"/>
        <v>0</v>
      </c>
      <c r="AA67" s="138"/>
    </row>
    <row r="68" spans="1:27" ht="12.95" customHeight="1" x14ac:dyDescent="0.2">
      <c r="A68" s="152"/>
      <c r="B68" s="296"/>
      <c r="C68" s="176">
        <f t="shared" si="12"/>
        <v>2026101</v>
      </c>
      <c r="D68" s="177"/>
      <c r="E68" s="178" t="s">
        <v>44</v>
      </c>
      <c r="F68" s="175" t="s">
        <v>102</v>
      </c>
      <c r="G68" s="183"/>
      <c r="H68" s="175" t="e">
        <f>VLOOKUP(G68,'Códigos Banco'!$F$3:$G$18,2,0)</f>
        <v>#N/A</v>
      </c>
      <c r="I68" s="310">
        <v>230887267</v>
      </c>
      <c r="J68" s="179">
        <v>0</v>
      </c>
      <c r="K68" s="179">
        <v>0</v>
      </c>
      <c r="L68" s="179">
        <v>0</v>
      </c>
      <c r="M68" s="179">
        <v>0</v>
      </c>
      <c r="N68" s="179">
        <v>0</v>
      </c>
      <c r="O68" s="179">
        <v>0</v>
      </c>
      <c r="P68" s="179">
        <v>0</v>
      </c>
      <c r="Q68" s="179">
        <v>0</v>
      </c>
      <c r="R68" s="179">
        <v>0</v>
      </c>
      <c r="S68" s="179">
        <v>0</v>
      </c>
      <c r="T68" s="181">
        <f t="shared" si="8"/>
        <v>0</v>
      </c>
      <c r="U68" s="182">
        <f t="shared" si="9"/>
        <v>0</v>
      </c>
      <c r="V68" s="179">
        <v>0</v>
      </c>
      <c r="W68" s="179">
        <v>0</v>
      </c>
      <c r="X68" s="182">
        <f t="shared" si="10"/>
        <v>0</v>
      </c>
      <c r="Y68" s="297">
        <f t="shared" si="11"/>
        <v>0</v>
      </c>
      <c r="AA68" s="138"/>
    </row>
    <row r="69" spans="1:27" ht="12.95" customHeight="1" x14ac:dyDescent="0.2">
      <c r="A69" s="152"/>
      <c r="B69" s="296"/>
      <c r="C69" s="176">
        <f t="shared" si="12"/>
        <v>2026101</v>
      </c>
      <c r="D69" s="177"/>
      <c r="E69" s="178" t="s">
        <v>44</v>
      </c>
      <c r="F69" s="175" t="s">
        <v>102</v>
      </c>
      <c r="G69" s="183"/>
      <c r="H69" s="175" t="e">
        <f>VLOOKUP(G69,'Códigos Banco'!$F$3:$G$18,2,0)</f>
        <v>#N/A</v>
      </c>
      <c r="I69" s="310">
        <v>230887267</v>
      </c>
      <c r="J69" s="179">
        <v>0</v>
      </c>
      <c r="K69" s="179">
        <v>0</v>
      </c>
      <c r="L69" s="179">
        <v>0</v>
      </c>
      <c r="M69" s="179">
        <v>0</v>
      </c>
      <c r="N69" s="179">
        <v>0</v>
      </c>
      <c r="O69" s="179">
        <v>0</v>
      </c>
      <c r="P69" s="179">
        <v>0</v>
      </c>
      <c r="Q69" s="179">
        <v>0</v>
      </c>
      <c r="R69" s="179">
        <v>0</v>
      </c>
      <c r="S69" s="179">
        <v>0</v>
      </c>
      <c r="T69" s="181">
        <f t="shared" si="8"/>
        <v>0</v>
      </c>
      <c r="U69" s="182">
        <f t="shared" si="9"/>
        <v>0</v>
      </c>
      <c r="V69" s="179">
        <v>0</v>
      </c>
      <c r="W69" s="179">
        <v>0</v>
      </c>
      <c r="X69" s="182">
        <f t="shared" si="10"/>
        <v>0</v>
      </c>
      <c r="Y69" s="297">
        <f t="shared" si="11"/>
        <v>0</v>
      </c>
      <c r="AA69" s="138"/>
    </row>
    <row r="70" spans="1:27" ht="12.95" customHeight="1" x14ac:dyDescent="0.2">
      <c r="A70" s="152"/>
      <c r="B70" s="296"/>
      <c r="C70" s="176">
        <f t="shared" si="12"/>
        <v>2026101</v>
      </c>
      <c r="D70" s="177"/>
      <c r="E70" s="178" t="s">
        <v>44</v>
      </c>
      <c r="F70" s="175" t="s">
        <v>102</v>
      </c>
      <c r="G70" s="183"/>
      <c r="H70" s="175" t="e">
        <f>VLOOKUP(G70,'Códigos Banco'!$F$3:$G$18,2,0)</f>
        <v>#N/A</v>
      </c>
      <c r="I70" s="310">
        <v>230887267</v>
      </c>
      <c r="J70" s="179">
        <v>0</v>
      </c>
      <c r="K70" s="179">
        <v>0</v>
      </c>
      <c r="L70" s="179">
        <v>0</v>
      </c>
      <c r="M70" s="179">
        <v>0</v>
      </c>
      <c r="N70" s="179">
        <v>0</v>
      </c>
      <c r="O70" s="179">
        <v>0</v>
      </c>
      <c r="P70" s="179">
        <v>0</v>
      </c>
      <c r="Q70" s="179">
        <v>0</v>
      </c>
      <c r="R70" s="179">
        <v>0</v>
      </c>
      <c r="S70" s="179">
        <v>0</v>
      </c>
      <c r="T70" s="181">
        <f t="shared" si="8"/>
        <v>0</v>
      </c>
      <c r="U70" s="182">
        <f t="shared" si="9"/>
        <v>0</v>
      </c>
      <c r="V70" s="179">
        <v>0</v>
      </c>
      <c r="W70" s="179">
        <v>0</v>
      </c>
      <c r="X70" s="182">
        <f t="shared" si="10"/>
        <v>0</v>
      </c>
      <c r="Y70" s="297">
        <f t="shared" si="11"/>
        <v>0</v>
      </c>
      <c r="AA70" s="138"/>
    </row>
    <row r="71" spans="1:27" ht="12.95" customHeight="1" x14ac:dyDescent="0.2">
      <c r="A71" s="152"/>
      <c r="B71" s="324"/>
      <c r="C71" s="176">
        <f t="shared" si="12"/>
        <v>2026101</v>
      </c>
      <c r="D71" s="177"/>
      <c r="E71" s="178" t="s">
        <v>44</v>
      </c>
      <c r="F71" s="175" t="s">
        <v>102</v>
      </c>
      <c r="G71" s="183"/>
      <c r="H71" s="175" t="e">
        <f>VLOOKUP(G71,'Códigos Banco'!$F$3:$G$18,2,0)</f>
        <v>#N/A</v>
      </c>
      <c r="I71" s="310">
        <v>230887267</v>
      </c>
      <c r="J71" s="179">
        <v>0</v>
      </c>
      <c r="K71" s="179">
        <v>0</v>
      </c>
      <c r="L71" s="179">
        <v>0</v>
      </c>
      <c r="M71" s="179">
        <v>0</v>
      </c>
      <c r="N71" s="179">
        <v>0</v>
      </c>
      <c r="O71" s="179">
        <v>0</v>
      </c>
      <c r="P71" s="179">
        <v>0</v>
      </c>
      <c r="Q71" s="179">
        <v>0</v>
      </c>
      <c r="R71" s="179">
        <v>0</v>
      </c>
      <c r="S71" s="179">
        <v>0</v>
      </c>
      <c r="T71" s="181">
        <f t="shared" si="8"/>
        <v>0</v>
      </c>
      <c r="U71" s="182">
        <f t="shared" si="9"/>
        <v>0</v>
      </c>
      <c r="V71" s="179">
        <v>0</v>
      </c>
      <c r="W71" s="179">
        <v>0</v>
      </c>
      <c r="X71" s="182">
        <f t="shared" si="10"/>
        <v>0</v>
      </c>
      <c r="Y71" s="297">
        <f t="shared" si="11"/>
        <v>0</v>
      </c>
      <c r="AA71" s="138"/>
    </row>
    <row r="72" spans="1:27" ht="12.95" customHeight="1" x14ac:dyDescent="0.2">
      <c r="A72" s="152"/>
      <c r="B72" s="324"/>
      <c r="C72" s="176">
        <f t="shared" si="12"/>
        <v>2026101</v>
      </c>
      <c r="D72" s="177"/>
      <c r="E72" s="178" t="s">
        <v>44</v>
      </c>
      <c r="F72" s="175" t="s">
        <v>102</v>
      </c>
      <c r="G72" s="183"/>
      <c r="H72" s="175" t="e">
        <f>VLOOKUP(G72,'Códigos Banco'!$F$3:$G$18,2,0)</f>
        <v>#N/A</v>
      </c>
      <c r="I72" s="310">
        <v>230887267</v>
      </c>
      <c r="J72" s="179">
        <v>0</v>
      </c>
      <c r="K72" s="179">
        <v>0</v>
      </c>
      <c r="L72" s="179">
        <v>0</v>
      </c>
      <c r="M72" s="179">
        <v>0</v>
      </c>
      <c r="N72" s="179">
        <v>0</v>
      </c>
      <c r="O72" s="179">
        <v>0</v>
      </c>
      <c r="P72" s="179">
        <v>0</v>
      </c>
      <c r="Q72" s="179">
        <v>0</v>
      </c>
      <c r="R72" s="179">
        <v>0</v>
      </c>
      <c r="S72" s="179">
        <v>0</v>
      </c>
      <c r="T72" s="181">
        <f t="shared" si="8"/>
        <v>0</v>
      </c>
      <c r="U72" s="182">
        <f t="shared" si="9"/>
        <v>0</v>
      </c>
      <c r="V72" s="179">
        <v>0</v>
      </c>
      <c r="W72" s="179">
        <v>0</v>
      </c>
      <c r="X72" s="182">
        <f t="shared" si="10"/>
        <v>0</v>
      </c>
      <c r="Y72" s="297">
        <f t="shared" si="11"/>
        <v>0</v>
      </c>
      <c r="AA72" s="138"/>
    </row>
    <row r="73" spans="1:27" ht="12.95" customHeight="1" x14ac:dyDescent="0.2">
      <c r="A73" s="152"/>
      <c r="B73" s="324"/>
      <c r="C73" s="176">
        <f t="shared" si="12"/>
        <v>2026101</v>
      </c>
      <c r="D73" s="177"/>
      <c r="E73" s="178" t="s">
        <v>44</v>
      </c>
      <c r="F73" s="175" t="s">
        <v>102</v>
      </c>
      <c r="G73" s="183"/>
      <c r="H73" s="175" t="e">
        <f>VLOOKUP(G73,'Códigos Banco'!$F$3:$G$18,2,0)</f>
        <v>#N/A</v>
      </c>
      <c r="I73" s="310">
        <v>230887267</v>
      </c>
      <c r="J73" s="179">
        <v>0</v>
      </c>
      <c r="K73" s="179">
        <v>0</v>
      </c>
      <c r="L73" s="179">
        <v>0</v>
      </c>
      <c r="M73" s="179">
        <v>0</v>
      </c>
      <c r="N73" s="179">
        <v>0</v>
      </c>
      <c r="O73" s="179">
        <v>0</v>
      </c>
      <c r="P73" s="179">
        <v>0</v>
      </c>
      <c r="Q73" s="179">
        <v>0</v>
      </c>
      <c r="R73" s="179">
        <v>0</v>
      </c>
      <c r="S73" s="179">
        <v>0</v>
      </c>
      <c r="T73" s="181">
        <f t="shared" si="8"/>
        <v>0</v>
      </c>
      <c r="U73" s="182">
        <f t="shared" si="9"/>
        <v>0</v>
      </c>
      <c r="V73" s="179">
        <v>0</v>
      </c>
      <c r="W73" s="179">
        <v>0</v>
      </c>
      <c r="X73" s="182">
        <f t="shared" si="10"/>
        <v>0</v>
      </c>
      <c r="Y73" s="297">
        <f t="shared" si="11"/>
        <v>0</v>
      </c>
      <c r="AA73" s="138"/>
    </row>
    <row r="74" spans="1:27" ht="12.95" customHeight="1" x14ac:dyDescent="0.2">
      <c r="A74" s="152"/>
      <c r="B74" s="324"/>
      <c r="C74" s="176">
        <f t="shared" si="12"/>
        <v>2026101</v>
      </c>
      <c r="D74" s="177"/>
      <c r="E74" s="178" t="s">
        <v>44</v>
      </c>
      <c r="F74" s="175" t="s">
        <v>102</v>
      </c>
      <c r="G74" s="183"/>
      <c r="H74" s="175" t="e">
        <f>VLOOKUP(G74,'Códigos Banco'!$F$3:$G$18,2,0)</f>
        <v>#N/A</v>
      </c>
      <c r="I74" s="310">
        <v>230887267</v>
      </c>
      <c r="J74" s="179">
        <v>0</v>
      </c>
      <c r="K74" s="179">
        <v>0</v>
      </c>
      <c r="L74" s="179">
        <v>0</v>
      </c>
      <c r="M74" s="179">
        <v>0</v>
      </c>
      <c r="N74" s="179">
        <v>0</v>
      </c>
      <c r="O74" s="179">
        <v>0</v>
      </c>
      <c r="P74" s="179">
        <v>0</v>
      </c>
      <c r="Q74" s="179">
        <v>0</v>
      </c>
      <c r="R74" s="179">
        <v>0</v>
      </c>
      <c r="S74" s="179">
        <v>0</v>
      </c>
      <c r="T74" s="181">
        <f t="shared" si="8"/>
        <v>0</v>
      </c>
      <c r="U74" s="182">
        <f t="shared" si="9"/>
        <v>0</v>
      </c>
      <c r="V74" s="179">
        <v>0</v>
      </c>
      <c r="W74" s="179">
        <v>0</v>
      </c>
      <c r="X74" s="182">
        <f t="shared" si="10"/>
        <v>0</v>
      </c>
      <c r="Y74" s="297">
        <f t="shared" si="11"/>
        <v>0</v>
      </c>
      <c r="AA74" s="138"/>
    </row>
    <row r="75" spans="1:27" ht="12.95" customHeight="1" x14ac:dyDescent="0.2">
      <c r="A75" s="152"/>
      <c r="B75" s="324"/>
      <c r="C75" s="176">
        <f t="shared" si="12"/>
        <v>2026101</v>
      </c>
      <c r="D75" s="177"/>
      <c r="E75" s="178" t="s">
        <v>44</v>
      </c>
      <c r="F75" s="175" t="s">
        <v>102</v>
      </c>
      <c r="G75" s="183"/>
      <c r="H75" s="175" t="e">
        <f>VLOOKUP(G75,'Códigos Banco'!$F$3:$G$18,2,0)</f>
        <v>#N/A</v>
      </c>
      <c r="I75" s="310">
        <v>230887267</v>
      </c>
      <c r="J75" s="179">
        <v>0</v>
      </c>
      <c r="K75" s="179">
        <v>0</v>
      </c>
      <c r="L75" s="179">
        <v>0</v>
      </c>
      <c r="M75" s="179">
        <v>0</v>
      </c>
      <c r="N75" s="179">
        <v>0</v>
      </c>
      <c r="O75" s="179">
        <v>0</v>
      </c>
      <c r="P75" s="179">
        <v>0</v>
      </c>
      <c r="Q75" s="179">
        <v>0</v>
      </c>
      <c r="R75" s="179">
        <v>0</v>
      </c>
      <c r="S75" s="179">
        <v>0</v>
      </c>
      <c r="T75" s="181">
        <f t="shared" si="8"/>
        <v>0</v>
      </c>
      <c r="U75" s="182">
        <f t="shared" si="9"/>
        <v>0</v>
      </c>
      <c r="V75" s="179">
        <v>0</v>
      </c>
      <c r="W75" s="179">
        <v>0</v>
      </c>
      <c r="X75" s="182">
        <f t="shared" si="10"/>
        <v>0</v>
      </c>
      <c r="Y75" s="297">
        <f t="shared" si="11"/>
        <v>0</v>
      </c>
      <c r="AA75" s="138"/>
    </row>
    <row r="76" spans="1:27" ht="12.95" customHeight="1" x14ac:dyDescent="0.2">
      <c r="A76" s="152"/>
      <c r="B76" s="324"/>
      <c r="C76" s="176">
        <f t="shared" si="12"/>
        <v>2026101</v>
      </c>
      <c r="D76" s="177"/>
      <c r="E76" s="178" t="s">
        <v>44</v>
      </c>
      <c r="F76" s="175" t="s">
        <v>102</v>
      </c>
      <c r="G76" s="183"/>
      <c r="H76" s="175" t="e">
        <f>VLOOKUP(G76,'Códigos Banco'!$F$3:$G$18,2,0)</f>
        <v>#N/A</v>
      </c>
      <c r="I76" s="310">
        <v>230887267</v>
      </c>
      <c r="J76" s="179">
        <v>0</v>
      </c>
      <c r="K76" s="179">
        <v>0</v>
      </c>
      <c r="L76" s="179">
        <v>0</v>
      </c>
      <c r="M76" s="179">
        <v>0</v>
      </c>
      <c r="N76" s="179">
        <v>0</v>
      </c>
      <c r="O76" s="179">
        <v>0</v>
      </c>
      <c r="P76" s="179">
        <v>0</v>
      </c>
      <c r="Q76" s="179">
        <v>0</v>
      </c>
      <c r="R76" s="179">
        <v>0</v>
      </c>
      <c r="S76" s="179">
        <v>0</v>
      </c>
      <c r="T76" s="181">
        <f t="shared" si="8"/>
        <v>0</v>
      </c>
      <c r="U76" s="182">
        <f t="shared" si="9"/>
        <v>0</v>
      </c>
      <c r="V76" s="179">
        <v>0</v>
      </c>
      <c r="W76" s="179">
        <v>0</v>
      </c>
      <c r="X76" s="182">
        <f t="shared" si="10"/>
        <v>0</v>
      </c>
      <c r="Y76" s="297">
        <f t="shared" si="11"/>
        <v>0</v>
      </c>
      <c r="AA76" s="138"/>
    </row>
    <row r="77" spans="1:27" ht="13.5" customHeight="1" thickBot="1" x14ac:dyDescent="0.25">
      <c r="A77" s="152"/>
      <c r="B77" s="353"/>
      <c r="C77" s="354">
        <f t="shared" si="12"/>
        <v>2026101</v>
      </c>
      <c r="D77" s="365"/>
      <c r="E77" s="355" t="s">
        <v>44</v>
      </c>
      <c r="F77" s="356" t="str">
        <f>VLOOKUP(E77,'Códigos Banco'!$B$3:$D$27,2,0)</f>
        <v>Occidente - Directa</v>
      </c>
      <c r="G77" s="357"/>
      <c r="H77" s="356" t="e">
        <f>VLOOKUP(G77,'Códigos Banco'!$F$3:$G$18,2,0)</f>
        <v>#N/A</v>
      </c>
      <c r="I77" s="356">
        <f>VLOOKUP(E77,'Códigos Banco'!$B$3:$D$27,3,0)</f>
        <v>230887267</v>
      </c>
      <c r="J77" s="358">
        <v>0</v>
      </c>
      <c r="K77" s="358">
        <v>0</v>
      </c>
      <c r="L77" s="358">
        <v>0</v>
      </c>
      <c r="M77" s="358">
        <v>0</v>
      </c>
      <c r="N77" s="358">
        <v>0</v>
      </c>
      <c r="O77" s="358">
        <v>0</v>
      </c>
      <c r="P77" s="358">
        <v>0</v>
      </c>
      <c r="Q77" s="358">
        <v>0</v>
      </c>
      <c r="R77" s="358">
        <v>0</v>
      </c>
      <c r="S77" s="358">
        <v>0</v>
      </c>
      <c r="T77" s="359">
        <f t="shared" si="8"/>
        <v>0</v>
      </c>
      <c r="U77" s="360">
        <f t="shared" si="9"/>
        <v>0</v>
      </c>
      <c r="V77" s="358">
        <v>0</v>
      </c>
      <c r="W77" s="358">
        <v>0</v>
      </c>
      <c r="X77" s="360">
        <f t="shared" si="10"/>
        <v>0</v>
      </c>
      <c r="Y77" s="361">
        <f t="shared" si="11"/>
        <v>0</v>
      </c>
      <c r="AA77" s="138"/>
    </row>
    <row r="78" spans="1:27" ht="13.5" customHeight="1" x14ac:dyDescent="0.2">
      <c r="B78" s="186"/>
      <c r="C78" s="149"/>
      <c r="D78" s="186"/>
      <c r="E78" s="188"/>
      <c r="F78" s="188"/>
      <c r="G78" s="187"/>
      <c r="H78" s="188"/>
      <c r="I78" s="188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90"/>
      <c r="U78" s="189"/>
      <c r="V78" s="189"/>
      <c r="W78" s="189"/>
      <c r="X78" s="189"/>
      <c r="Y78" s="189"/>
    </row>
    <row r="79" spans="1:27" ht="12.95" customHeight="1" x14ac:dyDescent="0.2">
      <c r="A79" s="191"/>
      <c r="B79" s="192"/>
      <c r="C79" s="193"/>
      <c r="D79" s="193"/>
      <c r="E79" s="195"/>
      <c r="F79" s="195"/>
      <c r="G79" s="195"/>
      <c r="H79" s="195"/>
      <c r="I79" s="196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1"/>
      <c r="AA79" s="138"/>
    </row>
    <row r="80" spans="1:27" ht="12.95" customHeight="1" thickBot="1" x14ac:dyDescent="0.25">
      <c r="B80" s="185"/>
      <c r="C80" s="149"/>
      <c r="D80" s="186"/>
      <c r="E80" s="187"/>
      <c r="F80" s="188"/>
      <c r="G80" s="187"/>
      <c r="H80" s="187"/>
      <c r="I80" s="198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AA80" s="138"/>
    </row>
    <row r="81" spans="2:27" ht="36.75" thickBot="1" x14ac:dyDescent="0.25">
      <c r="B81" s="80" t="s">
        <v>14</v>
      </c>
      <c r="C81" s="165" t="s">
        <v>2</v>
      </c>
      <c r="D81" s="165" t="s">
        <v>22</v>
      </c>
      <c r="E81" s="165" t="s">
        <v>23</v>
      </c>
      <c r="F81" s="165" t="s">
        <v>24</v>
      </c>
      <c r="G81" s="165" t="s">
        <v>25</v>
      </c>
      <c r="H81" s="165" t="s">
        <v>26</v>
      </c>
      <c r="I81" s="165" t="s">
        <v>27</v>
      </c>
      <c r="J81" s="166" t="s">
        <v>28</v>
      </c>
      <c r="K81" s="166" t="s">
        <v>29</v>
      </c>
      <c r="L81" s="166" t="s">
        <v>30</v>
      </c>
      <c r="M81" s="166" t="s">
        <v>31</v>
      </c>
      <c r="N81" s="167" t="s">
        <v>32</v>
      </c>
      <c r="O81" s="168" t="s">
        <v>33</v>
      </c>
      <c r="P81" s="167" t="s">
        <v>34</v>
      </c>
      <c r="Q81" s="168" t="s">
        <v>35</v>
      </c>
      <c r="R81" s="167" t="s">
        <v>36</v>
      </c>
      <c r="S81" s="168" t="s">
        <v>37</v>
      </c>
      <c r="T81" s="169" t="s">
        <v>38</v>
      </c>
      <c r="U81" s="169" t="s">
        <v>39</v>
      </c>
      <c r="V81" s="170" t="s">
        <v>40</v>
      </c>
      <c r="W81" s="171" t="s">
        <v>41</v>
      </c>
      <c r="X81" s="166" t="s">
        <v>42</v>
      </c>
      <c r="Y81" s="172" t="s">
        <v>43</v>
      </c>
      <c r="AA81" s="138"/>
    </row>
    <row r="82" spans="2:27" ht="12.95" customHeight="1" x14ac:dyDescent="0.2">
      <c r="B82" s="296">
        <v>46314</v>
      </c>
      <c r="C82" s="173">
        <f>C2</f>
        <v>2026102</v>
      </c>
      <c r="D82" s="296">
        <v>46233</v>
      </c>
      <c r="E82" s="178" t="s">
        <v>44</v>
      </c>
      <c r="F82" s="175" t="str">
        <f>VLOOKUP(E82,'Códigos Banco'!$B$3:$D$27,2,0)</f>
        <v>Occidente - Directa</v>
      </c>
      <c r="G82" s="183">
        <v>13</v>
      </c>
      <c r="H82" s="175" t="str">
        <f>VLOOKUP(G82,'Códigos Banco'!$F$3:$G$18,2,0)</f>
        <v>T23 Directa - Transferencias</v>
      </c>
      <c r="I82" s="175">
        <f>VLOOKUP(E82,'Códigos Banco'!$B$3:$D$27,3,0)</f>
        <v>230887267</v>
      </c>
      <c r="J82" s="179">
        <v>7</v>
      </c>
      <c r="K82" s="179">
        <v>483770</v>
      </c>
      <c r="L82" s="179">
        <v>0</v>
      </c>
      <c r="M82" s="179">
        <v>0</v>
      </c>
      <c r="N82" s="179">
        <v>0</v>
      </c>
      <c r="O82" s="179">
        <v>0</v>
      </c>
      <c r="P82" s="179">
        <v>0</v>
      </c>
      <c r="Q82" s="179">
        <v>0</v>
      </c>
      <c r="R82" s="179">
        <v>0</v>
      </c>
      <c r="S82" s="179">
        <v>0</v>
      </c>
      <c r="T82" s="181">
        <f t="shared" ref="T82:T113" si="13">J82+L82+N82+P82+R82</f>
        <v>7</v>
      </c>
      <c r="U82" s="182">
        <f t="shared" ref="U82:U113" si="14">K82+M82+O82+Q82+S82</f>
        <v>483770</v>
      </c>
      <c r="V82" s="179">
        <v>7</v>
      </c>
      <c r="W82" s="179">
        <v>483770</v>
      </c>
      <c r="X82" s="182">
        <f t="shared" ref="X82:X113" si="15">V82-T82</f>
        <v>0</v>
      </c>
      <c r="Y82" s="297">
        <f t="shared" ref="Y82:Y113" si="16">W82-U82</f>
        <v>0</v>
      </c>
      <c r="AA82" s="138"/>
    </row>
    <row r="83" spans="2:27" ht="12.75" x14ac:dyDescent="0.2">
      <c r="B83" s="296">
        <v>46314</v>
      </c>
      <c r="C83" s="173">
        <f t="shared" ref="C83:C114" si="17">C82</f>
        <v>2026102</v>
      </c>
      <c r="D83" s="296">
        <v>46234</v>
      </c>
      <c r="E83" s="178" t="s">
        <v>44</v>
      </c>
      <c r="F83" s="175" t="str">
        <f>VLOOKUP(E83,'Códigos Banco'!$B$3:$D$27,2,0)</f>
        <v>Occidente - Directa</v>
      </c>
      <c r="G83" s="183">
        <v>13</v>
      </c>
      <c r="H83" s="175" t="str">
        <f>VLOOKUP(G83,'Códigos Banco'!$F$3:$G$18,2,0)</f>
        <v>T23 Directa - Transferencias</v>
      </c>
      <c r="I83" s="175">
        <f>VLOOKUP(E83,'Códigos Banco'!$B$3:$D$27,3,0)</f>
        <v>230887267</v>
      </c>
      <c r="J83" s="179">
        <v>3</v>
      </c>
      <c r="K83" s="179">
        <v>207330</v>
      </c>
      <c r="L83" s="179">
        <v>0</v>
      </c>
      <c r="M83" s="179">
        <v>0</v>
      </c>
      <c r="N83" s="179">
        <v>0</v>
      </c>
      <c r="O83" s="179">
        <v>0</v>
      </c>
      <c r="P83" s="179">
        <v>0</v>
      </c>
      <c r="Q83" s="179">
        <v>0</v>
      </c>
      <c r="R83" s="179">
        <v>0</v>
      </c>
      <c r="S83" s="179">
        <v>0</v>
      </c>
      <c r="T83" s="181">
        <f t="shared" si="13"/>
        <v>3</v>
      </c>
      <c r="U83" s="182">
        <f t="shared" si="14"/>
        <v>207330</v>
      </c>
      <c r="V83" s="179">
        <v>3</v>
      </c>
      <c r="W83" s="179">
        <v>207330</v>
      </c>
      <c r="X83" s="182">
        <f t="shared" si="15"/>
        <v>0</v>
      </c>
      <c r="Y83" s="297">
        <f t="shared" si="16"/>
        <v>0</v>
      </c>
      <c r="AA83" s="138"/>
    </row>
    <row r="84" spans="2:27" ht="12.95" customHeight="1" x14ac:dyDescent="0.2">
      <c r="B84" s="296">
        <v>46314</v>
      </c>
      <c r="C84" s="173">
        <f t="shared" si="17"/>
        <v>2026102</v>
      </c>
      <c r="D84" s="296">
        <v>46261</v>
      </c>
      <c r="E84" s="178" t="s">
        <v>44</v>
      </c>
      <c r="F84" s="175" t="str">
        <f>VLOOKUP(E84,'Códigos Banco'!$B$3:$D$27,2,0)</f>
        <v>Occidente - Directa</v>
      </c>
      <c r="G84" s="183">
        <v>13</v>
      </c>
      <c r="H84" s="175" t="str">
        <f>VLOOKUP(G84,'Códigos Banco'!$F$3:$G$18,2,0)</f>
        <v>T23 Directa - Transferencias</v>
      </c>
      <c r="I84" s="175">
        <f>VLOOKUP(E84,'Códigos Banco'!$B$3:$D$27,3,0)</f>
        <v>230887267</v>
      </c>
      <c r="J84" s="179">
        <v>3</v>
      </c>
      <c r="K84" s="179">
        <v>206157</v>
      </c>
      <c r="L84" s="179">
        <v>0</v>
      </c>
      <c r="M84" s="179">
        <v>0</v>
      </c>
      <c r="N84" s="179">
        <v>0</v>
      </c>
      <c r="O84" s="179">
        <v>0</v>
      </c>
      <c r="P84" s="179">
        <v>0</v>
      </c>
      <c r="Q84" s="179">
        <v>0</v>
      </c>
      <c r="R84" s="179">
        <v>0</v>
      </c>
      <c r="S84" s="179">
        <v>0</v>
      </c>
      <c r="T84" s="181">
        <f t="shared" si="13"/>
        <v>3</v>
      </c>
      <c r="U84" s="182">
        <f t="shared" si="14"/>
        <v>206157</v>
      </c>
      <c r="V84" s="179">
        <v>3</v>
      </c>
      <c r="W84" s="179">
        <v>206157</v>
      </c>
      <c r="X84" s="182">
        <f t="shared" si="15"/>
        <v>0</v>
      </c>
      <c r="Y84" s="297">
        <f t="shared" si="16"/>
        <v>0</v>
      </c>
      <c r="AA84" s="138"/>
    </row>
    <row r="85" spans="2:27" ht="12.95" customHeight="1" x14ac:dyDescent="0.2">
      <c r="B85" s="296">
        <v>46314</v>
      </c>
      <c r="C85" s="173">
        <f t="shared" si="17"/>
        <v>2026102</v>
      </c>
      <c r="D85" s="296">
        <v>46262</v>
      </c>
      <c r="E85" s="178" t="s">
        <v>44</v>
      </c>
      <c r="F85" s="175" t="str">
        <f>VLOOKUP(E85,'Códigos Banco'!$B$3:$D$27,2,0)</f>
        <v>Occidente - Directa</v>
      </c>
      <c r="G85" s="183">
        <v>13</v>
      </c>
      <c r="H85" s="175" t="str">
        <f>VLOOKUP(G85,'Códigos Banco'!$F$3:$G$18,2,0)</f>
        <v>T23 Directa - Transferencias</v>
      </c>
      <c r="I85" s="175">
        <f>VLOOKUP(E85,'Códigos Banco'!$B$3:$D$27,3,0)</f>
        <v>230887267</v>
      </c>
      <c r="J85" s="179">
        <v>10</v>
      </c>
      <c r="K85" s="179">
        <v>687190</v>
      </c>
      <c r="L85" s="179">
        <v>0</v>
      </c>
      <c r="M85" s="179">
        <v>0</v>
      </c>
      <c r="N85" s="179">
        <v>0</v>
      </c>
      <c r="O85" s="179">
        <v>0</v>
      </c>
      <c r="P85" s="179">
        <v>0</v>
      </c>
      <c r="Q85" s="179">
        <v>0</v>
      </c>
      <c r="R85" s="179">
        <v>0</v>
      </c>
      <c r="S85" s="179">
        <v>0</v>
      </c>
      <c r="T85" s="181">
        <f t="shared" si="13"/>
        <v>10</v>
      </c>
      <c r="U85" s="182">
        <f t="shared" si="14"/>
        <v>687190</v>
      </c>
      <c r="V85" s="179">
        <v>10</v>
      </c>
      <c r="W85" s="179">
        <v>687190</v>
      </c>
      <c r="X85" s="182">
        <f t="shared" si="15"/>
        <v>0</v>
      </c>
      <c r="Y85" s="297">
        <f t="shared" si="16"/>
        <v>0</v>
      </c>
      <c r="AA85" s="138"/>
    </row>
    <row r="86" spans="2:27" ht="12.95" customHeight="1" x14ac:dyDescent="0.2">
      <c r="B86" s="296">
        <v>46314</v>
      </c>
      <c r="C86" s="173">
        <f t="shared" si="17"/>
        <v>2026102</v>
      </c>
      <c r="D86" s="296">
        <v>46290</v>
      </c>
      <c r="E86" s="178" t="s">
        <v>44</v>
      </c>
      <c r="F86" s="175" t="str">
        <f>VLOOKUP(E86,'Códigos Banco'!$B$3:$D$27,2,0)</f>
        <v>Occidente - Directa</v>
      </c>
      <c r="G86" s="183">
        <v>13</v>
      </c>
      <c r="H86" s="175" t="str">
        <f>VLOOKUP(G86,'Códigos Banco'!$F$3:$G$18,2,0)</f>
        <v>T23 Directa - Transferencias</v>
      </c>
      <c r="I86" s="175">
        <f>VLOOKUP(E86,'Códigos Banco'!$B$3:$D$27,3,0)</f>
        <v>230887267</v>
      </c>
      <c r="J86" s="179">
        <v>4</v>
      </c>
      <c r="K86" s="179">
        <v>275088</v>
      </c>
      <c r="L86" s="179">
        <v>0</v>
      </c>
      <c r="M86" s="179">
        <v>0</v>
      </c>
      <c r="N86" s="179">
        <v>0</v>
      </c>
      <c r="O86" s="179">
        <v>0</v>
      </c>
      <c r="P86" s="179">
        <v>0</v>
      </c>
      <c r="Q86" s="179">
        <v>0</v>
      </c>
      <c r="R86" s="179">
        <v>0</v>
      </c>
      <c r="S86" s="179">
        <v>0</v>
      </c>
      <c r="T86" s="181">
        <f t="shared" si="13"/>
        <v>4</v>
      </c>
      <c r="U86" s="182">
        <f t="shared" si="14"/>
        <v>275088</v>
      </c>
      <c r="V86" s="179">
        <v>4</v>
      </c>
      <c r="W86" s="179">
        <v>275088</v>
      </c>
      <c r="X86" s="182">
        <f t="shared" si="15"/>
        <v>0</v>
      </c>
      <c r="Y86" s="297">
        <f t="shared" si="16"/>
        <v>0</v>
      </c>
      <c r="AA86" s="138"/>
    </row>
    <row r="87" spans="2:27" ht="12.95" customHeight="1" x14ac:dyDescent="0.2">
      <c r="B87" s="296">
        <v>46314</v>
      </c>
      <c r="C87" s="173">
        <f t="shared" si="17"/>
        <v>2026102</v>
      </c>
      <c r="D87" s="296">
        <v>46310</v>
      </c>
      <c r="E87" s="178" t="s">
        <v>44</v>
      </c>
      <c r="F87" s="175" t="str">
        <f>VLOOKUP(E87,'Códigos Banco'!$B$3:$D$27,2,0)</f>
        <v>Occidente - Directa</v>
      </c>
      <c r="G87" s="183">
        <v>13</v>
      </c>
      <c r="H87" s="175" t="str">
        <f>VLOOKUP(G87,'Códigos Banco'!$F$3:$G$18,2,0)</f>
        <v>T23 Directa - Transferencias</v>
      </c>
      <c r="I87" s="175">
        <f>VLOOKUP(E87,'Códigos Banco'!$B$3:$D$27,3,0)</f>
        <v>230887267</v>
      </c>
      <c r="J87" s="179">
        <v>6</v>
      </c>
      <c r="K87" s="179">
        <v>9805863</v>
      </c>
      <c r="L87" s="179">
        <v>1</v>
      </c>
      <c r="M87" s="179">
        <v>951170</v>
      </c>
      <c r="N87" s="179">
        <v>0</v>
      </c>
      <c r="O87" s="179"/>
      <c r="P87" s="179">
        <v>7</v>
      </c>
      <c r="Q87" s="179">
        <v>392910</v>
      </c>
      <c r="R87" s="179">
        <v>0</v>
      </c>
      <c r="S87" s="179">
        <v>0</v>
      </c>
      <c r="T87" s="181">
        <f t="shared" si="13"/>
        <v>14</v>
      </c>
      <c r="U87" s="182">
        <f t="shared" si="14"/>
        <v>11149943</v>
      </c>
      <c r="V87" s="179">
        <v>14</v>
      </c>
      <c r="W87" s="179">
        <v>11149943</v>
      </c>
      <c r="X87" s="182">
        <f t="shared" si="15"/>
        <v>0</v>
      </c>
      <c r="Y87" s="297">
        <f t="shared" si="16"/>
        <v>0</v>
      </c>
      <c r="AA87" s="138"/>
    </row>
    <row r="88" spans="2:27" ht="12.95" customHeight="1" x14ac:dyDescent="0.2">
      <c r="B88" s="296">
        <v>46314</v>
      </c>
      <c r="C88" s="173">
        <f t="shared" si="17"/>
        <v>2026102</v>
      </c>
      <c r="D88" s="296">
        <v>46265</v>
      </c>
      <c r="E88" s="178" t="s">
        <v>44</v>
      </c>
      <c r="F88" s="175" t="str">
        <f>VLOOKUP(E88,'Códigos Banco'!$B$3:$D$27,2,0)</f>
        <v>Occidente - Directa</v>
      </c>
      <c r="G88" s="183">
        <v>13</v>
      </c>
      <c r="H88" s="175" t="str">
        <f>VLOOKUP(G88,'Códigos Banco'!$F$3:$G$18,2,0)</f>
        <v>T23 Directa - Transferencias</v>
      </c>
      <c r="I88" s="175">
        <f>VLOOKUP(E88,'Códigos Banco'!$B$3:$D$27,3,0)</f>
        <v>230887267</v>
      </c>
      <c r="J88" s="179">
        <v>18</v>
      </c>
      <c r="K88" s="179">
        <v>1236942</v>
      </c>
      <c r="L88" s="179">
        <v>0</v>
      </c>
      <c r="M88" s="179">
        <v>0</v>
      </c>
      <c r="N88" s="179">
        <v>0</v>
      </c>
      <c r="O88" s="179">
        <v>0</v>
      </c>
      <c r="P88" s="179">
        <v>0</v>
      </c>
      <c r="Q88" s="179">
        <v>0</v>
      </c>
      <c r="R88" s="179">
        <v>0</v>
      </c>
      <c r="S88" s="179">
        <v>0</v>
      </c>
      <c r="T88" s="181">
        <f t="shared" si="13"/>
        <v>18</v>
      </c>
      <c r="U88" s="182">
        <f t="shared" si="14"/>
        <v>1236942</v>
      </c>
      <c r="V88" s="73">
        <v>18</v>
      </c>
      <c r="W88" s="73">
        <v>1236942</v>
      </c>
      <c r="X88" s="182">
        <f t="shared" si="15"/>
        <v>0</v>
      </c>
      <c r="Y88" s="297">
        <f t="shared" si="16"/>
        <v>0</v>
      </c>
      <c r="AA88" s="138"/>
    </row>
    <row r="89" spans="2:27" ht="12.95" customHeight="1" x14ac:dyDescent="0.2">
      <c r="B89" s="296">
        <v>46314</v>
      </c>
      <c r="C89" s="173">
        <f t="shared" si="17"/>
        <v>2026102</v>
      </c>
      <c r="D89" s="296">
        <v>46293</v>
      </c>
      <c r="E89" s="178" t="s">
        <v>44</v>
      </c>
      <c r="F89" s="175" t="str">
        <f>VLOOKUP(E89,'Códigos Banco'!$B$3:$D$27,2,0)</f>
        <v>Occidente - Directa</v>
      </c>
      <c r="G89" s="183">
        <v>13</v>
      </c>
      <c r="H89" s="175" t="str">
        <f>VLOOKUP(G89,'Códigos Banco'!$F$3:$G$18,2,0)</f>
        <v>T23 Directa - Transferencias</v>
      </c>
      <c r="I89" s="175">
        <f>VLOOKUP(E89,'Códigos Banco'!$B$3:$D$27,3,0)</f>
        <v>230887267</v>
      </c>
      <c r="J89" s="179">
        <v>5</v>
      </c>
      <c r="K89" s="179">
        <v>343860</v>
      </c>
      <c r="L89" s="179">
        <v>0</v>
      </c>
      <c r="M89" s="179">
        <v>0</v>
      </c>
      <c r="N89" s="179">
        <v>0</v>
      </c>
      <c r="O89" s="179">
        <v>0</v>
      </c>
      <c r="P89" s="179">
        <v>0</v>
      </c>
      <c r="Q89" s="179">
        <v>0</v>
      </c>
      <c r="R89" s="179">
        <v>0</v>
      </c>
      <c r="S89" s="179">
        <v>0</v>
      </c>
      <c r="T89" s="181">
        <f t="shared" si="13"/>
        <v>5</v>
      </c>
      <c r="U89" s="182">
        <f t="shared" si="14"/>
        <v>343860</v>
      </c>
      <c r="V89" s="179">
        <v>5</v>
      </c>
      <c r="W89" s="179">
        <v>343860</v>
      </c>
      <c r="X89" s="182">
        <f t="shared" si="15"/>
        <v>0</v>
      </c>
      <c r="Y89" s="297">
        <f t="shared" si="16"/>
        <v>0</v>
      </c>
      <c r="AA89" s="138"/>
    </row>
    <row r="90" spans="2:27" ht="12.95" customHeight="1" x14ac:dyDescent="0.2">
      <c r="B90" s="296">
        <v>46314</v>
      </c>
      <c r="C90" s="173">
        <f t="shared" si="17"/>
        <v>2026102</v>
      </c>
      <c r="D90" s="296">
        <v>46294</v>
      </c>
      <c r="E90" s="178" t="s">
        <v>44</v>
      </c>
      <c r="F90" s="175" t="str">
        <f>VLOOKUP(E90,'Códigos Banco'!$B$3:$D$27,2,0)</f>
        <v>Occidente - Directa</v>
      </c>
      <c r="G90" s="183">
        <v>13</v>
      </c>
      <c r="H90" s="175" t="str">
        <f>VLOOKUP(G90,'Códigos Banco'!$F$3:$G$18,2,0)</f>
        <v>T23 Directa - Transferencias</v>
      </c>
      <c r="I90" s="175">
        <f>VLOOKUP(E90,'Códigos Banco'!$B$3:$D$27,3,0)</f>
        <v>230887267</v>
      </c>
      <c r="J90" s="179">
        <v>5</v>
      </c>
      <c r="K90" s="179">
        <v>304418</v>
      </c>
      <c r="L90" s="179">
        <v>0</v>
      </c>
      <c r="M90" s="179">
        <v>0</v>
      </c>
      <c r="N90" s="179">
        <v>0</v>
      </c>
      <c r="O90" s="179">
        <v>0</v>
      </c>
      <c r="P90" s="179">
        <v>0</v>
      </c>
      <c r="Q90" s="179">
        <v>0</v>
      </c>
      <c r="R90" s="179">
        <v>0</v>
      </c>
      <c r="S90" s="179">
        <v>0</v>
      </c>
      <c r="T90" s="181">
        <f t="shared" si="13"/>
        <v>5</v>
      </c>
      <c r="U90" s="182">
        <f t="shared" si="14"/>
        <v>304418</v>
      </c>
      <c r="V90" s="73">
        <v>5</v>
      </c>
      <c r="W90" s="73">
        <v>304418</v>
      </c>
      <c r="X90" s="182">
        <f t="shared" si="15"/>
        <v>0</v>
      </c>
      <c r="Y90" s="297">
        <f t="shared" si="16"/>
        <v>0</v>
      </c>
      <c r="AA90" s="138"/>
    </row>
    <row r="91" spans="2:27" ht="12.95" customHeight="1" x14ac:dyDescent="0.2">
      <c r="B91" s="296">
        <v>46314</v>
      </c>
      <c r="C91" s="173">
        <f t="shared" si="17"/>
        <v>2026102</v>
      </c>
      <c r="D91" s="296">
        <v>46295</v>
      </c>
      <c r="E91" s="178" t="s">
        <v>44</v>
      </c>
      <c r="F91" s="175" t="str">
        <f>VLOOKUP(E91,'Códigos Banco'!$B$3:$D$27,2,0)</f>
        <v>Occidente - Directa</v>
      </c>
      <c r="G91" s="183">
        <v>13</v>
      </c>
      <c r="H91" s="175" t="str">
        <f>VLOOKUP(G91,'Códigos Banco'!$F$3:$G$18,2,0)</f>
        <v>T23 Directa - Transferencias</v>
      </c>
      <c r="I91" s="175">
        <f>VLOOKUP(E91,'Códigos Banco'!$B$3:$D$27,3,0)</f>
        <v>230887267</v>
      </c>
      <c r="J91" s="179">
        <v>14</v>
      </c>
      <c r="K91" s="179">
        <v>962808</v>
      </c>
      <c r="L91" s="179">
        <v>0</v>
      </c>
      <c r="M91" s="179">
        <v>0</v>
      </c>
      <c r="N91" s="179">
        <v>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81">
        <f t="shared" si="13"/>
        <v>14</v>
      </c>
      <c r="U91" s="182">
        <f t="shared" si="14"/>
        <v>962808</v>
      </c>
      <c r="V91" s="73">
        <v>14</v>
      </c>
      <c r="W91" s="73">
        <v>962808</v>
      </c>
      <c r="X91" s="182">
        <f t="shared" si="15"/>
        <v>0</v>
      </c>
      <c r="Y91" s="297">
        <f t="shared" si="16"/>
        <v>0</v>
      </c>
      <c r="AA91" s="138"/>
    </row>
    <row r="92" spans="2:27" ht="12" customHeight="1" x14ac:dyDescent="0.2">
      <c r="B92" s="296">
        <v>46315</v>
      </c>
      <c r="C92" s="173">
        <f t="shared" si="17"/>
        <v>2026102</v>
      </c>
      <c r="D92" s="296">
        <v>46191</v>
      </c>
      <c r="E92" s="178" t="s">
        <v>44</v>
      </c>
      <c r="F92" s="175" t="str">
        <f>VLOOKUP(E92,'Códigos Banco'!$B$3:$D$27,2,0)</f>
        <v>Occidente - Directa</v>
      </c>
      <c r="G92" s="183">
        <v>13</v>
      </c>
      <c r="H92" s="175" t="str">
        <f>VLOOKUP(G92,'Códigos Banco'!$F$3:$G$18,2,0)</f>
        <v>T23 Directa - Transferencias</v>
      </c>
      <c r="I92" s="175">
        <f>VLOOKUP(E92,'Códigos Banco'!$B$3:$D$27,3,0)</f>
        <v>230887267</v>
      </c>
      <c r="J92" s="179">
        <v>0</v>
      </c>
      <c r="K92" s="179">
        <v>0</v>
      </c>
      <c r="L92" s="179">
        <v>1</v>
      </c>
      <c r="M92" s="179">
        <v>88850</v>
      </c>
      <c r="N92" s="179">
        <v>0</v>
      </c>
      <c r="O92" s="179">
        <v>0</v>
      </c>
      <c r="P92" s="179">
        <v>0</v>
      </c>
      <c r="Q92" s="179">
        <v>0</v>
      </c>
      <c r="R92" s="179">
        <v>0</v>
      </c>
      <c r="S92" s="179">
        <v>0</v>
      </c>
      <c r="T92" s="181">
        <f t="shared" si="13"/>
        <v>1</v>
      </c>
      <c r="U92" s="182">
        <f t="shared" si="14"/>
        <v>88850</v>
      </c>
      <c r="V92" s="179">
        <v>1</v>
      </c>
      <c r="W92" s="179">
        <v>88850</v>
      </c>
      <c r="X92" s="182">
        <f t="shared" si="15"/>
        <v>0</v>
      </c>
      <c r="Y92" s="297">
        <f t="shared" si="16"/>
        <v>0</v>
      </c>
      <c r="AA92" s="138"/>
    </row>
    <row r="93" spans="2:27" ht="12.95" customHeight="1" x14ac:dyDescent="0.2">
      <c r="B93" s="296">
        <v>46315</v>
      </c>
      <c r="C93" s="173">
        <f t="shared" si="17"/>
        <v>2026102</v>
      </c>
      <c r="D93" s="296">
        <v>46219</v>
      </c>
      <c r="E93" s="178" t="s">
        <v>44</v>
      </c>
      <c r="F93" s="175" t="str">
        <f>VLOOKUP(E93,'Códigos Banco'!$B$3:$D$27,2,0)</f>
        <v>Occidente - Directa</v>
      </c>
      <c r="G93" s="183">
        <v>13</v>
      </c>
      <c r="H93" s="175" t="str">
        <f>VLOOKUP(G93,'Códigos Banco'!$F$3:$G$18,2,0)</f>
        <v>T23 Directa - Transferencias</v>
      </c>
      <c r="I93" s="175">
        <f>VLOOKUP(E93,'Códigos Banco'!$B$3:$D$27,3,0)</f>
        <v>230887267</v>
      </c>
      <c r="J93" s="179">
        <v>0</v>
      </c>
      <c r="K93" s="179">
        <v>0</v>
      </c>
      <c r="L93" s="179">
        <v>1</v>
      </c>
      <c r="M93" s="179">
        <v>90260</v>
      </c>
      <c r="N93" s="179">
        <v>0</v>
      </c>
      <c r="O93" s="179">
        <v>0</v>
      </c>
      <c r="P93" s="179">
        <v>0</v>
      </c>
      <c r="Q93" s="179">
        <v>0</v>
      </c>
      <c r="R93" s="179">
        <v>0</v>
      </c>
      <c r="S93" s="179">
        <v>0</v>
      </c>
      <c r="T93" s="181">
        <f t="shared" si="13"/>
        <v>1</v>
      </c>
      <c r="U93" s="182">
        <f t="shared" si="14"/>
        <v>90260</v>
      </c>
      <c r="V93" s="179">
        <v>1</v>
      </c>
      <c r="W93" s="179">
        <v>90260</v>
      </c>
      <c r="X93" s="182">
        <f t="shared" si="15"/>
        <v>0</v>
      </c>
      <c r="Y93" s="297">
        <f t="shared" si="16"/>
        <v>0</v>
      </c>
      <c r="AA93" s="138"/>
    </row>
    <row r="94" spans="2:27" ht="12.95" customHeight="1" x14ac:dyDescent="0.2">
      <c r="B94" s="296">
        <v>46315</v>
      </c>
      <c r="C94" s="173">
        <f t="shared" si="17"/>
        <v>2026102</v>
      </c>
      <c r="D94" s="296">
        <v>46255</v>
      </c>
      <c r="E94" s="178" t="s">
        <v>44</v>
      </c>
      <c r="F94" s="175" t="str">
        <f>VLOOKUP(E94,'Códigos Banco'!$B$3:$D$27,2,0)</f>
        <v>Occidente - Directa</v>
      </c>
      <c r="G94" s="183">
        <v>13</v>
      </c>
      <c r="H94" s="175" t="str">
        <f>VLOOKUP(G94,'Códigos Banco'!$F$3:$G$18,2,0)</f>
        <v>T23 Directa - Transferencias</v>
      </c>
      <c r="I94" s="175">
        <f>VLOOKUP(E94,'Códigos Banco'!$B$3:$D$27,3,0)</f>
        <v>230887267</v>
      </c>
      <c r="J94" s="179">
        <v>0</v>
      </c>
      <c r="K94" s="179">
        <v>0</v>
      </c>
      <c r="L94" s="179">
        <v>1</v>
      </c>
      <c r="M94" s="179">
        <v>154120</v>
      </c>
      <c r="N94" s="179">
        <v>0</v>
      </c>
      <c r="O94" s="179">
        <v>0</v>
      </c>
      <c r="P94" s="179">
        <v>0</v>
      </c>
      <c r="Q94" s="179">
        <v>0</v>
      </c>
      <c r="R94" s="179">
        <v>0</v>
      </c>
      <c r="S94" s="179">
        <v>0</v>
      </c>
      <c r="T94" s="181">
        <f t="shared" si="13"/>
        <v>1</v>
      </c>
      <c r="U94" s="182">
        <f t="shared" si="14"/>
        <v>154120</v>
      </c>
      <c r="V94" s="179">
        <v>1</v>
      </c>
      <c r="W94" s="179">
        <v>154120</v>
      </c>
      <c r="X94" s="182">
        <f t="shared" si="15"/>
        <v>0</v>
      </c>
      <c r="Y94" s="297">
        <f t="shared" si="16"/>
        <v>0</v>
      </c>
      <c r="AA94" s="138"/>
    </row>
    <row r="95" spans="2:27" ht="12.95" customHeight="1" x14ac:dyDescent="0.2">
      <c r="B95" s="296">
        <v>46315</v>
      </c>
      <c r="C95" s="173">
        <f t="shared" si="17"/>
        <v>2026102</v>
      </c>
      <c r="D95" s="296">
        <v>46272</v>
      </c>
      <c r="E95" s="178" t="s">
        <v>44</v>
      </c>
      <c r="F95" s="175" t="str">
        <f>VLOOKUP(E95,'Códigos Banco'!$B$3:$D$27,2,0)</f>
        <v>Occidente - Directa</v>
      </c>
      <c r="G95" s="178">
        <v>13</v>
      </c>
      <c r="H95" s="175" t="str">
        <f>VLOOKUP(G95,'Códigos Banco'!$F$3:$G$18,2,0)</f>
        <v>T23 Directa - Transferencias</v>
      </c>
      <c r="I95" s="175">
        <f>VLOOKUP(E95,'Códigos Banco'!$B$3:$D$27,3,0)</f>
        <v>230887267</v>
      </c>
      <c r="J95" s="179">
        <v>0</v>
      </c>
      <c r="K95" s="179">
        <v>0</v>
      </c>
      <c r="L95" s="179">
        <v>2</v>
      </c>
      <c r="M95" s="179">
        <v>887440</v>
      </c>
      <c r="N95" s="179">
        <v>0</v>
      </c>
      <c r="O95" s="179">
        <v>0</v>
      </c>
      <c r="P95" s="179">
        <v>0</v>
      </c>
      <c r="Q95" s="179">
        <v>0</v>
      </c>
      <c r="R95" s="179">
        <v>0</v>
      </c>
      <c r="S95" s="179">
        <v>0</v>
      </c>
      <c r="T95" s="181">
        <f t="shared" si="13"/>
        <v>2</v>
      </c>
      <c r="U95" s="182">
        <f t="shared" si="14"/>
        <v>887440</v>
      </c>
      <c r="V95" s="179">
        <v>2</v>
      </c>
      <c r="W95" s="179">
        <v>887440</v>
      </c>
      <c r="X95" s="182">
        <f t="shared" si="15"/>
        <v>0</v>
      </c>
      <c r="Y95" s="297">
        <f t="shared" si="16"/>
        <v>0</v>
      </c>
      <c r="AA95" s="138"/>
    </row>
    <row r="96" spans="2:27" ht="12.75" x14ac:dyDescent="0.2">
      <c r="B96" s="296">
        <v>46315</v>
      </c>
      <c r="C96" s="173">
        <f t="shared" si="17"/>
        <v>2026102</v>
      </c>
      <c r="D96" s="296">
        <v>46283</v>
      </c>
      <c r="E96" s="178" t="s">
        <v>44</v>
      </c>
      <c r="F96" s="175" t="str">
        <f>VLOOKUP(E96,'Códigos Banco'!$B$3:$D$27,2,0)</f>
        <v>Occidente - Directa</v>
      </c>
      <c r="G96" s="183">
        <v>13</v>
      </c>
      <c r="H96" s="175" t="str">
        <f>VLOOKUP(G96,'Códigos Banco'!$F$3:$G$18,2,0)</f>
        <v>T23 Directa - Transferencias</v>
      </c>
      <c r="I96" s="175">
        <f>VLOOKUP(E96,'Códigos Banco'!$B$3:$D$27,3,0)</f>
        <v>230887267</v>
      </c>
      <c r="J96" s="179">
        <v>0</v>
      </c>
      <c r="K96" s="179">
        <v>0</v>
      </c>
      <c r="L96" s="179">
        <v>1</v>
      </c>
      <c r="M96" s="179">
        <v>309940</v>
      </c>
      <c r="N96" s="179">
        <v>0</v>
      </c>
      <c r="O96" s="179">
        <v>0</v>
      </c>
      <c r="P96" s="179">
        <v>0</v>
      </c>
      <c r="Q96" s="179">
        <v>0</v>
      </c>
      <c r="R96" s="179">
        <v>0</v>
      </c>
      <c r="S96" s="179">
        <v>0</v>
      </c>
      <c r="T96" s="181">
        <f t="shared" si="13"/>
        <v>1</v>
      </c>
      <c r="U96" s="182">
        <f t="shared" si="14"/>
        <v>309940</v>
      </c>
      <c r="V96" s="179">
        <v>1</v>
      </c>
      <c r="W96" s="179">
        <v>309940</v>
      </c>
      <c r="X96" s="182">
        <f t="shared" si="15"/>
        <v>0</v>
      </c>
      <c r="Y96" s="297">
        <f t="shared" si="16"/>
        <v>0</v>
      </c>
      <c r="AA96" s="138"/>
    </row>
    <row r="97" spans="2:27 16000:16001" ht="12" customHeight="1" x14ac:dyDescent="0.2">
      <c r="B97" s="296">
        <v>46315</v>
      </c>
      <c r="C97" s="173">
        <f t="shared" si="17"/>
        <v>2026102</v>
      </c>
      <c r="D97" s="296">
        <v>46308</v>
      </c>
      <c r="E97" s="178" t="s">
        <v>44</v>
      </c>
      <c r="F97" s="175" t="str">
        <f>VLOOKUP(E97,'Códigos Banco'!$B$3:$D$27,2,0)</f>
        <v>Occidente - Directa</v>
      </c>
      <c r="G97" s="183">
        <v>13</v>
      </c>
      <c r="H97" s="175" t="str">
        <f>VLOOKUP(G97,'Códigos Banco'!$F$3:$G$18,2,0)</f>
        <v>T23 Directa - Transferencias</v>
      </c>
      <c r="I97" s="175">
        <f>VLOOKUP(E97,'Códigos Banco'!$B$3:$D$27,3,0)</f>
        <v>230887267</v>
      </c>
      <c r="J97" s="179">
        <v>5</v>
      </c>
      <c r="K97" s="179">
        <v>424560</v>
      </c>
      <c r="L97" s="179">
        <v>9</v>
      </c>
      <c r="M97" s="179">
        <v>2027280</v>
      </c>
      <c r="N97" s="179">
        <v>1</v>
      </c>
      <c r="O97" s="179">
        <v>277510</v>
      </c>
      <c r="P97" s="179">
        <v>3</v>
      </c>
      <c r="Q97" s="179">
        <v>167550</v>
      </c>
      <c r="R97" s="179">
        <v>3</v>
      </c>
      <c r="S97" s="179">
        <v>251760</v>
      </c>
      <c r="T97" s="181">
        <f t="shared" ref="T97:T103" si="18">J97+L97+N97+P97+R97</f>
        <v>21</v>
      </c>
      <c r="U97" s="182">
        <f t="shared" ref="U97:U103" si="19">K97+M97+O97+Q97+S97</f>
        <v>3148660</v>
      </c>
      <c r="V97" s="73">
        <v>21</v>
      </c>
      <c r="W97" s="73">
        <v>3148660</v>
      </c>
      <c r="X97" s="182">
        <f t="shared" si="15"/>
        <v>0</v>
      </c>
      <c r="Y97" s="297">
        <f t="shared" si="16"/>
        <v>0</v>
      </c>
      <c r="AA97" s="138"/>
      <c r="WQJ97" s="147"/>
      <c r="WQK97" s="147"/>
    </row>
    <row r="98" spans="2:27 16000:16001" ht="12.95" customHeight="1" x14ac:dyDescent="0.2">
      <c r="B98" s="296">
        <v>46315</v>
      </c>
      <c r="C98" s="173">
        <f t="shared" si="17"/>
        <v>2026102</v>
      </c>
      <c r="D98" s="296">
        <v>46309</v>
      </c>
      <c r="E98" s="178" t="s">
        <v>44</v>
      </c>
      <c r="F98" s="175" t="str">
        <f>VLOOKUP(E98,'Códigos Banco'!$B$3:$D$27,2,0)</f>
        <v>Occidente - Directa</v>
      </c>
      <c r="G98" s="183">
        <v>13</v>
      </c>
      <c r="H98" s="175" t="str">
        <f>VLOOKUP(G98,'Códigos Banco'!$F$3:$G$18,2,0)</f>
        <v>T23 Directa - Transferencias</v>
      </c>
      <c r="I98" s="175">
        <f>VLOOKUP(E98,'Códigos Banco'!$B$3:$D$27,3,0)</f>
        <v>230887267</v>
      </c>
      <c r="J98" s="179">
        <v>0</v>
      </c>
      <c r="K98" s="179">
        <v>0</v>
      </c>
      <c r="L98" s="179">
        <v>0</v>
      </c>
      <c r="M98" s="179">
        <v>0</v>
      </c>
      <c r="N98" s="179">
        <v>2</v>
      </c>
      <c r="O98" s="179">
        <v>1532490</v>
      </c>
      <c r="P98" s="179">
        <v>0</v>
      </c>
      <c r="Q98" s="179">
        <v>0</v>
      </c>
      <c r="R98" s="179">
        <v>0</v>
      </c>
      <c r="S98" s="179">
        <v>0</v>
      </c>
      <c r="T98" s="181">
        <f t="shared" si="18"/>
        <v>2</v>
      </c>
      <c r="U98" s="182">
        <f t="shared" si="19"/>
        <v>1532490</v>
      </c>
      <c r="V98" s="73">
        <v>2</v>
      </c>
      <c r="W98" s="73">
        <v>1532490</v>
      </c>
      <c r="X98" s="182">
        <f t="shared" si="15"/>
        <v>0</v>
      </c>
      <c r="Y98" s="297">
        <f t="shared" si="16"/>
        <v>0</v>
      </c>
      <c r="AA98" s="138"/>
      <c r="WQJ98" s="147"/>
      <c r="WQK98" s="147"/>
    </row>
    <row r="99" spans="2:27 16000:16001" ht="12.95" customHeight="1" x14ac:dyDescent="0.2">
      <c r="B99" s="296">
        <v>46315</v>
      </c>
      <c r="C99" s="173">
        <f t="shared" si="17"/>
        <v>2026102</v>
      </c>
      <c r="D99" s="296">
        <v>46310</v>
      </c>
      <c r="E99" s="178" t="s">
        <v>44</v>
      </c>
      <c r="F99" s="175" t="str">
        <f>VLOOKUP(E99,'Códigos Banco'!$B$3:$D$27,2,0)</f>
        <v>Occidente - Directa</v>
      </c>
      <c r="G99" s="183">
        <v>13</v>
      </c>
      <c r="H99" s="175" t="str">
        <f>VLOOKUP(G99,'Códigos Banco'!$F$3:$G$18,2,0)</f>
        <v>T23 Directa - Transferencias</v>
      </c>
      <c r="I99" s="175">
        <f>VLOOKUP(E99,'Códigos Banco'!$B$3:$D$27,3,0)</f>
        <v>230887267</v>
      </c>
      <c r="J99" s="179">
        <v>26</v>
      </c>
      <c r="K99" s="179">
        <v>6950210</v>
      </c>
      <c r="L99" s="179">
        <v>11</v>
      </c>
      <c r="M99" s="179">
        <v>44803728</v>
      </c>
      <c r="N99" s="179">
        <v>0</v>
      </c>
      <c r="O99" s="179">
        <v>0</v>
      </c>
      <c r="P99" s="179">
        <v>0</v>
      </c>
      <c r="Q99" s="179">
        <v>0</v>
      </c>
      <c r="R99" s="179">
        <v>0</v>
      </c>
      <c r="S99" s="179">
        <v>0</v>
      </c>
      <c r="T99" s="181">
        <f t="shared" si="18"/>
        <v>37</v>
      </c>
      <c r="U99" s="182">
        <f t="shared" si="19"/>
        <v>51753938</v>
      </c>
      <c r="V99" s="73">
        <v>37</v>
      </c>
      <c r="W99" s="179">
        <v>51753938</v>
      </c>
      <c r="X99" s="182">
        <f t="shared" si="15"/>
        <v>0</v>
      </c>
      <c r="Y99" s="297">
        <f t="shared" si="16"/>
        <v>0</v>
      </c>
      <c r="AA99" s="138"/>
    </row>
    <row r="100" spans="2:27 16000:16001" ht="12.95" customHeight="1" x14ac:dyDescent="0.2">
      <c r="B100" s="296"/>
      <c r="C100" s="173">
        <f t="shared" si="17"/>
        <v>2026102</v>
      </c>
      <c r="D100" s="296"/>
      <c r="E100" s="178" t="s">
        <v>44</v>
      </c>
      <c r="F100" s="175" t="str">
        <f>VLOOKUP(E100,'Códigos Banco'!$B$3:$D$27,2,0)</f>
        <v>Occidente - Directa</v>
      </c>
      <c r="G100" s="183">
        <v>13</v>
      </c>
      <c r="H100" s="175" t="str">
        <f>VLOOKUP(G100,'Códigos Banco'!$F$3:$G$18,2,0)</f>
        <v>T23 Directa - Transferencias</v>
      </c>
      <c r="I100" s="175">
        <f>VLOOKUP(E100,'Códigos Banco'!$B$3:$D$27,3,0)</f>
        <v>230887267</v>
      </c>
      <c r="J100" s="179">
        <v>0</v>
      </c>
      <c r="K100" s="243">
        <v>0</v>
      </c>
      <c r="L100" s="179">
        <v>0</v>
      </c>
      <c r="M100" s="179">
        <v>0</v>
      </c>
      <c r="N100" s="179">
        <v>0</v>
      </c>
      <c r="O100" s="179">
        <v>0</v>
      </c>
      <c r="P100" s="179">
        <v>0</v>
      </c>
      <c r="Q100" s="179">
        <v>0</v>
      </c>
      <c r="R100" s="179">
        <v>0</v>
      </c>
      <c r="S100" s="179">
        <v>0</v>
      </c>
      <c r="T100" s="181">
        <f t="shared" si="18"/>
        <v>0</v>
      </c>
      <c r="U100" s="182">
        <f t="shared" si="19"/>
        <v>0</v>
      </c>
      <c r="V100" s="73">
        <v>0</v>
      </c>
      <c r="W100" s="73">
        <v>0</v>
      </c>
      <c r="X100" s="182">
        <f t="shared" si="15"/>
        <v>0</v>
      </c>
      <c r="Y100" s="297">
        <f t="shared" si="16"/>
        <v>0</v>
      </c>
      <c r="AA100" s="138"/>
    </row>
    <row r="101" spans="2:27 16000:16001" ht="12.95" customHeight="1" x14ac:dyDescent="0.2">
      <c r="B101" s="296"/>
      <c r="C101" s="173">
        <f t="shared" si="17"/>
        <v>2026102</v>
      </c>
      <c r="D101" s="296"/>
      <c r="E101" s="178" t="s">
        <v>44</v>
      </c>
      <c r="F101" s="175" t="str">
        <f>VLOOKUP(E101,'Códigos Banco'!$B$3:$D$27,2,0)</f>
        <v>Occidente - Directa</v>
      </c>
      <c r="G101" s="183">
        <v>13</v>
      </c>
      <c r="H101" s="175" t="str">
        <f>VLOOKUP(G101,'Códigos Banco'!$F$3:$G$18,2,0)</f>
        <v>T23 Directa - Transferencias</v>
      </c>
      <c r="I101" s="175">
        <f>VLOOKUP(E101,'Códigos Banco'!$B$3:$D$27,3,0)</f>
        <v>230887267</v>
      </c>
      <c r="J101" s="179">
        <v>0</v>
      </c>
      <c r="K101" s="179">
        <v>0</v>
      </c>
      <c r="L101" s="179">
        <v>0</v>
      </c>
      <c r="M101" s="179">
        <v>0</v>
      </c>
      <c r="N101" s="179">
        <v>0</v>
      </c>
      <c r="O101" s="179">
        <v>0</v>
      </c>
      <c r="P101" s="179">
        <v>0</v>
      </c>
      <c r="Q101" s="179">
        <v>0</v>
      </c>
      <c r="R101" s="179">
        <v>0</v>
      </c>
      <c r="S101" s="179">
        <v>0</v>
      </c>
      <c r="T101" s="181">
        <f t="shared" si="18"/>
        <v>0</v>
      </c>
      <c r="U101" s="182">
        <f t="shared" si="19"/>
        <v>0</v>
      </c>
      <c r="V101" s="73">
        <v>0</v>
      </c>
      <c r="W101" s="73">
        <v>0</v>
      </c>
      <c r="X101" s="182">
        <f t="shared" si="15"/>
        <v>0</v>
      </c>
      <c r="Y101" s="297">
        <f t="shared" si="16"/>
        <v>0</v>
      </c>
      <c r="AA101" s="138"/>
    </row>
    <row r="102" spans="2:27 16000:16001" ht="12.95" customHeight="1" x14ac:dyDescent="0.2">
      <c r="B102" s="296"/>
      <c r="C102" s="173">
        <f t="shared" si="17"/>
        <v>2026102</v>
      </c>
      <c r="D102" s="296"/>
      <c r="E102" s="178" t="s">
        <v>44</v>
      </c>
      <c r="F102" s="175" t="str">
        <f>VLOOKUP(E102,'Códigos Banco'!$B$3:$D$27,2,0)</f>
        <v>Occidente - Directa</v>
      </c>
      <c r="G102" s="183">
        <v>13</v>
      </c>
      <c r="H102" s="175" t="str">
        <f>VLOOKUP(G102,'Códigos Banco'!$F$3:$G$18,2,0)</f>
        <v>T23 Directa - Transferencias</v>
      </c>
      <c r="I102" s="175">
        <f>VLOOKUP(E102,'Códigos Banco'!$B$3:$D$27,3,0)</f>
        <v>230887267</v>
      </c>
      <c r="J102" s="179">
        <v>0</v>
      </c>
      <c r="K102" s="179">
        <v>0</v>
      </c>
      <c r="L102" s="179">
        <v>0</v>
      </c>
      <c r="M102" s="179">
        <v>0</v>
      </c>
      <c r="N102" s="179">
        <v>0</v>
      </c>
      <c r="O102" s="179">
        <v>0</v>
      </c>
      <c r="P102" s="179">
        <v>0</v>
      </c>
      <c r="Q102" s="179">
        <v>0</v>
      </c>
      <c r="R102" s="179">
        <v>0</v>
      </c>
      <c r="S102" s="179">
        <v>0</v>
      </c>
      <c r="T102" s="181">
        <f t="shared" si="18"/>
        <v>0</v>
      </c>
      <c r="U102" s="182">
        <f t="shared" si="19"/>
        <v>0</v>
      </c>
      <c r="V102" s="73">
        <v>0</v>
      </c>
      <c r="W102" s="73">
        <v>0</v>
      </c>
      <c r="X102" s="182">
        <f t="shared" si="15"/>
        <v>0</v>
      </c>
      <c r="Y102" s="297">
        <f t="shared" si="16"/>
        <v>0</v>
      </c>
      <c r="AA102" s="138"/>
    </row>
    <row r="103" spans="2:27 16000:16001" ht="12.95" customHeight="1" x14ac:dyDescent="0.2">
      <c r="B103" s="296"/>
      <c r="C103" s="173">
        <f t="shared" si="17"/>
        <v>2026102</v>
      </c>
      <c r="D103" s="296"/>
      <c r="E103" s="178" t="s">
        <v>44</v>
      </c>
      <c r="F103" s="175" t="str">
        <f>VLOOKUP(E103,'Códigos Banco'!$B$3:$D$27,2,0)</f>
        <v>Occidente - Directa</v>
      </c>
      <c r="G103" s="178">
        <v>13</v>
      </c>
      <c r="H103" s="175" t="str">
        <f>VLOOKUP(G103,'Códigos Banco'!$F$3:$G$18,2,0)</f>
        <v>T23 Directa - Transferencias</v>
      </c>
      <c r="I103" s="175">
        <f>VLOOKUP(E103,'Códigos Banco'!$B$3:$D$27,3,0)</f>
        <v>230887267</v>
      </c>
      <c r="J103" s="179">
        <v>0</v>
      </c>
      <c r="K103" s="179">
        <v>0</v>
      </c>
      <c r="L103" s="179">
        <v>0</v>
      </c>
      <c r="M103" s="179">
        <v>0</v>
      </c>
      <c r="N103" s="179">
        <v>0</v>
      </c>
      <c r="O103" s="179">
        <v>0</v>
      </c>
      <c r="P103" s="179">
        <v>0</v>
      </c>
      <c r="Q103" s="179">
        <v>0</v>
      </c>
      <c r="R103" s="179">
        <v>0</v>
      </c>
      <c r="S103" s="179">
        <v>0</v>
      </c>
      <c r="T103" s="181">
        <f t="shared" si="18"/>
        <v>0</v>
      </c>
      <c r="U103" s="182">
        <f t="shared" si="19"/>
        <v>0</v>
      </c>
      <c r="V103" s="73">
        <v>0</v>
      </c>
      <c r="W103" s="73">
        <v>0</v>
      </c>
      <c r="X103" s="182">
        <f t="shared" si="15"/>
        <v>0</v>
      </c>
      <c r="Y103" s="297">
        <f t="shared" si="16"/>
        <v>0</v>
      </c>
      <c r="AA103" s="138"/>
    </row>
    <row r="104" spans="2:27 16000:16001" ht="12.95" customHeight="1" x14ac:dyDescent="0.2">
      <c r="B104" s="296"/>
      <c r="C104" s="173">
        <f t="shared" si="17"/>
        <v>2026102</v>
      </c>
      <c r="D104" s="296"/>
      <c r="E104" s="178" t="s">
        <v>44</v>
      </c>
      <c r="F104" s="175" t="str">
        <f>VLOOKUP(E104,'Códigos Banco'!$B$3:$D$27,2,0)</f>
        <v>Occidente - Directa</v>
      </c>
      <c r="G104" s="178">
        <v>13</v>
      </c>
      <c r="H104" s="175" t="str">
        <f>VLOOKUP(G104,'Códigos Banco'!$F$3:$G$18,2,0)</f>
        <v>T23 Directa - Transferencias</v>
      </c>
      <c r="I104" s="175">
        <f>VLOOKUP(E104,'Códigos Banco'!$B$3:$D$27,3,0)</f>
        <v>230887267</v>
      </c>
      <c r="J104" s="179">
        <v>0</v>
      </c>
      <c r="K104" s="179">
        <v>0</v>
      </c>
      <c r="L104" s="179">
        <v>0</v>
      </c>
      <c r="M104" s="179">
        <v>0</v>
      </c>
      <c r="N104" s="179">
        <v>0</v>
      </c>
      <c r="O104" s="179">
        <v>0</v>
      </c>
      <c r="P104" s="179">
        <v>0</v>
      </c>
      <c r="Q104" s="179">
        <v>0</v>
      </c>
      <c r="R104" s="179">
        <v>0</v>
      </c>
      <c r="S104" s="179">
        <v>0</v>
      </c>
      <c r="T104" s="181">
        <f t="shared" si="13"/>
        <v>0</v>
      </c>
      <c r="U104" s="182">
        <f t="shared" si="14"/>
        <v>0</v>
      </c>
      <c r="V104" s="73">
        <v>0</v>
      </c>
      <c r="W104" s="73">
        <v>0</v>
      </c>
      <c r="X104" s="182">
        <f t="shared" si="15"/>
        <v>0</v>
      </c>
      <c r="Y104" s="297">
        <f t="shared" si="16"/>
        <v>0</v>
      </c>
      <c r="AA104" s="138"/>
    </row>
    <row r="105" spans="2:27 16000:16001" ht="12.95" customHeight="1" x14ac:dyDescent="0.2">
      <c r="B105" s="296"/>
      <c r="C105" s="173">
        <f t="shared" si="17"/>
        <v>2026102</v>
      </c>
      <c r="D105" s="296"/>
      <c r="E105" s="178" t="s">
        <v>44</v>
      </c>
      <c r="F105" s="175" t="str">
        <f>VLOOKUP(E105,'Códigos Banco'!$B$3:$D$27,2,0)</f>
        <v>Occidente - Directa</v>
      </c>
      <c r="G105" s="178">
        <v>13</v>
      </c>
      <c r="H105" s="175" t="str">
        <f>VLOOKUP(G105,'Códigos Banco'!$F$3:$G$18,2,0)</f>
        <v>T23 Directa - Transferencias</v>
      </c>
      <c r="I105" s="175">
        <f>VLOOKUP(E105,'Códigos Banco'!$B$3:$D$27,3,0)</f>
        <v>230887267</v>
      </c>
      <c r="J105" s="179">
        <v>0</v>
      </c>
      <c r="K105" s="179">
        <v>0</v>
      </c>
      <c r="L105" s="179">
        <v>0</v>
      </c>
      <c r="M105" s="179">
        <v>0</v>
      </c>
      <c r="N105" s="179">
        <v>0</v>
      </c>
      <c r="O105" s="179">
        <v>0</v>
      </c>
      <c r="P105" s="179">
        <v>0</v>
      </c>
      <c r="Q105" s="179">
        <v>0</v>
      </c>
      <c r="R105" s="179">
        <v>0</v>
      </c>
      <c r="S105" s="179">
        <v>0</v>
      </c>
      <c r="T105" s="181">
        <f t="shared" si="13"/>
        <v>0</v>
      </c>
      <c r="U105" s="182">
        <f t="shared" si="14"/>
        <v>0</v>
      </c>
      <c r="V105" s="73">
        <v>0</v>
      </c>
      <c r="W105" s="73">
        <v>0</v>
      </c>
      <c r="X105" s="182">
        <f t="shared" si="15"/>
        <v>0</v>
      </c>
      <c r="Y105" s="297">
        <f t="shared" si="16"/>
        <v>0</v>
      </c>
      <c r="AA105" s="138"/>
    </row>
    <row r="106" spans="2:27 16000:16001" ht="12.95" customHeight="1" x14ac:dyDescent="0.2">
      <c r="B106" s="296"/>
      <c r="C106" s="173">
        <f t="shared" si="17"/>
        <v>2026102</v>
      </c>
      <c r="D106" s="296"/>
      <c r="E106" s="178" t="s">
        <v>44</v>
      </c>
      <c r="F106" s="175" t="str">
        <f>VLOOKUP(E106,'Códigos Banco'!$B$3:$D$27,2,0)</f>
        <v>Occidente - Directa</v>
      </c>
      <c r="G106" s="178">
        <v>13</v>
      </c>
      <c r="H106" s="175" t="str">
        <f>VLOOKUP(G106,'Códigos Banco'!$F$3:$G$18,2,0)</f>
        <v>T23 Directa - Transferencias</v>
      </c>
      <c r="I106" s="175">
        <f>VLOOKUP(E106,'Códigos Banco'!$B$3:$D$27,3,0)</f>
        <v>230887267</v>
      </c>
      <c r="J106" s="179">
        <v>0</v>
      </c>
      <c r="K106" s="179">
        <v>0</v>
      </c>
      <c r="L106" s="179">
        <v>0</v>
      </c>
      <c r="M106" s="179">
        <v>0</v>
      </c>
      <c r="N106" s="179">
        <v>0</v>
      </c>
      <c r="O106" s="179">
        <v>0</v>
      </c>
      <c r="P106" s="179">
        <v>0</v>
      </c>
      <c r="Q106" s="179">
        <v>0</v>
      </c>
      <c r="R106" s="179">
        <v>0</v>
      </c>
      <c r="S106" s="179">
        <v>0</v>
      </c>
      <c r="T106" s="181">
        <f t="shared" si="13"/>
        <v>0</v>
      </c>
      <c r="U106" s="182">
        <f t="shared" si="14"/>
        <v>0</v>
      </c>
      <c r="V106" s="73">
        <v>0</v>
      </c>
      <c r="W106" s="73">
        <v>0</v>
      </c>
      <c r="X106" s="182">
        <f t="shared" si="15"/>
        <v>0</v>
      </c>
      <c r="Y106" s="297">
        <f t="shared" si="16"/>
        <v>0</v>
      </c>
      <c r="AA106" s="138"/>
    </row>
    <row r="107" spans="2:27 16000:16001" ht="12.95" customHeight="1" x14ac:dyDescent="0.2">
      <c r="B107" s="296"/>
      <c r="C107" s="173">
        <f t="shared" si="17"/>
        <v>2026102</v>
      </c>
      <c r="D107" s="296"/>
      <c r="E107" s="178" t="s">
        <v>44</v>
      </c>
      <c r="F107" s="175" t="str">
        <f>VLOOKUP(E107,'Códigos Banco'!$B$3:$D$27,2,0)</f>
        <v>Occidente - Directa</v>
      </c>
      <c r="G107" s="178">
        <v>13</v>
      </c>
      <c r="H107" s="175" t="str">
        <f>VLOOKUP(G107,'Códigos Banco'!$F$3:$G$18,2,0)</f>
        <v>T23 Directa - Transferencias</v>
      </c>
      <c r="I107" s="175">
        <f>VLOOKUP(E107,'Códigos Banco'!$B$3:$D$27,3,0)</f>
        <v>230887267</v>
      </c>
      <c r="J107" s="179">
        <v>0</v>
      </c>
      <c r="K107" s="179">
        <v>0</v>
      </c>
      <c r="L107" s="179">
        <v>0</v>
      </c>
      <c r="M107" s="179">
        <v>0</v>
      </c>
      <c r="N107" s="179">
        <v>0</v>
      </c>
      <c r="O107" s="179">
        <v>0</v>
      </c>
      <c r="P107" s="179">
        <v>0</v>
      </c>
      <c r="Q107" s="179">
        <v>0</v>
      </c>
      <c r="R107" s="179">
        <v>0</v>
      </c>
      <c r="S107" s="179">
        <v>0</v>
      </c>
      <c r="T107" s="181">
        <f t="shared" si="13"/>
        <v>0</v>
      </c>
      <c r="U107" s="182">
        <f t="shared" si="14"/>
        <v>0</v>
      </c>
      <c r="V107" s="73">
        <v>0</v>
      </c>
      <c r="W107" s="73">
        <v>0</v>
      </c>
      <c r="X107" s="182">
        <f t="shared" si="15"/>
        <v>0</v>
      </c>
      <c r="Y107" s="297">
        <f t="shared" si="16"/>
        <v>0</v>
      </c>
      <c r="AA107" s="138"/>
    </row>
    <row r="108" spans="2:27 16000:16001" ht="12.95" customHeight="1" x14ac:dyDescent="0.2">
      <c r="B108" s="296"/>
      <c r="C108" s="173">
        <f t="shared" si="17"/>
        <v>2026102</v>
      </c>
      <c r="D108" s="296"/>
      <c r="E108" s="178" t="s">
        <v>44</v>
      </c>
      <c r="F108" s="175" t="str">
        <f>VLOOKUP(E108,'Códigos Banco'!$B$3:$D$27,2,0)</f>
        <v>Occidente - Directa</v>
      </c>
      <c r="G108" s="178">
        <v>13</v>
      </c>
      <c r="H108" s="175" t="str">
        <f>VLOOKUP(G108,'Códigos Banco'!$F$3:$G$18,2,0)</f>
        <v>T23 Directa - Transferencias</v>
      </c>
      <c r="I108" s="175">
        <f>VLOOKUP(E108,'Códigos Banco'!$B$3:$D$27,3,0)</f>
        <v>230887267</v>
      </c>
      <c r="J108" s="179">
        <v>0</v>
      </c>
      <c r="K108" s="179">
        <v>0</v>
      </c>
      <c r="L108" s="179">
        <v>0</v>
      </c>
      <c r="M108" s="179">
        <v>0</v>
      </c>
      <c r="N108" s="179">
        <v>0</v>
      </c>
      <c r="O108" s="179">
        <v>0</v>
      </c>
      <c r="P108" s="179">
        <v>0</v>
      </c>
      <c r="Q108" s="179">
        <v>0</v>
      </c>
      <c r="R108" s="179">
        <v>0</v>
      </c>
      <c r="S108" s="179">
        <v>0</v>
      </c>
      <c r="T108" s="181">
        <f t="shared" si="13"/>
        <v>0</v>
      </c>
      <c r="U108" s="182">
        <f t="shared" si="14"/>
        <v>0</v>
      </c>
      <c r="V108" s="73">
        <v>0</v>
      </c>
      <c r="W108" s="73">
        <v>0</v>
      </c>
      <c r="X108" s="182">
        <f t="shared" si="15"/>
        <v>0</v>
      </c>
      <c r="Y108" s="297">
        <f t="shared" si="16"/>
        <v>0</v>
      </c>
      <c r="AA108" s="138"/>
    </row>
    <row r="109" spans="2:27 16000:16001" ht="12.95" customHeight="1" x14ac:dyDescent="0.2">
      <c r="B109" s="296"/>
      <c r="C109" s="173">
        <f t="shared" si="17"/>
        <v>2026102</v>
      </c>
      <c r="D109" s="296"/>
      <c r="E109" s="178" t="s">
        <v>44</v>
      </c>
      <c r="F109" s="175" t="str">
        <f>VLOOKUP(E109,'Códigos Banco'!$B$3:$D$27,2,0)</f>
        <v>Occidente - Directa</v>
      </c>
      <c r="G109" s="178">
        <v>13</v>
      </c>
      <c r="H109" s="175" t="str">
        <f>VLOOKUP(G109,'Códigos Banco'!$F$3:$G$18,2,0)</f>
        <v>T23 Directa - Transferencias</v>
      </c>
      <c r="I109" s="175">
        <f>VLOOKUP(E109,'Códigos Banco'!$B$3:$D$27,3,0)</f>
        <v>230887267</v>
      </c>
      <c r="J109" s="179">
        <v>0</v>
      </c>
      <c r="K109" s="179">
        <v>0</v>
      </c>
      <c r="L109" s="179">
        <v>0</v>
      </c>
      <c r="M109" s="179">
        <v>0</v>
      </c>
      <c r="N109" s="179">
        <v>0</v>
      </c>
      <c r="O109" s="179">
        <v>0</v>
      </c>
      <c r="P109" s="179">
        <v>0</v>
      </c>
      <c r="Q109" s="179">
        <v>0</v>
      </c>
      <c r="R109" s="179">
        <v>0</v>
      </c>
      <c r="S109" s="179">
        <v>0</v>
      </c>
      <c r="T109" s="181">
        <f t="shared" si="13"/>
        <v>0</v>
      </c>
      <c r="U109" s="182">
        <f t="shared" si="14"/>
        <v>0</v>
      </c>
      <c r="V109" s="73">
        <v>0</v>
      </c>
      <c r="W109" s="73">
        <v>0</v>
      </c>
      <c r="X109" s="182">
        <f t="shared" si="15"/>
        <v>0</v>
      </c>
      <c r="Y109" s="297">
        <f t="shared" si="16"/>
        <v>0</v>
      </c>
      <c r="AA109" s="138"/>
    </row>
    <row r="110" spans="2:27 16000:16001" ht="12.95" customHeight="1" x14ac:dyDescent="0.2">
      <c r="B110" s="296"/>
      <c r="C110" s="173">
        <f t="shared" si="17"/>
        <v>2026102</v>
      </c>
      <c r="D110" s="296"/>
      <c r="E110" s="178" t="s">
        <v>44</v>
      </c>
      <c r="F110" s="175" t="str">
        <f>VLOOKUP(E110,'Códigos Banco'!$B$3:$D$27,2,0)</f>
        <v>Occidente - Directa</v>
      </c>
      <c r="G110" s="178">
        <v>13</v>
      </c>
      <c r="H110" s="175" t="str">
        <f>VLOOKUP(G110,'Códigos Banco'!$F$3:$G$18,2,0)</f>
        <v>T23 Directa - Transferencias</v>
      </c>
      <c r="I110" s="175">
        <f>VLOOKUP(E110,'Códigos Banco'!$B$3:$D$27,3,0)</f>
        <v>230887267</v>
      </c>
      <c r="J110" s="179">
        <v>0</v>
      </c>
      <c r="K110" s="179">
        <v>0</v>
      </c>
      <c r="L110" s="179">
        <v>0</v>
      </c>
      <c r="M110" s="179">
        <v>0</v>
      </c>
      <c r="N110" s="179">
        <v>0</v>
      </c>
      <c r="O110" s="179">
        <v>0</v>
      </c>
      <c r="P110" s="179">
        <v>0</v>
      </c>
      <c r="Q110" s="179">
        <v>0</v>
      </c>
      <c r="R110" s="179">
        <v>0</v>
      </c>
      <c r="S110" s="179">
        <v>0</v>
      </c>
      <c r="T110" s="181">
        <f t="shared" si="13"/>
        <v>0</v>
      </c>
      <c r="U110" s="182">
        <f t="shared" si="14"/>
        <v>0</v>
      </c>
      <c r="V110" s="73">
        <v>0</v>
      </c>
      <c r="W110" s="73">
        <v>0</v>
      </c>
      <c r="X110" s="182">
        <f t="shared" si="15"/>
        <v>0</v>
      </c>
      <c r="Y110" s="297">
        <f t="shared" si="16"/>
        <v>0</v>
      </c>
      <c r="AA110" s="138"/>
    </row>
    <row r="111" spans="2:27 16000:16001" ht="12.95" customHeight="1" x14ac:dyDescent="0.2">
      <c r="B111" s="296"/>
      <c r="C111" s="173">
        <f t="shared" si="17"/>
        <v>2026102</v>
      </c>
      <c r="D111" s="296"/>
      <c r="E111" s="178" t="s">
        <v>44</v>
      </c>
      <c r="F111" s="175" t="str">
        <f>VLOOKUP(E111,'Códigos Banco'!$B$3:$D$27,2,0)</f>
        <v>Occidente - Directa</v>
      </c>
      <c r="G111" s="178">
        <v>13</v>
      </c>
      <c r="H111" s="175" t="str">
        <f>VLOOKUP(G111,'Códigos Banco'!$F$3:$G$18,2,0)</f>
        <v>T23 Directa - Transferencias</v>
      </c>
      <c r="I111" s="175">
        <f>VLOOKUP(E111,'Códigos Banco'!$B$3:$D$27,3,0)</f>
        <v>230887267</v>
      </c>
      <c r="J111" s="179">
        <v>0</v>
      </c>
      <c r="K111" s="179">
        <v>0</v>
      </c>
      <c r="L111" s="179">
        <v>0</v>
      </c>
      <c r="M111" s="179">
        <v>0</v>
      </c>
      <c r="N111" s="179">
        <v>0</v>
      </c>
      <c r="O111" s="179">
        <v>0</v>
      </c>
      <c r="P111" s="179">
        <v>0</v>
      </c>
      <c r="Q111" s="179">
        <v>0</v>
      </c>
      <c r="R111" s="179">
        <v>0</v>
      </c>
      <c r="S111" s="179">
        <v>0</v>
      </c>
      <c r="T111" s="181">
        <f t="shared" si="13"/>
        <v>0</v>
      </c>
      <c r="U111" s="182">
        <f t="shared" si="14"/>
        <v>0</v>
      </c>
      <c r="V111" s="73">
        <v>0</v>
      </c>
      <c r="W111" s="73">
        <v>0</v>
      </c>
      <c r="X111" s="182">
        <f t="shared" si="15"/>
        <v>0</v>
      </c>
      <c r="Y111" s="297">
        <f t="shared" si="16"/>
        <v>0</v>
      </c>
      <c r="AA111" s="138"/>
    </row>
    <row r="112" spans="2:27 16000:16001" ht="12.95" customHeight="1" x14ac:dyDescent="0.2">
      <c r="B112" s="296"/>
      <c r="C112" s="173">
        <f t="shared" si="17"/>
        <v>2026102</v>
      </c>
      <c r="D112" s="296"/>
      <c r="E112" s="178" t="s">
        <v>44</v>
      </c>
      <c r="F112" s="175" t="str">
        <f>VLOOKUP(E112,'Códigos Banco'!$B$3:$D$27,2,0)</f>
        <v>Occidente - Directa</v>
      </c>
      <c r="G112" s="178">
        <v>13</v>
      </c>
      <c r="H112" s="175" t="str">
        <f>VLOOKUP(G112,'Códigos Banco'!$F$3:$G$18,2,0)</f>
        <v>T23 Directa - Transferencias</v>
      </c>
      <c r="I112" s="175">
        <f>VLOOKUP(E112,'Códigos Banco'!$B$3:$D$27,3,0)</f>
        <v>230887267</v>
      </c>
      <c r="J112" s="179">
        <v>0</v>
      </c>
      <c r="K112" s="179">
        <v>0</v>
      </c>
      <c r="L112" s="179">
        <v>0</v>
      </c>
      <c r="M112" s="179">
        <v>0</v>
      </c>
      <c r="N112" s="179">
        <v>0</v>
      </c>
      <c r="O112" s="179">
        <v>0</v>
      </c>
      <c r="P112" s="179">
        <v>0</v>
      </c>
      <c r="Q112" s="179">
        <v>0</v>
      </c>
      <c r="R112" s="179">
        <v>0</v>
      </c>
      <c r="S112" s="179">
        <v>0</v>
      </c>
      <c r="T112" s="181">
        <f t="shared" si="13"/>
        <v>0</v>
      </c>
      <c r="U112" s="182">
        <f t="shared" si="14"/>
        <v>0</v>
      </c>
      <c r="V112" s="73">
        <v>0</v>
      </c>
      <c r="W112" s="179">
        <v>0</v>
      </c>
      <c r="X112" s="182">
        <f t="shared" si="15"/>
        <v>0</v>
      </c>
      <c r="Y112" s="297">
        <f t="shared" si="16"/>
        <v>0</v>
      </c>
      <c r="AA112" s="138"/>
    </row>
    <row r="113" spans="2:27" ht="12.95" customHeight="1" x14ac:dyDescent="0.2">
      <c r="B113" s="296"/>
      <c r="C113" s="173">
        <f t="shared" si="17"/>
        <v>2026102</v>
      </c>
      <c r="D113" s="296"/>
      <c r="E113" s="178" t="s">
        <v>44</v>
      </c>
      <c r="F113" s="175" t="str">
        <f>VLOOKUP(E113,'Códigos Banco'!$B$3:$D$27,2,0)</f>
        <v>Occidente - Directa</v>
      </c>
      <c r="G113" s="178">
        <v>13</v>
      </c>
      <c r="H113" s="175" t="str">
        <f>VLOOKUP(G113,'Códigos Banco'!$F$3:$G$18,2,0)</f>
        <v>T23 Directa - Transferencias</v>
      </c>
      <c r="I113" s="175">
        <f>VLOOKUP(E113,'Códigos Banco'!$B$3:$D$27,3,0)</f>
        <v>230887267</v>
      </c>
      <c r="J113" s="179">
        <v>0</v>
      </c>
      <c r="K113" s="179">
        <v>0</v>
      </c>
      <c r="L113" s="179">
        <v>0</v>
      </c>
      <c r="M113" s="179">
        <v>0</v>
      </c>
      <c r="N113" s="179">
        <v>0</v>
      </c>
      <c r="O113" s="179">
        <v>0</v>
      </c>
      <c r="P113" s="179">
        <v>0</v>
      </c>
      <c r="Q113" s="179">
        <v>0</v>
      </c>
      <c r="R113" s="179">
        <v>0</v>
      </c>
      <c r="S113" s="179">
        <v>0</v>
      </c>
      <c r="T113" s="181">
        <f t="shared" si="13"/>
        <v>0</v>
      </c>
      <c r="U113" s="182">
        <f t="shared" si="14"/>
        <v>0</v>
      </c>
      <c r="V113" s="73">
        <v>0</v>
      </c>
      <c r="W113" s="73">
        <v>0</v>
      </c>
      <c r="X113" s="182">
        <f t="shared" si="15"/>
        <v>0</v>
      </c>
      <c r="Y113" s="297">
        <f t="shared" si="16"/>
        <v>0</v>
      </c>
      <c r="AA113" s="138"/>
    </row>
    <row r="114" spans="2:27" ht="12.95" customHeight="1" x14ac:dyDescent="0.2">
      <c r="B114" s="296"/>
      <c r="C114" s="173">
        <f t="shared" si="17"/>
        <v>2026102</v>
      </c>
      <c r="D114" s="296"/>
      <c r="E114" s="178" t="s">
        <v>44</v>
      </c>
      <c r="F114" s="175" t="str">
        <f>VLOOKUP(E114,'Códigos Banco'!$B$3:$D$27,2,0)</f>
        <v>Occidente - Directa</v>
      </c>
      <c r="G114" s="178">
        <v>13</v>
      </c>
      <c r="H114" s="175" t="str">
        <f>VLOOKUP(G114,'Códigos Banco'!$F$3:$G$18,2,0)</f>
        <v>T23 Directa - Transferencias</v>
      </c>
      <c r="I114" s="175">
        <f>VLOOKUP(E114,'Códigos Banco'!$B$3:$D$27,3,0)</f>
        <v>230887267</v>
      </c>
      <c r="J114" s="179">
        <v>0</v>
      </c>
      <c r="K114" s="179">
        <v>0</v>
      </c>
      <c r="L114" s="179">
        <v>0</v>
      </c>
      <c r="M114" s="179">
        <v>0</v>
      </c>
      <c r="N114" s="179">
        <v>0</v>
      </c>
      <c r="O114" s="179">
        <v>0</v>
      </c>
      <c r="P114" s="179">
        <v>0</v>
      </c>
      <c r="Q114" s="179">
        <v>0</v>
      </c>
      <c r="R114" s="179">
        <v>0</v>
      </c>
      <c r="S114" s="179">
        <v>0</v>
      </c>
      <c r="T114" s="181">
        <f t="shared" ref="T114:T145" si="20">J114+L114+N114+P114+R114</f>
        <v>0</v>
      </c>
      <c r="U114" s="182">
        <f t="shared" ref="U114:U145" si="21">K114+M114+O114+Q114+S114</f>
        <v>0</v>
      </c>
      <c r="V114" s="73">
        <v>0</v>
      </c>
      <c r="W114" s="73">
        <v>0</v>
      </c>
      <c r="X114" s="182">
        <f t="shared" ref="X114:X145" si="22">V114-T114</f>
        <v>0</v>
      </c>
      <c r="Y114" s="297">
        <f t="shared" ref="Y114:Y145" si="23">W114-U114</f>
        <v>0</v>
      </c>
      <c r="AA114" s="138"/>
    </row>
    <row r="115" spans="2:27" ht="12.95" customHeight="1" x14ac:dyDescent="0.2">
      <c r="B115" s="296"/>
      <c r="C115" s="173">
        <f t="shared" ref="C115:C146" si="24">C114</f>
        <v>2026102</v>
      </c>
      <c r="D115" s="296"/>
      <c r="E115" s="178" t="s">
        <v>44</v>
      </c>
      <c r="F115" s="175" t="str">
        <f>VLOOKUP(E115,'Códigos Banco'!$B$3:$D$27,2,0)</f>
        <v>Occidente - Directa</v>
      </c>
      <c r="G115" s="178">
        <v>13</v>
      </c>
      <c r="H115" s="175" t="str">
        <f>VLOOKUP(G115,'Códigos Banco'!$F$3:$G$18,2,0)</f>
        <v>T23 Directa - Transferencias</v>
      </c>
      <c r="I115" s="175">
        <f>VLOOKUP(E115,'Códigos Banco'!$B$3:$D$27,3,0)</f>
        <v>230887267</v>
      </c>
      <c r="J115" s="179">
        <v>0</v>
      </c>
      <c r="K115" s="179">
        <v>0</v>
      </c>
      <c r="L115" s="179">
        <v>0</v>
      </c>
      <c r="M115" s="179">
        <v>0</v>
      </c>
      <c r="N115" s="179">
        <v>0</v>
      </c>
      <c r="O115" s="179">
        <v>0</v>
      </c>
      <c r="P115" s="179">
        <v>0</v>
      </c>
      <c r="Q115" s="179">
        <v>0</v>
      </c>
      <c r="R115" s="179">
        <v>0</v>
      </c>
      <c r="S115" s="179">
        <v>0</v>
      </c>
      <c r="T115" s="181">
        <f t="shared" si="20"/>
        <v>0</v>
      </c>
      <c r="U115" s="182">
        <f t="shared" si="21"/>
        <v>0</v>
      </c>
      <c r="V115" s="73">
        <v>0</v>
      </c>
      <c r="W115" s="73">
        <v>0</v>
      </c>
      <c r="X115" s="182">
        <f t="shared" si="22"/>
        <v>0</v>
      </c>
      <c r="Y115" s="297">
        <f t="shared" si="23"/>
        <v>0</v>
      </c>
      <c r="AA115" s="138"/>
    </row>
    <row r="116" spans="2:27" ht="12.95" customHeight="1" x14ac:dyDescent="0.2">
      <c r="B116" s="296"/>
      <c r="C116" s="173">
        <f t="shared" si="24"/>
        <v>2026102</v>
      </c>
      <c r="D116" s="296"/>
      <c r="E116" s="178" t="s">
        <v>44</v>
      </c>
      <c r="F116" s="175" t="str">
        <f>VLOOKUP(E116,'Códigos Banco'!$B$3:$D$27,2,0)</f>
        <v>Occidente - Directa</v>
      </c>
      <c r="G116" s="178">
        <v>13</v>
      </c>
      <c r="H116" s="175" t="str">
        <f>VLOOKUP(G116,'Códigos Banco'!$F$3:$G$18,2,0)</f>
        <v>T23 Directa - Transferencias</v>
      </c>
      <c r="I116" s="175">
        <f>VLOOKUP(E116,'Códigos Banco'!$B$3:$D$27,3,0)</f>
        <v>230887267</v>
      </c>
      <c r="J116" s="179">
        <v>0</v>
      </c>
      <c r="K116" s="179">
        <v>0</v>
      </c>
      <c r="L116" s="179">
        <v>0</v>
      </c>
      <c r="M116" s="179">
        <v>0</v>
      </c>
      <c r="N116" s="179">
        <v>0</v>
      </c>
      <c r="O116" s="179">
        <v>0</v>
      </c>
      <c r="P116" s="179">
        <v>0</v>
      </c>
      <c r="Q116" s="179">
        <v>0</v>
      </c>
      <c r="R116" s="179">
        <v>0</v>
      </c>
      <c r="S116" s="179">
        <v>0</v>
      </c>
      <c r="T116" s="181">
        <f t="shared" si="20"/>
        <v>0</v>
      </c>
      <c r="U116" s="182">
        <f t="shared" si="21"/>
        <v>0</v>
      </c>
      <c r="V116" s="73">
        <v>0</v>
      </c>
      <c r="W116" s="73">
        <v>0</v>
      </c>
      <c r="X116" s="182">
        <f t="shared" si="22"/>
        <v>0</v>
      </c>
      <c r="Y116" s="297">
        <f t="shared" si="23"/>
        <v>0</v>
      </c>
      <c r="AA116" s="138"/>
    </row>
    <row r="117" spans="2:27" ht="12.95" customHeight="1" x14ac:dyDescent="0.2">
      <c r="B117" s="296"/>
      <c r="C117" s="173">
        <f t="shared" si="24"/>
        <v>2026102</v>
      </c>
      <c r="D117" s="296"/>
      <c r="E117" s="178" t="s">
        <v>44</v>
      </c>
      <c r="F117" s="175" t="str">
        <f>VLOOKUP(E117,'Códigos Banco'!$B$3:$D$27,2,0)</f>
        <v>Occidente - Directa</v>
      </c>
      <c r="G117" s="178">
        <v>13</v>
      </c>
      <c r="H117" s="175" t="str">
        <f>VLOOKUP(G117,'Códigos Banco'!$F$3:$G$18,2,0)</f>
        <v>T23 Directa - Transferencias</v>
      </c>
      <c r="I117" s="175">
        <f>VLOOKUP(E117,'Códigos Banco'!$B$3:$D$27,3,0)</f>
        <v>230887267</v>
      </c>
      <c r="J117" s="179">
        <v>0</v>
      </c>
      <c r="K117" s="179">
        <v>0</v>
      </c>
      <c r="L117" s="179">
        <v>0</v>
      </c>
      <c r="M117" s="179">
        <v>0</v>
      </c>
      <c r="N117" s="179">
        <v>0</v>
      </c>
      <c r="O117" s="179">
        <v>0</v>
      </c>
      <c r="P117" s="179">
        <v>0</v>
      </c>
      <c r="Q117" s="179">
        <v>0</v>
      </c>
      <c r="R117" s="179">
        <v>0</v>
      </c>
      <c r="S117" s="179">
        <v>0</v>
      </c>
      <c r="T117" s="181">
        <f t="shared" si="20"/>
        <v>0</v>
      </c>
      <c r="U117" s="182">
        <f t="shared" si="21"/>
        <v>0</v>
      </c>
      <c r="V117" s="73">
        <v>0</v>
      </c>
      <c r="W117" s="73">
        <v>0</v>
      </c>
      <c r="X117" s="182">
        <f t="shared" si="22"/>
        <v>0</v>
      </c>
      <c r="Y117" s="297">
        <f t="shared" si="23"/>
        <v>0</v>
      </c>
      <c r="AA117" s="138"/>
    </row>
    <row r="118" spans="2:27" ht="12.95" customHeight="1" x14ac:dyDescent="0.2">
      <c r="B118" s="296"/>
      <c r="C118" s="173">
        <f t="shared" si="24"/>
        <v>2026102</v>
      </c>
      <c r="D118" s="296"/>
      <c r="E118" s="178" t="s">
        <v>44</v>
      </c>
      <c r="F118" s="175" t="str">
        <f>VLOOKUP(E118,'Códigos Banco'!$B$3:$D$27,2,0)</f>
        <v>Occidente - Directa</v>
      </c>
      <c r="G118" s="178">
        <v>13</v>
      </c>
      <c r="H118" s="175" t="str">
        <f>VLOOKUP(G118,'Códigos Banco'!$F$3:$G$18,2,0)</f>
        <v>T23 Directa - Transferencias</v>
      </c>
      <c r="I118" s="175">
        <f>VLOOKUP(E118,'Códigos Banco'!$B$3:$D$27,3,0)</f>
        <v>230887267</v>
      </c>
      <c r="J118" s="179">
        <v>0</v>
      </c>
      <c r="K118" s="179">
        <v>0</v>
      </c>
      <c r="L118" s="179">
        <v>0</v>
      </c>
      <c r="M118" s="179">
        <v>0</v>
      </c>
      <c r="N118" s="179">
        <v>0</v>
      </c>
      <c r="O118" s="179">
        <v>0</v>
      </c>
      <c r="P118" s="179">
        <v>0</v>
      </c>
      <c r="Q118" s="179">
        <v>0</v>
      </c>
      <c r="R118" s="179">
        <v>0</v>
      </c>
      <c r="S118" s="179">
        <v>0</v>
      </c>
      <c r="T118" s="181">
        <f t="shared" si="20"/>
        <v>0</v>
      </c>
      <c r="U118" s="182">
        <f t="shared" si="21"/>
        <v>0</v>
      </c>
      <c r="V118" s="73">
        <v>0</v>
      </c>
      <c r="W118" s="73">
        <v>0</v>
      </c>
      <c r="X118" s="182">
        <f t="shared" si="22"/>
        <v>0</v>
      </c>
      <c r="Y118" s="297">
        <f t="shared" si="23"/>
        <v>0</v>
      </c>
      <c r="AA118" s="138"/>
    </row>
    <row r="119" spans="2:27" ht="12.95" customHeight="1" x14ac:dyDescent="0.2">
      <c r="B119" s="296"/>
      <c r="C119" s="173">
        <f t="shared" si="24"/>
        <v>2026102</v>
      </c>
      <c r="D119" s="296"/>
      <c r="E119" s="178" t="s">
        <v>44</v>
      </c>
      <c r="F119" s="175" t="str">
        <f>VLOOKUP(E119,'Códigos Banco'!$B$3:$D$27,2,0)</f>
        <v>Occidente - Directa</v>
      </c>
      <c r="G119" s="178">
        <v>13</v>
      </c>
      <c r="H119" s="175" t="str">
        <f>VLOOKUP(G119,'Códigos Banco'!$F$3:$G$18,2,0)</f>
        <v>T23 Directa - Transferencias</v>
      </c>
      <c r="I119" s="175">
        <f>VLOOKUP(E119,'Códigos Banco'!$B$3:$D$27,3,0)</f>
        <v>230887267</v>
      </c>
      <c r="J119" s="179">
        <v>0</v>
      </c>
      <c r="K119" s="179">
        <v>0</v>
      </c>
      <c r="L119" s="179">
        <v>0</v>
      </c>
      <c r="M119" s="179">
        <v>0</v>
      </c>
      <c r="N119" s="179">
        <v>0</v>
      </c>
      <c r="O119" s="179">
        <v>0</v>
      </c>
      <c r="P119" s="179">
        <v>0</v>
      </c>
      <c r="Q119" s="179">
        <v>0</v>
      </c>
      <c r="R119" s="179">
        <v>0</v>
      </c>
      <c r="S119" s="179">
        <v>0</v>
      </c>
      <c r="T119" s="181">
        <f t="shared" si="20"/>
        <v>0</v>
      </c>
      <c r="U119" s="182">
        <f t="shared" si="21"/>
        <v>0</v>
      </c>
      <c r="V119" s="73">
        <v>0</v>
      </c>
      <c r="W119" s="73">
        <v>0</v>
      </c>
      <c r="X119" s="182">
        <f t="shared" si="22"/>
        <v>0</v>
      </c>
      <c r="Y119" s="297">
        <f t="shared" si="23"/>
        <v>0</v>
      </c>
      <c r="AA119" s="138"/>
    </row>
    <row r="120" spans="2:27" ht="12.95" customHeight="1" x14ac:dyDescent="0.2">
      <c r="B120" s="296"/>
      <c r="C120" s="173">
        <f t="shared" si="24"/>
        <v>2026102</v>
      </c>
      <c r="D120" s="296"/>
      <c r="E120" s="178" t="s">
        <v>44</v>
      </c>
      <c r="F120" s="175" t="str">
        <f>VLOOKUP(E120,'Códigos Banco'!$B$3:$D$27,2,0)</f>
        <v>Occidente - Directa</v>
      </c>
      <c r="G120" s="178">
        <v>13</v>
      </c>
      <c r="H120" s="175" t="str">
        <f>VLOOKUP(G120,'Códigos Banco'!$F$3:$G$18,2,0)</f>
        <v>T23 Directa - Transferencias</v>
      </c>
      <c r="I120" s="175">
        <f>VLOOKUP(E120,'Códigos Banco'!$B$3:$D$27,3,0)</f>
        <v>230887267</v>
      </c>
      <c r="J120" s="179">
        <v>0</v>
      </c>
      <c r="K120" s="179">
        <v>0</v>
      </c>
      <c r="L120" s="179">
        <v>0</v>
      </c>
      <c r="M120" s="179">
        <v>0</v>
      </c>
      <c r="N120" s="179">
        <v>0</v>
      </c>
      <c r="O120" s="179">
        <v>0</v>
      </c>
      <c r="P120" s="179">
        <v>0</v>
      </c>
      <c r="Q120" s="179">
        <v>0</v>
      </c>
      <c r="R120" s="179">
        <v>0</v>
      </c>
      <c r="S120" s="179">
        <v>0</v>
      </c>
      <c r="T120" s="181">
        <f t="shared" si="20"/>
        <v>0</v>
      </c>
      <c r="U120" s="182">
        <f t="shared" si="21"/>
        <v>0</v>
      </c>
      <c r="V120" s="73">
        <v>0</v>
      </c>
      <c r="W120" s="73">
        <v>0</v>
      </c>
      <c r="X120" s="182">
        <f t="shared" si="22"/>
        <v>0</v>
      </c>
      <c r="Y120" s="297">
        <f t="shared" si="23"/>
        <v>0</v>
      </c>
      <c r="AA120" s="138"/>
    </row>
    <row r="121" spans="2:27" ht="12.95" customHeight="1" x14ac:dyDescent="0.2">
      <c r="B121" s="296"/>
      <c r="C121" s="173">
        <f t="shared" si="24"/>
        <v>2026102</v>
      </c>
      <c r="D121" s="296"/>
      <c r="E121" s="178" t="s">
        <v>44</v>
      </c>
      <c r="F121" s="175" t="str">
        <f>VLOOKUP(E121,'Códigos Banco'!$B$3:$D$27,2,0)</f>
        <v>Occidente - Directa</v>
      </c>
      <c r="G121" s="178">
        <v>13</v>
      </c>
      <c r="H121" s="175" t="str">
        <f>VLOOKUP(G121,'Códigos Banco'!$F$3:$G$18,2,0)</f>
        <v>T23 Directa - Transferencias</v>
      </c>
      <c r="I121" s="175">
        <f>VLOOKUP(E121,'Códigos Banco'!$B$3:$D$27,3,0)</f>
        <v>230887267</v>
      </c>
      <c r="J121" s="179">
        <v>0</v>
      </c>
      <c r="K121" s="179">
        <v>0</v>
      </c>
      <c r="L121" s="179">
        <v>0</v>
      </c>
      <c r="M121" s="179">
        <v>0</v>
      </c>
      <c r="N121" s="179">
        <v>0</v>
      </c>
      <c r="O121" s="179">
        <v>0</v>
      </c>
      <c r="P121" s="179">
        <v>0</v>
      </c>
      <c r="Q121" s="179">
        <v>0</v>
      </c>
      <c r="R121" s="179">
        <v>0</v>
      </c>
      <c r="S121" s="179">
        <v>0</v>
      </c>
      <c r="T121" s="181">
        <f t="shared" si="20"/>
        <v>0</v>
      </c>
      <c r="U121" s="182">
        <f t="shared" si="21"/>
        <v>0</v>
      </c>
      <c r="V121" s="73">
        <v>0</v>
      </c>
      <c r="W121" s="73">
        <v>0</v>
      </c>
      <c r="X121" s="182">
        <f t="shared" si="22"/>
        <v>0</v>
      </c>
      <c r="Y121" s="297">
        <f t="shared" si="23"/>
        <v>0</v>
      </c>
      <c r="AA121" s="138"/>
    </row>
    <row r="122" spans="2:27" ht="12.95" customHeight="1" x14ac:dyDescent="0.2">
      <c r="B122" s="296"/>
      <c r="C122" s="173">
        <f t="shared" si="24"/>
        <v>2026102</v>
      </c>
      <c r="D122" s="296"/>
      <c r="E122" s="178" t="s">
        <v>44</v>
      </c>
      <c r="F122" s="175" t="str">
        <f>VLOOKUP(E122,'Códigos Banco'!$B$3:$D$27,2,0)</f>
        <v>Occidente - Directa</v>
      </c>
      <c r="G122" s="178">
        <v>13</v>
      </c>
      <c r="H122" s="175" t="str">
        <f>VLOOKUP(G122,'Códigos Banco'!$F$3:$G$18,2,0)</f>
        <v>T23 Directa - Transferencias</v>
      </c>
      <c r="I122" s="175">
        <f>VLOOKUP(E122,'Códigos Banco'!$B$3:$D$27,3,0)</f>
        <v>230887267</v>
      </c>
      <c r="J122" s="179">
        <v>0</v>
      </c>
      <c r="K122" s="179">
        <v>0</v>
      </c>
      <c r="L122" s="179">
        <v>0</v>
      </c>
      <c r="M122" s="179">
        <v>0</v>
      </c>
      <c r="N122" s="179">
        <v>0</v>
      </c>
      <c r="O122" s="179">
        <v>0</v>
      </c>
      <c r="P122" s="179">
        <v>0</v>
      </c>
      <c r="Q122" s="179">
        <v>0</v>
      </c>
      <c r="R122" s="179">
        <v>0</v>
      </c>
      <c r="S122" s="179">
        <v>0</v>
      </c>
      <c r="T122" s="181">
        <f t="shared" si="20"/>
        <v>0</v>
      </c>
      <c r="U122" s="182">
        <f t="shared" si="21"/>
        <v>0</v>
      </c>
      <c r="V122" s="73">
        <v>0</v>
      </c>
      <c r="W122" s="73">
        <v>0</v>
      </c>
      <c r="X122" s="182">
        <f t="shared" si="22"/>
        <v>0</v>
      </c>
      <c r="Y122" s="297">
        <f t="shared" si="23"/>
        <v>0</v>
      </c>
      <c r="AA122" s="138"/>
    </row>
    <row r="123" spans="2:27" ht="12.95" customHeight="1" x14ac:dyDescent="0.2">
      <c r="B123" s="296"/>
      <c r="C123" s="173">
        <f t="shared" si="24"/>
        <v>2026102</v>
      </c>
      <c r="D123" s="296"/>
      <c r="E123" s="178" t="s">
        <v>44</v>
      </c>
      <c r="F123" s="175" t="str">
        <f>VLOOKUP(E123,'Códigos Banco'!$B$3:$D$27,2,0)</f>
        <v>Occidente - Directa</v>
      </c>
      <c r="G123" s="178">
        <v>13</v>
      </c>
      <c r="H123" s="175" t="str">
        <f>VLOOKUP(G123,'Códigos Banco'!$F$3:$G$18,2,0)</f>
        <v>T23 Directa - Transferencias</v>
      </c>
      <c r="I123" s="175">
        <f>VLOOKUP(E123,'Códigos Banco'!$B$3:$D$27,3,0)</f>
        <v>230887267</v>
      </c>
      <c r="J123" s="179">
        <v>0</v>
      </c>
      <c r="K123" s="179">
        <v>0</v>
      </c>
      <c r="L123" s="179">
        <v>0</v>
      </c>
      <c r="M123" s="179">
        <v>0</v>
      </c>
      <c r="N123" s="244">
        <v>0</v>
      </c>
      <c r="O123" s="244">
        <v>0</v>
      </c>
      <c r="P123" s="245">
        <v>0</v>
      </c>
      <c r="Q123" s="179">
        <v>0</v>
      </c>
      <c r="R123" s="179">
        <v>0</v>
      </c>
      <c r="S123" s="179">
        <v>0</v>
      </c>
      <c r="T123" s="181">
        <f t="shared" si="20"/>
        <v>0</v>
      </c>
      <c r="U123" s="182">
        <f t="shared" si="21"/>
        <v>0</v>
      </c>
      <c r="V123" s="73">
        <v>0</v>
      </c>
      <c r="W123" s="73">
        <v>0</v>
      </c>
      <c r="X123" s="182">
        <f t="shared" si="22"/>
        <v>0</v>
      </c>
      <c r="Y123" s="297">
        <f t="shared" si="23"/>
        <v>0</v>
      </c>
      <c r="AA123" s="138"/>
    </row>
    <row r="124" spans="2:27" ht="12.95" customHeight="1" x14ac:dyDescent="0.2">
      <c r="B124" s="296"/>
      <c r="C124" s="173">
        <f t="shared" si="24"/>
        <v>2026102</v>
      </c>
      <c r="D124" s="296"/>
      <c r="E124" s="178" t="s">
        <v>44</v>
      </c>
      <c r="F124" s="175" t="str">
        <f>VLOOKUP(E124,'Códigos Banco'!$B$3:$D$27,2,0)</f>
        <v>Occidente - Directa</v>
      </c>
      <c r="G124" s="178">
        <v>13</v>
      </c>
      <c r="H124" s="175" t="str">
        <f>VLOOKUP(G124,'Códigos Banco'!$F$3:$G$18,2,0)</f>
        <v>T23 Directa - Transferencias</v>
      </c>
      <c r="I124" s="175">
        <f>VLOOKUP(E124,'Códigos Banco'!$B$3:$D$27,3,0)</f>
        <v>230887267</v>
      </c>
      <c r="J124" s="179">
        <v>0</v>
      </c>
      <c r="K124" s="179">
        <v>0</v>
      </c>
      <c r="L124" s="179">
        <v>0</v>
      </c>
      <c r="M124" s="179">
        <v>0</v>
      </c>
      <c r="N124" s="179">
        <v>0</v>
      </c>
      <c r="O124" s="179">
        <v>0</v>
      </c>
      <c r="P124" s="179">
        <v>0</v>
      </c>
      <c r="Q124" s="179">
        <v>0</v>
      </c>
      <c r="R124" s="179">
        <v>0</v>
      </c>
      <c r="S124" s="179">
        <v>0</v>
      </c>
      <c r="T124" s="181">
        <f t="shared" si="20"/>
        <v>0</v>
      </c>
      <c r="U124" s="182">
        <f t="shared" si="21"/>
        <v>0</v>
      </c>
      <c r="V124" s="73">
        <v>0</v>
      </c>
      <c r="W124" s="73">
        <v>0</v>
      </c>
      <c r="X124" s="182">
        <f t="shared" si="22"/>
        <v>0</v>
      </c>
      <c r="Y124" s="297">
        <f t="shared" si="23"/>
        <v>0</v>
      </c>
      <c r="AA124" s="138"/>
    </row>
    <row r="125" spans="2:27" ht="12.95" customHeight="1" x14ac:dyDescent="0.2">
      <c r="B125" s="296"/>
      <c r="C125" s="173">
        <f t="shared" si="24"/>
        <v>2026102</v>
      </c>
      <c r="D125" s="296"/>
      <c r="E125" s="178" t="s">
        <v>44</v>
      </c>
      <c r="F125" s="175" t="str">
        <f>VLOOKUP(E125,'Códigos Banco'!$B$3:$D$27,2,0)</f>
        <v>Occidente - Directa</v>
      </c>
      <c r="G125" s="178">
        <v>13</v>
      </c>
      <c r="H125" s="175" t="str">
        <f>VLOOKUP(G125,'Códigos Banco'!$F$3:$G$18,2,0)</f>
        <v>T23 Directa - Transferencias</v>
      </c>
      <c r="I125" s="175">
        <f>VLOOKUP(E125,'Códigos Banco'!$B$3:$D$27,3,0)</f>
        <v>230887267</v>
      </c>
      <c r="J125" s="179">
        <v>0</v>
      </c>
      <c r="K125" s="179">
        <v>0</v>
      </c>
      <c r="L125" s="179">
        <v>0</v>
      </c>
      <c r="M125" s="179">
        <v>0</v>
      </c>
      <c r="N125" s="244">
        <v>0</v>
      </c>
      <c r="O125" s="244">
        <v>0</v>
      </c>
      <c r="P125" s="245">
        <v>0</v>
      </c>
      <c r="Q125" s="179">
        <v>0</v>
      </c>
      <c r="R125" s="179">
        <v>0</v>
      </c>
      <c r="S125" s="179">
        <v>0</v>
      </c>
      <c r="T125" s="181">
        <f t="shared" si="20"/>
        <v>0</v>
      </c>
      <c r="U125" s="182">
        <f t="shared" si="21"/>
        <v>0</v>
      </c>
      <c r="V125" s="73">
        <v>0</v>
      </c>
      <c r="W125" s="73">
        <v>0</v>
      </c>
      <c r="X125" s="182">
        <f t="shared" si="22"/>
        <v>0</v>
      </c>
      <c r="Y125" s="297">
        <f t="shared" si="23"/>
        <v>0</v>
      </c>
      <c r="AA125" s="138"/>
    </row>
    <row r="126" spans="2:27" ht="12.95" customHeight="1" x14ac:dyDescent="0.2">
      <c r="B126" s="296"/>
      <c r="C126" s="173">
        <f t="shared" si="24"/>
        <v>2026102</v>
      </c>
      <c r="D126" s="296"/>
      <c r="E126" s="178" t="s">
        <v>44</v>
      </c>
      <c r="F126" s="175" t="str">
        <f>VLOOKUP(E126,'Códigos Banco'!$B$3:$D$27,2,0)</f>
        <v>Occidente - Directa</v>
      </c>
      <c r="G126" s="178">
        <v>13</v>
      </c>
      <c r="H126" s="175" t="str">
        <f>VLOOKUP(G126,'Códigos Banco'!$F$3:$G$18,2,0)</f>
        <v>T23 Directa - Transferencias</v>
      </c>
      <c r="I126" s="175">
        <f>VLOOKUP(E126,'Códigos Banco'!$B$3:$D$27,3,0)</f>
        <v>230887267</v>
      </c>
      <c r="J126" s="179">
        <v>0</v>
      </c>
      <c r="K126" s="179">
        <v>0</v>
      </c>
      <c r="L126" s="179">
        <v>0</v>
      </c>
      <c r="M126" s="179">
        <v>0</v>
      </c>
      <c r="N126" s="244">
        <v>0</v>
      </c>
      <c r="O126" s="244">
        <v>0</v>
      </c>
      <c r="P126" s="245">
        <v>0</v>
      </c>
      <c r="Q126" s="179">
        <v>0</v>
      </c>
      <c r="R126" s="179">
        <v>0</v>
      </c>
      <c r="S126" s="179">
        <v>0</v>
      </c>
      <c r="T126" s="181">
        <f t="shared" si="20"/>
        <v>0</v>
      </c>
      <c r="U126" s="182">
        <f t="shared" si="21"/>
        <v>0</v>
      </c>
      <c r="V126" s="73">
        <v>0</v>
      </c>
      <c r="W126" s="73">
        <v>0</v>
      </c>
      <c r="X126" s="182">
        <f t="shared" si="22"/>
        <v>0</v>
      </c>
      <c r="Y126" s="297">
        <f t="shared" si="23"/>
        <v>0</v>
      </c>
      <c r="AA126" s="138"/>
    </row>
    <row r="127" spans="2:27" ht="12.95" customHeight="1" x14ac:dyDescent="0.2">
      <c r="B127" s="296"/>
      <c r="C127" s="173">
        <f t="shared" si="24"/>
        <v>2026102</v>
      </c>
      <c r="D127" s="296"/>
      <c r="E127" s="178" t="s">
        <v>44</v>
      </c>
      <c r="F127" s="175" t="str">
        <f>VLOOKUP(E127,'Códigos Banco'!$B$3:$D$27,2,0)</f>
        <v>Occidente - Directa</v>
      </c>
      <c r="G127" s="178">
        <v>13</v>
      </c>
      <c r="H127" s="175" t="str">
        <f>VLOOKUP(G127,'Códigos Banco'!$F$3:$G$18,2,0)</f>
        <v>T23 Directa - Transferencias</v>
      </c>
      <c r="I127" s="175">
        <f>VLOOKUP(E127,'Códigos Banco'!$B$3:$D$27,3,0)</f>
        <v>230887267</v>
      </c>
      <c r="J127" s="179">
        <v>0</v>
      </c>
      <c r="K127" s="179">
        <v>0</v>
      </c>
      <c r="L127" s="179">
        <v>0</v>
      </c>
      <c r="M127" s="179">
        <v>0</v>
      </c>
      <c r="N127" s="244">
        <v>0</v>
      </c>
      <c r="O127" s="244">
        <v>0</v>
      </c>
      <c r="P127" s="245">
        <v>0</v>
      </c>
      <c r="Q127" s="179">
        <v>0</v>
      </c>
      <c r="R127" s="179">
        <v>0</v>
      </c>
      <c r="S127" s="179">
        <v>0</v>
      </c>
      <c r="T127" s="181">
        <f t="shared" si="20"/>
        <v>0</v>
      </c>
      <c r="U127" s="182">
        <f t="shared" si="21"/>
        <v>0</v>
      </c>
      <c r="V127" s="73">
        <v>0</v>
      </c>
      <c r="W127" s="73">
        <v>0</v>
      </c>
      <c r="X127" s="182">
        <f t="shared" si="22"/>
        <v>0</v>
      </c>
      <c r="Y127" s="297">
        <f t="shared" si="23"/>
        <v>0</v>
      </c>
      <c r="AA127" s="138"/>
    </row>
    <row r="128" spans="2:27" ht="12.95" customHeight="1" x14ac:dyDescent="0.2">
      <c r="B128" s="296"/>
      <c r="C128" s="173">
        <f t="shared" si="24"/>
        <v>2026102</v>
      </c>
      <c r="D128" s="296"/>
      <c r="E128" s="178" t="s">
        <v>44</v>
      </c>
      <c r="F128" s="175" t="str">
        <f>VLOOKUP(E128,'Códigos Banco'!$B$3:$D$27,2,0)</f>
        <v>Occidente - Directa</v>
      </c>
      <c r="G128" s="178">
        <v>13</v>
      </c>
      <c r="H128" s="175" t="str">
        <f>VLOOKUP(G128,'Códigos Banco'!$F$3:$G$18,2,0)</f>
        <v>T23 Directa - Transferencias</v>
      </c>
      <c r="I128" s="175">
        <f>VLOOKUP(E128,'Códigos Banco'!$B$3:$D$27,3,0)</f>
        <v>230887267</v>
      </c>
      <c r="J128" s="179">
        <v>0</v>
      </c>
      <c r="K128" s="179">
        <v>0</v>
      </c>
      <c r="L128" s="179">
        <v>0</v>
      </c>
      <c r="M128" s="179">
        <v>0</v>
      </c>
      <c r="N128" s="244">
        <v>0</v>
      </c>
      <c r="O128" s="244">
        <v>0</v>
      </c>
      <c r="P128" s="245">
        <v>0</v>
      </c>
      <c r="Q128" s="179">
        <v>0</v>
      </c>
      <c r="R128" s="179">
        <v>0</v>
      </c>
      <c r="S128" s="179">
        <v>0</v>
      </c>
      <c r="T128" s="181">
        <f t="shared" si="20"/>
        <v>0</v>
      </c>
      <c r="U128" s="182">
        <f t="shared" si="21"/>
        <v>0</v>
      </c>
      <c r="V128" s="73">
        <v>0</v>
      </c>
      <c r="W128" s="73">
        <v>0</v>
      </c>
      <c r="X128" s="182">
        <f t="shared" si="22"/>
        <v>0</v>
      </c>
      <c r="Y128" s="297">
        <f t="shared" si="23"/>
        <v>0</v>
      </c>
      <c r="AA128" s="138"/>
    </row>
    <row r="129" spans="2:27" ht="12.95" customHeight="1" x14ac:dyDescent="0.2">
      <c r="B129" s="296"/>
      <c r="C129" s="173">
        <f t="shared" si="24"/>
        <v>2026102</v>
      </c>
      <c r="D129" s="296"/>
      <c r="E129" s="178" t="s">
        <v>44</v>
      </c>
      <c r="F129" s="175" t="str">
        <f>VLOOKUP(E129,'Códigos Banco'!$B$3:$D$27,2,0)</f>
        <v>Occidente - Directa</v>
      </c>
      <c r="G129" s="178">
        <v>13</v>
      </c>
      <c r="H129" s="175" t="str">
        <f>VLOOKUP(G129,'Códigos Banco'!$F$3:$G$18,2,0)</f>
        <v>T23 Directa - Transferencias</v>
      </c>
      <c r="I129" s="175">
        <f>VLOOKUP(E129,'Códigos Banco'!$B$3:$D$27,3,0)</f>
        <v>230887267</v>
      </c>
      <c r="J129" s="179">
        <v>0</v>
      </c>
      <c r="K129" s="179">
        <v>0</v>
      </c>
      <c r="L129" s="179">
        <v>0</v>
      </c>
      <c r="M129" s="179">
        <v>0</v>
      </c>
      <c r="N129" s="244">
        <v>0</v>
      </c>
      <c r="O129" s="244">
        <v>0</v>
      </c>
      <c r="P129" s="245">
        <v>0</v>
      </c>
      <c r="Q129" s="179">
        <v>0</v>
      </c>
      <c r="R129" s="179">
        <v>0</v>
      </c>
      <c r="S129" s="179">
        <v>0</v>
      </c>
      <c r="T129" s="181">
        <f t="shared" si="20"/>
        <v>0</v>
      </c>
      <c r="U129" s="182">
        <f t="shared" si="21"/>
        <v>0</v>
      </c>
      <c r="V129" s="73">
        <v>0</v>
      </c>
      <c r="W129" s="73">
        <v>0</v>
      </c>
      <c r="X129" s="182">
        <f t="shared" si="22"/>
        <v>0</v>
      </c>
      <c r="Y129" s="297">
        <f t="shared" si="23"/>
        <v>0</v>
      </c>
      <c r="AA129" s="138"/>
    </row>
    <row r="130" spans="2:27" ht="12.95" customHeight="1" x14ac:dyDescent="0.2">
      <c r="B130" s="378"/>
      <c r="C130" s="173">
        <f t="shared" si="24"/>
        <v>2026102</v>
      </c>
      <c r="D130" s="177"/>
      <c r="E130" s="178" t="s">
        <v>44</v>
      </c>
      <c r="F130" s="175" t="str">
        <f>VLOOKUP(E130,'Códigos Banco'!$B$3:$D$27,2,0)</f>
        <v>Occidente - Directa</v>
      </c>
      <c r="G130" s="178">
        <v>13</v>
      </c>
      <c r="H130" s="175" t="str">
        <f>VLOOKUP(G130,'Códigos Banco'!$F$3:$G$18,2,0)</f>
        <v>T23 Directa - Transferencias</v>
      </c>
      <c r="I130" s="175">
        <f>VLOOKUP(E130,'Códigos Banco'!$B$3:$D$27,3,0)</f>
        <v>230887267</v>
      </c>
      <c r="J130" s="179">
        <v>0</v>
      </c>
      <c r="K130" s="179">
        <v>0</v>
      </c>
      <c r="L130" s="179">
        <v>0</v>
      </c>
      <c r="M130" s="179">
        <v>0</v>
      </c>
      <c r="N130" s="179">
        <v>0</v>
      </c>
      <c r="O130" s="179">
        <v>0</v>
      </c>
      <c r="P130" s="179">
        <v>0</v>
      </c>
      <c r="Q130" s="179">
        <v>0</v>
      </c>
      <c r="R130" s="179">
        <v>0</v>
      </c>
      <c r="S130" s="179">
        <v>0</v>
      </c>
      <c r="T130" s="181">
        <f t="shared" si="20"/>
        <v>0</v>
      </c>
      <c r="U130" s="182">
        <f t="shared" si="21"/>
        <v>0</v>
      </c>
      <c r="V130" s="73">
        <v>0</v>
      </c>
      <c r="W130" s="73">
        <v>0</v>
      </c>
      <c r="X130" s="182">
        <f t="shared" si="22"/>
        <v>0</v>
      </c>
      <c r="Y130" s="297">
        <f t="shared" si="23"/>
        <v>0</v>
      </c>
      <c r="AA130" s="138"/>
    </row>
    <row r="131" spans="2:27" ht="12.95" customHeight="1" x14ac:dyDescent="0.2">
      <c r="B131" s="378"/>
      <c r="C131" s="173">
        <f t="shared" si="24"/>
        <v>2026102</v>
      </c>
      <c r="D131" s="177"/>
      <c r="E131" s="178" t="s">
        <v>44</v>
      </c>
      <c r="F131" s="175" t="str">
        <f>VLOOKUP(E131,'Códigos Banco'!$B$3:$D$27,2,0)</f>
        <v>Occidente - Directa</v>
      </c>
      <c r="G131" s="178">
        <v>13</v>
      </c>
      <c r="H131" s="175" t="str">
        <f>VLOOKUP(G131,'Códigos Banco'!$F$3:$G$18,2,0)</f>
        <v>T23 Directa - Transferencias</v>
      </c>
      <c r="I131" s="175">
        <f>VLOOKUP(E131,'Códigos Banco'!$B$3:$D$27,3,0)</f>
        <v>230887267</v>
      </c>
      <c r="J131" s="179">
        <v>0</v>
      </c>
      <c r="K131" s="179">
        <v>0</v>
      </c>
      <c r="L131" s="179">
        <v>0</v>
      </c>
      <c r="M131" s="179">
        <v>0</v>
      </c>
      <c r="N131" s="179">
        <v>0</v>
      </c>
      <c r="O131" s="179">
        <v>0</v>
      </c>
      <c r="P131" s="179">
        <v>0</v>
      </c>
      <c r="Q131" s="179">
        <v>0</v>
      </c>
      <c r="R131" s="179">
        <v>0</v>
      </c>
      <c r="S131" s="179">
        <v>0</v>
      </c>
      <c r="T131" s="181">
        <f t="shared" si="20"/>
        <v>0</v>
      </c>
      <c r="U131" s="182">
        <f t="shared" si="21"/>
        <v>0</v>
      </c>
      <c r="V131" s="73">
        <v>0</v>
      </c>
      <c r="W131" s="73">
        <v>0</v>
      </c>
      <c r="X131" s="182">
        <f t="shared" si="22"/>
        <v>0</v>
      </c>
      <c r="Y131" s="297">
        <f t="shared" si="23"/>
        <v>0</v>
      </c>
      <c r="AA131" s="138"/>
    </row>
    <row r="132" spans="2:27" ht="12.95" customHeight="1" x14ac:dyDescent="0.2">
      <c r="B132" s="174"/>
      <c r="C132" s="173">
        <f t="shared" si="24"/>
        <v>2026102</v>
      </c>
      <c r="D132" s="177"/>
      <c r="E132" s="178" t="s">
        <v>44</v>
      </c>
      <c r="F132" s="175" t="str">
        <f>VLOOKUP(E132,'Códigos Banco'!$B$3:$D$27,2,0)</f>
        <v>Occidente - Directa</v>
      </c>
      <c r="G132" s="178">
        <v>13</v>
      </c>
      <c r="H132" s="175" t="str">
        <f>VLOOKUP(G132,'Códigos Banco'!$F$3:$G$18,2,0)</f>
        <v>T23 Directa - Transferencias</v>
      </c>
      <c r="I132" s="175">
        <f>VLOOKUP(E132,'Códigos Banco'!$B$3:$D$27,3,0)</f>
        <v>230887267</v>
      </c>
      <c r="J132" s="179">
        <v>0</v>
      </c>
      <c r="K132" s="179">
        <v>0</v>
      </c>
      <c r="L132" s="179">
        <v>0</v>
      </c>
      <c r="M132" s="179">
        <v>0</v>
      </c>
      <c r="N132" s="179">
        <v>0</v>
      </c>
      <c r="O132" s="179">
        <v>0</v>
      </c>
      <c r="P132" s="179">
        <v>0</v>
      </c>
      <c r="Q132" s="179">
        <v>0</v>
      </c>
      <c r="R132" s="179">
        <v>0</v>
      </c>
      <c r="S132" s="179">
        <v>0</v>
      </c>
      <c r="T132" s="181">
        <f t="shared" si="20"/>
        <v>0</v>
      </c>
      <c r="U132" s="182">
        <f t="shared" si="21"/>
        <v>0</v>
      </c>
      <c r="V132" s="73">
        <v>0</v>
      </c>
      <c r="W132" s="73">
        <v>0</v>
      </c>
      <c r="X132" s="182">
        <f t="shared" si="22"/>
        <v>0</v>
      </c>
      <c r="Y132" s="297">
        <f t="shared" si="23"/>
        <v>0</v>
      </c>
      <c r="AA132" s="138"/>
    </row>
    <row r="133" spans="2:27" ht="12.95" customHeight="1" x14ac:dyDescent="0.2">
      <c r="B133" s="174"/>
      <c r="C133" s="173">
        <f t="shared" si="24"/>
        <v>2026102</v>
      </c>
      <c r="D133" s="177"/>
      <c r="E133" s="178" t="s">
        <v>44</v>
      </c>
      <c r="F133" s="175" t="str">
        <f>VLOOKUP(E133,'Códigos Banco'!$B$3:$D$27,2,0)</f>
        <v>Occidente - Directa</v>
      </c>
      <c r="G133" s="178">
        <v>13</v>
      </c>
      <c r="H133" s="175" t="str">
        <f>VLOOKUP(G133,'Códigos Banco'!$F$3:$G$18,2,0)</f>
        <v>T23 Directa - Transferencias</v>
      </c>
      <c r="I133" s="175">
        <f>VLOOKUP(E133,'Códigos Banco'!$B$3:$D$27,3,0)</f>
        <v>230887267</v>
      </c>
      <c r="J133" s="179">
        <v>0</v>
      </c>
      <c r="K133" s="179">
        <v>0</v>
      </c>
      <c r="L133" s="179">
        <v>0</v>
      </c>
      <c r="M133" s="179">
        <v>0</v>
      </c>
      <c r="N133" s="179">
        <v>0</v>
      </c>
      <c r="O133" s="179">
        <v>0</v>
      </c>
      <c r="P133" s="179">
        <v>0</v>
      </c>
      <c r="Q133" s="179">
        <v>0</v>
      </c>
      <c r="R133" s="179">
        <v>0</v>
      </c>
      <c r="S133" s="179">
        <v>0</v>
      </c>
      <c r="T133" s="181">
        <f t="shared" si="20"/>
        <v>0</v>
      </c>
      <c r="U133" s="182">
        <f t="shared" si="21"/>
        <v>0</v>
      </c>
      <c r="V133" s="73">
        <v>0</v>
      </c>
      <c r="W133" s="73">
        <v>0</v>
      </c>
      <c r="X133" s="182">
        <f t="shared" si="22"/>
        <v>0</v>
      </c>
      <c r="Y133" s="297">
        <f t="shared" si="23"/>
        <v>0</v>
      </c>
      <c r="AA133" s="138"/>
    </row>
    <row r="134" spans="2:27" ht="12.95" customHeight="1" x14ac:dyDescent="0.2">
      <c r="B134" s="174"/>
      <c r="C134" s="173">
        <f t="shared" si="24"/>
        <v>2026102</v>
      </c>
      <c r="D134" s="177"/>
      <c r="E134" s="178" t="s">
        <v>44</v>
      </c>
      <c r="F134" s="175" t="str">
        <f>VLOOKUP(E134,'Códigos Banco'!$B$3:$D$27,2,0)</f>
        <v>Occidente - Directa</v>
      </c>
      <c r="G134" s="178">
        <v>13</v>
      </c>
      <c r="H134" s="175" t="str">
        <f>VLOOKUP(G134,'Códigos Banco'!$F$3:$G$18,2,0)</f>
        <v>T23 Directa - Transferencias</v>
      </c>
      <c r="I134" s="175">
        <f>VLOOKUP(E134,'Códigos Banco'!$B$3:$D$27,3,0)</f>
        <v>230887267</v>
      </c>
      <c r="J134" s="179">
        <v>0</v>
      </c>
      <c r="K134" s="179">
        <v>0</v>
      </c>
      <c r="L134" s="179">
        <v>0</v>
      </c>
      <c r="M134" s="179">
        <v>0</v>
      </c>
      <c r="N134" s="179">
        <v>0</v>
      </c>
      <c r="O134" s="179">
        <v>0</v>
      </c>
      <c r="P134" s="179">
        <v>0</v>
      </c>
      <c r="Q134" s="179">
        <v>0</v>
      </c>
      <c r="R134" s="179">
        <v>0</v>
      </c>
      <c r="S134" s="179">
        <v>0</v>
      </c>
      <c r="T134" s="181">
        <f t="shared" si="20"/>
        <v>0</v>
      </c>
      <c r="U134" s="182">
        <f t="shared" si="21"/>
        <v>0</v>
      </c>
      <c r="V134" s="73">
        <v>0</v>
      </c>
      <c r="W134" s="73">
        <v>0</v>
      </c>
      <c r="X134" s="182">
        <f t="shared" si="22"/>
        <v>0</v>
      </c>
      <c r="Y134" s="297">
        <f t="shared" si="23"/>
        <v>0</v>
      </c>
      <c r="AA134" s="138"/>
    </row>
    <row r="135" spans="2:27" ht="12.95" customHeight="1" x14ac:dyDescent="0.2">
      <c r="B135" s="174"/>
      <c r="C135" s="173">
        <f t="shared" si="24"/>
        <v>2026102</v>
      </c>
      <c r="D135" s="177"/>
      <c r="E135" s="178" t="s">
        <v>44</v>
      </c>
      <c r="F135" s="175" t="str">
        <f>VLOOKUP(E135,'Códigos Banco'!$B$3:$D$27,2,0)</f>
        <v>Occidente - Directa</v>
      </c>
      <c r="G135" s="178">
        <v>13</v>
      </c>
      <c r="H135" s="175" t="str">
        <f>VLOOKUP(G135,'Códigos Banco'!$F$3:$G$18,2,0)</f>
        <v>T23 Directa - Transferencias</v>
      </c>
      <c r="I135" s="175">
        <f>VLOOKUP(E135,'Códigos Banco'!$B$3:$D$27,3,0)</f>
        <v>230887267</v>
      </c>
      <c r="J135" s="179">
        <v>0</v>
      </c>
      <c r="K135" s="179">
        <v>0</v>
      </c>
      <c r="L135" s="179">
        <v>0</v>
      </c>
      <c r="M135" s="179">
        <v>0</v>
      </c>
      <c r="N135" s="179">
        <v>0</v>
      </c>
      <c r="O135" s="179">
        <v>0</v>
      </c>
      <c r="P135" s="179">
        <v>0</v>
      </c>
      <c r="Q135" s="179">
        <v>0</v>
      </c>
      <c r="R135" s="179">
        <v>0</v>
      </c>
      <c r="S135" s="179">
        <v>0</v>
      </c>
      <c r="T135" s="181">
        <f t="shared" si="20"/>
        <v>0</v>
      </c>
      <c r="U135" s="182">
        <f t="shared" si="21"/>
        <v>0</v>
      </c>
      <c r="V135" s="73">
        <v>0</v>
      </c>
      <c r="W135" s="73">
        <v>0</v>
      </c>
      <c r="X135" s="182">
        <f t="shared" si="22"/>
        <v>0</v>
      </c>
      <c r="Y135" s="297">
        <f t="shared" si="23"/>
        <v>0</v>
      </c>
      <c r="AA135" s="138"/>
    </row>
    <row r="136" spans="2:27" ht="12.95" customHeight="1" x14ac:dyDescent="0.2">
      <c r="B136" s="174"/>
      <c r="C136" s="173">
        <f t="shared" si="24"/>
        <v>2026102</v>
      </c>
      <c r="D136" s="177"/>
      <c r="E136" s="178" t="s">
        <v>44</v>
      </c>
      <c r="F136" s="175" t="str">
        <f>VLOOKUP(E136,'Códigos Banco'!$B$3:$D$27,2,0)</f>
        <v>Occidente - Directa</v>
      </c>
      <c r="G136" s="178">
        <v>13</v>
      </c>
      <c r="H136" s="175" t="str">
        <f>VLOOKUP(G136,'Códigos Banco'!$F$3:$G$18,2,0)</f>
        <v>T23 Directa - Transferencias</v>
      </c>
      <c r="I136" s="175">
        <f>VLOOKUP(E136,'Códigos Banco'!$B$3:$D$27,3,0)</f>
        <v>230887267</v>
      </c>
      <c r="J136" s="179">
        <v>0</v>
      </c>
      <c r="K136" s="179">
        <v>0</v>
      </c>
      <c r="L136" s="179">
        <v>0</v>
      </c>
      <c r="M136" s="179">
        <v>0</v>
      </c>
      <c r="N136" s="179">
        <v>0</v>
      </c>
      <c r="O136" s="179">
        <v>0</v>
      </c>
      <c r="P136" s="179">
        <v>0</v>
      </c>
      <c r="Q136" s="179">
        <v>0</v>
      </c>
      <c r="R136" s="179">
        <v>0</v>
      </c>
      <c r="S136" s="179">
        <v>0</v>
      </c>
      <c r="T136" s="181">
        <f t="shared" si="20"/>
        <v>0</v>
      </c>
      <c r="U136" s="182">
        <f t="shared" si="21"/>
        <v>0</v>
      </c>
      <c r="V136" s="73">
        <v>0</v>
      </c>
      <c r="W136" s="73">
        <v>0</v>
      </c>
      <c r="X136" s="182">
        <f t="shared" si="22"/>
        <v>0</v>
      </c>
      <c r="Y136" s="297">
        <f t="shared" si="23"/>
        <v>0</v>
      </c>
      <c r="AA136" s="138"/>
    </row>
    <row r="137" spans="2:27" ht="12.95" customHeight="1" x14ac:dyDescent="0.2">
      <c r="B137" s="174"/>
      <c r="C137" s="173">
        <f t="shared" si="24"/>
        <v>2026102</v>
      </c>
      <c r="D137" s="177"/>
      <c r="E137" s="178" t="s">
        <v>44</v>
      </c>
      <c r="F137" s="175" t="str">
        <f>VLOOKUP(E137,'Códigos Banco'!$B$3:$D$27,2,0)</f>
        <v>Occidente - Directa</v>
      </c>
      <c r="G137" s="178">
        <v>13</v>
      </c>
      <c r="H137" s="175" t="str">
        <f>VLOOKUP(G137,'Códigos Banco'!$F$3:$G$18,2,0)</f>
        <v>T23 Directa - Transferencias</v>
      </c>
      <c r="I137" s="175">
        <f>VLOOKUP(E137,'Códigos Banco'!$B$3:$D$27,3,0)</f>
        <v>230887267</v>
      </c>
      <c r="J137" s="179">
        <v>0</v>
      </c>
      <c r="K137" s="179">
        <v>0</v>
      </c>
      <c r="L137" s="179">
        <v>0</v>
      </c>
      <c r="M137" s="179">
        <v>0</v>
      </c>
      <c r="N137" s="179">
        <v>0</v>
      </c>
      <c r="O137" s="179">
        <v>0</v>
      </c>
      <c r="P137" s="179">
        <v>0</v>
      </c>
      <c r="Q137" s="179">
        <v>0</v>
      </c>
      <c r="R137" s="179">
        <v>0</v>
      </c>
      <c r="S137" s="179">
        <v>0</v>
      </c>
      <c r="T137" s="181">
        <f t="shared" si="20"/>
        <v>0</v>
      </c>
      <c r="U137" s="182">
        <f t="shared" si="21"/>
        <v>0</v>
      </c>
      <c r="V137" s="73">
        <v>0</v>
      </c>
      <c r="W137" s="73">
        <v>0</v>
      </c>
      <c r="X137" s="182">
        <f t="shared" si="22"/>
        <v>0</v>
      </c>
      <c r="Y137" s="297">
        <f t="shared" si="23"/>
        <v>0</v>
      </c>
      <c r="AA137" s="138"/>
    </row>
    <row r="138" spans="2:27" ht="12.95" customHeight="1" x14ac:dyDescent="0.2">
      <c r="B138" s="174"/>
      <c r="C138" s="173">
        <f t="shared" si="24"/>
        <v>2026102</v>
      </c>
      <c r="D138" s="177"/>
      <c r="E138" s="178" t="s">
        <v>44</v>
      </c>
      <c r="F138" s="175" t="str">
        <f>VLOOKUP(E138,'Códigos Banco'!$B$3:$D$27,2,0)</f>
        <v>Occidente - Directa</v>
      </c>
      <c r="G138" s="178">
        <v>13</v>
      </c>
      <c r="H138" s="175" t="str">
        <f>VLOOKUP(G138,'Códigos Banco'!$F$3:$G$18,2,0)</f>
        <v>T23 Directa - Transferencias</v>
      </c>
      <c r="I138" s="175">
        <f>VLOOKUP(E138,'Códigos Banco'!$B$3:$D$27,3,0)</f>
        <v>230887267</v>
      </c>
      <c r="J138" s="179">
        <v>0</v>
      </c>
      <c r="K138" s="179">
        <v>0</v>
      </c>
      <c r="L138" s="179">
        <v>0</v>
      </c>
      <c r="M138" s="179">
        <v>0</v>
      </c>
      <c r="N138" s="179">
        <v>0</v>
      </c>
      <c r="O138" s="179">
        <v>0</v>
      </c>
      <c r="P138" s="179">
        <v>0</v>
      </c>
      <c r="Q138" s="179">
        <v>0</v>
      </c>
      <c r="R138" s="179">
        <v>0</v>
      </c>
      <c r="S138" s="179">
        <v>0</v>
      </c>
      <c r="T138" s="181">
        <f t="shared" si="20"/>
        <v>0</v>
      </c>
      <c r="U138" s="182">
        <f t="shared" si="21"/>
        <v>0</v>
      </c>
      <c r="V138" s="73">
        <v>0</v>
      </c>
      <c r="W138" s="73">
        <v>0</v>
      </c>
      <c r="X138" s="182">
        <f t="shared" si="22"/>
        <v>0</v>
      </c>
      <c r="Y138" s="297">
        <f t="shared" si="23"/>
        <v>0</v>
      </c>
      <c r="AA138" s="138"/>
    </row>
    <row r="139" spans="2:27" ht="12.95" customHeight="1" x14ac:dyDescent="0.2">
      <c r="B139" s="174"/>
      <c r="C139" s="173">
        <f t="shared" si="24"/>
        <v>2026102</v>
      </c>
      <c r="D139" s="177"/>
      <c r="E139" s="178" t="s">
        <v>44</v>
      </c>
      <c r="F139" s="175" t="str">
        <f>VLOOKUP(E139,'Códigos Banco'!$B$3:$D$27,2,0)</f>
        <v>Occidente - Directa</v>
      </c>
      <c r="G139" s="178">
        <v>13</v>
      </c>
      <c r="H139" s="175" t="str">
        <f>VLOOKUP(G139,'Códigos Banco'!$F$3:$G$18,2,0)</f>
        <v>T23 Directa - Transferencias</v>
      </c>
      <c r="I139" s="175">
        <f>VLOOKUP(E139,'Códigos Banco'!$B$3:$D$27,3,0)</f>
        <v>230887267</v>
      </c>
      <c r="J139" s="179">
        <v>0</v>
      </c>
      <c r="K139" s="179">
        <v>0</v>
      </c>
      <c r="L139" s="179">
        <v>0</v>
      </c>
      <c r="M139" s="179">
        <v>0</v>
      </c>
      <c r="N139" s="179">
        <v>0</v>
      </c>
      <c r="O139" s="179">
        <v>0</v>
      </c>
      <c r="P139" s="179">
        <v>0</v>
      </c>
      <c r="Q139" s="179">
        <v>0</v>
      </c>
      <c r="R139" s="179">
        <v>0</v>
      </c>
      <c r="S139" s="179">
        <v>0</v>
      </c>
      <c r="T139" s="181">
        <f t="shared" si="20"/>
        <v>0</v>
      </c>
      <c r="U139" s="182">
        <f t="shared" si="21"/>
        <v>0</v>
      </c>
      <c r="V139" s="73">
        <v>0</v>
      </c>
      <c r="W139" s="73">
        <v>0</v>
      </c>
      <c r="X139" s="182">
        <f t="shared" si="22"/>
        <v>0</v>
      </c>
      <c r="Y139" s="297">
        <f t="shared" si="23"/>
        <v>0</v>
      </c>
      <c r="AA139" s="138"/>
    </row>
    <row r="140" spans="2:27" ht="12.95" customHeight="1" x14ac:dyDescent="0.2">
      <c r="B140" s="174"/>
      <c r="C140" s="173">
        <f t="shared" si="24"/>
        <v>2026102</v>
      </c>
      <c r="D140" s="177"/>
      <c r="E140" s="178" t="s">
        <v>44</v>
      </c>
      <c r="F140" s="175" t="str">
        <f>VLOOKUP(E140,'Códigos Banco'!$B$3:$D$27,2,0)</f>
        <v>Occidente - Directa</v>
      </c>
      <c r="G140" s="178">
        <v>13</v>
      </c>
      <c r="H140" s="175" t="str">
        <f>VLOOKUP(G140,'Códigos Banco'!$F$3:$G$18,2,0)</f>
        <v>T23 Directa - Transferencias</v>
      </c>
      <c r="I140" s="175">
        <f>VLOOKUP(E140,'Códigos Banco'!$B$3:$D$27,3,0)</f>
        <v>230887267</v>
      </c>
      <c r="J140" s="179">
        <v>0</v>
      </c>
      <c r="K140" s="179">
        <v>0</v>
      </c>
      <c r="L140" s="179">
        <v>0</v>
      </c>
      <c r="M140" s="179">
        <v>0</v>
      </c>
      <c r="N140" s="179">
        <v>0</v>
      </c>
      <c r="O140" s="179">
        <v>0</v>
      </c>
      <c r="P140" s="179">
        <v>0</v>
      </c>
      <c r="Q140" s="179">
        <v>0</v>
      </c>
      <c r="R140" s="179">
        <v>0</v>
      </c>
      <c r="S140" s="179">
        <v>0</v>
      </c>
      <c r="T140" s="181">
        <f t="shared" si="20"/>
        <v>0</v>
      </c>
      <c r="U140" s="182">
        <f t="shared" si="21"/>
        <v>0</v>
      </c>
      <c r="V140" s="73">
        <v>0</v>
      </c>
      <c r="W140" s="73">
        <v>0</v>
      </c>
      <c r="X140" s="182">
        <f t="shared" si="22"/>
        <v>0</v>
      </c>
      <c r="Y140" s="297">
        <f t="shared" si="23"/>
        <v>0</v>
      </c>
      <c r="AA140" s="138"/>
    </row>
    <row r="141" spans="2:27" ht="12.95" customHeight="1" x14ac:dyDescent="0.2">
      <c r="B141" s="174"/>
      <c r="C141" s="173">
        <f t="shared" si="24"/>
        <v>2026102</v>
      </c>
      <c r="D141" s="177"/>
      <c r="E141" s="178" t="s">
        <v>44</v>
      </c>
      <c r="F141" s="175" t="str">
        <f>VLOOKUP(E141,'Códigos Banco'!$B$3:$D$27,2,0)</f>
        <v>Occidente - Directa</v>
      </c>
      <c r="G141" s="178">
        <v>13</v>
      </c>
      <c r="H141" s="175" t="str">
        <f>VLOOKUP(G141,'Códigos Banco'!$F$3:$G$18,2,0)</f>
        <v>T23 Directa - Transferencias</v>
      </c>
      <c r="I141" s="175">
        <f>VLOOKUP(E141,'Códigos Banco'!$B$3:$D$27,3,0)</f>
        <v>230887267</v>
      </c>
      <c r="J141" s="179">
        <v>0</v>
      </c>
      <c r="K141" s="179">
        <v>0</v>
      </c>
      <c r="L141" s="179">
        <v>0</v>
      </c>
      <c r="M141" s="179">
        <v>0</v>
      </c>
      <c r="N141" s="179">
        <v>0</v>
      </c>
      <c r="O141" s="179">
        <v>0</v>
      </c>
      <c r="P141" s="179">
        <v>0</v>
      </c>
      <c r="Q141" s="179">
        <v>0</v>
      </c>
      <c r="R141" s="179">
        <v>0</v>
      </c>
      <c r="S141" s="179">
        <v>0</v>
      </c>
      <c r="T141" s="181">
        <f t="shared" si="20"/>
        <v>0</v>
      </c>
      <c r="U141" s="182">
        <f t="shared" si="21"/>
        <v>0</v>
      </c>
      <c r="V141" s="73">
        <v>0</v>
      </c>
      <c r="W141" s="73">
        <v>0</v>
      </c>
      <c r="X141" s="182">
        <f t="shared" si="22"/>
        <v>0</v>
      </c>
      <c r="Y141" s="297">
        <f t="shared" si="23"/>
        <v>0</v>
      </c>
      <c r="AA141" s="138"/>
    </row>
    <row r="142" spans="2:27" ht="12.95" customHeight="1" x14ac:dyDescent="0.2">
      <c r="B142" s="174"/>
      <c r="C142" s="173">
        <f t="shared" si="24"/>
        <v>2026102</v>
      </c>
      <c r="D142" s="177"/>
      <c r="E142" s="178" t="s">
        <v>44</v>
      </c>
      <c r="F142" s="175" t="str">
        <f>VLOOKUP(E142,'Códigos Banco'!$B$3:$D$27,2,0)</f>
        <v>Occidente - Directa</v>
      </c>
      <c r="G142" s="183">
        <v>13</v>
      </c>
      <c r="H142" s="175" t="str">
        <f>VLOOKUP(G142,'Códigos Banco'!$F$3:$G$18,2,0)</f>
        <v>T23 Directa - Transferencias</v>
      </c>
      <c r="I142" s="175">
        <f>VLOOKUP(E142,'Códigos Banco'!$B$3:$D$27,3,0)</f>
        <v>230887267</v>
      </c>
      <c r="J142" s="73">
        <v>0</v>
      </c>
      <c r="K142" s="179">
        <v>0</v>
      </c>
      <c r="L142" s="179">
        <v>0</v>
      </c>
      <c r="M142" s="179">
        <v>0</v>
      </c>
      <c r="N142" s="179">
        <v>0</v>
      </c>
      <c r="O142" s="179">
        <v>0</v>
      </c>
      <c r="P142" s="179">
        <v>0</v>
      </c>
      <c r="Q142" s="179">
        <v>0</v>
      </c>
      <c r="R142" s="179">
        <v>0</v>
      </c>
      <c r="S142" s="179">
        <v>0</v>
      </c>
      <c r="T142" s="181">
        <f t="shared" si="20"/>
        <v>0</v>
      </c>
      <c r="U142" s="182">
        <f t="shared" si="21"/>
        <v>0</v>
      </c>
      <c r="V142" s="73">
        <v>0</v>
      </c>
      <c r="W142" s="73">
        <v>0</v>
      </c>
      <c r="X142" s="182">
        <f t="shared" si="22"/>
        <v>0</v>
      </c>
      <c r="Y142" s="297">
        <f t="shared" si="23"/>
        <v>0</v>
      </c>
      <c r="AA142" s="138"/>
    </row>
    <row r="143" spans="2:27" ht="12.95" customHeight="1" x14ac:dyDescent="0.2">
      <c r="B143" s="174"/>
      <c r="C143" s="173">
        <f t="shared" si="24"/>
        <v>2026102</v>
      </c>
      <c r="D143" s="177"/>
      <c r="E143" s="178" t="s">
        <v>44</v>
      </c>
      <c r="F143" s="175" t="str">
        <f>VLOOKUP(E143,'Códigos Banco'!$B$3:$D$27,2,0)</f>
        <v>Occidente - Directa</v>
      </c>
      <c r="G143" s="183">
        <v>13</v>
      </c>
      <c r="H143" s="175" t="str">
        <f>VLOOKUP(G143,'Códigos Banco'!$F$3:$G$18,2,0)</f>
        <v>T23 Directa - Transferencias</v>
      </c>
      <c r="I143" s="175">
        <f>VLOOKUP(E143,'Códigos Banco'!$B$3:$D$27,3,0)</f>
        <v>230887267</v>
      </c>
      <c r="J143" s="73">
        <v>0</v>
      </c>
      <c r="K143" s="179">
        <v>0</v>
      </c>
      <c r="L143" s="179">
        <v>0</v>
      </c>
      <c r="M143" s="179">
        <v>0</v>
      </c>
      <c r="N143" s="179">
        <v>0</v>
      </c>
      <c r="O143" s="179">
        <v>0</v>
      </c>
      <c r="P143" s="179">
        <v>0</v>
      </c>
      <c r="Q143" s="179">
        <v>0</v>
      </c>
      <c r="R143" s="179">
        <v>0</v>
      </c>
      <c r="S143" s="179">
        <v>0</v>
      </c>
      <c r="T143" s="181">
        <f t="shared" si="20"/>
        <v>0</v>
      </c>
      <c r="U143" s="182">
        <f t="shared" si="21"/>
        <v>0</v>
      </c>
      <c r="V143" s="73">
        <v>0</v>
      </c>
      <c r="W143" s="73">
        <v>0</v>
      </c>
      <c r="X143" s="182">
        <f t="shared" si="22"/>
        <v>0</v>
      </c>
      <c r="Y143" s="297">
        <f t="shared" si="23"/>
        <v>0</v>
      </c>
      <c r="AA143" s="138"/>
    </row>
    <row r="144" spans="2:27" ht="12.95" customHeight="1" x14ac:dyDescent="0.2">
      <c r="B144" s="174"/>
      <c r="C144" s="173">
        <f t="shared" si="24"/>
        <v>2026102</v>
      </c>
      <c r="D144" s="177"/>
      <c r="E144" s="178" t="s">
        <v>44</v>
      </c>
      <c r="F144" s="175" t="str">
        <f>VLOOKUP(E144,'Códigos Banco'!$B$3:$D$27,2,0)</f>
        <v>Occidente - Directa</v>
      </c>
      <c r="G144" s="183">
        <v>13</v>
      </c>
      <c r="H144" s="175" t="str">
        <f>VLOOKUP(G144,'Códigos Banco'!$F$3:$G$18,2,0)</f>
        <v>T23 Directa - Transferencias</v>
      </c>
      <c r="I144" s="175">
        <f>VLOOKUP(E144,'Códigos Banco'!$B$3:$D$27,3,0)</f>
        <v>230887267</v>
      </c>
      <c r="J144" s="73">
        <v>0</v>
      </c>
      <c r="K144" s="179">
        <v>0</v>
      </c>
      <c r="L144" s="179">
        <v>0</v>
      </c>
      <c r="M144" s="179">
        <v>0</v>
      </c>
      <c r="N144" s="179">
        <v>0</v>
      </c>
      <c r="O144" s="179">
        <v>0</v>
      </c>
      <c r="P144" s="179">
        <v>0</v>
      </c>
      <c r="Q144" s="179">
        <v>0</v>
      </c>
      <c r="R144" s="179">
        <v>0</v>
      </c>
      <c r="S144" s="179">
        <v>0</v>
      </c>
      <c r="T144" s="181">
        <f t="shared" si="20"/>
        <v>0</v>
      </c>
      <c r="U144" s="182">
        <f t="shared" si="21"/>
        <v>0</v>
      </c>
      <c r="V144" s="73">
        <v>0</v>
      </c>
      <c r="W144" s="73">
        <v>0</v>
      </c>
      <c r="X144" s="182">
        <f t="shared" si="22"/>
        <v>0</v>
      </c>
      <c r="Y144" s="297">
        <f t="shared" si="23"/>
        <v>0</v>
      </c>
      <c r="AA144" s="138"/>
    </row>
    <row r="145" spans="2:27" ht="12.95" customHeight="1" x14ac:dyDescent="0.2">
      <c r="B145" s="177"/>
      <c r="C145" s="173">
        <f t="shared" si="24"/>
        <v>2026102</v>
      </c>
      <c r="D145" s="177"/>
      <c r="E145" s="178" t="s">
        <v>44</v>
      </c>
      <c r="F145" s="175" t="str">
        <f>VLOOKUP(E145,'Códigos Banco'!$B$3:$D$27,2,0)</f>
        <v>Occidente - Directa</v>
      </c>
      <c r="G145" s="183">
        <v>13</v>
      </c>
      <c r="H145" s="175" t="str">
        <f>VLOOKUP(G145,'Códigos Banco'!$F$3:$G$18,2,0)</f>
        <v>T23 Directa - Transferencias</v>
      </c>
      <c r="I145" s="175">
        <f>VLOOKUP(E145,'Códigos Banco'!$B$3:$D$27,3,0)</f>
        <v>230887267</v>
      </c>
      <c r="J145" s="73">
        <v>0</v>
      </c>
      <c r="K145" s="179">
        <v>0</v>
      </c>
      <c r="L145" s="179">
        <v>0</v>
      </c>
      <c r="M145" s="179">
        <v>0</v>
      </c>
      <c r="N145" s="179">
        <v>0</v>
      </c>
      <c r="O145" s="179">
        <v>0</v>
      </c>
      <c r="P145" s="179">
        <v>0</v>
      </c>
      <c r="Q145" s="179">
        <v>0</v>
      </c>
      <c r="R145" s="179">
        <v>0</v>
      </c>
      <c r="S145" s="179">
        <v>0</v>
      </c>
      <c r="T145" s="181">
        <f t="shared" si="20"/>
        <v>0</v>
      </c>
      <c r="U145" s="182">
        <f t="shared" si="21"/>
        <v>0</v>
      </c>
      <c r="V145" s="73">
        <v>0</v>
      </c>
      <c r="W145" s="73">
        <v>0</v>
      </c>
      <c r="X145" s="182">
        <f t="shared" si="22"/>
        <v>0</v>
      </c>
      <c r="Y145" s="297">
        <f t="shared" si="23"/>
        <v>0</v>
      </c>
      <c r="AA145" s="138"/>
    </row>
    <row r="146" spans="2:27" ht="12.95" customHeight="1" x14ac:dyDescent="0.2">
      <c r="B146" s="177"/>
      <c r="C146" s="173">
        <f t="shared" si="24"/>
        <v>2026102</v>
      </c>
      <c r="D146" s="177"/>
      <c r="E146" s="178" t="s">
        <v>44</v>
      </c>
      <c r="F146" s="175" t="str">
        <f>VLOOKUP(E146,'Códigos Banco'!$B$3:$D$27,2,0)</f>
        <v>Occidente - Directa</v>
      </c>
      <c r="G146" s="183">
        <v>13</v>
      </c>
      <c r="H146" s="175" t="str">
        <f>VLOOKUP(G146,'Códigos Banco'!$F$3:$G$18,2,0)</f>
        <v>T23 Directa - Transferencias</v>
      </c>
      <c r="I146" s="175">
        <f>VLOOKUP(E146,'Códigos Banco'!$B$3:$D$27,3,0)</f>
        <v>230887267</v>
      </c>
      <c r="J146" s="73">
        <v>0</v>
      </c>
      <c r="K146" s="179">
        <v>0</v>
      </c>
      <c r="L146" s="179">
        <v>0</v>
      </c>
      <c r="M146" s="179">
        <v>0</v>
      </c>
      <c r="N146" s="179">
        <v>0</v>
      </c>
      <c r="O146" s="179">
        <v>0</v>
      </c>
      <c r="P146" s="179">
        <v>0</v>
      </c>
      <c r="Q146" s="179">
        <v>0</v>
      </c>
      <c r="R146" s="179">
        <v>0</v>
      </c>
      <c r="S146" s="179">
        <v>0</v>
      </c>
      <c r="T146" s="181">
        <f t="shared" ref="T146:T166" si="25">J146+L146+N146+P146+R146</f>
        <v>0</v>
      </c>
      <c r="U146" s="182">
        <f t="shared" ref="U146:U166" si="26">K146+M146+O146+Q146+S146</f>
        <v>0</v>
      </c>
      <c r="V146" s="73">
        <v>0</v>
      </c>
      <c r="W146" s="73">
        <v>0</v>
      </c>
      <c r="X146" s="182">
        <f t="shared" ref="X146:X166" si="27">V146-T146</f>
        <v>0</v>
      </c>
      <c r="Y146" s="297">
        <f t="shared" ref="Y146:Y166" si="28">W146-U146</f>
        <v>0</v>
      </c>
      <c r="AA146" s="138"/>
    </row>
    <row r="147" spans="2:27" ht="12.95" customHeight="1" x14ac:dyDescent="0.2">
      <c r="B147" s="177"/>
      <c r="C147" s="173">
        <f t="shared" ref="C147:C166" si="29">C146</f>
        <v>2026102</v>
      </c>
      <c r="D147" s="177"/>
      <c r="E147" s="178" t="s">
        <v>44</v>
      </c>
      <c r="F147" s="175" t="str">
        <f>VLOOKUP(E147,'Códigos Banco'!$B$3:$D$27,2,0)</f>
        <v>Occidente - Directa</v>
      </c>
      <c r="G147" s="183">
        <v>13</v>
      </c>
      <c r="H147" s="175" t="str">
        <f>VLOOKUP(G147,'Códigos Banco'!$F$3:$G$18,2,0)</f>
        <v>T23 Directa - Transferencias</v>
      </c>
      <c r="I147" s="175">
        <f>VLOOKUP(E147,'Códigos Banco'!$B$3:$D$27,3,0)</f>
        <v>230887267</v>
      </c>
      <c r="J147" s="73">
        <v>0</v>
      </c>
      <c r="K147" s="179">
        <v>0</v>
      </c>
      <c r="L147" s="179">
        <v>0</v>
      </c>
      <c r="M147" s="179">
        <v>0</v>
      </c>
      <c r="N147" s="179">
        <v>0</v>
      </c>
      <c r="O147" s="179">
        <v>0</v>
      </c>
      <c r="P147" s="179">
        <v>0</v>
      </c>
      <c r="Q147" s="179">
        <v>0</v>
      </c>
      <c r="R147" s="179">
        <v>0</v>
      </c>
      <c r="S147" s="179">
        <v>0</v>
      </c>
      <c r="T147" s="181">
        <f t="shared" si="25"/>
        <v>0</v>
      </c>
      <c r="U147" s="182">
        <f t="shared" si="26"/>
        <v>0</v>
      </c>
      <c r="V147" s="73">
        <v>0</v>
      </c>
      <c r="W147" s="73">
        <v>0</v>
      </c>
      <c r="X147" s="182">
        <f t="shared" si="27"/>
        <v>0</v>
      </c>
      <c r="Y147" s="297">
        <f t="shared" si="28"/>
        <v>0</v>
      </c>
      <c r="AA147" s="138"/>
    </row>
    <row r="148" spans="2:27" ht="12.95" customHeight="1" x14ac:dyDescent="0.2">
      <c r="B148" s="177"/>
      <c r="C148" s="173">
        <f t="shared" si="29"/>
        <v>2026102</v>
      </c>
      <c r="D148" s="177"/>
      <c r="E148" s="178" t="s">
        <v>44</v>
      </c>
      <c r="F148" s="175" t="str">
        <f>VLOOKUP(E148,'Códigos Banco'!$B$3:$D$27,2,0)</f>
        <v>Occidente - Directa</v>
      </c>
      <c r="G148" s="183">
        <v>13</v>
      </c>
      <c r="H148" s="175" t="str">
        <f>VLOOKUP(G148,'Códigos Banco'!$F$3:$G$18,2,0)</f>
        <v>T23 Directa - Transferencias</v>
      </c>
      <c r="I148" s="175">
        <f>VLOOKUP(E148,'Códigos Banco'!$B$3:$D$27,3,0)</f>
        <v>230887267</v>
      </c>
      <c r="J148" s="73">
        <v>0</v>
      </c>
      <c r="K148" s="179">
        <v>0</v>
      </c>
      <c r="L148" s="179">
        <v>0</v>
      </c>
      <c r="M148" s="179">
        <v>0</v>
      </c>
      <c r="N148" s="179">
        <v>0</v>
      </c>
      <c r="O148" s="179">
        <v>0</v>
      </c>
      <c r="P148" s="179">
        <v>0</v>
      </c>
      <c r="Q148" s="179">
        <v>0</v>
      </c>
      <c r="R148" s="179">
        <v>0</v>
      </c>
      <c r="S148" s="179">
        <v>0</v>
      </c>
      <c r="T148" s="181">
        <f t="shared" si="25"/>
        <v>0</v>
      </c>
      <c r="U148" s="182">
        <f t="shared" si="26"/>
        <v>0</v>
      </c>
      <c r="V148" s="73">
        <v>0</v>
      </c>
      <c r="W148" s="73">
        <v>0</v>
      </c>
      <c r="X148" s="182">
        <f t="shared" si="27"/>
        <v>0</v>
      </c>
      <c r="Y148" s="297">
        <f t="shared" si="28"/>
        <v>0</v>
      </c>
      <c r="AA148" s="138"/>
    </row>
    <row r="149" spans="2:27" ht="12.95" customHeight="1" x14ac:dyDescent="0.2">
      <c r="B149" s="177"/>
      <c r="C149" s="173">
        <f t="shared" si="29"/>
        <v>2026102</v>
      </c>
      <c r="D149" s="177"/>
      <c r="E149" s="178" t="s">
        <v>44</v>
      </c>
      <c r="F149" s="175" t="str">
        <f>VLOOKUP(E149,'Códigos Banco'!$B$3:$D$27,2,0)</f>
        <v>Occidente - Directa</v>
      </c>
      <c r="G149" s="183">
        <v>13</v>
      </c>
      <c r="H149" s="175" t="str">
        <f>VLOOKUP(G149,'Códigos Banco'!$F$3:$G$18,2,0)</f>
        <v>T23 Directa - Transferencias</v>
      </c>
      <c r="I149" s="175">
        <f>VLOOKUP(E149,'Códigos Banco'!$B$3:$D$27,3,0)</f>
        <v>230887267</v>
      </c>
      <c r="J149" s="73">
        <v>0</v>
      </c>
      <c r="K149" s="179">
        <v>0</v>
      </c>
      <c r="L149" s="179">
        <v>0</v>
      </c>
      <c r="M149" s="179">
        <v>0</v>
      </c>
      <c r="N149" s="179">
        <v>0</v>
      </c>
      <c r="O149" s="179">
        <v>0</v>
      </c>
      <c r="P149" s="179">
        <v>0</v>
      </c>
      <c r="Q149" s="179">
        <v>0</v>
      </c>
      <c r="R149" s="179">
        <v>0</v>
      </c>
      <c r="S149" s="179">
        <v>0</v>
      </c>
      <c r="T149" s="181">
        <f t="shared" si="25"/>
        <v>0</v>
      </c>
      <c r="U149" s="182">
        <f t="shared" si="26"/>
        <v>0</v>
      </c>
      <c r="V149" s="73">
        <v>0</v>
      </c>
      <c r="W149" s="73">
        <v>0</v>
      </c>
      <c r="X149" s="182">
        <f t="shared" si="27"/>
        <v>0</v>
      </c>
      <c r="Y149" s="297">
        <f t="shared" si="28"/>
        <v>0</v>
      </c>
      <c r="AA149" s="138"/>
    </row>
    <row r="150" spans="2:27" ht="12.95" customHeight="1" x14ac:dyDescent="0.2">
      <c r="B150" s="177"/>
      <c r="C150" s="173">
        <f t="shared" si="29"/>
        <v>2026102</v>
      </c>
      <c r="D150" s="177"/>
      <c r="E150" s="178" t="s">
        <v>44</v>
      </c>
      <c r="F150" s="175" t="str">
        <f>VLOOKUP(E150,'Códigos Banco'!$B$3:$D$27,2,0)</f>
        <v>Occidente - Directa</v>
      </c>
      <c r="G150" s="183">
        <v>13</v>
      </c>
      <c r="H150" s="175" t="str">
        <f>VLOOKUP(G150,'Códigos Banco'!$F$3:$G$18,2,0)</f>
        <v>T23 Directa - Transferencias</v>
      </c>
      <c r="I150" s="175">
        <f>VLOOKUP(E150,'Códigos Banco'!$B$3:$D$27,3,0)</f>
        <v>230887267</v>
      </c>
      <c r="J150" s="73">
        <v>0</v>
      </c>
      <c r="K150" s="179">
        <v>0</v>
      </c>
      <c r="L150" s="179">
        <v>0</v>
      </c>
      <c r="M150" s="179">
        <v>0</v>
      </c>
      <c r="N150" s="179">
        <v>0</v>
      </c>
      <c r="O150" s="179">
        <v>0</v>
      </c>
      <c r="P150" s="179">
        <v>0</v>
      </c>
      <c r="Q150" s="179">
        <v>0</v>
      </c>
      <c r="R150" s="179">
        <v>0</v>
      </c>
      <c r="S150" s="179">
        <v>0</v>
      </c>
      <c r="T150" s="181">
        <f t="shared" si="25"/>
        <v>0</v>
      </c>
      <c r="U150" s="182">
        <f t="shared" si="26"/>
        <v>0</v>
      </c>
      <c r="V150" s="73">
        <v>0</v>
      </c>
      <c r="W150" s="73">
        <v>0</v>
      </c>
      <c r="X150" s="182">
        <f t="shared" si="27"/>
        <v>0</v>
      </c>
      <c r="Y150" s="297">
        <f t="shared" si="28"/>
        <v>0</v>
      </c>
      <c r="AA150" s="138"/>
    </row>
    <row r="151" spans="2:27" ht="12.95" customHeight="1" x14ac:dyDescent="0.2">
      <c r="B151" s="177"/>
      <c r="C151" s="173">
        <f t="shared" si="29"/>
        <v>2026102</v>
      </c>
      <c r="D151" s="177"/>
      <c r="E151" s="178" t="s">
        <v>44</v>
      </c>
      <c r="F151" s="175" t="str">
        <f>VLOOKUP(E151,'Códigos Banco'!$B$3:$D$27,2,0)</f>
        <v>Occidente - Directa</v>
      </c>
      <c r="G151" s="183">
        <v>13</v>
      </c>
      <c r="H151" s="175" t="str">
        <f>VLOOKUP(G151,'Códigos Banco'!$F$3:$G$18,2,0)</f>
        <v>T23 Directa - Transferencias</v>
      </c>
      <c r="I151" s="175">
        <f>VLOOKUP(E151,'Códigos Banco'!$B$3:$D$27,3,0)</f>
        <v>230887267</v>
      </c>
      <c r="J151" s="73">
        <v>0</v>
      </c>
      <c r="K151" s="179">
        <v>0</v>
      </c>
      <c r="L151" s="179">
        <v>0</v>
      </c>
      <c r="M151" s="179">
        <v>0</v>
      </c>
      <c r="N151" s="179">
        <v>0</v>
      </c>
      <c r="O151" s="179">
        <v>0</v>
      </c>
      <c r="P151" s="179">
        <v>0</v>
      </c>
      <c r="Q151" s="179">
        <v>0</v>
      </c>
      <c r="R151" s="179">
        <v>0</v>
      </c>
      <c r="S151" s="179">
        <v>0</v>
      </c>
      <c r="T151" s="181">
        <f t="shared" si="25"/>
        <v>0</v>
      </c>
      <c r="U151" s="182">
        <f t="shared" si="26"/>
        <v>0</v>
      </c>
      <c r="V151" s="73">
        <v>0</v>
      </c>
      <c r="W151" s="73">
        <v>0</v>
      </c>
      <c r="X151" s="182">
        <f t="shared" si="27"/>
        <v>0</v>
      </c>
      <c r="Y151" s="297">
        <f t="shared" si="28"/>
        <v>0</v>
      </c>
      <c r="AA151" s="138"/>
    </row>
    <row r="152" spans="2:27" ht="12.95" customHeight="1" x14ac:dyDescent="0.2">
      <c r="B152" s="177"/>
      <c r="C152" s="173">
        <f t="shared" si="29"/>
        <v>2026102</v>
      </c>
      <c r="D152" s="177"/>
      <c r="E152" s="178" t="s">
        <v>44</v>
      </c>
      <c r="F152" s="175" t="str">
        <f>VLOOKUP(E152,'Códigos Banco'!$B$3:$D$27,2,0)</f>
        <v>Occidente - Directa</v>
      </c>
      <c r="G152" s="183">
        <v>13</v>
      </c>
      <c r="H152" s="175" t="str">
        <f>VLOOKUP(G152,'Códigos Banco'!$F$3:$G$18,2,0)</f>
        <v>T23 Directa - Transferencias</v>
      </c>
      <c r="I152" s="175">
        <f>VLOOKUP(E152,'Códigos Banco'!$B$3:$D$27,3,0)</f>
        <v>230887267</v>
      </c>
      <c r="J152" s="73">
        <v>0</v>
      </c>
      <c r="K152" s="179">
        <v>0</v>
      </c>
      <c r="L152" s="179">
        <v>0</v>
      </c>
      <c r="M152" s="179">
        <v>0</v>
      </c>
      <c r="N152" s="179">
        <v>0</v>
      </c>
      <c r="O152" s="179">
        <v>0</v>
      </c>
      <c r="P152" s="179">
        <v>0</v>
      </c>
      <c r="Q152" s="179">
        <v>0</v>
      </c>
      <c r="R152" s="179">
        <v>0</v>
      </c>
      <c r="S152" s="179">
        <v>0</v>
      </c>
      <c r="T152" s="181">
        <f t="shared" si="25"/>
        <v>0</v>
      </c>
      <c r="U152" s="182">
        <f t="shared" si="26"/>
        <v>0</v>
      </c>
      <c r="V152" s="73">
        <v>0</v>
      </c>
      <c r="W152" s="73">
        <v>0</v>
      </c>
      <c r="X152" s="182">
        <f t="shared" si="27"/>
        <v>0</v>
      </c>
      <c r="Y152" s="297">
        <f t="shared" si="28"/>
        <v>0</v>
      </c>
      <c r="AA152" s="138"/>
    </row>
    <row r="153" spans="2:27" ht="12.95" customHeight="1" x14ac:dyDescent="0.2">
      <c r="B153" s="177"/>
      <c r="C153" s="173">
        <f t="shared" si="29"/>
        <v>2026102</v>
      </c>
      <c r="D153" s="177"/>
      <c r="E153" s="178" t="s">
        <v>44</v>
      </c>
      <c r="F153" s="175" t="str">
        <f>VLOOKUP(E153,'Códigos Banco'!$B$3:$D$27,2,0)</f>
        <v>Occidente - Directa</v>
      </c>
      <c r="G153" s="183">
        <v>13</v>
      </c>
      <c r="H153" s="175" t="str">
        <f>VLOOKUP(G153,'Códigos Banco'!$F$3:$G$18,2,0)</f>
        <v>T23 Directa - Transferencias</v>
      </c>
      <c r="I153" s="175">
        <f>VLOOKUP(E153,'Códigos Banco'!$B$3:$D$27,3,0)</f>
        <v>230887267</v>
      </c>
      <c r="J153" s="73">
        <v>0</v>
      </c>
      <c r="K153" s="179">
        <v>0</v>
      </c>
      <c r="L153" s="179">
        <v>0</v>
      </c>
      <c r="M153" s="179">
        <v>0</v>
      </c>
      <c r="N153" s="179">
        <v>0</v>
      </c>
      <c r="O153" s="179">
        <v>0</v>
      </c>
      <c r="P153" s="179">
        <v>0</v>
      </c>
      <c r="Q153" s="179">
        <v>0</v>
      </c>
      <c r="R153" s="179">
        <v>0</v>
      </c>
      <c r="S153" s="179">
        <v>0</v>
      </c>
      <c r="T153" s="181">
        <f t="shared" si="25"/>
        <v>0</v>
      </c>
      <c r="U153" s="182">
        <f t="shared" si="26"/>
        <v>0</v>
      </c>
      <c r="V153" s="73">
        <v>0</v>
      </c>
      <c r="W153" s="73">
        <v>0</v>
      </c>
      <c r="X153" s="182">
        <f t="shared" si="27"/>
        <v>0</v>
      </c>
      <c r="Y153" s="297">
        <f t="shared" si="28"/>
        <v>0</v>
      </c>
      <c r="AA153" s="138"/>
    </row>
    <row r="154" spans="2:27" ht="12.95" customHeight="1" x14ac:dyDescent="0.2">
      <c r="B154" s="177"/>
      <c r="C154" s="173">
        <f t="shared" si="29"/>
        <v>2026102</v>
      </c>
      <c r="D154" s="177"/>
      <c r="E154" s="178" t="s">
        <v>44</v>
      </c>
      <c r="F154" s="175" t="str">
        <f>VLOOKUP(E154,'Códigos Banco'!$B$3:$D$27,2,0)</f>
        <v>Occidente - Directa</v>
      </c>
      <c r="G154" s="183">
        <v>13</v>
      </c>
      <c r="H154" s="175" t="str">
        <f>VLOOKUP(G154,'Códigos Banco'!$F$3:$G$18,2,0)</f>
        <v>T23 Directa - Transferencias</v>
      </c>
      <c r="I154" s="175">
        <f>VLOOKUP(E154,'Códigos Banco'!$B$3:$D$27,3,0)</f>
        <v>230887267</v>
      </c>
      <c r="J154" s="73">
        <v>0</v>
      </c>
      <c r="K154" s="179">
        <v>0</v>
      </c>
      <c r="L154" s="179">
        <v>0</v>
      </c>
      <c r="M154" s="179">
        <v>0</v>
      </c>
      <c r="N154" s="179">
        <v>0</v>
      </c>
      <c r="O154" s="179">
        <v>0</v>
      </c>
      <c r="P154" s="179">
        <v>0</v>
      </c>
      <c r="Q154" s="179">
        <v>0</v>
      </c>
      <c r="R154" s="179">
        <v>0</v>
      </c>
      <c r="S154" s="179">
        <v>0</v>
      </c>
      <c r="T154" s="181">
        <f t="shared" si="25"/>
        <v>0</v>
      </c>
      <c r="U154" s="182">
        <f t="shared" si="26"/>
        <v>0</v>
      </c>
      <c r="V154" s="73">
        <v>0</v>
      </c>
      <c r="W154" s="73">
        <v>0</v>
      </c>
      <c r="X154" s="182">
        <f t="shared" si="27"/>
        <v>0</v>
      </c>
      <c r="Y154" s="297">
        <f t="shared" si="28"/>
        <v>0</v>
      </c>
      <c r="AA154" s="138"/>
    </row>
    <row r="155" spans="2:27" ht="12.95" customHeight="1" x14ac:dyDescent="0.2">
      <c r="B155" s="177"/>
      <c r="C155" s="173">
        <f t="shared" si="29"/>
        <v>2026102</v>
      </c>
      <c r="D155" s="177"/>
      <c r="E155" s="178" t="s">
        <v>44</v>
      </c>
      <c r="F155" s="175" t="str">
        <f>VLOOKUP(E155,'Códigos Banco'!$B$3:$D$27,2,0)</f>
        <v>Occidente - Directa</v>
      </c>
      <c r="G155" s="183">
        <v>13</v>
      </c>
      <c r="H155" s="175" t="str">
        <f>VLOOKUP(G155,'Códigos Banco'!$F$3:$G$18,2,0)</f>
        <v>T23 Directa - Transferencias</v>
      </c>
      <c r="I155" s="175">
        <f>VLOOKUP(E155,'Códigos Banco'!$B$3:$D$27,3,0)</f>
        <v>230887267</v>
      </c>
      <c r="J155" s="73">
        <v>0</v>
      </c>
      <c r="K155" s="179">
        <v>0</v>
      </c>
      <c r="L155" s="179">
        <v>0</v>
      </c>
      <c r="M155" s="179">
        <v>0</v>
      </c>
      <c r="N155" s="179">
        <v>0</v>
      </c>
      <c r="O155" s="179">
        <v>0</v>
      </c>
      <c r="P155" s="179">
        <v>0</v>
      </c>
      <c r="Q155" s="179">
        <v>0</v>
      </c>
      <c r="R155" s="179">
        <v>0</v>
      </c>
      <c r="S155" s="179">
        <v>0</v>
      </c>
      <c r="T155" s="181">
        <f t="shared" si="25"/>
        <v>0</v>
      </c>
      <c r="U155" s="182">
        <f t="shared" si="26"/>
        <v>0</v>
      </c>
      <c r="V155" s="73">
        <v>0</v>
      </c>
      <c r="W155" s="73">
        <v>0</v>
      </c>
      <c r="X155" s="182">
        <f t="shared" si="27"/>
        <v>0</v>
      </c>
      <c r="Y155" s="297">
        <f t="shared" si="28"/>
        <v>0</v>
      </c>
      <c r="AA155" s="138"/>
    </row>
    <row r="156" spans="2:27" ht="12.95" customHeight="1" x14ac:dyDescent="0.2">
      <c r="B156" s="177"/>
      <c r="C156" s="173">
        <f t="shared" si="29"/>
        <v>2026102</v>
      </c>
      <c r="D156" s="177"/>
      <c r="E156" s="178" t="s">
        <v>44</v>
      </c>
      <c r="F156" s="175" t="str">
        <f>VLOOKUP(E156,'Códigos Banco'!$B$3:$D$27,2,0)</f>
        <v>Occidente - Directa</v>
      </c>
      <c r="G156" s="183">
        <v>13</v>
      </c>
      <c r="H156" s="175" t="str">
        <f>VLOOKUP(G156,'Códigos Banco'!$F$3:$G$18,2,0)</f>
        <v>T23 Directa - Transferencias</v>
      </c>
      <c r="I156" s="175">
        <f>VLOOKUP(E156,'Códigos Banco'!$B$3:$D$27,3,0)</f>
        <v>230887267</v>
      </c>
      <c r="J156" s="73">
        <v>0</v>
      </c>
      <c r="K156" s="179">
        <v>0</v>
      </c>
      <c r="L156" s="179">
        <v>0</v>
      </c>
      <c r="M156" s="179">
        <v>0</v>
      </c>
      <c r="N156" s="179">
        <v>0</v>
      </c>
      <c r="O156" s="179">
        <v>0</v>
      </c>
      <c r="P156" s="179">
        <v>0</v>
      </c>
      <c r="Q156" s="179">
        <v>0</v>
      </c>
      <c r="R156" s="179">
        <v>0</v>
      </c>
      <c r="S156" s="179">
        <v>0</v>
      </c>
      <c r="T156" s="181">
        <f t="shared" si="25"/>
        <v>0</v>
      </c>
      <c r="U156" s="182">
        <f t="shared" si="26"/>
        <v>0</v>
      </c>
      <c r="V156" s="73">
        <v>0</v>
      </c>
      <c r="W156" s="73">
        <v>0</v>
      </c>
      <c r="X156" s="182">
        <f t="shared" si="27"/>
        <v>0</v>
      </c>
      <c r="Y156" s="297">
        <f t="shared" si="28"/>
        <v>0</v>
      </c>
      <c r="AA156" s="138"/>
    </row>
    <row r="157" spans="2:27" ht="12.95" customHeight="1" x14ac:dyDescent="0.2">
      <c r="B157" s="177"/>
      <c r="C157" s="173">
        <f t="shared" si="29"/>
        <v>2026102</v>
      </c>
      <c r="D157" s="177"/>
      <c r="E157" s="178" t="s">
        <v>44</v>
      </c>
      <c r="F157" s="175" t="str">
        <f>VLOOKUP(E157,'Códigos Banco'!$B$3:$D$27,2,0)</f>
        <v>Occidente - Directa</v>
      </c>
      <c r="G157" s="183">
        <v>13</v>
      </c>
      <c r="H157" s="175" t="str">
        <f>VLOOKUP(G157,'Códigos Banco'!$F$3:$G$18,2,0)</f>
        <v>T23 Directa - Transferencias</v>
      </c>
      <c r="I157" s="175">
        <f>VLOOKUP(E157,'Códigos Banco'!$B$3:$D$27,3,0)</f>
        <v>230887267</v>
      </c>
      <c r="J157" s="73">
        <v>0</v>
      </c>
      <c r="K157" s="179">
        <v>0</v>
      </c>
      <c r="L157" s="179">
        <v>0</v>
      </c>
      <c r="M157" s="179">
        <v>0</v>
      </c>
      <c r="N157" s="179">
        <v>0</v>
      </c>
      <c r="O157" s="179">
        <v>0</v>
      </c>
      <c r="P157" s="179">
        <v>0</v>
      </c>
      <c r="Q157" s="179">
        <v>0</v>
      </c>
      <c r="R157" s="179">
        <v>0</v>
      </c>
      <c r="S157" s="179">
        <v>0</v>
      </c>
      <c r="T157" s="181">
        <f t="shared" si="25"/>
        <v>0</v>
      </c>
      <c r="U157" s="182">
        <f t="shared" si="26"/>
        <v>0</v>
      </c>
      <c r="V157" s="73">
        <v>0</v>
      </c>
      <c r="W157" s="73">
        <v>0</v>
      </c>
      <c r="X157" s="182">
        <f t="shared" si="27"/>
        <v>0</v>
      </c>
      <c r="Y157" s="297">
        <f t="shared" si="28"/>
        <v>0</v>
      </c>
      <c r="AA157" s="138"/>
    </row>
    <row r="158" spans="2:27" ht="12.95" customHeight="1" x14ac:dyDescent="0.2">
      <c r="B158" s="177"/>
      <c r="C158" s="173">
        <f t="shared" si="29"/>
        <v>2026102</v>
      </c>
      <c r="D158" s="177"/>
      <c r="E158" s="178" t="s">
        <v>44</v>
      </c>
      <c r="F158" s="175" t="str">
        <f>VLOOKUP(E158,'Códigos Banco'!$B$3:$D$27,2,0)</f>
        <v>Occidente - Directa</v>
      </c>
      <c r="G158" s="183"/>
      <c r="H158" s="175" t="e">
        <f>VLOOKUP(G158,'Códigos Banco'!$F$3:$G$18,2,0)</f>
        <v>#N/A</v>
      </c>
      <c r="I158" s="175">
        <f>VLOOKUP(E158,'Códigos Banco'!$B$3:$D$27,3,0)</f>
        <v>230887267</v>
      </c>
      <c r="J158" s="73">
        <v>0</v>
      </c>
      <c r="K158" s="179">
        <v>0</v>
      </c>
      <c r="L158" s="179">
        <v>0</v>
      </c>
      <c r="M158" s="179">
        <v>0</v>
      </c>
      <c r="N158" s="179">
        <v>0</v>
      </c>
      <c r="O158" s="179">
        <v>0</v>
      </c>
      <c r="P158" s="179">
        <v>0</v>
      </c>
      <c r="Q158" s="179">
        <v>0</v>
      </c>
      <c r="R158" s="179">
        <v>0</v>
      </c>
      <c r="S158" s="179">
        <v>0</v>
      </c>
      <c r="T158" s="181">
        <f t="shared" si="25"/>
        <v>0</v>
      </c>
      <c r="U158" s="182">
        <f t="shared" si="26"/>
        <v>0</v>
      </c>
      <c r="V158" s="73">
        <v>0</v>
      </c>
      <c r="W158" s="73">
        <v>0</v>
      </c>
      <c r="X158" s="182">
        <f t="shared" si="27"/>
        <v>0</v>
      </c>
      <c r="Y158" s="297">
        <f t="shared" si="28"/>
        <v>0</v>
      </c>
      <c r="AA158" s="138"/>
    </row>
    <row r="159" spans="2:27" ht="12.95" customHeight="1" x14ac:dyDescent="0.2">
      <c r="B159" s="177"/>
      <c r="C159" s="173">
        <f t="shared" si="29"/>
        <v>2026102</v>
      </c>
      <c r="D159" s="177"/>
      <c r="E159" s="178" t="s">
        <v>44</v>
      </c>
      <c r="F159" s="175" t="str">
        <f>VLOOKUP(E159,'Códigos Banco'!$B$3:$D$27,2,0)</f>
        <v>Occidente - Directa</v>
      </c>
      <c r="G159" s="183"/>
      <c r="H159" s="175" t="e">
        <f>VLOOKUP(G159,'Códigos Banco'!$F$3:$G$18,2,0)</f>
        <v>#N/A</v>
      </c>
      <c r="I159" s="175">
        <f>VLOOKUP(E159,'Códigos Banco'!$B$3:$D$27,3,0)</f>
        <v>230887267</v>
      </c>
      <c r="J159" s="73">
        <v>0</v>
      </c>
      <c r="K159" s="179">
        <v>0</v>
      </c>
      <c r="L159" s="179">
        <v>0</v>
      </c>
      <c r="M159" s="179">
        <v>0</v>
      </c>
      <c r="N159" s="179">
        <v>0</v>
      </c>
      <c r="O159" s="179">
        <v>0</v>
      </c>
      <c r="P159" s="179">
        <v>0</v>
      </c>
      <c r="Q159" s="179">
        <v>0</v>
      </c>
      <c r="R159" s="179">
        <v>0</v>
      </c>
      <c r="S159" s="179">
        <v>0</v>
      </c>
      <c r="T159" s="181">
        <f t="shared" si="25"/>
        <v>0</v>
      </c>
      <c r="U159" s="182">
        <f t="shared" si="26"/>
        <v>0</v>
      </c>
      <c r="V159" s="73">
        <v>0</v>
      </c>
      <c r="W159" s="73">
        <v>0</v>
      </c>
      <c r="X159" s="182">
        <f t="shared" si="27"/>
        <v>0</v>
      </c>
      <c r="Y159" s="297">
        <f t="shared" si="28"/>
        <v>0</v>
      </c>
      <c r="AA159" s="138"/>
    </row>
    <row r="160" spans="2:27" ht="12.95" customHeight="1" x14ac:dyDescent="0.2">
      <c r="B160" s="177"/>
      <c r="C160" s="173">
        <f t="shared" si="29"/>
        <v>2026102</v>
      </c>
      <c r="D160" s="177"/>
      <c r="E160" s="178" t="s">
        <v>44</v>
      </c>
      <c r="F160" s="175" t="str">
        <f>VLOOKUP(E160,'Códigos Banco'!$B$3:$D$27,2,0)</f>
        <v>Occidente - Directa</v>
      </c>
      <c r="G160" s="183"/>
      <c r="H160" s="175" t="e">
        <f>VLOOKUP(G160,'Códigos Banco'!$F$3:$G$18,2,0)</f>
        <v>#N/A</v>
      </c>
      <c r="I160" s="175">
        <f>VLOOKUP(E160,'Códigos Banco'!$B$3:$D$27,3,0)</f>
        <v>230887267</v>
      </c>
      <c r="J160" s="73">
        <v>0</v>
      </c>
      <c r="K160" s="179">
        <v>0</v>
      </c>
      <c r="L160" s="179">
        <v>0</v>
      </c>
      <c r="M160" s="179">
        <v>0</v>
      </c>
      <c r="N160" s="179">
        <v>0</v>
      </c>
      <c r="O160" s="179">
        <v>0</v>
      </c>
      <c r="P160" s="179">
        <v>0</v>
      </c>
      <c r="Q160" s="179">
        <v>0</v>
      </c>
      <c r="R160" s="179">
        <v>0</v>
      </c>
      <c r="S160" s="179">
        <v>0</v>
      </c>
      <c r="T160" s="181">
        <f t="shared" si="25"/>
        <v>0</v>
      </c>
      <c r="U160" s="182">
        <f t="shared" si="26"/>
        <v>0</v>
      </c>
      <c r="V160" s="73">
        <v>0</v>
      </c>
      <c r="W160" s="73">
        <v>0</v>
      </c>
      <c r="X160" s="182">
        <f t="shared" si="27"/>
        <v>0</v>
      </c>
      <c r="Y160" s="297">
        <f t="shared" si="28"/>
        <v>0</v>
      </c>
      <c r="AA160" s="138"/>
    </row>
    <row r="161" spans="2:27" ht="12.95" customHeight="1" x14ac:dyDescent="0.2">
      <c r="B161" s="177"/>
      <c r="C161" s="173">
        <f t="shared" si="29"/>
        <v>2026102</v>
      </c>
      <c r="D161" s="177"/>
      <c r="E161" s="178" t="s">
        <v>44</v>
      </c>
      <c r="F161" s="175" t="str">
        <f>VLOOKUP(E161,'Códigos Banco'!$B$3:$D$27,2,0)</f>
        <v>Occidente - Directa</v>
      </c>
      <c r="G161" s="183"/>
      <c r="H161" s="175" t="e">
        <f>VLOOKUP(G161,'Códigos Banco'!$F$3:$G$18,2,0)</f>
        <v>#N/A</v>
      </c>
      <c r="I161" s="175">
        <f>VLOOKUP(E161,'Códigos Banco'!$B$3:$D$27,3,0)</f>
        <v>230887267</v>
      </c>
      <c r="J161" s="73">
        <v>0</v>
      </c>
      <c r="K161" s="179">
        <v>0</v>
      </c>
      <c r="L161" s="179">
        <v>0</v>
      </c>
      <c r="M161" s="179">
        <v>0</v>
      </c>
      <c r="N161" s="179">
        <v>0</v>
      </c>
      <c r="O161" s="179">
        <v>0</v>
      </c>
      <c r="P161" s="179">
        <v>0</v>
      </c>
      <c r="Q161" s="179">
        <v>0</v>
      </c>
      <c r="R161" s="179">
        <v>0</v>
      </c>
      <c r="S161" s="179">
        <v>0</v>
      </c>
      <c r="T161" s="181">
        <f t="shared" si="25"/>
        <v>0</v>
      </c>
      <c r="U161" s="182">
        <f t="shared" si="26"/>
        <v>0</v>
      </c>
      <c r="V161" s="73">
        <v>0</v>
      </c>
      <c r="W161" s="73">
        <v>0</v>
      </c>
      <c r="X161" s="182">
        <f t="shared" si="27"/>
        <v>0</v>
      </c>
      <c r="Y161" s="297">
        <f t="shared" si="28"/>
        <v>0</v>
      </c>
      <c r="AA161" s="138"/>
    </row>
    <row r="162" spans="2:27" ht="12.95" customHeight="1" x14ac:dyDescent="0.2">
      <c r="B162" s="177"/>
      <c r="C162" s="173">
        <f t="shared" si="29"/>
        <v>2026102</v>
      </c>
      <c r="D162" s="177"/>
      <c r="E162" s="178" t="s">
        <v>44</v>
      </c>
      <c r="F162" s="175" t="str">
        <f>VLOOKUP(E162,'Códigos Banco'!$B$3:$D$27,2,0)</f>
        <v>Occidente - Directa</v>
      </c>
      <c r="G162" s="183"/>
      <c r="H162" s="175" t="e">
        <f>VLOOKUP(G162,'Códigos Banco'!$F$3:$G$18,2,0)</f>
        <v>#N/A</v>
      </c>
      <c r="I162" s="175">
        <f>VLOOKUP(E162,'Códigos Banco'!$B$3:$D$27,3,0)</f>
        <v>230887267</v>
      </c>
      <c r="J162" s="73">
        <v>0</v>
      </c>
      <c r="K162" s="179">
        <v>0</v>
      </c>
      <c r="L162" s="179">
        <v>0</v>
      </c>
      <c r="M162" s="179">
        <v>0</v>
      </c>
      <c r="N162" s="179">
        <v>0</v>
      </c>
      <c r="O162" s="179">
        <v>0</v>
      </c>
      <c r="P162" s="179">
        <v>0</v>
      </c>
      <c r="Q162" s="179">
        <v>0</v>
      </c>
      <c r="R162" s="179">
        <v>0</v>
      </c>
      <c r="S162" s="179">
        <v>0</v>
      </c>
      <c r="T162" s="181">
        <f t="shared" si="25"/>
        <v>0</v>
      </c>
      <c r="U162" s="182">
        <f t="shared" si="26"/>
        <v>0</v>
      </c>
      <c r="V162" s="73">
        <v>0</v>
      </c>
      <c r="W162" s="73">
        <v>0</v>
      </c>
      <c r="X162" s="182">
        <f t="shared" si="27"/>
        <v>0</v>
      </c>
      <c r="Y162" s="297">
        <f t="shared" si="28"/>
        <v>0</v>
      </c>
      <c r="AA162" s="138"/>
    </row>
    <row r="163" spans="2:27" ht="12.95" customHeight="1" x14ac:dyDescent="0.2">
      <c r="B163" s="177"/>
      <c r="C163" s="173">
        <f t="shared" si="29"/>
        <v>2026102</v>
      </c>
      <c r="D163" s="177"/>
      <c r="E163" s="178" t="s">
        <v>44</v>
      </c>
      <c r="F163" s="175" t="str">
        <f>VLOOKUP(E163,'Códigos Banco'!$B$3:$D$27,2,0)</f>
        <v>Occidente - Directa</v>
      </c>
      <c r="G163" s="183"/>
      <c r="H163" s="175" t="e">
        <f>VLOOKUP(G163,'Códigos Banco'!$F$3:$G$18,2,0)</f>
        <v>#N/A</v>
      </c>
      <c r="I163" s="175">
        <f>VLOOKUP(E163,'Códigos Banco'!$B$3:$D$27,3,0)</f>
        <v>230887267</v>
      </c>
      <c r="J163" s="73">
        <v>0</v>
      </c>
      <c r="K163" s="179">
        <v>0</v>
      </c>
      <c r="L163" s="179">
        <v>0</v>
      </c>
      <c r="M163" s="179">
        <v>0</v>
      </c>
      <c r="N163" s="179">
        <v>0</v>
      </c>
      <c r="O163" s="179">
        <v>0</v>
      </c>
      <c r="P163" s="179">
        <v>0</v>
      </c>
      <c r="Q163" s="179">
        <v>0</v>
      </c>
      <c r="R163" s="179">
        <v>0</v>
      </c>
      <c r="S163" s="179">
        <v>0</v>
      </c>
      <c r="T163" s="181">
        <f t="shared" si="25"/>
        <v>0</v>
      </c>
      <c r="U163" s="182">
        <f t="shared" si="26"/>
        <v>0</v>
      </c>
      <c r="V163" s="73">
        <v>0</v>
      </c>
      <c r="W163" s="73">
        <v>0</v>
      </c>
      <c r="X163" s="182">
        <f t="shared" si="27"/>
        <v>0</v>
      </c>
      <c r="Y163" s="297">
        <f t="shared" si="28"/>
        <v>0</v>
      </c>
      <c r="AA163" s="138"/>
    </row>
    <row r="164" spans="2:27" ht="12.95" customHeight="1" x14ac:dyDescent="0.2">
      <c r="B164" s="177"/>
      <c r="C164" s="173">
        <f t="shared" si="29"/>
        <v>2026102</v>
      </c>
      <c r="D164" s="177"/>
      <c r="E164" s="178" t="s">
        <v>44</v>
      </c>
      <c r="F164" s="175" t="str">
        <f>VLOOKUP(E164,'Códigos Banco'!$B$3:$D$27,2,0)</f>
        <v>Occidente - Directa</v>
      </c>
      <c r="G164" s="183"/>
      <c r="H164" s="175" t="e">
        <f>VLOOKUP(G164,'Códigos Banco'!$F$3:$G$18,2,0)</f>
        <v>#N/A</v>
      </c>
      <c r="I164" s="175">
        <f>VLOOKUP(E164,'Códigos Banco'!$B$3:$D$27,3,0)</f>
        <v>230887267</v>
      </c>
      <c r="J164" s="73">
        <v>0</v>
      </c>
      <c r="K164" s="179">
        <v>0</v>
      </c>
      <c r="L164" s="179">
        <v>0</v>
      </c>
      <c r="M164" s="179">
        <v>0</v>
      </c>
      <c r="N164" s="179">
        <v>0</v>
      </c>
      <c r="O164" s="179">
        <v>0</v>
      </c>
      <c r="P164" s="179">
        <v>0</v>
      </c>
      <c r="Q164" s="179">
        <v>0</v>
      </c>
      <c r="R164" s="179">
        <v>0</v>
      </c>
      <c r="S164" s="179">
        <v>0</v>
      </c>
      <c r="T164" s="181">
        <f t="shared" si="25"/>
        <v>0</v>
      </c>
      <c r="U164" s="182">
        <f t="shared" si="26"/>
        <v>0</v>
      </c>
      <c r="V164" s="73">
        <v>0</v>
      </c>
      <c r="W164" s="73">
        <v>0</v>
      </c>
      <c r="X164" s="182">
        <f t="shared" si="27"/>
        <v>0</v>
      </c>
      <c r="Y164" s="297">
        <f t="shared" si="28"/>
        <v>0</v>
      </c>
      <c r="AA164" s="138"/>
    </row>
    <row r="165" spans="2:27" ht="12.95" customHeight="1" x14ac:dyDescent="0.2">
      <c r="B165" s="177"/>
      <c r="C165" s="173">
        <f t="shared" si="29"/>
        <v>2026102</v>
      </c>
      <c r="D165" s="177"/>
      <c r="E165" s="178" t="s">
        <v>44</v>
      </c>
      <c r="F165" s="175" t="str">
        <f>VLOOKUP(E165,'Códigos Banco'!$B$3:$D$27,2,0)</f>
        <v>Occidente - Directa</v>
      </c>
      <c r="G165" s="183"/>
      <c r="H165" s="175" t="e">
        <f>VLOOKUP(G165,'Códigos Banco'!$F$3:$G$18,2,0)</f>
        <v>#N/A</v>
      </c>
      <c r="I165" s="175">
        <f>VLOOKUP(E165,'Códigos Banco'!$B$3:$D$27,3,0)</f>
        <v>230887267</v>
      </c>
      <c r="J165" s="73">
        <v>0</v>
      </c>
      <c r="K165" s="179">
        <v>0</v>
      </c>
      <c r="L165" s="179">
        <v>0</v>
      </c>
      <c r="M165" s="179">
        <v>0</v>
      </c>
      <c r="N165" s="179">
        <v>0</v>
      </c>
      <c r="O165" s="179">
        <v>0</v>
      </c>
      <c r="P165" s="179">
        <v>0</v>
      </c>
      <c r="Q165" s="179">
        <v>0</v>
      </c>
      <c r="R165" s="179">
        <v>0</v>
      </c>
      <c r="S165" s="179">
        <v>0</v>
      </c>
      <c r="T165" s="181">
        <f t="shared" si="25"/>
        <v>0</v>
      </c>
      <c r="U165" s="182">
        <f t="shared" si="26"/>
        <v>0</v>
      </c>
      <c r="V165" s="73">
        <v>0</v>
      </c>
      <c r="W165" s="73">
        <v>0</v>
      </c>
      <c r="X165" s="182">
        <f t="shared" si="27"/>
        <v>0</v>
      </c>
      <c r="Y165" s="297">
        <f t="shared" si="28"/>
        <v>0</v>
      </c>
      <c r="AA165" s="138"/>
    </row>
    <row r="166" spans="2:27" ht="12.95" customHeight="1" x14ac:dyDescent="0.2">
      <c r="B166" s="177"/>
      <c r="C166" s="173">
        <f t="shared" si="29"/>
        <v>2026102</v>
      </c>
      <c r="D166" s="177"/>
      <c r="E166" s="178" t="s">
        <v>44</v>
      </c>
      <c r="F166" s="175" t="str">
        <f>VLOOKUP(E166,'Códigos Banco'!$B$3:$D$27,2,0)</f>
        <v>Occidente - Directa</v>
      </c>
      <c r="G166" s="183"/>
      <c r="H166" s="175" t="e">
        <f>VLOOKUP(G166,'Códigos Banco'!$F$3:$G$18,2,0)</f>
        <v>#N/A</v>
      </c>
      <c r="I166" s="175">
        <f>VLOOKUP(E166,'Códigos Banco'!$B$3:$D$27,3,0)</f>
        <v>230887267</v>
      </c>
      <c r="J166" s="73">
        <v>0</v>
      </c>
      <c r="K166" s="179">
        <v>0</v>
      </c>
      <c r="L166" s="179">
        <v>0</v>
      </c>
      <c r="M166" s="179">
        <v>0</v>
      </c>
      <c r="N166" s="179">
        <v>0</v>
      </c>
      <c r="O166" s="179">
        <v>0</v>
      </c>
      <c r="P166" s="179">
        <v>0</v>
      </c>
      <c r="Q166" s="179">
        <v>0</v>
      </c>
      <c r="R166" s="179">
        <v>0</v>
      </c>
      <c r="S166" s="179">
        <v>0</v>
      </c>
      <c r="T166" s="181">
        <f t="shared" si="25"/>
        <v>0</v>
      </c>
      <c r="U166" s="182">
        <f t="shared" si="26"/>
        <v>0</v>
      </c>
      <c r="V166" s="73">
        <v>0</v>
      </c>
      <c r="W166" s="73">
        <v>0</v>
      </c>
      <c r="X166" s="182">
        <f t="shared" si="27"/>
        <v>0</v>
      </c>
      <c r="Y166" s="297">
        <f t="shared" si="28"/>
        <v>0</v>
      </c>
      <c r="AA166" s="138"/>
    </row>
    <row r="167" spans="2:27" ht="12.95" customHeight="1" x14ac:dyDescent="0.2"/>
    <row r="168" spans="2:27" ht="12.95" customHeight="1" x14ac:dyDescent="0.2"/>
    <row r="169" spans="2:27" ht="12.95" customHeight="1" x14ac:dyDescent="0.2"/>
    <row r="170" spans="2:27" ht="12.95" customHeight="1" x14ac:dyDescent="0.2"/>
    <row r="171" spans="2:27" ht="12.95" customHeight="1" x14ac:dyDescent="0.2"/>
    <row r="172" spans="2:27" ht="12.95" customHeight="1" x14ac:dyDescent="0.2"/>
    <row r="173" spans="2:27" ht="12.95" customHeight="1" x14ac:dyDescent="0.2"/>
    <row r="174" spans="2:27" ht="12.95" customHeight="1" x14ac:dyDescent="0.2"/>
    <row r="175" spans="2:27" ht="12.95" customHeight="1" x14ac:dyDescent="0.2"/>
    <row r="176" spans="2:27" ht="12.95" customHeight="1" x14ac:dyDescent="0.2"/>
    <row r="177" ht="12.95" customHeight="1" x14ac:dyDescent="0.2"/>
    <row r="178" ht="12.95" customHeight="1" x14ac:dyDescent="0.2"/>
    <row r="179" ht="12.95" customHeight="1" x14ac:dyDescent="0.2"/>
    <row r="180" ht="12.95" customHeight="1" x14ac:dyDescent="0.2"/>
    <row r="181" ht="12.95" customHeight="1" x14ac:dyDescent="0.2"/>
    <row r="1048555" spans="2:2" x14ac:dyDescent="0.2">
      <c r="B1048555" s="296"/>
    </row>
  </sheetData>
  <conditionalFormatting sqref="D13:D45">
    <cfRule type="duplicateValues" dxfId="3" priority="2"/>
  </conditionalFormatting>
  <conditionalFormatting sqref="D81:D93">
    <cfRule type="duplicateValues" dxfId="2" priority="1"/>
  </conditionalFormatting>
  <pageMargins left="0" right="0" top="0.74803149606299213" bottom="0.74803149606299213" header="0.31496062992125984" footer="0.31496062992125984"/>
  <pageSetup scale="10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'Códigos Banco'!$F$15:$F$17</xm:f>
          </x14:formula1>
          <xm:sqref>G96:G102 G82:G94 G13:G78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N27"/>
  <sheetViews>
    <sheetView topLeftCell="A4" workbookViewId="0">
      <selection activeCell="F37" sqref="F37"/>
    </sheetView>
  </sheetViews>
  <sheetFormatPr baseColWidth="10" defaultColWidth="11.42578125" defaultRowHeight="12.75" x14ac:dyDescent="0.2"/>
  <cols>
    <col min="1" max="1" width="2.140625" style="147" customWidth="1"/>
    <col min="2" max="2" width="12.5703125" style="147" bestFit="1" customWidth="1"/>
    <col min="3" max="3" width="7.140625" style="147" customWidth="1"/>
    <col min="4" max="4" width="15.42578125" style="206" customWidth="1"/>
    <col min="5" max="5" width="20.42578125" style="206" customWidth="1"/>
    <col min="6" max="6" width="15.42578125" style="206" customWidth="1"/>
    <col min="7" max="7" width="20.42578125" style="206" customWidth="1"/>
    <col min="8" max="8" width="3.85546875" style="206" customWidth="1"/>
    <col min="9" max="10" width="26.5703125" style="206" bestFit="1" customWidth="1"/>
    <col min="11" max="13" width="19.85546875" style="206" customWidth="1"/>
    <col min="14" max="14" width="12.42578125" style="147" bestFit="1" customWidth="1"/>
    <col min="15" max="16384" width="11.42578125" style="147"/>
  </cols>
  <sheetData>
    <row r="1" spans="2:14" ht="13.5" thickBot="1" x14ac:dyDescent="0.25"/>
    <row r="2" spans="2:14" s="207" customFormat="1" ht="13.5" thickBot="1" x14ac:dyDescent="0.25">
      <c r="B2" s="207" t="s">
        <v>107</v>
      </c>
      <c r="C2" s="208" t="s">
        <v>108</v>
      </c>
      <c r="D2" s="209" t="s">
        <v>109</v>
      </c>
      <c r="E2" s="210" t="s">
        <v>110</v>
      </c>
      <c r="F2" s="210" t="s">
        <v>111</v>
      </c>
      <c r="G2" s="211" t="s">
        <v>112</v>
      </c>
      <c r="H2" s="212"/>
      <c r="I2" s="206"/>
      <c r="J2" s="206"/>
      <c r="K2" s="206"/>
      <c r="L2" s="206"/>
      <c r="M2" s="206"/>
      <c r="N2" s="147"/>
    </row>
    <row r="3" spans="2:14" x14ac:dyDescent="0.2">
      <c r="C3" s="213">
        <v>1</v>
      </c>
      <c r="D3" s="311">
        <f>OPORTUNO!K1</f>
        <v>322739090</v>
      </c>
      <c r="E3" s="215">
        <f>OPORTUNO!J1</f>
        <v>1616</v>
      </c>
      <c r="F3" s="215">
        <f>OPORTUNO!K2</f>
        <v>186382057</v>
      </c>
      <c r="G3" s="216">
        <f>OPORTUNO!J2</f>
        <v>666</v>
      </c>
    </row>
    <row r="4" spans="2:14" x14ac:dyDescent="0.2">
      <c r="C4" s="217">
        <v>2</v>
      </c>
      <c r="D4" s="312">
        <f>OPORTUNO!M1</f>
        <v>839789795</v>
      </c>
      <c r="E4" s="184">
        <f>OPORTUNO!L1</f>
        <v>3964</v>
      </c>
      <c r="F4" s="184">
        <f>OPORTUNO!M2</f>
        <v>338362203</v>
      </c>
      <c r="G4" s="219">
        <f>OPORTUNO!L2</f>
        <v>1755</v>
      </c>
    </row>
    <row r="5" spans="2:14" x14ac:dyDescent="0.2">
      <c r="C5" s="217">
        <v>3</v>
      </c>
      <c r="D5" s="312">
        <f>OPORTUNO!O1</f>
        <v>417500887</v>
      </c>
      <c r="E5" s="184">
        <f>OPORTUNO!N1</f>
        <v>1376</v>
      </c>
      <c r="F5" s="184">
        <f>OPORTUNO!O2</f>
        <v>175516493</v>
      </c>
      <c r="G5" s="219">
        <f>OPORTUNO!N2</f>
        <v>620</v>
      </c>
    </row>
    <row r="6" spans="2:14" x14ac:dyDescent="0.2">
      <c r="C6" s="217">
        <v>4</v>
      </c>
      <c r="D6" s="312">
        <f>OPORTUNO!Q1</f>
        <v>481464262</v>
      </c>
      <c r="E6" s="184">
        <f>OPORTUNO!P1</f>
        <v>2591</v>
      </c>
      <c r="F6" s="184">
        <f>OPORTUNO!Q2</f>
        <v>193541612</v>
      </c>
      <c r="G6" s="219">
        <f>OPORTUNO!P2</f>
        <v>1098</v>
      </c>
    </row>
    <row r="7" spans="2:14" x14ac:dyDescent="0.2">
      <c r="C7" s="217">
        <v>5</v>
      </c>
      <c r="D7" s="312">
        <f>OPORTUNO!S1</f>
        <v>168793421</v>
      </c>
      <c r="E7" s="184">
        <f>OPORTUNO!R1</f>
        <v>1160</v>
      </c>
      <c r="F7" s="184">
        <f>OPORTUNO!S2</f>
        <v>80286396</v>
      </c>
      <c r="G7" s="219">
        <f>OPORTUNO!R2</f>
        <v>511</v>
      </c>
    </row>
    <row r="8" spans="2:14" ht="13.5" thickBot="1" x14ac:dyDescent="0.25">
      <c r="C8" s="220" t="s">
        <v>113</v>
      </c>
      <c r="D8" s="313">
        <f>OPORTUNO!Y1</f>
        <v>0</v>
      </c>
      <c r="E8" s="221">
        <f>OPORTUNO!X1</f>
        <v>0</v>
      </c>
      <c r="F8" s="221">
        <f>OPORTUNO!Y2</f>
        <v>0</v>
      </c>
      <c r="G8" s="222">
        <f>OPORTUNO!X2</f>
        <v>0</v>
      </c>
    </row>
    <row r="9" spans="2:14" ht="13.5" thickBot="1" x14ac:dyDescent="0.25">
      <c r="D9" s="223">
        <f>SUM(D3:D8)</f>
        <v>2230287455</v>
      </c>
      <c r="E9" s="223">
        <f>SUM(E3:E8)</f>
        <v>10707</v>
      </c>
      <c r="F9" s="223">
        <f>SUM(F3:F8)</f>
        <v>974088761</v>
      </c>
      <c r="G9" s="223">
        <f>SUM(G3:G8)</f>
        <v>4650</v>
      </c>
    </row>
    <row r="10" spans="2:14" ht="13.5" thickBot="1" x14ac:dyDescent="0.25">
      <c r="D10" s="314"/>
    </row>
    <row r="11" spans="2:14" s="207" customFormat="1" ht="13.5" thickBot="1" x14ac:dyDescent="0.25">
      <c r="C11" s="208" t="s">
        <v>108</v>
      </c>
      <c r="D11" s="208" t="s">
        <v>109</v>
      </c>
      <c r="E11" s="237" t="s">
        <v>110</v>
      </c>
      <c r="F11" s="237" t="s">
        <v>111</v>
      </c>
      <c r="G11" s="238" t="s">
        <v>112</v>
      </c>
      <c r="H11" s="212"/>
      <c r="I11" s="206"/>
      <c r="J11" s="206"/>
      <c r="K11" s="206"/>
      <c r="L11" s="206"/>
      <c r="M11" s="206"/>
      <c r="N11" s="147"/>
    </row>
    <row r="12" spans="2:14" x14ac:dyDescent="0.2">
      <c r="B12" s="224" t="s">
        <v>114</v>
      </c>
      <c r="C12" s="234">
        <v>1</v>
      </c>
      <c r="D12" s="315">
        <f>EXTEMPORANEOS!K1</f>
        <v>48127653</v>
      </c>
      <c r="E12" s="232">
        <f>EXTEMPORANEOS!J1</f>
        <v>73</v>
      </c>
      <c r="F12" s="232">
        <f>EXTEMPORANEOS!K2</f>
        <v>21888196</v>
      </c>
      <c r="G12" s="233">
        <f>EXTEMPORANEOS!J2</f>
        <v>106</v>
      </c>
    </row>
    <row r="13" spans="2:14" x14ac:dyDescent="0.2">
      <c r="C13" s="235">
        <v>2</v>
      </c>
      <c r="D13" s="312">
        <f>EXTEMPORANEOS!M1</f>
        <v>132160935</v>
      </c>
      <c r="E13" s="184">
        <f>EXTEMPORANEOS!L1</f>
        <v>54</v>
      </c>
      <c r="F13" s="184">
        <f>EXTEMPORANEOS!M2</f>
        <v>49312788</v>
      </c>
      <c r="G13" s="219">
        <f>EXTEMPORANEOS!L2</f>
        <v>27</v>
      </c>
    </row>
    <row r="14" spans="2:14" x14ac:dyDescent="0.2">
      <c r="C14" s="235">
        <v>3</v>
      </c>
      <c r="D14" s="312">
        <f>EXTEMPORANEOS!O1</f>
        <v>19609348</v>
      </c>
      <c r="E14" s="184">
        <f>EXTEMPORANEOS!N1</f>
        <v>11</v>
      </c>
      <c r="F14" s="184">
        <f>EXTEMPORANEOS!O2</f>
        <v>1810000</v>
      </c>
      <c r="G14" s="219">
        <f>EXTEMPORANEOS!N2</f>
        <v>3</v>
      </c>
    </row>
    <row r="15" spans="2:14" x14ac:dyDescent="0.2">
      <c r="C15" s="235">
        <v>4</v>
      </c>
      <c r="D15" s="312">
        <f>EXTEMPORANEOS!Q1</f>
        <v>118198907</v>
      </c>
      <c r="E15" s="184">
        <f>EXTEMPORANEOS!P1</f>
        <v>9</v>
      </c>
      <c r="F15" s="184">
        <f>EXTEMPORANEOS!Q2</f>
        <v>560460</v>
      </c>
      <c r="G15" s="219">
        <f>EXTEMPORANEOS!P2</f>
        <v>10</v>
      </c>
    </row>
    <row r="16" spans="2:14" x14ac:dyDescent="0.2">
      <c r="C16" s="235">
        <v>5</v>
      </c>
      <c r="D16" s="312">
        <f>EXTEMPORANEOS!S1</f>
        <v>7112332</v>
      </c>
      <c r="E16" s="184">
        <f>EXTEMPORANEOS!R1</f>
        <v>27</v>
      </c>
      <c r="F16" s="184">
        <f>EXTEMPORANEOS!S2</f>
        <v>251760</v>
      </c>
      <c r="G16" s="219">
        <f>EXTEMPORANEOS!R2</f>
        <v>3</v>
      </c>
    </row>
    <row r="17" spans="2:13" ht="13.5" thickBot="1" x14ac:dyDescent="0.25">
      <c r="C17" s="236" t="s">
        <v>113</v>
      </c>
      <c r="D17" s="312">
        <f>EXTEMPORANEOS!Y1</f>
        <v>0</v>
      </c>
      <c r="E17" s="184">
        <f>EXTEMPORANEOS!X1</f>
        <v>0</v>
      </c>
      <c r="F17" s="184">
        <f>EXTEMPORANEOS!Y2</f>
        <v>0</v>
      </c>
      <c r="G17" s="219">
        <f>EXTEMPORANEOS!X2</f>
        <v>0</v>
      </c>
    </row>
    <row r="18" spans="2:13" ht="13.5" thickBot="1" x14ac:dyDescent="0.25">
      <c r="D18" s="239">
        <f>SUM(D12:D17)</f>
        <v>325209175</v>
      </c>
      <c r="E18" s="239">
        <f>SUM(E12:E17)</f>
        <v>174</v>
      </c>
      <c r="F18" s="239">
        <f>SUM(F12:F17)</f>
        <v>73823204</v>
      </c>
      <c r="G18" s="239">
        <f>SUM(G12:G17)</f>
        <v>149</v>
      </c>
    </row>
    <row r="19" spans="2:13" ht="13.5" thickBot="1" x14ac:dyDescent="0.25"/>
    <row r="20" spans="2:13" ht="13.5" thickBot="1" x14ac:dyDescent="0.25">
      <c r="C20" s="208" t="s">
        <v>108</v>
      </c>
      <c r="D20" s="209" t="s">
        <v>109</v>
      </c>
      <c r="E20" s="210" t="s">
        <v>110</v>
      </c>
      <c r="F20" s="210" t="s">
        <v>111</v>
      </c>
      <c r="G20" s="211" t="s">
        <v>112</v>
      </c>
      <c r="I20" s="225" t="s">
        <v>115</v>
      </c>
      <c r="J20" s="226" t="s">
        <v>116</v>
      </c>
    </row>
    <row r="21" spans="2:13" s="206" customFormat="1" x14ac:dyDescent="0.2">
      <c r="B21" s="227" t="s">
        <v>4</v>
      </c>
      <c r="C21" s="213">
        <v>1</v>
      </c>
      <c r="D21" s="311">
        <f t="shared" ref="D21:G26" si="0">D3+D12</f>
        <v>370866743</v>
      </c>
      <c r="E21" s="316">
        <f t="shared" si="0"/>
        <v>1689</v>
      </c>
      <c r="F21" s="215">
        <f>F3+F12</f>
        <v>208270253</v>
      </c>
      <c r="G21" s="216">
        <f t="shared" si="0"/>
        <v>772</v>
      </c>
      <c r="I21" s="214">
        <f t="shared" ref="I21:J26" si="1">D21+F21</f>
        <v>579136996</v>
      </c>
      <c r="J21" s="216">
        <f t="shared" si="1"/>
        <v>2461</v>
      </c>
    </row>
    <row r="22" spans="2:13" s="206" customFormat="1" x14ac:dyDescent="0.2">
      <c r="B22" s="147"/>
      <c r="C22" s="217">
        <v>2</v>
      </c>
      <c r="D22" s="312">
        <f t="shared" si="0"/>
        <v>971950730</v>
      </c>
      <c r="E22" s="243">
        <f t="shared" si="0"/>
        <v>4018</v>
      </c>
      <c r="F22" s="184">
        <f t="shared" si="0"/>
        <v>387674991</v>
      </c>
      <c r="G22" s="219">
        <f t="shared" si="0"/>
        <v>1782</v>
      </c>
      <c r="I22" s="218">
        <f t="shared" si="1"/>
        <v>1359625721</v>
      </c>
      <c r="J22" s="219">
        <f t="shared" si="1"/>
        <v>5800</v>
      </c>
    </row>
    <row r="23" spans="2:13" s="206" customFormat="1" x14ac:dyDescent="0.2">
      <c r="B23" s="147"/>
      <c r="C23" s="217">
        <v>3</v>
      </c>
      <c r="D23" s="312">
        <f t="shared" si="0"/>
        <v>437110235</v>
      </c>
      <c r="E23" s="243">
        <f t="shared" si="0"/>
        <v>1387</v>
      </c>
      <c r="F23" s="184">
        <f t="shared" si="0"/>
        <v>177326493</v>
      </c>
      <c r="G23" s="219">
        <f t="shared" si="0"/>
        <v>623</v>
      </c>
      <c r="I23" s="218">
        <f t="shared" si="1"/>
        <v>614436728</v>
      </c>
      <c r="J23" s="219">
        <f t="shared" si="1"/>
        <v>2010</v>
      </c>
    </row>
    <row r="24" spans="2:13" s="206" customFormat="1" x14ac:dyDescent="0.2">
      <c r="B24" s="147"/>
      <c r="C24" s="217">
        <v>4</v>
      </c>
      <c r="D24" s="312">
        <f t="shared" si="0"/>
        <v>599663169</v>
      </c>
      <c r="E24" s="243">
        <f t="shared" si="0"/>
        <v>2600</v>
      </c>
      <c r="F24" s="184">
        <f t="shared" si="0"/>
        <v>194102072</v>
      </c>
      <c r="G24" s="219">
        <f t="shared" si="0"/>
        <v>1108</v>
      </c>
      <c r="I24" s="218">
        <f t="shared" si="1"/>
        <v>793765241</v>
      </c>
      <c r="J24" s="219">
        <f t="shared" si="1"/>
        <v>3708</v>
      </c>
    </row>
    <row r="25" spans="2:13" s="206" customFormat="1" x14ac:dyDescent="0.2">
      <c r="B25" s="147"/>
      <c r="C25" s="217">
        <v>5</v>
      </c>
      <c r="D25" s="312">
        <f t="shared" si="0"/>
        <v>175905753</v>
      </c>
      <c r="E25" s="243">
        <f t="shared" si="0"/>
        <v>1187</v>
      </c>
      <c r="F25" s="184">
        <f t="shared" si="0"/>
        <v>80538156</v>
      </c>
      <c r="G25" s="219">
        <f t="shared" si="0"/>
        <v>514</v>
      </c>
      <c r="I25" s="218">
        <f t="shared" si="1"/>
        <v>256443909</v>
      </c>
      <c r="J25" s="219">
        <f t="shared" si="1"/>
        <v>1701</v>
      </c>
    </row>
    <row r="26" spans="2:13" ht="13.5" thickBot="1" x14ac:dyDescent="0.25">
      <c r="C26" s="319" t="s">
        <v>113</v>
      </c>
      <c r="D26" s="320">
        <f t="shared" si="0"/>
        <v>0</v>
      </c>
      <c r="E26" s="243">
        <f t="shared" si="0"/>
        <v>0</v>
      </c>
      <c r="F26" s="184">
        <f t="shared" si="0"/>
        <v>0</v>
      </c>
      <c r="G26" s="219">
        <f t="shared" si="0"/>
        <v>0</v>
      </c>
      <c r="I26" s="228">
        <f t="shared" si="1"/>
        <v>0</v>
      </c>
      <c r="J26" s="229">
        <f t="shared" si="1"/>
        <v>0</v>
      </c>
      <c r="L26" s="147"/>
      <c r="M26" s="147"/>
    </row>
    <row r="27" spans="2:13" ht="13.5" thickBot="1" x14ac:dyDescent="0.25">
      <c r="D27" s="223">
        <f>SUM(D21:D26)</f>
        <v>2555496630</v>
      </c>
      <c r="E27" s="223">
        <f>SUM(E21:E26)</f>
        <v>10881</v>
      </c>
      <c r="F27" s="223">
        <f>SUM(F21:F26)</f>
        <v>1047911965</v>
      </c>
      <c r="G27" s="223">
        <f>SUM(G21:G26)</f>
        <v>4799</v>
      </c>
      <c r="I27" s="230">
        <f>SUM(I21:I26)</f>
        <v>3603408595</v>
      </c>
      <c r="J27" s="231">
        <f>SUM(J21:J26)</f>
        <v>15680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4857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baseColWidth="10" defaultColWidth="14.42578125" defaultRowHeight="12.75" x14ac:dyDescent="0.2"/>
  <cols>
    <col min="1" max="1" width="14.42578125" bestFit="1" customWidth="1"/>
    <col min="2" max="2" width="11.42578125" bestFit="1" customWidth="1"/>
    <col min="3" max="3" width="29.5703125" bestFit="1" customWidth="1"/>
    <col min="4" max="4" width="14" customWidth="1"/>
    <col min="5" max="5" width="13.5703125" style="337" customWidth="1"/>
    <col min="6" max="6" width="61.5703125" bestFit="1" customWidth="1"/>
    <col min="7" max="7" width="4.5703125" customWidth="1"/>
    <col min="8" max="8" width="2.85546875" style="200" customWidth="1"/>
    <col min="9" max="9" width="14.42578125" bestFit="1" customWidth="1"/>
    <col min="10" max="10" width="11.42578125" bestFit="1" customWidth="1"/>
    <col min="11" max="11" width="29.5703125" bestFit="1" customWidth="1"/>
    <col min="12" max="12" width="16.140625" customWidth="1"/>
    <col min="13" max="13" width="13.5703125" style="337" customWidth="1"/>
    <col min="14" max="14" width="51.5703125" customWidth="1"/>
    <col min="15" max="15" width="4.5703125" customWidth="1"/>
    <col min="16" max="16" width="2.85546875" style="200" customWidth="1"/>
    <col min="17" max="17" width="11.42578125" bestFit="1" customWidth="1"/>
    <col min="18" max="26" width="10.5703125" customWidth="1"/>
  </cols>
  <sheetData>
    <row r="1" spans="1:26" ht="15" customHeight="1" thickBot="1" x14ac:dyDescent="0.25">
      <c r="D1" s="45" t="s">
        <v>3</v>
      </c>
      <c r="E1" s="336">
        <f>E3+M3</f>
        <v>0</v>
      </c>
      <c r="F1" s="205">
        <f>F3+N3</f>
        <v>0</v>
      </c>
      <c r="L1" s="325"/>
    </row>
    <row r="2" spans="1:26" ht="15" customHeight="1" thickBot="1" x14ac:dyDescent="0.25">
      <c r="D2" s="326"/>
      <c r="L2" s="325"/>
    </row>
    <row r="3" spans="1:26" ht="15" customHeight="1" thickBot="1" x14ac:dyDescent="0.25">
      <c r="A3" s="25"/>
      <c r="B3" s="25"/>
      <c r="C3" s="301" t="s">
        <v>106</v>
      </c>
      <c r="D3" s="302">
        <f>A5</f>
        <v>2026101</v>
      </c>
      <c r="E3" s="338">
        <f>SUM(E5:E104)</f>
        <v>0</v>
      </c>
      <c r="F3" s="303">
        <f>COUNT(E5:E104)</f>
        <v>0</v>
      </c>
      <c r="K3" s="203" t="s">
        <v>106</v>
      </c>
      <c r="L3" s="204">
        <f>I5</f>
        <v>2026102</v>
      </c>
      <c r="M3" s="336">
        <f>SUM(M5:M105)</f>
        <v>0</v>
      </c>
      <c r="N3" s="202">
        <f>COUNT(M5:M105)</f>
        <v>0</v>
      </c>
    </row>
    <row r="4" spans="1:26" ht="26.25" thickBot="1" x14ac:dyDescent="0.25">
      <c r="A4" s="305" t="s">
        <v>17</v>
      </c>
      <c r="B4" s="306" t="s">
        <v>6</v>
      </c>
      <c r="C4" s="307" t="s">
        <v>26</v>
      </c>
      <c r="D4" s="308" t="s">
        <v>15</v>
      </c>
      <c r="E4" s="339" t="s">
        <v>16</v>
      </c>
      <c r="F4" s="309" t="s">
        <v>21</v>
      </c>
      <c r="G4" s="7" t="s">
        <v>0</v>
      </c>
      <c r="H4" s="199"/>
      <c r="I4" s="305" t="s">
        <v>17</v>
      </c>
      <c r="J4" s="306" t="s">
        <v>6</v>
      </c>
      <c r="K4" s="307" t="s">
        <v>26</v>
      </c>
      <c r="L4" s="308" t="s">
        <v>15</v>
      </c>
      <c r="M4" s="339" t="s">
        <v>16</v>
      </c>
      <c r="N4" s="309" t="s">
        <v>21</v>
      </c>
      <c r="O4" s="7" t="s">
        <v>0</v>
      </c>
      <c r="P4" s="199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">
      <c r="A5" s="304">
        <f>OPORTUNO!C1</f>
        <v>2026101</v>
      </c>
      <c r="B5" s="300"/>
      <c r="C5" s="41"/>
      <c r="D5" s="12"/>
      <c r="E5" s="246"/>
      <c r="F5" s="377"/>
      <c r="G5" s="8"/>
      <c r="I5" s="367">
        <f>OPORTUNO!C2</f>
        <v>2026102</v>
      </c>
      <c r="J5" s="322"/>
      <c r="K5" s="368"/>
      <c r="L5" s="367"/>
      <c r="M5" s="369"/>
      <c r="N5" s="370"/>
      <c r="O5" s="8"/>
    </row>
    <row r="6" spans="1:26" ht="12.75" customHeight="1" x14ac:dyDescent="0.2">
      <c r="A6" s="43">
        <f t="shared" ref="A6:A37" si="0">A5</f>
        <v>2026101</v>
      </c>
      <c r="B6" s="300"/>
      <c r="C6" s="41"/>
      <c r="D6" s="12"/>
      <c r="E6" s="246"/>
      <c r="F6" s="44"/>
      <c r="G6" s="351"/>
      <c r="I6" s="12">
        <f>I5</f>
        <v>2026102</v>
      </c>
      <c r="J6" s="300"/>
      <c r="K6" s="368"/>
      <c r="L6" s="12"/>
      <c r="M6" s="246"/>
      <c r="N6" s="370"/>
      <c r="O6" s="8"/>
    </row>
    <row r="7" spans="1:26" ht="12.75" customHeight="1" x14ac:dyDescent="0.2">
      <c r="A7" s="43">
        <f t="shared" si="0"/>
        <v>2026101</v>
      </c>
      <c r="B7" s="300"/>
      <c r="C7" s="41"/>
      <c r="D7" s="12"/>
      <c r="E7" s="246"/>
      <c r="F7" s="44"/>
      <c r="G7" s="8"/>
      <c r="I7" s="12">
        <f t="shared" ref="I7:I70" si="1">I6</f>
        <v>2026102</v>
      </c>
      <c r="J7" s="300"/>
      <c r="K7" s="368"/>
      <c r="L7" s="12"/>
      <c r="M7" s="246"/>
      <c r="N7" s="370"/>
      <c r="O7" s="8"/>
    </row>
    <row r="8" spans="1:26" ht="12.75" customHeight="1" x14ac:dyDescent="0.2">
      <c r="A8" s="43">
        <f t="shared" si="0"/>
        <v>2026101</v>
      </c>
      <c r="B8" s="300"/>
      <c r="C8" s="41"/>
      <c r="D8" s="12"/>
      <c r="E8" s="246"/>
      <c r="F8" s="44"/>
      <c r="G8" s="8"/>
      <c r="I8" s="12">
        <f t="shared" si="1"/>
        <v>2026102</v>
      </c>
      <c r="J8" s="300"/>
      <c r="K8" s="368"/>
      <c r="L8" s="12"/>
      <c r="M8" s="246"/>
      <c r="N8" s="370"/>
      <c r="O8" s="8"/>
    </row>
    <row r="9" spans="1:26" ht="12.75" customHeight="1" x14ac:dyDescent="0.2">
      <c r="A9" s="43">
        <f t="shared" si="0"/>
        <v>2026101</v>
      </c>
      <c r="B9" s="300"/>
      <c r="C9" s="41"/>
      <c r="D9" s="12"/>
      <c r="E9" s="246"/>
      <c r="F9" s="44"/>
      <c r="G9" s="8"/>
      <c r="I9" s="12">
        <f t="shared" si="1"/>
        <v>2026102</v>
      </c>
      <c r="J9" s="300"/>
      <c r="K9" s="368"/>
      <c r="L9" s="12"/>
      <c r="M9" s="246"/>
      <c r="N9" s="370"/>
      <c r="O9" s="8"/>
    </row>
    <row r="10" spans="1:26" ht="12.75" customHeight="1" x14ac:dyDescent="0.2">
      <c r="A10" s="43">
        <f t="shared" si="0"/>
        <v>2026101</v>
      </c>
      <c r="B10" s="300"/>
      <c r="C10" s="41"/>
      <c r="D10" s="12"/>
      <c r="E10" s="246"/>
      <c r="F10" s="44"/>
      <c r="G10" s="8"/>
      <c r="I10" s="12">
        <f t="shared" si="1"/>
        <v>2026102</v>
      </c>
      <c r="J10" s="300"/>
      <c r="K10" s="368"/>
      <c r="L10" s="12"/>
      <c r="M10" s="246"/>
      <c r="N10" s="370"/>
      <c r="O10" s="8"/>
    </row>
    <row r="11" spans="1:26" ht="12.75" customHeight="1" x14ac:dyDescent="0.2">
      <c r="A11" s="43">
        <f>A10</f>
        <v>2026101</v>
      </c>
      <c r="B11" s="300"/>
      <c r="C11" s="41"/>
      <c r="D11" s="12"/>
      <c r="E11" s="246"/>
      <c r="F11" s="44"/>
      <c r="G11" s="8"/>
      <c r="I11" s="12">
        <f>I10</f>
        <v>2026102</v>
      </c>
      <c r="J11" s="42"/>
      <c r="K11" s="368"/>
      <c r="L11" s="12"/>
      <c r="M11" s="246"/>
      <c r="N11" s="370"/>
      <c r="O11" s="8"/>
    </row>
    <row r="12" spans="1:26" ht="12.75" customHeight="1" x14ac:dyDescent="0.2">
      <c r="A12" s="43">
        <f>A11</f>
        <v>2026101</v>
      </c>
      <c r="B12" s="300"/>
      <c r="C12" s="41"/>
      <c r="D12" s="376"/>
      <c r="E12" s="246"/>
      <c r="F12" s="44"/>
      <c r="G12" s="8"/>
      <c r="I12" s="12">
        <f>I11</f>
        <v>2026102</v>
      </c>
      <c r="J12" s="42"/>
      <c r="K12" s="368"/>
      <c r="L12" s="12"/>
      <c r="M12" s="246"/>
      <c r="N12" s="370"/>
      <c r="O12" s="8"/>
    </row>
    <row r="13" spans="1:26" ht="12.75" customHeight="1" x14ac:dyDescent="0.2">
      <c r="A13" s="43">
        <f t="shared" si="0"/>
        <v>2026101</v>
      </c>
      <c r="B13" s="300"/>
      <c r="C13" s="41"/>
      <c r="D13" s="12"/>
      <c r="E13" s="350"/>
      <c r="F13" s="44"/>
      <c r="G13" s="8"/>
      <c r="I13" s="12">
        <f t="shared" si="1"/>
        <v>2026102</v>
      </c>
      <c r="J13" s="42"/>
      <c r="K13" s="368"/>
      <c r="L13" s="12"/>
      <c r="M13" s="246"/>
      <c r="N13" s="370"/>
      <c r="O13" s="8"/>
    </row>
    <row r="14" spans="1:26" ht="12.75" customHeight="1" x14ac:dyDescent="0.2">
      <c r="A14" s="43">
        <f t="shared" si="0"/>
        <v>2026101</v>
      </c>
      <c r="B14" s="300"/>
      <c r="C14" s="41"/>
      <c r="D14" s="12"/>
      <c r="E14" s="246"/>
      <c r="F14" s="44"/>
      <c r="G14" s="8"/>
      <c r="I14" s="12">
        <f t="shared" si="1"/>
        <v>2026102</v>
      </c>
      <c r="J14" s="42"/>
      <c r="K14" s="368"/>
      <c r="L14" s="12"/>
      <c r="M14" s="246"/>
      <c r="N14" s="370"/>
      <c r="O14" s="8"/>
    </row>
    <row r="15" spans="1:26" ht="12.75" customHeight="1" x14ac:dyDescent="0.2">
      <c r="A15" s="43">
        <f t="shared" si="0"/>
        <v>2026101</v>
      </c>
      <c r="B15" s="300"/>
      <c r="C15" s="41"/>
      <c r="D15" s="12"/>
      <c r="E15" s="246"/>
      <c r="F15" s="44"/>
      <c r="G15" s="8"/>
      <c r="I15" s="12">
        <f>I14</f>
        <v>2026102</v>
      </c>
      <c r="J15" s="42"/>
      <c r="K15" s="368"/>
      <c r="L15" s="12"/>
      <c r="M15" s="246"/>
      <c r="N15" s="370"/>
      <c r="O15" s="8"/>
    </row>
    <row r="16" spans="1:26" x14ac:dyDescent="0.2">
      <c r="A16" s="43">
        <f t="shared" si="0"/>
        <v>2026101</v>
      </c>
      <c r="B16" s="322"/>
      <c r="C16" s="41"/>
      <c r="D16" s="12"/>
      <c r="E16" s="246"/>
      <c r="F16" s="44"/>
      <c r="G16" s="8"/>
      <c r="I16" s="12">
        <f t="shared" si="1"/>
        <v>2026102</v>
      </c>
      <c r="J16" s="42"/>
      <c r="K16" s="41"/>
      <c r="L16" s="12"/>
      <c r="M16" s="246"/>
      <c r="N16" s="370"/>
      <c r="O16" s="8"/>
    </row>
    <row r="17" spans="1:16" x14ac:dyDescent="0.2">
      <c r="A17" s="43">
        <f t="shared" si="0"/>
        <v>2026101</v>
      </c>
      <c r="B17" s="322"/>
      <c r="C17" s="41"/>
      <c r="D17" s="12"/>
      <c r="E17" s="246"/>
      <c r="F17" s="44"/>
      <c r="G17" s="8"/>
      <c r="I17" s="12">
        <f t="shared" si="1"/>
        <v>2026102</v>
      </c>
      <c r="J17" s="42"/>
      <c r="K17" s="41"/>
      <c r="L17" s="12"/>
      <c r="M17" s="246"/>
      <c r="N17" s="323"/>
      <c r="O17" s="8"/>
    </row>
    <row r="18" spans="1:16" x14ac:dyDescent="0.2">
      <c r="A18" s="43">
        <f t="shared" si="0"/>
        <v>2026101</v>
      </c>
      <c r="B18" s="322"/>
      <c r="C18" s="41"/>
      <c r="D18" s="12"/>
      <c r="E18" s="246"/>
      <c r="F18" s="44"/>
      <c r="G18" s="8"/>
      <c r="I18" s="12">
        <f t="shared" si="1"/>
        <v>2026102</v>
      </c>
      <c r="J18" s="300"/>
      <c r="K18" s="41"/>
      <c r="L18" s="299"/>
      <c r="M18" s="246"/>
      <c r="N18" s="323"/>
      <c r="O18" s="8"/>
    </row>
    <row r="19" spans="1:16" x14ac:dyDescent="0.2">
      <c r="A19" s="43">
        <f t="shared" si="0"/>
        <v>2026101</v>
      </c>
      <c r="B19" s="322"/>
      <c r="C19" s="41"/>
      <c r="D19" s="12"/>
      <c r="E19" s="246"/>
      <c r="F19" s="44"/>
      <c r="G19" s="8"/>
      <c r="I19" s="12">
        <f t="shared" si="1"/>
        <v>2026102</v>
      </c>
      <c r="J19" s="300"/>
      <c r="K19" s="41"/>
      <c r="L19" s="12"/>
      <c r="M19" s="246"/>
      <c r="N19" s="323"/>
      <c r="O19" s="8"/>
    </row>
    <row r="20" spans="1:16" x14ac:dyDescent="0.2">
      <c r="A20" s="43">
        <f t="shared" si="0"/>
        <v>2026101</v>
      </c>
      <c r="B20" s="322"/>
      <c r="C20" s="41"/>
      <c r="D20" s="12"/>
      <c r="E20" s="246"/>
      <c r="F20" s="44"/>
      <c r="G20" s="8"/>
      <c r="I20" s="12">
        <f t="shared" si="1"/>
        <v>2026102</v>
      </c>
      <c r="J20" s="300"/>
      <c r="K20" s="41"/>
      <c r="L20" s="12"/>
      <c r="M20" s="246"/>
      <c r="N20" s="323"/>
      <c r="O20" s="8"/>
    </row>
    <row r="21" spans="1:16" x14ac:dyDescent="0.2">
      <c r="A21" s="43">
        <f t="shared" si="0"/>
        <v>2026101</v>
      </c>
      <c r="B21" s="300"/>
      <c r="C21" s="41"/>
      <c r="D21" s="12"/>
      <c r="E21" s="246"/>
      <c r="F21" s="44"/>
      <c r="G21" s="8"/>
      <c r="I21" s="12">
        <f t="shared" si="1"/>
        <v>2026102</v>
      </c>
      <c r="J21" s="300"/>
      <c r="K21" s="41"/>
      <c r="L21" s="12"/>
      <c r="M21" s="246"/>
      <c r="N21" s="323"/>
      <c r="O21" s="8"/>
    </row>
    <row r="22" spans="1:16" x14ac:dyDescent="0.2">
      <c r="A22" s="43">
        <f t="shared" si="0"/>
        <v>2026101</v>
      </c>
      <c r="B22" s="300"/>
      <c r="C22" s="41"/>
      <c r="D22" s="12"/>
      <c r="E22" s="246"/>
      <c r="F22" s="44"/>
      <c r="G22" s="8"/>
      <c r="I22" s="12">
        <f t="shared" si="1"/>
        <v>2026102</v>
      </c>
      <c r="J22" s="300"/>
      <c r="K22" s="41"/>
      <c r="L22" s="12"/>
      <c r="M22" s="246"/>
      <c r="N22" s="323"/>
      <c r="O22" s="8"/>
    </row>
    <row r="23" spans="1:16" x14ac:dyDescent="0.2">
      <c r="A23" s="43">
        <f t="shared" si="0"/>
        <v>2026101</v>
      </c>
      <c r="B23" s="300"/>
      <c r="C23" s="41"/>
      <c r="D23" s="12"/>
      <c r="E23" s="246"/>
      <c r="F23" s="44"/>
      <c r="G23" s="8"/>
      <c r="H23" s="201"/>
      <c r="I23" s="12">
        <f>I22</f>
        <v>2026102</v>
      </c>
      <c r="J23" s="300"/>
      <c r="K23" s="41"/>
      <c r="L23" s="12"/>
      <c r="M23" s="246"/>
      <c r="N23" s="323"/>
      <c r="O23" s="8"/>
      <c r="P23" s="201"/>
    </row>
    <row r="24" spans="1:16" x14ac:dyDescent="0.2">
      <c r="A24" s="43">
        <f t="shared" si="0"/>
        <v>2026101</v>
      </c>
      <c r="B24" s="300"/>
      <c r="C24" s="41"/>
      <c r="D24" s="12"/>
      <c r="E24" s="246"/>
      <c r="F24" s="44"/>
      <c r="G24" s="8"/>
      <c r="H24" s="201"/>
      <c r="I24" s="12">
        <f t="shared" si="1"/>
        <v>2026102</v>
      </c>
      <c r="J24" s="300"/>
      <c r="K24" s="41"/>
      <c r="L24" s="12"/>
      <c r="M24" s="246"/>
      <c r="N24" s="323"/>
      <c r="O24" s="8"/>
      <c r="P24" s="201"/>
    </row>
    <row r="25" spans="1:16" x14ac:dyDescent="0.2">
      <c r="A25" s="43">
        <f t="shared" si="0"/>
        <v>2026101</v>
      </c>
      <c r="B25" s="300"/>
      <c r="C25" s="41"/>
      <c r="D25" s="12"/>
      <c r="E25" s="246"/>
      <c r="F25" s="44"/>
      <c r="G25" s="8"/>
      <c r="H25" s="201"/>
      <c r="I25" s="12">
        <f t="shared" si="1"/>
        <v>2026102</v>
      </c>
      <c r="J25" s="300"/>
      <c r="K25" s="41"/>
      <c r="L25" s="12"/>
      <c r="M25" s="246"/>
      <c r="N25" s="323"/>
      <c r="O25" s="8"/>
      <c r="P25" s="201"/>
    </row>
    <row r="26" spans="1:16" x14ac:dyDescent="0.2">
      <c r="A26" s="43">
        <f t="shared" si="0"/>
        <v>2026101</v>
      </c>
      <c r="B26" s="300"/>
      <c r="C26" s="41"/>
      <c r="D26" s="12"/>
      <c r="E26" s="246"/>
      <c r="F26" s="44"/>
      <c r="G26" s="8"/>
      <c r="H26" s="201"/>
      <c r="I26" s="12">
        <f t="shared" si="1"/>
        <v>2026102</v>
      </c>
      <c r="J26" s="300"/>
      <c r="K26" s="41"/>
      <c r="L26" s="12"/>
      <c r="M26" s="246"/>
      <c r="N26" s="323"/>
      <c r="O26" s="8"/>
      <c r="P26" s="201"/>
    </row>
    <row r="27" spans="1:16" x14ac:dyDescent="0.2">
      <c r="A27" s="43">
        <f t="shared" si="0"/>
        <v>2026101</v>
      </c>
      <c r="B27" s="300"/>
      <c r="C27" s="41"/>
      <c r="D27" s="12"/>
      <c r="E27" s="246"/>
      <c r="F27" s="44"/>
      <c r="G27" s="8"/>
      <c r="H27" s="201"/>
      <c r="I27" s="12">
        <f t="shared" si="1"/>
        <v>2026102</v>
      </c>
      <c r="J27" s="300"/>
      <c r="K27" s="41"/>
      <c r="L27" s="12"/>
      <c r="M27" s="246"/>
      <c r="N27" s="323"/>
      <c r="O27" s="8"/>
      <c r="P27" s="201"/>
    </row>
    <row r="28" spans="1:16" x14ac:dyDescent="0.2">
      <c r="A28" s="43">
        <f t="shared" si="0"/>
        <v>2026101</v>
      </c>
      <c r="B28" s="300"/>
      <c r="C28" s="318"/>
      <c r="D28" s="12"/>
      <c r="F28" s="44"/>
      <c r="G28" s="8"/>
      <c r="H28" s="201"/>
      <c r="I28" s="12">
        <f t="shared" si="1"/>
        <v>2026102</v>
      </c>
      <c r="J28" s="42"/>
      <c r="K28" s="41"/>
      <c r="L28" s="12"/>
      <c r="M28" s="246"/>
      <c r="N28" s="323"/>
      <c r="O28" s="8"/>
      <c r="P28" s="201"/>
    </row>
    <row r="29" spans="1:16" x14ac:dyDescent="0.2">
      <c r="A29" s="43">
        <f t="shared" si="0"/>
        <v>2026101</v>
      </c>
      <c r="B29" s="42"/>
      <c r="C29" s="41"/>
      <c r="D29" s="12"/>
      <c r="E29" s="246"/>
      <c r="F29" s="44"/>
      <c r="G29" s="8"/>
      <c r="H29" s="201"/>
      <c r="I29" s="12">
        <f t="shared" si="1"/>
        <v>2026102</v>
      </c>
      <c r="J29" s="42"/>
      <c r="K29" s="41"/>
      <c r="L29" s="12"/>
      <c r="M29" s="246"/>
      <c r="N29" s="323"/>
      <c r="O29" s="8"/>
      <c r="P29" s="201"/>
    </row>
    <row r="30" spans="1:16" x14ac:dyDescent="0.2">
      <c r="A30" s="43">
        <f t="shared" si="0"/>
        <v>2026101</v>
      </c>
      <c r="B30" s="300"/>
      <c r="C30" s="57"/>
      <c r="D30" s="12"/>
      <c r="E30" s="340"/>
      <c r="F30" s="57"/>
      <c r="G30" s="8"/>
      <c r="H30" s="201"/>
      <c r="I30" s="12">
        <f t="shared" si="1"/>
        <v>2026102</v>
      </c>
      <c r="J30" s="42"/>
      <c r="K30" s="41"/>
      <c r="L30" s="12"/>
      <c r="M30" s="246"/>
      <c r="N30" s="323"/>
      <c r="O30" s="8"/>
      <c r="P30" s="201"/>
    </row>
    <row r="31" spans="1:16" x14ac:dyDescent="0.2">
      <c r="A31" s="43">
        <f t="shared" si="0"/>
        <v>2026101</v>
      </c>
      <c r="B31" s="300"/>
      <c r="C31" s="57"/>
      <c r="D31" s="12"/>
      <c r="E31" s="340"/>
      <c r="F31" s="44"/>
      <c r="G31" s="8"/>
      <c r="H31" s="201"/>
      <c r="I31" s="12">
        <f t="shared" si="1"/>
        <v>2026102</v>
      </c>
      <c r="J31" s="42"/>
      <c r="K31" s="41"/>
      <c r="L31" s="12"/>
      <c r="M31" s="246"/>
      <c r="N31" s="323"/>
      <c r="O31" s="8"/>
      <c r="P31" s="201"/>
    </row>
    <row r="32" spans="1:16" x14ac:dyDescent="0.2">
      <c r="A32" s="43">
        <f t="shared" si="0"/>
        <v>2026101</v>
      </c>
      <c r="B32" s="300"/>
      <c r="C32" s="57"/>
      <c r="D32" s="12"/>
      <c r="E32" s="340"/>
      <c r="F32" s="57"/>
      <c r="G32" s="8"/>
      <c r="H32" s="201"/>
      <c r="I32" s="12">
        <f t="shared" si="1"/>
        <v>2026102</v>
      </c>
      <c r="J32" s="42"/>
      <c r="K32" s="41"/>
      <c r="L32" s="12"/>
      <c r="M32" s="246"/>
      <c r="N32" s="323"/>
      <c r="O32" s="8"/>
      <c r="P32" s="201"/>
    </row>
    <row r="33" spans="1:16" x14ac:dyDescent="0.2">
      <c r="A33" s="43">
        <f t="shared" si="0"/>
        <v>2026101</v>
      </c>
      <c r="B33" s="300"/>
      <c r="C33" s="41"/>
      <c r="D33" s="12"/>
      <c r="E33" s="246"/>
      <c r="F33" s="323"/>
      <c r="G33" s="8"/>
      <c r="H33" s="201"/>
      <c r="I33" s="12">
        <f t="shared" si="1"/>
        <v>2026102</v>
      </c>
      <c r="J33" s="42"/>
      <c r="K33" s="41"/>
      <c r="L33" s="12"/>
      <c r="M33" s="246"/>
      <c r="N33" s="323"/>
      <c r="O33" s="8"/>
      <c r="P33" s="201"/>
    </row>
    <row r="34" spans="1:16" x14ac:dyDescent="0.2">
      <c r="A34" s="43">
        <f t="shared" si="0"/>
        <v>2026101</v>
      </c>
      <c r="B34" s="300"/>
      <c r="C34" s="41"/>
      <c r="D34" s="12"/>
      <c r="E34" s="246"/>
      <c r="F34" s="44"/>
      <c r="G34" s="8"/>
      <c r="H34" s="201"/>
      <c r="I34" s="12">
        <f t="shared" si="1"/>
        <v>2026102</v>
      </c>
      <c r="J34" s="42"/>
      <c r="K34" s="41"/>
      <c r="L34" s="12"/>
      <c r="M34" s="246"/>
      <c r="N34" s="323"/>
      <c r="O34" s="8"/>
      <c r="P34" s="201"/>
    </row>
    <row r="35" spans="1:16" x14ac:dyDescent="0.2">
      <c r="A35" s="43">
        <f t="shared" si="0"/>
        <v>2026101</v>
      </c>
      <c r="B35" s="42"/>
      <c r="C35" s="41"/>
      <c r="D35" s="12"/>
      <c r="E35" s="246"/>
      <c r="F35" s="44"/>
      <c r="G35" s="8"/>
      <c r="H35" s="201"/>
      <c r="I35" s="12">
        <f t="shared" si="1"/>
        <v>2026102</v>
      </c>
      <c r="J35" s="42"/>
      <c r="K35" s="41"/>
      <c r="L35" s="12"/>
      <c r="M35" s="246"/>
      <c r="N35" s="323"/>
      <c r="O35" s="8"/>
      <c r="P35" s="201"/>
    </row>
    <row r="36" spans="1:16" x14ac:dyDescent="0.2">
      <c r="A36" s="43">
        <f t="shared" si="0"/>
        <v>2026101</v>
      </c>
      <c r="B36" s="42"/>
      <c r="C36" s="41"/>
      <c r="D36" s="12"/>
      <c r="E36" s="246"/>
      <c r="F36" s="44"/>
      <c r="G36" s="8"/>
      <c r="H36" s="201"/>
      <c r="I36" s="12">
        <f t="shared" si="1"/>
        <v>2026102</v>
      </c>
      <c r="J36" s="42"/>
      <c r="K36" s="41"/>
      <c r="L36" s="12"/>
      <c r="M36" s="246"/>
      <c r="N36" s="323"/>
      <c r="O36" s="8"/>
      <c r="P36" s="201"/>
    </row>
    <row r="37" spans="1:16" x14ac:dyDescent="0.2">
      <c r="A37" s="43">
        <f t="shared" si="0"/>
        <v>2026101</v>
      </c>
      <c r="B37" s="42"/>
      <c r="C37" s="41"/>
      <c r="D37" s="12"/>
      <c r="E37" s="246"/>
      <c r="F37" s="44"/>
      <c r="G37" s="8"/>
      <c r="H37" s="201"/>
      <c r="I37" s="12">
        <f t="shared" si="1"/>
        <v>2026102</v>
      </c>
      <c r="J37" s="42"/>
      <c r="K37" s="41"/>
      <c r="L37" s="12"/>
      <c r="M37" s="246"/>
      <c r="N37" s="323"/>
      <c r="O37" s="8"/>
      <c r="P37" s="201"/>
    </row>
    <row r="38" spans="1:16" x14ac:dyDescent="0.2">
      <c r="A38" s="43">
        <f t="shared" ref="A38:A69" si="2">A37</f>
        <v>2026101</v>
      </c>
      <c r="B38" s="42"/>
      <c r="C38" s="41"/>
      <c r="D38" s="12"/>
      <c r="E38" s="246"/>
      <c r="F38" s="44"/>
      <c r="G38" s="8"/>
      <c r="H38" s="201"/>
      <c r="I38" s="12">
        <f t="shared" si="1"/>
        <v>2026102</v>
      </c>
      <c r="J38" s="42"/>
      <c r="K38" s="41"/>
      <c r="L38" s="12"/>
      <c r="M38" s="246"/>
      <c r="N38" s="323"/>
      <c r="O38" s="8"/>
      <c r="P38" s="201"/>
    </row>
    <row r="39" spans="1:16" x14ac:dyDescent="0.2">
      <c r="A39" s="43">
        <f t="shared" si="2"/>
        <v>2026101</v>
      </c>
      <c r="B39" s="42"/>
      <c r="C39" s="41"/>
      <c r="D39" s="12"/>
      <c r="E39" s="246"/>
      <c r="F39" s="44"/>
      <c r="G39" s="8"/>
      <c r="H39" s="201"/>
      <c r="I39" s="12">
        <f t="shared" si="1"/>
        <v>2026102</v>
      </c>
      <c r="J39" s="42"/>
      <c r="K39" s="41"/>
      <c r="L39" s="12"/>
      <c r="M39" s="246"/>
      <c r="N39" s="323"/>
      <c r="O39" s="8"/>
      <c r="P39" s="201"/>
    </row>
    <row r="40" spans="1:16" x14ac:dyDescent="0.2">
      <c r="A40" s="43">
        <f t="shared" si="2"/>
        <v>2026101</v>
      </c>
      <c r="B40" s="42"/>
      <c r="C40" s="41"/>
      <c r="D40" s="12"/>
      <c r="E40" s="246"/>
      <c r="F40" s="44"/>
      <c r="G40" s="8"/>
      <c r="H40" s="201"/>
      <c r="I40" s="12">
        <f t="shared" si="1"/>
        <v>2026102</v>
      </c>
      <c r="J40" s="42"/>
      <c r="K40" s="41"/>
      <c r="L40" s="12"/>
      <c r="M40" s="246"/>
      <c r="N40" s="323"/>
      <c r="O40" s="8"/>
      <c r="P40" s="201"/>
    </row>
    <row r="41" spans="1:16" x14ac:dyDescent="0.2">
      <c r="A41" s="43">
        <f t="shared" si="2"/>
        <v>2026101</v>
      </c>
      <c r="B41" s="42"/>
      <c r="C41" s="41"/>
      <c r="D41" s="12"/>
      <c r="E41" s="246"/>
      <c r="F41" s="44"/>
      <c r="G41" s="8"/>
      <c r="H41" s="201"/>
      <c r="I41" s="12">
        <f t="shared" si="1"/>
        <v>2026102</v>
      </c>
      <c r="J41" s="42"/>
      <c r="K41" s="41"/>
      <c r="L41" s="12"/>
      <c r="M41" s="246"/>
      <c r="N41" s="323"/>
      <c r="O41" s="8"/>
      <c r="P41" s="201"/>
    </row>
    <row r="42" spans="1:16" x14ac:dyDescent="0.2">
      <c r="A42" s="43">
        <f t="shared" si="2"/>
        <v>2026101</v>
      </c>
      <c r="B42" s="42"/>
      <c r="C42" s="41"/>
      <c r="D42" s="12"/>
      <c r="E42" s="246"/>
      <c r="F42" s="44"/>
      <c r="G42" s="8"/>
      <c r="H42" s="201"/>
      <c r="I42" s="12">
        <f t="shared" si="1"/>
        <v>2026102</v>
      </c>
      <c r="J42" s="42"/>
      <c r="K42" s="41"/>
      <c r="L42" s="12"/>
      <c r="M42" s="246"/>
      <c r="N42" s="323"/>
      <c r="O42" s="8"/>
      <c r="P42" s="201"/>
    </row>
    <row r="43" spans="1:16" x14ac:dyDescent="0.2">
      <c r="A43" s="43">
        <f t="shared" si="2"/>
        <v>2026101</v>
      </c>
      <c r="B43" s="42"/>
      <c r="C43" s="41"/>
      <c r="D43" s="12"/>
      <c r="E43" s="246"/>
      <c r="F43" s="44"/>
      <c r="G43" s="8"/>
      <c r="H43" s="201"/>
      <c r="I43" s="12">
        <f t="shared" si="1"/>
        <v>2026102</v>
      </c>
      <c r="J43" s="42"/>
      <c r="K43" s="41"/>
      <c r="L43" s="12"/>
      <c r="M43" s="246"/>
      <c r="N43" s="323"/>
      <c r="O43" s="8"/>
      <c r="P43" s="201"/>
    </row>
    <row r="44" spans="1:16" x14ac:dyDescent="0.2">
      <c r="A44" s="43">
        <f t="shared" si="2"/>
        <v>2026101</v>
      </c>
      <c r="B44" s="42"/>
      <c r="C44" s="41"/>
      <c r="D44" s="12"/>
      <c r="E44" s="246"/>
      <c r="F44" s="44"/>
      <c r="G44" s="8"/>
      <c r="H44" s="201"/>
      <c r="I44" s="12">
        <f t="shared" si="1"/>
        <v>2026102</v>
      </c>
      <c r="J44" s="42"/>
      <c r="K44" s="41"/>
      <c r="L44" s="12"/>
      <c r="M44" s="246"/>
      <c r="N44" s="323"/>
      <c r="O44" s="8"/>
      <c r="P44" s="201"/>
    </row>
    <row r="45" spans="1:16" x14ac:dyDescent="0.2">
      <c r="A45" s="43">
        <f t="shared" si="2"/>
        <v>2026101</v>
      </c>
      <c r="B45" s="42"/>
      <c r="C45" s="41"/>
      <c r="D45" s="12"/>
      <c r="E45" s="246"/>
      <c r="F45" s="44"/>
      <c r="G45" s="8"/>
      <c r="H45" s="201"/>
      <c r="I45" s="12">
        <f t="shared" si="1"/>
        <v>2026102</v>
      </c>
      <c r="J45" s="57"/>
      <c r="K45" s="57"/>
      <c r="L45" s="57"/>
      <c r="M45" s="57"/>
      <c r="N45" s="57"/>
      <c r="O45" s="8"/>
      <c r="P45" s="201"/>
    </row>
    <row r="46" spans="1:16" x14ac:dyDescent="0.2">
      <c r="A46" s="43">
        <f t="shared" si="2"/>
        <v>2026101</v>
      </c>
      <c r="B46" s="42"/>
      <c r="C46" s="41"/>
      <c r="D46" s="12"/>
      <c r="E46" s="246"/>
      <c r="F46" s="44"/>
      <c r="G46" s="8"/>
      <c r="H46" s="201"/>
      <c r="I46" s="12">
        <f t="shared" si="1"/>
        <v>2026102</v>
      </c>
      <c r="J46" s="57"/>
      <c r="K46" s="57"/>
      <c r="L46" s="57"/>
      <c r="M46" s="57"/>
      <c r="N46" s="57"/>
      <c r="O46" s="8"/>
      <c r="P46" s="201"/>
    </row>
    <row r="47" spans="1:16" x14ac:dyDescent="0.2">
      <c r="A47" s="43">
        <f t="shared" si="2"/>
        <v>2026101</v>
      </c>
      <c r="B47" s="42"/>
      <c r="C47" s="41"/>
      <c r="D47" s="12"/>
      <c r="E47" s="246"/>
      <c r="F47" s="44"/>
      <c r="G47" s="8"/>
      <c r="H47" s="201"/>
      <c r="I47" s="12">
        <f t="shared" si="1"/>
        <v>2026102</v>
      </c>
      <c r="J47" s="57"/>
      <c r="K47" s="57"/>
      <c r="L47" s="57"/>
      <c r="M47" s="57"/>
      <c r="N47" s="57"/>
      <c r="O47" s="8"/>
      <c r="P47" s="201"/>
    </row>
    <row r="48" spans="1:16" x14ac:dyDescent="0.2">
      <c r="A48" s="43">
        <f t="shared" si="2"/>
        <v>2026101</v>
      </c>
      <c r="B48" s="42"/>
      <c r="C48" s="41"/>
      <c r="D48" s="12"/>
      <c r="E48" s="246"/>
      <c r="F48" s="44"/>
      <c r="G48" s="8"/>
      <c r="H48" s="201"/>
      <c r="I48" s="12">
        <f t="shared" si="1"/>
        <v>2026102</v>
      </c>
      <c r="J48" s="57"/>
      <c r="K48" s="57"/>
      <c r="L48" s="57"/>
      <c r="M48" s="57"/>
      <c r="N48" s="57"/>
      <c r="O48" s="8"/>
      <c r="P48" s="201"/>
    </row>
    <row r="49" spans="1:16" x14ac:dyDescent="0.2">
      <c r="A49" s="43">
        <f t="shared" si="2"/>
        <v>2026101</v>
      </c>
      <c r="B49" s="42"/>
      <c r="C49" s="41"/>
      <c r="D49" s="12"/>
      <c r="E49" s="246"/>
      <c r="F49" s="44"/>
      <c r="G49" s="8"/>
      <c r="H49" s="201"/>
      <c r="I49" s="12">
        <f t="shared" si="1"/>
        <v>2026102</v>
      </c>
      <c r="J49" s="57"/>
      <c r="K49" s="57"/>
      <c r="L49" s="57"/>
      <c r="M49" s="57"/>
      <c r="N49" s="57"/>
      <c r="O49" s="8"/>
      <c r="P49" s="201"/>
    </row>
    <row r="50" spans="1:16" x14ac:dyDescent="0.2">
      <c r="A50" s="43">
        <f t="shared" si="2"/>
        <v>2026101</v>
      </c>
      <c r="B50" s="42"/>
      <c r="C50" s="41"/>
      <c r="D50" s="12"/>
      <c r="E50" s="246"/>
      <c r="F50" s="44"/>
      <c r="G50" s="8"/>
      <c r="H50" s="201"/>
      <c r="I50" s="12">
        <f t="shared" si="1"/>
        <v>2026102</v>
      </c>
      <c r="J50" s="57"/>
      <c r="K50" s="57"/>
      <c r="L50" s="57"/>
      <c r="M50" s="57"/>
      <c r="N50" s="57"/>
      <c r="O50" s="8"/>
      <c r="P50" s="201"/>
    </row>
    <row r="51" spans="1:16" x14ac:dyDescent="0.2">
      <c r="A51" s="43">
        <f t="shared" si="2"/>
        <v>2026101</v>
      </c>
      <c r="B51" s="42"/>
      <c r="C51" s="41"/>
      <c r="D51" s="12"/>
      <c r="E51" s="246"/>
      <c r="F51" s="44"/>
      <c r="G51" s="8"/>
      <c r="H51" s="201"/>
      <c r="I51" s="12">
        <f t="shared" si="1"/>
        <v>2026102</v>
      </c>
      <c r="J51" s="57"/>
      <c r="K51" s="57"/>
      <c r="L51" s="57"/>
      <c r="M51" s="57"/>
      <c r="N51" s="57"/>
      <c r="O51" s="8"/>
      <c r="P51" s="201"/>
    </row>
    <row r="52" spans="1:16" x14ac:dyDescent="0.2">
      <c r="A52" s="43">
        <f t="shared" si="2"/>
        <v>2026101</v>
      </c>
      <c r="B52" s="42"/>
      <c r="C52" s="41"/>
      <c r="D52" s="299"/>
      <c r="E52" s="246"/>
      <c r="F52" s="44"/>
      <c r="G52" s="8"/>
      <c r="H52" s="201"/>
      <c r="I52" s="12">
        <f t="shared" si="1"/>
        <v>2026102</v>
      </c>
      <c r="J52" s="57"/>
      <c r="K52" s="57"/>
      <c r="L52" s="57"/>
      <c r="M52" s="57"/>
      <c r="N52" s="57"/>
      <c r="O52" s="8"/>
      <c r="P52" s="201"/>
    </row>
    <row r="53" spans="1:16" x14ac:dyDescent="0.2">
      <c r="A53" s="43">
        <f t="shared" si="2"/>
        <v>2026101</v>
      </c>
      <c r="B53" s="42"/>
      <c r="C53" s="41"/>
      <c r="D53" s="12"/>
      <c r="E53" s="246"/>
      <c r="F53" s="44"/>
      <c r="G53" s="8"/>
      <c r="H53" s="201"/>
      <c r="I53" s="12">
        <f t="shared" si="1"/>
        <v>2026102</v>
      </c>
      <c r="J53" s="57"/>
      <c r="K53" s="57"/>
      <c r="L53" s="57"/>
      <c r="M53" s="57"/>
      <c r="N53" s="57"/>
      <c r="O53" s="8"/>
      <c r="P53" s="201"/>
    </row>
    <row r="54" spans="1:16" x14ac:dyDescent="0.2">
      <c r="A54" s="43">
        <f t="shared" si="2"/>
        <v>2026101</v>
      </c>
      <c r="B54" s="42"/>
      <c r="C54" s="41"/>
      <c r="D54" s="12"/>
      <c r="E54" s="246"/>
      <c r="F54" s="44"/>
      <c r="G54" s="8"/>
      <c r="H54" s="201"/>
      <c r="I54" s="12">
        <f t="shared" si="1"/>
        <v>2026102</v>
      </c>
      <c r="J54" s="57"/>
      <c r="K54" s="57"/>
      <c r="L54" s="57"/>
      <c r="M54" s="57"/>
      <c r="N54" s="57"/>
      <c r="O54" s="8"/>
      <c r="P54" s="201"/>
    </row>
    <row r="55" spans="1:16" x14ac:dyDescent="0.2">
      <c r="A55" s="43">
        <f t="shared" si="2"/>
        <v>2026101</v>
      </c>
      <c r="B55" s="300"/>
      <c r="C55" s="41"/>
      <c r="D55" s="12"/>
      <c r="E55" s="246"/>
      <c r="F55" s="44"/>
      <c r="G55" s="8"/>
      <c r="H55" s="201"/>
      <c r="I55" s="12">
        <f t="shared" si="1"/>
        <v>2026102</v>
      </c>
      <c r="J55" s="57"/>
      <c r="K55" s="57"/>
      <c r="L55" s="57"/>
      <c r="M55" s="57"/>
      <c r="N55" s="57"/>
      <c r="O55" s="8"/>
      <c r="P55" s="201"/>
    </row>
    <row r="56" spans="1:16" x14ac:dyDescent="0.2">
      <c r="A56" s="43">
        <f t="shared" si="2"/>
        <v>2026101</v>
      </c>
      <c r="B56" s="42"/>
      <c r="C56" s="41"/>
      <c r="D56" s="12"/>
      <c r="E56" s="246"/>
      <c r="F56" s="44"/>
      <c r="G56" s="8"/>
      <c r="H56" s="201"/>
      <c r="I56" s="12">
        <f t="shared" si="1"/>
        <v>2026102</v>
      </c>
      <c r="J56" s="57"/>
      <c r="K56" s="57"/>
      <c r="L56" s="57"/>
      <c r="M56" s="57"/>
      <c r="N56" s="57"/>
      <c r="O56" s="8"/>
      <c r="P56" s="201"/>
    </row>
    <row r="57" spans="1:16" x14ac:dyDescent="0.2">
      <c r="A57" s="43">
        <f t="shared" si="2"/>
        <v>2026101</v>
      </c>
      <c r="B57" s="42"/>
      <c r="C57" s="41"/>
      <c r="D57" s="12"/>
      <c r="E57" s="246"/>
      <c r="F57" s="44"/>
      <c r="G57" s="8"/>
      <c r="H57" s="201"/>
      <c r="I57" s="12">
        <f t="shared" si="1"/>
        <v>2026102</v>
      </c>
      <c r="J57" s="57"/>
      <c r="K57" s="57"/>
      <c r="L57" s="57"/>
      <c r="M57" s="57"/>
      <c r="N57" s="57"/>
      <c r="O57" s="8"/>
      <c r="P57" s="201"/>
    </row>
    <row r="58" spans="1:16" x14ac:dyDescent="0.2">
      <c r="A58" s="43">
        <f t="shared" si="2"/>
        <v>2026101</v>
      </c>
      <c r="B58" s="42"/>
      <c r="C58" s="41"/>
      <c r="D58" s="12"/>
      <c r="E58" s="246"/>
      <c r="F58" s="44"/>
      <c r="G58" s="8"/>
      <c r="H58" s="201"/>
      <c r="I58" s="12">
        <f t="shared" si="1"/>
        <v>2026102</v>
      </c>
      <c r="J58" s="57"/>
      <c r="K58" s="57"/>
      <c r="L58" s="57"/>
      <c r="M58" s="57"/>
      <c r="N58" s="57"/>
      <c r="O58" s="8"/>
      <c r="P58" s="201"/>
    </row>
    <row r="59" spans="1:16" x14ac:dyDescent="0.2">
      <c r="A59" s="43">
        <f t="shared" si="2"/>
        <v>2026101</v>
      </c>
      <c r="B59" s="42"/>
      <c r="C59" s="41"/>
      <c r="D59" s="12"/>
      <c r="E59" s="246"/>
      <c r="F59" s="44"/>
      <c r="G59" s="8"/>
      <c r="H59" s="201"/>
      <c r="I59" s="12">
        <f t="shared" si="1"/>
        <v>2026102</v>
      </c>
      <c r="J59" s="57"/>
      <c r="K59" s="57"/>
      <c r="L59" s="57"/>
      <c r="M59" s="57"/>
      <c r="N59" s="57"/>
      <c r="O59" s="8"/>
      <c r="P59" s="201"/>
    </row>
    <row r="60" spans="1:16" x14ac:dyDescent="0.2">
      <c r="A60" s="43">
        <f t="shared" si="2"/>
        <v>2026101</v>
      </c>
      <c r="B60" s="42"/>
      <c r="C60" s="41"/>
      <c r="D60" s="12"/>
      <c r="E60" s="246"/>
      <c r="F60" s="44"/>
      <c r="G60" s="8"/>
      <c r="H60" s="201"/>
      <c r="I60" s="12">
        <f t="shared" si="1"/>
        <v>2026102</v>
      </c>
      <c r="J60" s="57"/>
      <c r="K60" s="57"/>
      <c r="L60" s="57"/>
      <c r="M60" s="57"/>
      <c r="N60" s="57"/>
      <c r="O60" s="8"/>
      <c r="P60" s="201"/>
    </row>
    <row r="61" spans="1:16" x14ac:dyDescent="0.2">
      <c r="A61" s="43">
        <f t="shared" si="2"/>
        <v>2026101</v>
      </c>
      <c r="B61" s="42"/>
      <c r="C61" s="41"/>
      <c r="D61" s="12"/>
      <c r="E61" s="246"/>
      <c r="F61" s="44"/>
      <c r="G61" s="8"/>
      <c r="I61" s="12">
        <f t="shared" si="1"/>
        <v>2026102</v>
      </c>
      <c r="J61" s="57"/>
      <c r="K61" s="57"/>
      <c r="L61" s="57"/>
      <c r="M61" s="340"/>
      <c r="N61" s="57"/>
      <c r="O61" s="8"/>
    </row>
    <row r="62" spans="1:16" x14ac:dyDescent="0.2">
      <c r="A62" s="43">
        <f t="shared" si="2"/>
        <v>2026101</v>
      </c>
      <c r="B62" s="42"/>
      <c r="C62" s="41"/>
      <c r="D62" s="12"/>
      <c r="E62" s="246"/>
      <c r="F62" s="44"/>
      <c r="G62" s="8"/>
      <c r="I62" s="12">
        <f t="shared" si="1"/>
        <v>2026102</v>
      </c>
      <c r="J62" s="57"/>
      <c r="K62" s="57"/>
      <c r="L62" s="57"/>
      <c r="M62" s="340"/>
      <c r="N62" s="57"/>
      <c r="O62" s="8"/>
    </row>
    <row r="63" spans="1:16" x14ac:dyDescent="0.2">
      <c r="A63" s="43">
        <f t="shared" si="2"/>
        <v>2026101</v>
      </c>
      <c r="B63" s="42"/>
      <c r="C63" s="41"/>
      <c r="D63" s="12"/>
      <c r="E63" s="246"/>
      <c r="F63" s="44"/>
      <c r="I63" s="12">
        <f t="shared" si="1"/>
        <v>2026102</v>
      </c>
      <c r="J63" s="57"/>
      <c r="K63" s="57"/>
      <c r="L63" s="57"/>
      <c r="M63" s="340"/>
      <c r="N63" s="57"/>
    </row>
    <row r="64" spans="1:16" x14ac:dyDescent="0.2">
      <c r="A64" s="43">
        <f t="shared" si="2"/>
        <v>2026101</v>
      </c>
      <c r="B64" s="42"/>
      <c r="C64" s="41"/>
      <c r="D64" s="12"/>
      <c r="E64" s="246"/>
      <c r="F64" s="44"/>
      <c r="I64" s="12">
        <f t="shared" si="1"/>
        <v>2026102</v>
      </c>
      <c r="J64" s="57"/>
      <c r="K64" s="57"/>
      <c r="L64" s="57"/>
      <c r="M64" s="340"/>
      <c r="N64" s="57"/>
    </row>
    <row r="65" spans="1:14" x14ac:dyDescent="0.2">
      <c r="A65" s="43">
        <f t="shared" si="2"/>
        <v>2026101</v>
      </c>
      <c r="B65" s="42"/>
      <c r="C65" s="41"/>
      <c r="D65" s="12"/>
      <c r="E65" s="246"/>
      <c r="F65" s="44"/>
      <c r="I65" s="12">
        <f t="shared" si="1"/>
        <v>2026102</v>
      </c>
      <c r="J65" s="57"/>
      <c r="K65" s="57"/>
      <c r="L65" s="57"/>
      <c r="M65" s="340"/>
      <c r="N65" s="57"/>
    </row>
    <row r="66" spans="1:14" x14ac:dyDescent="0.2">
      <c r="A66" s="43">
        <f t="shared" si="2"/>
        <v>2026101</v>
      </c>
      <c r="B66" s="42"/>
      <c r="C66" s="41"/>
      <c r="D66" s="12"/>
      <c r="E66" s="246"/>
      <c r="F66" s="44"/>
      <c r="I66" s="12">
        <f t="shared" si="1"/>
        <v>2026102</v>
      </c>
      <c r="J66" s="57"/>
      <c r="K66" s="57"/>
      <c r="L66" s="57"/>
      <c r="M66" s="340"/>
      <c r="N66" s="57"/>
    </row>
    <row r="67" spans="1:14" x14ac:dyDescent="0.2">
      <c r="A67" s="43">
        <f t="shared" si="2"/>
        <v>2026101</v>
      </c>
      <c r="B67" s="42"/>
      <c r="C67" s="41"/>
      <c r="D67" s="12"/>
      <c r="E67" s="246"/>
      <c r="F67" s="44"/>
      <c r="I67" s="12">
        <f t="shared" si="1"/>
        <v>2026102</v>
      </c>
      <c r="J67" s="57"/>
      <c r="K67" s="57"/>
      <c r="L67" s="57"/>
      <c r="M67" s="340"/>
      <c r="N67" s="57"/>
    </row>
    <row r="68" spans="1:14" x14ac:dyDescent="0.2">
      <c r="A68" s="43">
        <f t="shared" si="2"/>
        <v>2026101</v>
      </c>
      <c r="B68" s="42"/>
      <c r="C68" s="41"/>
      <c r="D68" s="12"/>
      <c r="E68" s="246"/>
      <c r="F68" s="44"/>
      <c r="I68" s="12">
        <f t="shared" si="1"/>
        <v>2026102</v>
      </c>
      <c r="J68" s="57"/>
      <c r="K68" s="57"/>
      <c r="L68" s="57"/>
      <c r="M68" s="340"/>
      <c r="N68" s="57"/>
    </row>
    <row r="69" spans="1:14" x14ac:dyDescent="0.2">
      <c r="A69" s="43">
        <f t="shared" si="2"/>
        <v>2026101</v>
      </c>
      <c r="B69" s="42"/>
      <c r="C69" s="41"/>
      <c r="D69" s="12"/>
      <c r="E69" s="246"/>
      <c r="F69" s="44"/>
      <c r="I69" s="12">
        <f t="shared" si="1"/>
        <v>2026102</v>
      </c>
      <c r="J69" s="57"/>
      <c r="K69" s="57"/>
      <c r="L69" s="57"/>
      <c r="M69" s="340"/>
      <c r="N69" s="57"/>
    </row>
    <row r="70" spans="1:14" x14ac:dyDescent="0.2">
      <c r="A70" s="43">
        <f t="shared" ref="A70:A104" si="3">A69</f>
        <v>2026101</v>
      </c>
      <c r="B70" s="42"/>
      <c r="C70" s="41"/>
      <c r="D70" s="12"/>
      <c r="E70" s="246"/>
      <c r="F70" s="44"/>
      <c r="I70" s="12">
        <f t="shared" si="1"/>
        <v>2026102</v>
      </c>
      <c r="J70" s="57"/>
      <c r="K70" s="57"/>
      <c r="L70" s="57"/>
      <c r="M70" s="340"/>
      <c r="N70" s="57"/>
    </row>
    <row r="71" spans="1:14" x14ac:dyDescent="0.2">
      <c r="A71" s="43">
        <f t="shared" si="3"/>
        <v>2026101</v>
      </c>
      <c r="B71" s="42"/>
      <c r="C71" s="41"/>
      <c r="D71" s="12"/>
      <c r="E71" s="246"/>
      <c r="F71" s="44"/>
      <c r="I71" s="12">
        <f t="shared" ref="I71:I104" si="4">I70</f>
        <v>2026102</v>
      </c>
      <c r="J71" s="57"/>
      <c r="K71" s="57"/>
      <c r="L71" s="57"/>
      <c r="M71" s="340"/>
      <c r="N71" s="57"/>
    </row>
    <row r="72" spans="1:14" x14ac:dyDescent="0.2">
      <c r="A72" s="43">
        <f t="shared" si="3"/>
        <v>2026101</v>
      </c>
      <c r="B72" s="42"/>
      <c r="C72" s="41"/>
      <c r="D72" s="12"/>
      <c r="E72" s="246"/>
      <c r="F72" s="44"/>
      <c r="I72" s="12">
        <f t="shared" si="4"/>
        <v>2026102</v>
      </c>
      <c r="J72" s="57"/>
      <c r="K72" s="57"/>
      <c r="L72" s="57"/>
      <c r="M72" s="340"/>
      <c r="N72" s="57"/>
    </row>
    <row r="73" spans="1:14" x14ac:dyDescent="0.2">
      <c r="A73" s="43">
        <f t="shared" si="3"/>
        <v>2026101</v>
      </c>
      <c r="B73" s="42"/>
      <c r="C73" s="41"/>
      <c r="D73" s="12"/>
      <c r="E73" s="246"/>
      <c r="F73" s="44"/>
      <c r="I73" s="12">
        <f t="shared" si="4"/>
        <v>2026102</v>
      </c>
      <c r="J73" s="57"/>
      <c r="K73" s="57"/>
      <c r="L73" s="57"/>
      <c r="M73" s="340"/>
      <c r="N73" s="57"/>
    </row>
    <row r="74" spans="1:14" x14ac:dyDescent="0.2">
      <c r="A74" s="43">
        <f t="shared" si="3"/>
        <v>2026101</v>
      </c>
      <c r="B74" s="42"/>
      <c r="C74" s="41"/>
      <c r="D74" s="12"/>
      <c r="E74" s="246"/>
      <c r="F74" s="44"/>
      <c r="I74" s="12">
        <f t="shared" si="4"/>
        <v>2026102</v>
      </c>
      <c r="J74" s="57"/>
      <c r="K74" s="57"/>
      <c r="L74" s="57"/>
      <c r="M74" s="340"/>
      <c r="N74" s="57"/>
    </row>
    <row r="75" spans="1:14" x14ac:dyDescent="0.2">
      <c r="A75" s="43">
        <f t="shared" si="3"/>
        <v>2026101</v>
      </c>
      <c r="B75" s="42"/>
      <c r="C75" s="41"/>
      <c r="D75" s="12"/>
      <c r="E75" s="246"/>
      <c r="F75" s="44"/>
      <c r="I75" s="12">
        <f t="shared" si="4"/>
        <v>2026102</v>
      </c>
      <c r="J75" s="57"/>
      <c r="K75" s="57"/>
      <c r="L75" s="57"/>
      <c r="M75" s="340"/>
      <c r="N75" s="57"/>
    </row>
    <row r="76" spans="1:14" x14ac:dyDescent="0.2">
      <c r="A76" s="43">
        <f t="shared" si="3"/>
        <v>2026101</v>
      </c>
      <c r="B76" s="42"/>
      <c r="C76" s="41"/>
      <c r="D76" s="12"/>
      <c r="E76" s="246"/>
      <c r="F76" s="44"/>
      <c r="I76" s="12">
        <f t="shared" si="4"/>
        <v>2026102</v>
      </c>
      <c r="J76" s="57"/>
      <c r="K76" s="57"/>
      <c r="L76" s="57"/>
      <c r="M76" s="340"/>
      <c r="N76" s="57"/>
    </row>
    <row r="77" spans="1:14" x14ac:dyDescent="0.2">
      <c r="A77" s="43">
        <f t="shared" si="3"/>
        <v>2026101</v>
      </c>
      <c r="B77" s="42"/>
      <c r="C77" s="41"/>
      <c r="D77" s="12"/>
      <c r="E77" s="246"/>
      <c r="F77" s="44"/>
      <c r="I77" s="12">
        <f t="shared" si="4"/>
        <v>2026102</v>
      </c>
      <c r="J77" s="57"/>
      <c r="K77" s="57"/>
      <c r="L77" s="57"/>
      <c r="M77" s="340"/>
      <c r="N77" s="57"/>
    </row>
    <row r="78" spans="1:14" x14ac:dyDescent="0.2">
      <c r="A78" s="43">
        <f t="shared" si="3"/>
        <v>2026101</v>
      </c>
      <c r="B78" s="42"/>
      <c r="C78" s="41"/>
      <c r="D78" s="12"/>
      <c r="E78" s="246"/>
      <c r="F78" s="44"/>
      <c r="I78" s="12">
        <f t="shared" si="4"/>
        <v>2026102</v>
      </c>
      <c r="J78" s="57"/>
      <c r="K78" s="57"/>
      <c r="L78" s="57"/>
      <c r="M78" s="340"/>
      <c r="N78" s="57"/>
    </row>
    <row r="79" spans="1:14" x14ac:dyDescent="0.2">
      <c r="A79" s="43">
        <f t="shared" si="3"/>
        <v>2026101</v>
      </c>
      <c r="B79" s="42"/>
      <c r="C79" s="41"/>
      <c r="D79" s="12"/>
      <c r="E79" s="246"/>
      <c r="F79" s="44"/>
      <c r="I79" s="12">
        <f t="shared" si="4"/>
        <v>2026102</v>
      </c>
      <c r="J79" s="57"/>
      <c r="K79" s="57"/>
      <c r="L79" s="57"/>
      <c r="M79" s="340"/>
      <c r="N79" s="57"/>
    </row>
    <row r="80" spans="1:14" x14ac:dyDescent="0.2">
      <c r="A80" s="43">
        <f t="shared" si="3"/>
        <v>2026101</v>
      </c>
      <c r="B80" s="42"/>
      <c r="C80" s="41"/>
      <c r="D80" s="12"/>
      <c r="E80" s="246"/>
      <c r="F80" s="44"/>
      <c r="I80" s="12">
        <f t="shared" si="4"/>
        <v>2026102</v>
      </c>
      <c r="J80" s="57"/>
      <c r="K80" s="57"/>
      <c r="L80" s="57"/>
      <c r="M80" s="340"/>
      <c r="N80" s="57"/>
    </row>
    <row r="81" spans="1:14" x14ac:dyDescent="0.2">
      <c r="A81" s="43">
        <f t="shared" si="3"/>
        <v>2026101</v>
      </c>
      <c r="B81" s="42"/>
      <c r="C81" s="41"/>
      <c r="D81" s="12"/>
      <c r="E81" s="246"/>
      <c r="F81" s="44"/>
      <c r="I81" s="12">
        <f t="shared" si="4"/>
        <v>2026102</v>
      </c>
      <c r="J81" s="57"/>
      <c r="K81" s="57"/>
      <c r="L81" s="57"/>
      <c r="M81" s="340"/>
      <c r="N81" s="57"/>
    </row>
    <row r="82" spans="1:14" x14ac:dyDescent="0.2">
      <c r="A82" s="43">
        <f t="shared" si="3"/>
        <v>2026101</v>
      </c>
      <c r="B82" s="42"/>
      <c r="C82" s="41"/>
      <c r="D82" s="12"/>
      <c r="E82" s="246"/>
      <c r="F82" s="44"/>
      <c r="I82" s="12">
        <f t="shared" si="4"/>
        <v>2026102</v>
      </c>
      <c r="J82" s="57"/>
      <c r="K82" s="57"/>
      <c r="L82" s="57"/>
      <c r="M82" s="340"/>
      <c r="N82" s="57"/>
    </row>
    <row r="83" spans="1:14" x14ac:dyDescent="0.2">
      <c r="A83" s="43">
        <f t="shared" si="3"/>
        <v>2026101</v>
      </c>
      <c r="B83" s="42"/>
      <c r="C83" s="41"/>
      <c r="D83" s="12"/>
      <c r="E83" s="246"/>
      <c r="F83" s="44"/>
      <c r="I83" s="12">
        <f t="shared" si="4"/>
        <v>2026102</v>
      </c>
      <c r="J83" s="57"/>
      <c r="K83" s="57"/>
      <c r="L83" s="57"/>
      <c r="M83" s="340"/>
      <c r="N83" s="57"/>
    </row>
    <row r="84" spans="1:14" x14ac:dyDescent="0.2">
      <c r="A84" s="43">
        <f t="shared" si="3"/>
        <v>2026101</v>
      </c>
      <c r="B84" s="42"/>
      <c r="C84" s="41"/>
      <c r="D84" s="12"/>
      <c r="E84" s="246"/>
      <c r="F84" s="44"/>
      <c r="I84" s="12">
        <f t="shared" si="4"/>
        <v>2026102</v>
      </c>
      <c r="J84" s="57"/>
      <c r="K84" s="57"/>
      <c r="L84" s="57"/>
      <c r="M84" s="340"/>
      <c r="N84" s="57"/>
    </row>
    <row r="85" spans="1:14" x14ac:dyDescent="0.2">
      <c r="A85" s="43">
        <f t="shared" si="3"/>
        <v>2026101</v>
      </c>
      <c r="B85" s="42"/>
      <c r="C85" s="41"/>
      <c r="D85" s="12"/>
      <c r="E85" s="246"/>
      <c r="F85" s="44"/>
      <c r="I85" s="12">
        <f t="shared" si="4"/>
        <v>2026102</v>
      </c>
      <c r="J85" s="57"/>
      <c r="K85" s="57"/>
      <c r="L85" s="57"/>
      <c r="M85" s="340"/>
      <c r="N85" s="57"/>
    </row>
    <row r="86" spans="1:14" x14ac:dyDescent="0.2">
      <c r="A86" s="43">
        <f t="shared" si="3"/>
        <v>2026101</v>
      </c>
      <c r="B86" s="42"/>
      <c r="C86" s="41"/>
      <c r="D86" s="12"/>
      <c r="E86" s="246"/>
      <c r="F86" s="44"/>
      <c r="I86" s="12">
        <f t="shared" si="4"/>
        <v>2026102</v>
      </c>
      <c r="J86" s="57"/>
      <c r="K86" s="57"/>
      <c r="L86" s="57"/>
      <c r="M86" s="340"/>
      <c r="N86" s="57"/>
    </row>
    <row r="87" spans="1:14" x14ac:dyDescent="0.2">
      <c r="A87" s="43">
        <f t="shared" si="3"/>
        <v>2026101</v>
      </c>
      <c r="B87" s="42"/>
      <c r="C87" s="41"/>
      <c r="D87" s="12"/>
      <c r="E87" s="246"/>
      <c r="F87" s="44"/>
      <c r="I87" s="12">
        <f t="shared" si="4"/>
        <v>2026102</v>
      </c>
      <c r="J87" s="57"/>
      <c r="K87" s="57"/>
      <c r="L87" s="57"/>
      <c r="M87" s="340"/>
      <c r="N87" s="57"/>
    </row>
    <row r="88" spans="1:14" x14ac:dyDescent="0.2">
      <c r="A88" s="43">
        <f t="shared" si="3"/>
        <v>2026101</v>
      </c>
      <c r="B88" s="42"/>
      <c r="C88" s="41"/>
      <c r="D88" s="12"/>
      <c r="E88" s="246"/>
      <c r="F88" s="44"/>
      <c r="I88" s="12">
        <f t="shared" si="4"/>
        <v>2026102</v>
      </c>
      <c r="J88" s="57"/>
      <c r="K88" s="57"/>
      <c r="L88" s="57"/>
      <c r="M88" s="340"/>
      <c r="N88" s="57"/>
    </row>
    <row r="89" spans="1:14" x14ac:dyDescent="0.2">
      <c r="A89" s="43">
        <f t="shared" si="3"/>
        <v>2026101</v>
      </c>
      <c r="B89" s="42"/>
      <c r="C89" s="41"/>
      <c r="D89" s="12"/>
      <c r="E89" s="246"/>
      <c r="F89" s="44"/>
      <c r="I89" s="12">
        <f t="shared" si="4"/>
        <v>2026102</v>
      </c>
      <c r="J89" s="57"/>
      <c r="K89" s="57"/>
      <c r="L89" s="57"/>
      <c r="M89" s="340"/>
      <c r="N89" s="57"/>
    </row>
    <row r="90" spans="1:14" x14ac:dyDescent="0.2">
      <c r="A90" s="43">
        <f t="shared" si="3"/>
        <v>2026101</v>
      </c>
      <c r="B90" s="42"/>
      <c r="C90" s="41"/>
      <c r="D90" s="12"/>
      <c r="E90" s="246"/>
      <c r="F90" s="44"/>
      <c r="I90" s="12">
        <f t="shared" si="4"/>
        <v>2026102</v>
      </c>
      <c r="J90" s="57"/>
      <c r="K90" s="57"/>
      <c r="L90" s="57"/>
      <c r="M90" s="340"/>
      <c r="N90" s="57"/>
    </row>
    <row r="91" spans="1:14" x14ac:dyDescent="0.2">
      <c r="A91" s="43">
        <f t="shared" si="3"/>
        <v>2026101</v>
      </c>
      <c r="B91" s="42"/>
      <c r="C91" s="41"/>
      <c r="D91" s="12"/>
      <c r="E91" s="246"/>
      <c r="F91" s="44"/>
      <c r="I91" s="12">
        <f t="shared" si="4"/>
        <v>2026102</v>
      </c>
      <c r="J91" s="57"/>
      <c r="K91" s="57"/>
      <c r="L91" s="57"/>
      <c r="M91" s="340"/>
      <c r="N91" s="57"/>
    </row>
    <row r="92" spans="1:14" x14ac:dyDescent="0.2">
      <c r="A92" s="43">
        <f t="shared" si="3"/>
        <v>2026101</v>
      </c>
      <c r="B92" s="42"/>
      <c r="C92" s="41"/>
      <c r="D92" s="12"/>
      <c r="E92" s="246"/>
      <c r="F92" s="44"/>
      <c r="I92" s="12">
        <f t="shared" si="4"/>
        <v>2026102</v>
      </c>
      <c r="J92" s="57"/>
      <c r="K92" s="57"/>
      <c r="L92" s="57"/>
      <c r="M92" s="340"/>
      <c r="N92" s="57"/>
    </row>
    <row r="93" spans="1:14" x14ac:dyDescent="0.2">
      <c r="A93" s="43">
        <f t="shared" si="3"/>
        <v>2026101</v>
      </c>
      <c r="B93" s="42"/>
      <c r="C93" s="41"/>
      <c r="D93" s="12"/>
      <c r="E93" s="246"/>
      <c r="F93" s="44"/>
      <c r="I93" s="12">
        <f t="shared" si="4"/>
        <v>2026102</v>
      </c>
      <c r="J93" s="57"/>
      <c r="K93" s="57"/>
      <c r="L93" s="57"/>
      <c r="M93" s="340"/>
      <c r="N93" s="57"/>
    </row>
    <row r="94" spans="1:14" x14ac:dyDescent="0.2">
      <c r="A94" s="43">
        <f t="shared" si="3"/>
        <v>2026101</v>
      </c>
      <c r="B94" s="42"/>
      <c r="C94" s="41"/>
      <c r="D94" s="12"/>
      <c r="E94" s="246"/>
      <c r="F94" s="44"/>
      <c r="I94" s="12">
        <f t="shared" si="4"/>
        <v>2026102</v>
      </c>
      <c r="J94" s="57"/>
      <c r="K94" s="57"/>
      <c r="L94" s="57"/>
      <c r="M94" s="340"/>
      <c r="N94" s="57"/>
    </row>
    <row r="95" spans="1:14" x14ac:dyDescent="0.2">
      <c r="A95" s="43">
        <f t="shared" si="3"/>
        <v>2026101</v>
      </c>
      <c r="B95" s="42"/>
      <c r="C95" s="41"/>
      <c r="D95" s="12"/>
      <c r="E95" s="246"/>
      <c r="F95" s="44"/>
      <c r="I95" s="12">
        <f t="shared" si="4"/>
        <v>2026102</v>
      </c>
      <c r="J95" s="57"/>
      <c r="K95" s="57"/>
      <c r="L95" s="57"/>
      <c r="M95" s="340"/>
      <c r="N95" s="57"/>
    </row>
    <row r="96" spans="1:14" x14ac:dyDescent="0.2">
      <c r="A96" s="43">
        <f t="shared" si="3"/>
        <v>2026101</v>
      </c>
      <c r="B96" s="42"/>
      <c r="C96" s="41"/>
      <c r="D96" s="12"/>
      <c r="E96" s="246"/>
      <c r="F96" s="44"/>
      <c r="I96" s="12">
        <f t="shared" si="4"/>
        <v>2026102</v>
      </c>
      <c r="J96" s="57"/>
      <c r="K96" s="57"/>
      <c r="L96" s="57"/>
      <c r="M96" s="340"/>
      <c r="N96" s="57"/>
    </row>
    <row r="97" spans="1:14" x14ac:dyDescent="0.2">
      <c r="A97" s="43">
        <f t="shared" si="3"/>
        <v>2026101</v>
      </c>
      <c r="B97" s="42"/>
      <c r="C97" s="41"/>
      <c r="D97" s="12"/>
      <c r="E97" s="246"/>
      <c r="F97" s="44"/>
      <c r="I97" s="12">
        <f t="shared" si="4"/>
        <v>2026102</v>
      </c>
      <c r="J97" s="42"/>
      <c r="K97" s="41"/>
      <c r="L97" s="12"/>
      <c r="M97" s="246"/>
      <c r="N97" s="323"/>
    </row>
    <row r="98" spans="1:14" x14ac:dyDescent="0.2">
      <c r="A98" s="43">
        <f t="shared" si="3"/>
        <v>2026101</v>
      </c>
      <c r="B98" s="42"/>
      <c r="C98" s="41"/>
      <c r="D98" s="12"/>
      <c r="E98" s="246"/>
      <c r="F98" s="44"/>
      <c r="I98" s="12">
        <f t="shared" si="4"/>
        <v>2026102</v>
      </c>
      <c r="J98" s="42"/>
      <c r="K98" s="41"/>
      <c r="L98" s="12"/>
      <c r="M98" s="246"/>
      <c r="N98" s="323"/>
    </row>
    <row r="99" spans="1:14" x14ac:dyDescent="0.2">
      <c r="A99" s="43">
        <f t="shared" si="3"/>
        <v>2026101</v>
      </c>
      <c r="B99" s="42"/>
      <c r="C99" s="41"/>
      <c r="D99" s="12"/>
      <c r="E99" s="246"/>
      <c r="F99" s="44"/>
      <c r="I99" s="12">
        <f t="shared" si="4"/>
        <v>2026102</v>
      </c>
      <c r="J99" s="42"/>
      <c r="K99" s="41"/>
      <c r="L99" s="12"/>
      <c r="M99" s="246"/>
      <c r="N99" s="323"/>
    </row>
    <row r="100" spans="1:14" x14ac:dyDescent="0.2">
      <c r="A100" s="43">
        <f t="shared" si="3"/>
        <v>2026101</v>
      </c>
      <c r="B100" s="42"/>
      <c r="C100" s="41"/>
      <c r="D100" s="12"/>
      <c r="E100" s="246"/>
      <c r="F100" s="44"/>
      <c r="I100" s="12">
        <f t="shared" si="4"/>
        <v>2026102</v>
      </c>
      <c r="J100" s="42"/>
      <c r="K100" s="41"/>
      <c r="L100" s="12"/>
      <c r="M100" s="246"/>
      <c r="N100" s="323"/>
    </row>
    <row r="101" spans="1:14" x14ac:dyDescent="0.2">
      <c r="A101" s="43">
        <f t="shared" si="3"/>
        <v>2026101</v>
      </c>
      <c r="B101" s="42"/>
      <c r="C101" s="41"/>
      <c r="D101" s="12"/>
      <c r="E101" s="246"/>
      <c r="F101" s="44"/>
      <c r="I101" s="12">
        <f t="shared" si="4"/>
        <v>2026102</v>
      </c>
      <c r="J101" s="42"/>
      <c r="K101" s="41"/>
      <c r="L101" s="12"/>
      <c r="M101" s="246"/>
      <c r="N101" s="323"/>
    </row>
    <row r="102" spans="1:14" x14ac:dyDescent="0.2">
      <c r="A102" s="43">
        <f t="shared" si="3"/>
        <v>2026101</v>
      </c>
      <c r="B102" s="42"/>
      <c r="C102" s="41"/>
      <c r="D102" s="12"/>
      <c r="E102" s="246"/>
      <c r="F102" s="44"/>
      <c r="I102" s="12">
        <f t="shared" si="4"/>
        <v>2026102</v>
      </c>
      <c r="J102" s="42"/>
      <c r="K102" s="41"/>
      <c r="L102" s="12"/>
      <c r="M102" s="246"/>
      <c r="N102" s="323"/>
    </row>
    <row r="103" spans="1:14" x14ac:dyDescent="0.2">
      <c r="A103" s="43">
        <f t="shared" si="3"/>
        <v>2026101</v>
      </c>
      <c r="B103" s="42"/>
      <c r="C103" s="41"/>
      <c r="D103" s="12"/>
      <c r="E103" s="246"/>
      <c r="F103" s="44"/>
      <c r="I103" s="12">
        <f t="shared" si="4"/>
        <v>2026102</v>
      </c>
      <c r="J103" s="42"/>
      <c r="K103" s="41"/>
      <c r="L103" s="12"/>
      <c r="M103" s="246"/>
      <c r="N103" s="323"/>
    </row>
    <row r="104" spans="1:14" x14ac:dyDescent="0.2">
      <c r="A104" s="43">
        <f t="shared" si="3"/>
        <v>2026101</v>
      </c>
      <c r="B104" s="42"/>
      <c r="C104" s="41"/>
      <c r="D104" s="12"/>
      <c r="E104" s="246"/>
      <c r="F104" s="44"/>
      <c r="I104" s="12">
        <f t="shared" si="4"/>
        <v>2026102</v>
      </c>
      <c r="J104" s="42"/>
      <c r="K104" s="41"/>
      <c r="L104" s="12"/>
      <c r="M104" s="246"/>
      <c r="N104" s="323"/>
    </row>
    <row r="105" spans="1:14" x14ac:dyDescent="0.2">
      <c r="J105" s="42"/>
      <c r="K105" s="41"/>
      <c r="L105" s="12"/>
      <c r="M105" s="246"/>
      <c r="N105" s="44"/>
    </row>
    <row r="1048576" spans="2:2" x14ac:dyDescent="0.2">
      <c r="B1048576" s="42"/>
    </row>
  </sheetData>
  <printOptions horizontalCentered="1" verticalCentered="1"/>
  <pageMargins left="0.31496062992125984" right="0.31496062992125984" top="0.74803149606299213" bottom="0.74803149606299213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'Códigos Banco'!$G$15:$G$17</xm:f>
          </x14:formula1>
          <xm:sqref>C33:C104 C29 K5:K44 K97:K105 C5:C27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68"/>
  <sheetViews>
    <sheetView workbookViewId="0">
      <pane ySplit="10" topLeftCell="A11" activePane="bottomLeft" state="frozen"/>
      <selection activeCell="C18" sqref="C18"/>
      <selection pane="bottomLeft" activeCell="L14" sqref="L14"/>
    </sheetView>
  </sheetViews>
  <sheetFormatPr baseColWidth="10" defaultColWidth="14.42578125" defaultRowHeight="15" customHeight="1" x14ac:dyDescent="0.2"/>
  <cols>
    <col min="1" max="1" width="3" customWidth="1"/>
    <col min="2" max="2" width="14.140625" style="281" customWidth="1"/>
    <col min="3" max="3" width="13" style="281" customWidth="1"/>
    <col min="4" max="4" width="16.42578125" style="281" bestFit="1" customWidth="1"/>
    <col min="5" max="5" width="13.42578125" style="281" customWidth="1"/>
    <col min="6" max="6" width="15.5703125" style="281" customWidth="1"/>
    <col min="7" max="7" width="14.42578125" style="281" customWidth="1"/>
    <col min="8" max="8" width="16.140625" style="281" customWidth="1"/>
    <col min="9" max="9" width="14.42578125" style="281" customWidth="1"/>
    <col min="10" max="10" width="16.42578125" style="281" customWidth="1"/>
    <col min="11" max="11" width="16.42578125" style="282" customWidth="1"/>
    <col min="12" max="12" width="14.85546875" style="282" customWidth="1"/>
    <col min="13" max="13" width="3" customWidth="1"/>
    <col min="14" max="14" width="2" customWidth="1"/>
    <col min="15" max="15" width="14.140625" style="25" customWidth="1"/>
    <col min="16" max="16" width="13" style="25" customWidth="1"/>
    <col min="17" max="17" width="12.5703125" style="25" customWidth="1"/>
    <col min="18" max="18" width="13.42578125" style="281" customWidth="1"/>
    <col min="19" max="19" width="15.5703125" style="281" customWidth="1"/>
    <col min="20" max="20" width="14.42578125" style="281" customWidth="1"/>
    <col min="21" max="21" width="16.140625" style="281" customWidth="1"/>
    <col min="22" max="22" width="14.42578125" style="281" customWidth="1"/>
    <col min="23" max="24" width="16.42578125" style="25" customWidth="1"/>
    <col min="25" max="25" width="14.85546875" style="25" customWidth="1"/>
    <col min="26" max="27" width="10.5703125" customWidth="1"/>
  </cols>
  <sheetData>
    <row r="1" spans="1:27" ht="12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68"/>
      <c r="L1" s="268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" customHeight="1" x14ac:dyDescent="0.2">
      <c r="A2" s="1"/>
      <c r="B2" s="257"/>
      <c r="C2" s="87" t="s">
        <v>0</v>
      </c>
      <c r="D2" s="87"/>
      <c r="E2" s="89" t="s">
        <v>0</v>
      </c>
      <c r="F2" s="87"/>
      <c r="G2" s="87"/>
      <c r="H2" s="87"/>
      <c r="I2" s="87"/>
      <c r="J2" s="87"/>
      <c r="K2" s="269"/>
      <c r="L2" s="270"/>
      <c r="M2" s="3"/>
      <c r="N2" s="2"/>
      <c r="O2" s="257"/>
      <c r="P2" s="87" t="s">
        <v>0</v>
      </c>
      <c r="Q2" s="87"/>
      <c r="R2" s="89" t="s">
        <v>0</v>
      </c>
      <c r="S2" s="87"/>
      <c r="T2" s="87"/>
      <c r="U2" s="87"/>
      <c r="V2" s="87"/>
      <c r="W2" s="87"/>
      <c r="X2" s="87"/>
      <c r="Y2" s="258"/>
      <c r="Z2" s="1"/>
      <c r="AA2" s="1"/>
    </row>
    <row r="3" spans="1:27" ht="15.75" x14ac:dyDescent="0.25">
      <c r="A3" s="1"/>
      <c r="B3" s="259"/>
      <c r="C3" s="13"/>
      <c r="D3" s="13"/>
      <c r="E3" s="14" t="s">
        <v>18</v>
      </c>
      <c r="F3" s="13"/>
      <c r="G3" s="13"/>
      <c r="H3" s="13"/>
      <c r="I3" s="13"/>
      <c r="J3" s="13"/>
      <c r="K3" s="20"/>
      <c r="L3" s="271"/>
      <c r="M3" s="1"/>
      <c r="N3" s="2"/>
      <c r="O3" s="259"/>
      <c r="P3" s="13"/>
      <c r="Q3" s="13"/>
      <c r="R3" s="14" t="s">
        <v>18</v>
      </c>
      <c r="S3" s="13"/>
      <c r="T3" s="13"/>
      <c r="U3" s="13"/>
      <c r="V3" s="13"/>
      <c r="W3" s="13"/>
      <c r="X3" s="13"/>
      <c r="Y3" s="260"/>
      <c r="Z3" s="1"/>
      <c r="AA3" s="1"/>
    </row>
    <row r="4" spans="1:27" ht="15.75" x14ac:dyDescent="0.25">
      <c r="A4" s="1"/>
      <c r="B4" s="259"/>
      <c r="C4" s="13"/>
      <c r="D4" s="13"/>
      <c r="E4" s="14" t="s">
        <v>19</v>
      </c>
      <c r="F4" s="13"/>
      <c r="G4" s="13"/>
      <c r="H4" s="13"/>
      <c r="I4" s="13"/>
      <c r="J4" s="13"/>
      <c r="K4" s="20"/>
      <c r="L4" s="271"/>
      <c r="M4" s="1"/>
      <c r="N4" s="2"/>
      <c r="O4" s="259"/>
      <c r="P4" s="13"/>
      <c r="Q4" s="13"/>
      <c r="R4" s="14" t="s">
        <v>19</v>
      </c>
      <c r="S4" s="13"/>
      <c r="T4" s="13"/>
      <c r="U4" s="13"/>
      <c r="V4" s="13"/>
      <c r="W4" s="13"/>
      <c r="X4" s="13"/>
      <c r="Y4" s="260"/>
      <c r="Z4" s="1"/>
      <c r="AA4" s="1"/>
    </row>
    <row r="5" spans="1:27" ht="15.75" x14ac:dyDescent="0.25">
      <c r="A5" s="1"/>
      <c r="B5" s="259"/>
      <c r="C5" s="13"/>
      <c r="D5" s="13"/>
      <c r="E5" s="94" t="s">
        <v>120</v>
      </c>
      <c r="F5" s="13"/>
      <c r="G5" s="13"/>
      <c r="H5" s="13"/>
      <c r="I5" s="13"/>
      <c r="J5" s="13"/>
      <c r="K5" s="20"/>
      <c r="L5" s="271"/>
      <c r="M5" s="1"/>
      <c r="N5" s="2"/>
      <c r="O5" s="259"/>
      <c r="P5" s="13"/>
      <c r="Q5" s="13"/>
      <c r="R5" s="94" t="s">
        <v>120</v>
      </c>
      <c r="S5" s="13"/>
      <c r="T5" s="13"/>
      <c r="U5" s="13"/>
      <c r="V5" s="13"/>
      <c r="W5" s="13"/>
      <c r="X5" s="13"/>
      <c r="Y5" s="260"/>
      <c r="Z5" s="1"/>
      <c r="AA5" s="1"/>
    </row>
    <row r="6" spans="1:27" ht="13.5" customHeight="1" x14ac:dyDescent="0.2">
      <c r="A6" s="1"/>
      <c r="B6" s="261"/>
      <c r="C6" s="96"/>
      <c r="D6" s="96"/>
      <c r="E6" s="40" t="s">
        <v>0</v>
      </c>
      <c r="F6" s="13"/>
      <c r="G6" s="13"/>
      <c r="H6" s="13"/>
      <c r="I6" s="13"/>
      <c r="J6" s="13"/>
      <c r="K6" s="20"/>
      <c r="L6" s="272"/>
      <c r="M6" s="1"/>
      <c r="N6" s="2"/>
      <c r="O6" s="261"/>
      <c r="P6" s="96"/>
      <c r="Q6" s="96"/>
      <c r="R6" s="40" t="s">
        <v>0</v>
      </c>
      <c r="S6" s="13"/>
      <c r="T6" s="13"/>
      <c r="U6" s="13"/>
      <c r="V6" s="13"/>
      <c r="W6" s="13"/>
      <c r="X6" s="13"/>
      <c r="Y6" s="262"/>
      <c r="Z6" s="1"/>
      <c r="AA6" s="1"/>
    </row>
    <row r="7" spans="1:27" ht="13.5" customHeight="1" thickBot="1" x14ac:dyDescent="0.25">
      <c r="A7" s="1"/>
      <c r="B7" s="90"/>
      <c r="C7" s="13"/>
      <c r="D7" s="13"/>
      <c r="E7" s="40"/>
      <c r="F7" s="13"/>
      <c r="G7" s="13"/>
      <c r="H7" s="13"/>
      <c r="I7" s="13"/>
      <c r="J7" s="13"/>
      <c r="K7" s="20"/>
      <c r="L7" s="272"/>
      <c r="M7" s="1"/>
      <c r="N7" s="2"/>
      <c r="O7" s="90"/>
      <c r="P7" s="13"/>
      <c r="Q7" s="13"/>
      <c r="R7" s="40"/>
      <c r="S7" s="13"/>
      <c r="T7" s="13"/>
      <c r="U7" s="13"/>
      <c r="V7" s="13"/>
      <c r="W7" s="13"/>
      <c r="X7" s="13"/>
      <c r="Y7" s="262"/>
      <c r="Z7" s="1"/>
      <c r="AA7" s="1"/>
    </row>
    <row r="8" spans="1:27" ht="16.5" thickBot="1" x14ac:dyDescent="0.3">
      <c r="A8" s="1"/>
      <c r="B8" s="255" t="s">
        <v>106</v>
      </c>
      <c r="C8" s="256">
        <f>'Pendientes por Identificar'!D3</f>
        <v>2026101</v>
      </c>
      <c r="D8" s="13"/>
      <c r="E8" s="14"/>
      <c r="F8" s="13"/>
      <c r="G8" s="13"/>
      <c r="H8" s="13"/>
      <c r="I8" s="13"/>
      <c r="J8" s="13"/>
      <c r="K8" s="20"/>
      <c r="L8" s="272"/>
      <c r="M8" s="1"/>
      <c r="N8" s="2"/>
      <c r="O8" s="255" t="s">
        <v>106</v>
      </c>
      <c r="P8" s="256">
        <f>'Pendientes por Identificar'!L3</f>
        <v>2026102</v>
      </c>
      <c r="Q8" s="13"/>
      <c r="R8" s="14"/>
      <c r="S8" s="13"/>
      <c r="T8" s="13"/>
      <c r="U8" s="13"/>
      <c r="V8" s="13"/>
      <c r="W8" s="13"/>
      <c r="X8" s="13"/>
      <c r="Y8" s="262"/>
      <c r="Z8" s="1"/>
      <c r="AA8" s="1"/>
    </row>
    <row r="9" spans="1:27" ht="13.5" thickBot="1" x14ac:dyDescent="0.25">
      <c r="A9" s="1"/>
      <c r="B9" s="263"/>
      <c r="C9" s="264"/>
      <c r="D9" s="105"/>
      <c r="E9" s="283">
        <f t="shared" ref="E9:J9" si="0">SUM(E11:E1048576)</f>
        <v>0</v>
      </c>
      <c r="F9" s="283">
        <f t="shared" si="0"/>
        <v>0</v>
      </c>
      <c r="G9" s="283">
        <f t="shared" si="0"/>
        <v>0</v>
      </c>
      <c r="H9" s="283">
        <f t="shared" si="0"/>
        <v>0</v>
      </c>
      <c r="I9" s="283">
        <f t="shared" si="0"/>
        <v>0</v>
      </c>
      <c r="J9" s="283">
        <f t="shared" si="0"/>
        <v>0</v>
      </c>
      <c r="K9" s="273"/>
      <c r="L9" s="274"/>
      <c r="M9" s="1"/>
      <c r="N9" s="254"/>
      <c r="O9" s="263"/>
      <c r="P9" s="264"/>
      <c r="Q9" s="105"/>
      <c r="R9" s="283">
        <f t="shared" ref="R9:W9" si="1">SUM(R11:R1048576)</f>
        <v>0</v>
      </c>
      <c r="S9" s="283">
        <f t="shared" si="1"/>
        <v>0</v>
      </c>
      <c r="T9" s="283">
        <f t="shared" si="1"/>
        <v>0</v>
      </c>
      <c r="U9" s="283">
        <f t="shared" si="1"/>
        <v>0</v>
      </c>
      <c r="V9" s="283">
        <f t="shared" si="1"/>
        <v>0</v>
      </c>
      <c r="W9" s="283">
        <f t="shared" si="1"/>
        <v>0</v>
      </c>
      <c r="X9" s="105"/>
      <c r="Y9" s="265"/>
      <c r="Z9" s="1"/>
      <c r="AA9" s="1"/>
    </row>
    <row r="10" spans="1:27" ht="31.5" customHeight="1" thickBot="1" x14ac:dyDescent="0.25">
      <c r="A10" s="1"/>
      <c r="B10" s="275" t="s">
        <v>5</v>
      </c>
      <c r="C10" s="276" t="s">
        <v>6</v>
      </c>
      <c r="D10" s="276" t="s">
        <v>7</v>
      </c>
      <c r="E10" s="276" t="s">
        <v>8</v>
      </c>
      <c r="F10" s="276" t="s">
        <v>9</v>
      </c>
      <c r="G10" s="276" t="s">
        <v>10</v>
      </c>
      <c r="H10" s="276" t="s">
        <v>11</v>
      </c>
      <c r="I10" s="371" t="s">
        <v>12</v>
      </c>
      <c r="J10" s="373" t="s">
        <v>13</v>
      </c>
      <c r="K10" s="372" t="s">
        <v>118</v>
      </c>
      <c r="L10" s="278" t="s">
        <v>119</v>
      </c>
      <c r="M10" s="1"/>
      <c r="N10" s="2"/>
      <c r="O10" s="275" t="s">
        <v>5</v>
      </c>
      <c r="P10" s="276" t="s">
        <v>6</v>
      </c>
      <c r="Q10" s="276" t="s">
        <v>7</v>
      </c>
      <c r="R10" s="276" t="s">
        <v>8</v>
      </c>
      <c r="S10" s="276" t="s">
        <v>9</v>
      </c>
      <c r="T10" s="276" t="s">
        <v>10</v>
      </c>
      <c r="U10" s="276" t="s">
        <v>11</v>
      </c>
      <c r="V10" s="276" t="s">
        <v>12</v>
      </c>
      <c r="W10" s="277" t="s">
        <v>13</v>
      </c>
      <c r="X10" s="374" t="s">
        <v>118</v>
      </c>
      <c r="Y10" s="374" t="s">
        <v>119</v>
      </c>
      <c r="Z10" s="1"/>
      <c r="AA10" s="1"/>
    </row>
    <row r="11" spans="1:27" ht="12" customHeight="1" x14ac:dyDescent="0.2">
      <c r="A11" s="1"/>
      <c r="B11" s="26"/>
      <c r="C11" s="27"/>
      <c r="D11" s="28"/>
      <c r="E11" s="10"/>
      <c r="F11" s="10"/>
      <c r="G11" s="10"/>
      <c r="H11" s="10"/>
      <c r="I11" s="10"/>
      <c r="J11" s="266">
        <f t="shared" ref="J11:J41" si="2">SUM(E11:I11)</f>
        <v>0</v>
      </c>
      <c r="K11" s="284"/>
      <c r="L11" s="29"/>
      <c r="M11" s="1"/>
      <c r="N11" s="2"/>
      <c r="O11" s="26"/>
      <c r="P11" s="27"/>
      <c r="Q11" s="28"/>
      <c r="R11" s="10"/>
      <c r="S11" s="10"/>
      <c r="T11" s="10"/>
      <c r="U11" s="10"/>
      <c r="V11" s="10"/>
      <c r="W11" s="125">
        <f t="shared" ref="W11:W12" si="3">SUM(R11:V11)</f>
        <v>0</v>
      </c>
      <c r="X11" s="284"/>
      <c r="Y11" s="29"/>
      <c r="Z11" s="1"/>
      <c r="AA11" s="1"/>
    </row>
    <row r="12" spans="1:27" ht="12" customHeight="1" x14ac:dyDescent="0.2">
      <c r="A12" s="1"/>
      <c r="B12" s="30"/>
      <c r="C12" s="16"/>
      <c r="D12" s="17"/>
      <c r="E12" s="9"/>
      <c r="F12" s="9"/>
      <c r="G12" s="9"/>
      <c r="H12" s="9"/>
      <c r="I12" s="9"/>
      <c r="J12" s="109">
        <f t="shared" si="2"/>
        <v>0</v>
      </c>
      <c r="K12" s="279"/>
      <c r="L12" s="31"/>
      <c r="M12" s="1"/>
      <c r="N12" s="2"/>
      <c r="O12" s="30"/>
      <c r="P12" s="16"/>
      <c r="Q12" s="17"/>
      <c r="R12" s="9"/>
      <c r="S12" s="9"/>
      <c r="T12" s="9"/>
      <c r="U12" s="9"/>
      <c r="V12" s="9"/>
      <c r="W12" s="109">
        <f t="shared" si="3"/>
        <v>0</v>
      </c>
      <c r="X12" s="375"/>
      <c r="Y12" s="31"/>
      <c r="Z12" s="1"/>
      <c r="AA12" s="1"/>
    </row>
    <row r="13" spans="1:27" ht="12" customHeight="1" x14ac:dyDescent="0.2">
      <c r="A13" s="1"/>
      <c r="B13" s="30"/>
      <c r="C13" s="16"/>
      <c r="D13" s="17"/>
      <c r="E13" s="9"/>
      <c r="F13" s="9"/>
      <c r="G13" s="9"/>
      <c r="H13" s="9"/>
      <c r="I13" s="9"/>
      <c r="J13" s="109"/>
      <c r="K13" s="279"/>
      <c r="L13" s="31"/>
      <c r="M13" s="1"/>
      <c r="N13" s="2"/>
      <c r="O13" s="30"/>
      <c r="P13" s="16"/>
      <c r="Q13" s="17"/>
      <c r="R13" s="9"/>
      <c r="S13" s="9"/>
      <c r="T13" s="9"/>
      <c r="U13" s="9"/>
      <c r="V13" s="9"/>
      <c r="W13" s="109">
        <f>SUM(R13:V13)</f>
        <v>0</v>
      </c>
      <c r="X13" s="375"/>
      <c r="Y13" s="31"/>
      <c r="Z13" s="1"/>
      <c r="AA13" s="1"/>
    </row>
    <row r="14" spans="1:27" ht="12" customHeight="1" x14ac:dyDescent="0.2">
      <c r="A14" s="1"/>
      <c r="B14" s="30"/>
      <c r="C14" s="16"/>
      <c r="D14" s="17"/>
      <c r="E14" s="9"/>
      <c r="F14" s="9"/>
      <c r="G14" s="9"/>
      <c r="H14" s="9"/>
      <c r="I14" s="9"/>
      <c r="J14" s="109">
        <f t="shared" si="2"/>
        <v>0</v>
      </c>
      <c r="K14" s="279"/>
      <c r="L14" s="31"/>
      <c r="M14" s="1"/>
      <c r="N14" s="2"/>
      <c r="O14" s="30"/>
      <c r="P14" s="16"/>
      <c r="Q14" s="17"/>
      <c r="R14" s="9"/>
      <c r="S14" s="9"/>
      <c r="T14" s="9"/>
      <c r="U14" s="9"/>
      <c r="V14" s="9"/>
      <c r="W14" s="109">
        <f t="shared" ref="W14:W51" si="4">SUM(R14:V14)</f>
        <v>0</v>
      </c>
      <c r="X14" s="375"/>
      <c r="Y14" s="31"/>
      <c r="Z14" s="1"/>
      <c r="AA14" s="1"/>
    </row>
    <row r="15" spans="1:27" ht="12" customHeight="1" x14ac:dyDescent="0.2">
      <c r="A15" s="1"/>
      <c r="B15" s="30"/>
      <c r="C15" s="16"/>
      <c r="D15" s="17"/>
      <c r="E15" s="9"/>
      <c r="F15" s="9"/>
      <c r="G15" s="9"/>
      <c r="H15" s="9"/>
      <c r="I15" s="9"/>
      <c r="J15" s="109">
        <f t="shared" si="2"/>
        <v>0</v>
      </c>
      <c r="K15" s="279"/>
      <c r="L15" s="31"/>
      <c r="M15" s="1"/>
      <c r="N15" s="2"/>
      <c r="O15" s="30"/>
      <c r="P15" s="16"/>
      <c r="Q15" s="17"/>
      <c r="R15" s="9"/>
      <c r="S15" s="9"/>
      <c r="T15" s="9"/>
      <c r="U15" s="9"/>
      <c r="V15" s="9"/>
      <c r="W15" s="109">
        <f t="shared" si="4"/>
        <v>0</v>
      </c>
      <c r="X15" s="375"/>
      <c r="Y15" s="31"/>
      <c r="Z15" s="1"/>
      <c r="AA15" s="1"/>
    </row>
    <row r="16" spans="1:27" ht="12" customHeight="1" x14ac:dyDescent="0.2">
      <c r="A16" s="1"/>
      <c r="B16" s="30"/>
      <c r="C16" s="16"/>
      <c r="D16" s="17"/>
      <c r="E16" s="9"/>
      <c r="F16" s="9"/>
      <c r="G16" s="9"/>
      <c r="H16" s="9"/>
      <c r="I16" s="9"/>
      <c r="J16" s="109">
        <f t="shared" si="2"/>
        <v>0</v>
      </c>
      <c r="K16" s="279"/>
      <c r="L16" s="31"/>
      <c r="M16" s="1"/>
      <c r="N16" s="2"/>
      <c r="O16" s="30"/>
      <c r="P16" s="16"/>
      <c r="Q16" s="17"/>
      <c r="R16" s="9"/>
      <c r="S16" s="9"/>
      <c r="T16" s="9"/>
      <c r="U16" s="9"/>
      <c r="V16" s="9"/>
      <c r="W16" s="109">
        <f t="shared" si="4"/>
        <v>0</v>
      </c>
      <c r="X16" s="375"/>
      <c r="Y16" s="31"/>
      <c r="Z16" s="1"/>
      <c r="AA16" s="1"/>
    </row>
    <row r="17" spans="1:27" ht="12" customHeight="1" x14ac:dyDescent="0.2">
      <c r="A17" s="1"/>
      <c r="B17" s="30"/>
      <c r="C17" s="16"/>
      <c r="D17" s="17"/>
      <c r="E17" s="9"/>
      <c r="F17" s="9"/>
      <c r="G17" s="9"/>
      <c r="H17" s="9"/>
      <c r="I17" s="9"/>
      <c r="J17" s="109">
        <f t="shared" si="2"/>
        <v>0</v>
      </c>
      <c r="K17" s="279"/>
      <c r="L17" s="31"/>
      <c r="M17" s="1"/>
      <c r="N17" s="2"/>
      <c r="O17" s="30"/>
      <c r="P17" s="16"/>
      <c r="Q17" s="17"/>
      <c r="R17" s="9"/>
      <c r="S17" s="9"/>
      <c r="T17" s="9"/>
      <c r="U17" s="9"/>
      <c r="V17" s="9"/>
      <c r="W17" s="109">
        <f t="shared" si="4"/>
        <v>0</v>
      </c>
      <c r="X17" s="375"/>
      <c r="Y17" s="31"/>
      <c r="Z17" s="1"/>
      <c r="AA17" s="1"/>
    </row>
    <row r="18" spans="1:27" ht="12" customHeight="1" x14ac:dyDescent="0.2">
      <c r="A18" s="1"/>
      <c r="B18" s="30"/>
      <c r="C18" s="16"/>
      <c r="D18" s="17"/>
      <c r="E18" s="9"/>
      <c r="F18" s="9"/>
      <c r="G18" s="9"/>
      <c r="H18" s="9"/>
      <c r="I18" s="9"/>
      <c r="J18" s="109">
        <f t="shared" si="2"/>
        <v>0</v>
      </c>
      <c r="K18" s="279"/>
      <c r="L18" s="31"/>
      <c r="M18" s="1"/>
      <c r="N18" s="2"/>
      <c r="O18" s="30"/>
      <c r="P18" s="16"/>
      <c r="Q18" s="17"/>
      <c r="R18" s="9"/>
      <c r="S18" s="9"/>
      <c r="T18" s="9"/>
      <c r="U18" s="9"/>
      <c r="V18" s="9"/>
      <c r="W18" s="109">
        <f t="shared" si="4"/>
        <v>0</v>
      </c>
      <c r="X18" s="375"/>
      <c r="Y18" s="31"/>
      <c r="Z18" s="1"/>
      <c r="AA18" s="1"/>
    </row>
    <row r="19" spans="1:27" ht="12" customHeight="1" x14ac:dyDescent="0.2">
      <c r="A19" s="1"/>
      <c r="B19" s="30"/>
      <c r="C19" s="16"/>
      <c r="D19" s="17"/>
      <c r="E19" s="9"/>
      <c r="F19" s="9"/>
      <c r="G19" s="9"/>
      <c r="H19" s="9"/>
      <c r="I19" s="9"/>
      <c r="J19" s="109">
        <f t="shared" si="2"/>
        <v>0</v>
      </c>
      <c r="K19" s="279"/>
      <c r="L19" s="31"/>
      <c r="M19" s="1"/>
      <c r="N19" s="2"/>
      <c r="O19" s="30"/>
      <c r="P19" s="16"/>
      <c r="Q19" s="17"/>
      <c r="R19" s="9"/>
      <c r="S19" s="9"/>
      <c r="T19" s="9"/>
      <c r="U19" s="9"/>
      <c r="V19" s="9"/>
      <c r="W19" s="109">
        <f t="shared" si="4"/>
        <v>0</v>
      </c>
      <c r="X19" s="375"/>
      <c r="Y19" s="31"/>
      <c r="Z19" s="1"/>
      <c r="AA19" s="1"/>
    </row>
    <row r="20" spans="1:27" ht="12" customHeight="1" x14ac:dyDescent="0.2">
      <c r="A20" s="1"/>
      <c r="B20" s="30"/>
      <c r="C20" s="16"/>
      <c r="D20" s="17"/>
      <c r="E20" s="9"/>
      <c r="F20" s="9"/>
      <c r="G20" s="9"/>
      <c r="H20" s="9"/>
      <c r="I20" s="9"/>
      <c r="J20" s="109">
        <f t="shared" si="2"/>
        <v>0</v>
      </c>
      <c r="K20" s="279"/>
      <c r="L20" s="31"/>
      <c r="M20" s="1"/>
      <c r="N20" s="2"/>
      <c r="O20" s="30"/>
      <c r="P20" s="16"/>
      <c r="Q20" s="17"/>
      <c r="R20" s="9"/>
      <c r="S20" s="9"/>
      <c r="T20" s="9"/>
      <c r="U20" s="9"/>
      <c r="V20" s="9"/>
      <c r="W20" s="109">
        <f t="shared" si="4"/>
        <v>0</v>
      </c>
      <c r="X20" s="375"/>
      <c r="Y20" s="31"/>
      <c r="Z20" s="1"/>
      <c r="AA20" s="1"/>
    </row>
    <row r="21" spans="1:27" ht="12" customHeight="1" x14ac:dyDescent="0.2">
      <c r="A21" s="1"/>
      <c r="B21" s="30"/>
      <c r="C21" s="16"/>
      <c r="D21" s="17"/>
      <c r="E21" s="9"/>
      <c r="F21" s="9"/>
      <c r="G21" s="9"/>
      <c r="H21" s="9"/>
      <c r="I21" s="9"/>
      <c r="J21" s="109">
        <f t="shared" si="2"/>
        <v>0</v>
      </c>
      <c r="K21" s="279"/>
      <c r="L21" s="31"/>
      <c r="M21" s="1"/>
      <c r="N21" s="2"/>
      <c r="O21" s="30"/>
      <c r="P21" s="16"/>
      <c r="Q21" s="17"/>
      <c r="R21" s="9"/>
      <c r="S21" s="9"/>
      <c r="T21" s="9"/>
      <c r="U21" s="9"/>
      <c r="V21" s="9"/>
      <c r="W21" s="109">
        <f t="shared" si="4"/>
        <v>0</v>
      </c>
      <c r="X21" s="375"/>
      <c r="Y21" s="31"/>
      <c r="Z21" s="1"/>
      <c r="AA21" s="1"/>
    </row>
    <row r="22" spans="1:27" ht="12" customHeight="1" x14ac:dyDescent="0.2">
      <c r="A22" s="1"/>
      <c r="B22" s="30"/>
      <c r="C22" s="16"/>
      <c r="D22" s="17"/>
      <c r="E22" s="9"/>
      <c r="F22" s="9"/>
      <c r="G22" s="9"/>
      <c r="H22" s="9"/>
      <c r="I22" s="9"/>
      <c r="J22" s="109">
        <f t="shared" si="2"/>
        <v>0</v>
      </c>
      <c r="K22" s="279"/>
      <c r="L22" s="31"/>
      <c r="M22" s="1"/>
      <c r="N22" s="2"/>
      <c r="O22" s="30"/>
      <c r="P22" s="16"/>
      <c r="Q22" s="17"/>
      <c r="R22" s="9"/>
      <c r="S22" s="9"/>
      <c r="T22" s="9"/>
      <c r="U22" s="9"/>
      <c r="V22" s="9"/>
      <c r="W22" s="109">
        <f t="shared" si="4"/>
        <v>0</v>
      </c>
      <c r="X22" s="375"/>
      <c r="Y22" s="31"/>
      <c r="Z22" s="1"/>
      <c r="AA22" s="1"/>
    </row>
    <row r="23" spans="1:27" ht="12" customHeight="1" x14ac:dyDescent="0.2">
      <c r="A23" s="1"/>
      <c r="B23" s="30"/>
      <c r="C23" s="16"/>
      <c r="D23" s="17"/>
      <c r="E23" s="9"/>
      <c r="F23" s="9"/>
      <c r="G23" s="9"/>
      <c r="H23" s="9"/>
      <c r="I23" s="9"/>
      <c r="J23" s="109">
        <f t="shared" si="2"/>
        <v>0</v>
      </c>
      <c r="K23" s="279"/>
      <c r="L23" s="31"/>
      <c r="M23" s="1"/>
      <c r="N23" s="2"/>
      <c r="O23" s="30"/>
      <c r="P23" s="16"/>
      <c r="Q23" s="17"/>
      <c r="R23" s="9"/>
      <c r="S23" s="9"/>
      <c r="T23" s="9"/>
      <c r="U23" s="9"/>
      <c r="V23" s="9"/>
      <c r="W23" s="109">
        <f t="shared" si="4"/>
        <v>0</v>
      </c>
      <c r="X23" s="375"/>
      <c r="Y23" s="31"/>
      <c r="Z23" s="1"/>
      <c r="AA23" s="1"/>
    </row>
    <row r="24" spans="1:27" ht="12" customHeight="1" x14ac:dyDescent="0.2">
      <c r="A24" s="1"/>
      <c r="B24" s="30"/>
      <c r="C24" s="16"/>
      <c r="D24" s="17"/>
      <c r="E24" s="9"/>
      <c r="F24" s="9"/>
      <c r="G24" s="9"/>
      <c r="H24" s="9"/>
      <c r="I24" s="9"/>
      <c r="J24" s="109">
        <f t="shared" si="2"/>
        <v>0</v>
      </c>
      <c r="K24" s="279"/>
      <c r="L24" s="31"/>
      <c r="M24" s="1"/>
      <c r="N24" s="2"/>
      <c r="O24" s="30"/>
      <c r="P24" s="16"/>
      <c r="Q24" s="17"/>
      <c r="R24" s="9"/>
      <c r="S24" s="9"/>
      <c r="T24" s="9"/>
      <c r="U24" s="9"/>
      <c r="V24" s="9"/>
      <c r="W24" s="109">
        <f t="shared" si="4"/>
        <v>0</v>
      </c>
      <c r="X24" s="375"/>
      <c r="Y24" s="31"/>
      <c r="Z24" s="1"/>
      <c r="AA24" s="1"/>
    </row>
    <row r="25" spans="1:27" ht="12" customHeight="1" x14ac:dyDescent="0.2">
      <c r="A25" s="1"/>
      <c r="B25" s="30"/>
      <c r="C25" s="16"/>
      <c r="D25" s="17"/>
      <c r="E25" s="9"/>
      <c r="F25" s="9"/>
      <c r="G25" s="9"/>
      <c r="H25" s="9"/>
      <c r="I25" s="9"/>
      <c r="J25" s="109">
        <f t="shared" si="2"/>
        <v>0</v>
      </c>
      <c r="K25" s="279"/>
      <c r="L25" s="31"/>
      <c r="M25" s="1"/>
      <c r="N25" s="2"/>
      <c r="O25" s="30"/>
      <c r="P25" s="16"/>
      <c r="Q25" s="17"/>
      <c r="R25" s="9"/>
      <c r="S25" s="9"/>
      <c r="T25" s="9"/>
      <c r="U25" s="9"/>
      <c r="V25" s="9"/>
      <c r="W25" s="109">
        <f t="shared" si="4"/>
        <v>0</v>
      </c>
      <c r="X25" s="375"/>
      <c r="Y25" s="31"/>
      <c r="Z25" s="1"/>
      <c r="AA25" s="1"/>
    </row>
    <row r="26" spans="1:27" ht="12" customHeight="1" x14ac:dyDescent="0.2">
      <c r="A26" s="1"/>
      <c r="B26" s="30"/>
      <c r="C26" s="16"/>
      <c r="D26" s="17"/>
      <c r="E26" s="9"/>
      <c r="F26" s="9"/>
      <c r="G26" s="9"/>
      <c r="H26" s="9"/>
      <c r="I26" s="9"/>
      <c r="J26" s="109">
        <f t="shared" si="2"/>
        <v>0</v>
      </c>
      <c r="K26" s="279"/>
      <c r="L26" s="31"/>
      <c r="M26" s="1"/>
      <c r="N26" s="2"/>
      <c r="O26" s="30"/>
      <c r="P26" s="16"/>
      <c r="Q26" s="17"/>
      <c r="R26" s="9"/>
      <c r="S26" s="9"/>
      <c r="T26" s="9"/>
      <c r="U26" s="9"/>
      <c r="V26" s="9"/>
      <c r="W26" s="109">
        <f t="shared" si="4"/>
        <v>0</v>
      </c>
      <c r="X26" s="375"/>
      <c r="Y26" s="31"/>
      <c r="Z26" s="1"/>
      <c r="AA26" s="1"/>
    </row>
    <row r="27" spans="1:27" ht="12" customHeight="1" x14ac:dyDescent="0.2">
      <c r="A27" s="1"/>
      <c r="B27" s="30"/>
      <c r="C27" s="16"/>
      <c r="D27" s="17"/>
      <c r="E27" s="9"/>
      <c r="F27" s="9"/>
      <c r="G27" s="9"/>
      <c r="H27" s="9"/>
      <c r="I27" s="9"/>
      <c r="J27" s="109">
        <f t="shared" si="2"/>
        <v>0</v>
      </c>
      <c r="K27" s="279"/>
      <c r="L27" s="31"/>
      <c r="M27" s="1"/>
      <c r="N27" s="2"/>
      <c r="O27" s="30"/>
      <c r="P27" s="16"/>
      <c r="Q27" s="17"/>
      <c r="R27" s="9"/>
      <c r="S27" s="9"/>
      <c r="T27" s="9"/>
      <c r="U27" s="9"/>
      <c r="V27" s="9"/>
      <c r="W27" s="109">
        <f t="shared" si="4"/>
        <v>0</v>
      </c>
      <c r="X27" s="375"/>
      <c r="Y27" s="31"/>
      <c r="Z27" s="1"/>
      <c r="AA27" s="1"/>
    </row>
    <row r="28" spans="1:27" ht="12" customHeight="1" x14ac:dyDescent="0.2">
      <c r="A28" s="1"/>
      <c r="B28" s="30"/>
      <c r="C28" s="16"/>
      <c r="D28" s="17"/>
      <c r="E28" s="9"/>
      <c r="F28" s="9"/>
      <c r="G28" s="9"/>
      <c r="H28" s="9"/>
      <c r="I28" s="9"/>
      <c r="J28" s="109">
        <f t="shared" si="2"/>
        <v>0</v>
      </c>
      <c r="K28" s="279"/>
      <c r="L28" s="31"/>
      <c r="M28" s="1"/>
      <c r="N28" s="2"/>
      <c r="O28" s="30"/>
      <c r="P28" s="16"/>
      <c r="Q28" s="17"/>
      <c r="R28" s="9"/>
      <c r="S28" s="9"/>
      <c r="T28" s="9"/>
      <c r="U28" s="9"/>
      <c r="V28" s="9"/>
      <c r="W28" s="109">
        <f t="shared" si="4"/>
        <v>0</v>
      </c>
      <c r="X28" s="375"/>
      <c r="Y28" s="31"/>
      <c r="Z28" s="1"/>
      <c r="AA28" s="1"/>
    </row>
    <row r="29" spans="1:27" ht="12" customHeight="1" x14ac:dyDescent="0.2">
      <c r="A29" s="1"/>
      <c r="B29" s="30"/>
      <c r="C29" s="16"/>
      <c r="D29" s="17"/>
      <c r="E29" s="9"/>
      <c r="F29" s="9"/>
      <c r="G29" s="9"/>
      <c r="H29" s="9"/>
      <c r="I29" s="9"/>
      <c r="J29" s="109">
        <f t="shared" si="2"/>
        <v>0</v>
      </c>
      <c r="K29" s="279"/>
      <c r="L29" s="31"/>
      <c r="M29" s="1"/>
      <c r="N29" s="2"/>
      <c r="O29" s="30"/>
      <c r="P29" s="16"/>
      <c r="Q29" s="17"/>
      <c r="R29" s="9"/>
      <c r="S29" s="9"/>
      <c r="T29" s="9"/>
      <c r="U29" s="9"/>
      <c r="V29" s="9"/>
      <c r="W29" s="109">
        <f t="shared" si="4"/>
        <v>0</v>
      </c>
      <c r="X29" s="375"/>
      <c r="Y29" s="31"/>
      <c r="Z29" s="1"/>
      <c r="AA29" s="1"/>
    </row>
    <row r="30" spans="1:27" ht="12" customHeight="1" x14ac:dyDescent="0.2">
      <c r="A30" s="1"/>
      <c r="B30" s="30"/>
      <c r="C30" s="16"/>
      <c r="D30" s="17"/>
      <c r="E30" s="9"/>
      <c r="F30" s="9"/>
      <c r="G30" s="9"/>
      <c r="H30" s="9"/>
      <c r="I30" s="9"/>
      <c r="J30" s="109">
        <f t="shared" si="2"/>
        <v>0</v>
      </c>
      <c r="K30" s="279"/>
      <c r="L30" s="31"/>
      <c r="M30" s="1"/>
      <c r="N30" s="2"/>
      <c r="O30" s="30"/>
      <c r="P30" s="16"/>
      <c r="Q30" s="17"/>
      <c r="R30" s="9"/>
      <c r="S30" s="9"/>
      <c r="T30" s="9"/>
      <c r="U30" s="9"/>
      <c r="V30" s="9"/>
      <c r="W30" s="109">
        <f t="shared" si="4"/>
        <v>0</v>
      </c>
      <c r="X30" s="375"/>
      <c r="Y30" s="31"/>
      <c r="Z30" s="1"/>
      <c r="AA30" s="1"/>
    </row>
    <row r="31" spans="1:27" ht="12" customHeight="1" x14ac:dyDescent="0.2">
      <c r="A31" s="1"/>
      <c r="B31" s="30"/>
      <c r="C31" s="16"/>
      <c r="D31" s="17"/>
      <c r="E31" s="9"/>
      <c r="F31" s="9"/>
      <c r="G31" s="9"/>
      <c r="H31" s="9"/>
      <c r="I31" s="9"/>
      <c r="J31" s="109">
        <f t="shared" si="2"/>
        <v>0</v>
      </c>
      <c r="K31" s="279"/>
      <c r="L31" s="31"/>
      <c r="M31" s="1"/>
      <c r="N31" s="2"/>
      <c r="O31" s="30"/>
      <c r="P31" s="16"/>
      <c r="Q31" s="17"/>
      <c r="R31" s="9"/>
      <c r="S31" s="9"/>
      <c r="T31" s="9"/>
      <c r="U31" s="9"/>
      <c r="V31" s="9"/>
      <c r="W31" s="109">
        <f t="shared" si="4"/>
        <v>0</v>
      </c>
      <c r="X31" s="375"/>
      <c r="Y31" s="31"/>
      <c r="Z31" s="1"/>
      <c r="AA31" s="1"/>
    </row>
    <row r="32" spans="1:27" ht="12" customHeight="1" x14ac:dyDescent="0.2">
      <c r="A32" s="1"/>
      <c r="B32" s="30"/>
      <c r="C32" s="16"/>
      <c r="D32" s="17"/>
      <c r="E32" s="9"/>
      <c r="F32" s="9"/>
      <c r="G32" s="9"/>
      <c r="H32" s="9"/>
      <c r="I32" s="9"/>
      <c r="J32" s="109">
        <f t="shared" si="2"/>
        <v>0</v>
      </c>
      <c r="K32" s="279"/>
      <c r="L32" s="31"/>
      <c r="M32" s="1"/>
      <c r="N32" s="2"/>
      <c r="O32" s="30"/>
      <c r="P32" s="16"/>
      <c r="Q32" s="17"/>
      <c r="R32" s="9"/>
      <c r="S32" s="9"/>
      <c r="T32" s="9"/>
      <c r="U32" s="9"/>
      <c r="V32" s="9"/>
      <c r="W32" s="109">
        <f t="shared" si="4"/>
        <v>0</v>
      </c>
      <c r="X32" s="375"/>
      <c r="Y32" s="31"/>
      <c r="Z32" s="1"/>
      <c r="AA32" s="1"/>
    </row>
    <row r="33" spans="1:27" ht="12" customHeight="1" x14ac:dyDescent="0.2">
      <c r="A33" s="1"/>
      <c r="B33" s="30"/>
      <c r="C33" s="16"/>
      <c r="D33" s="17"/>
      <c r="E33" s="9"/>
      <c r="F33" s="9"/>
      <c r="G33" s="9"/>
      <c r="H33" s="9"/>
      <c r="I33" s="9"/>
      <c r="J33" s="109">
        <f t="shared" si="2"/>
        <v>0</v>
      </c>
      <c r="K33" s="279"/>
      <c r="L33" s="31"/>
      <c r="M33" s="1"/>
      <c r="N33" s="2"/>
      <c r="O33" s="30"/>
      <c r="P33" s="16"/>
      <c r="Q33" s="17"/>
      <c r="R33" s="9"/>
      <c r="S33" s="9"/>
      <c r="T33" s="9"/>
      <c r="U33" s="9"/>
      <c r="V33" s="9"/>
      <c r="W33" s="109">
        <f t="shared" si="4"/>
        <v>0</v>
      </c>
      <c r="X33" s="375"/>
      <c r="Y33" s="31"/>
      <c r="Z33" s="1"/>
      <c r="AA33" s="1"/>
    </row>
    <row r="34" spans="1:27" ht="12" customHeight="1" x14ac:dyDescent="0.2">
      <c r="A34" s="1"/>
      <c r="B34" s="30"/>
      <c r="C34" s="16"/>
      <c r="D34" s="17"/>
      <c r="E34" s="9"/>
      <c r="F34" s="9"/>
      <c r="G34" s="9"/>
      <c r="H34" s="9"/>
      <c r="I34" s="9"/>
      <c r="J34" s="109">
        <f t="shared" si="2"/>
        <v>0</v>
      </c>
      <c r="K34" s="279"/>
      <c r="L34" s="31"/>
      <c r="M34" s="1"/>
      <c r="N34" s="2"/>
      <c r="O34" s="30"/>
      <c r="P34" s="16"/>
      <c r="Q34" s="17"/>
      <c r="R34" s="9"/>
      <c r="S34" s="9"/>
      <c r="T34" s="9"/>
      <c r="U34" s="9"/>
      <c r="V34" s="9"/>
      <c r="W34" s="109">
        <f t="shared" si="4"/>
        <v>0</v>
      </c>
      <c r="X34" s="375"/>
      <c r="Y34" s="31"/>
      <c r="Z34" s="1"/>
      <c r="AA34" s="1"/>
    </row>
    <row r="35" spans="1:27" ht="12" customHeight="1" x14ac:dyDescent="0.2">
      <c r="A35" s="1"/>
      <c r="B35" s="30"/>
      <c r="C35" s="16"/>
      <c r="D35" s="17"/>
      <c r="E35" s="9"/>
      <c r="F35" s="9"/>
      <c r="G35" s="9"/>
      <c r="H35" s="9"/>
      <c r="I35" s="9"/>
      <c r="J35" s="109">
        <f t="shared" si="2"/>
        <v>0</v>
      </c>
      <c r="K35" s="279"/>
      <c r="L35" s="31"/>
      <c r="M35" s="1"/>
      <c r="N35" s="2"/>
      <c r="O35" s="30"/>
      <c r="P35" s="16"/>
      <c r="Q35" s="17"/>
      <c r="R35" s="9"/>
      <c r="S35" s="9"/>
      <c r="T35" s="9"/>
      <c r="U35" s="9"/>
      <c r="V35" s="9"/>
      <c r="W35" s="109">
        <f t="shared" si="4"/>
        <v>0</v>
      </c>
      <c r="X35" s="375"/>
      <c r="Y35" s="31"/>
      <c r="Z35" s="1"/>
      <c r="AA35" s="1"/>
    </row>
    <row r="36" spans="1:27" ht="12" customHeight="1" x14ac:dyDescent="0.2">
      <c r="A36" s="1"/>
      <c r="B36" s="30"/>
      <c r="C36" s="16"/>
      <c r="D36" s="17"/>
      <c r="E36" s="9"/>
      <c r="F36" s="9"/>
      <c r="G36" s="9"/>
      <c r="H36" s="9"/>
      <c r="I36" s="9"/>
      <c r="J36" s="109">
        <f t="shared" si="2"/>
        <v>0</v>
      </c>
      <c r="K36" s="279"/>
      <c r="L36" s="31"/>
      <c r="M36" s="1"/>
      <c r="N36" s="2"/>
      <c r="O36" s="30"/>
      <c r="P36" s="16"/>
      <c r="Q36" s="17"/>
      <c r="R36" s="9"/>
      <c r="S36" s="9"/>
      <c r="T36" s="9"/>
      <c r="U36" s="9"/>
      <c r="V36" s="9"/>
      <c r="W36" s="109">
        <f t="shared" si="4"/>
        <v>0</v>
      </c>
      <c r="X36" s="375"/>
      <c r="Y36" s="31"/>
      <c r="Z36" s="1"/>
      <c r="AA36" s="1"/>
    </row>
    <row r="37" spans="1:27" ht="12" customHeight="1" x14ac:dyDescent="0.2">
      <c r="A37" s="1"/>
      <c r="B37" s="30"/>
      <c r="C37" s="16"/>
      <c r="D37" s="17"/>
      <c r="E37" s="9"/>
      <c r="F37" s="9"/>
      <c r="G37" s="9"/>
      <c r="H37" s="9"/>
      <c r="I37" s="9"/>
      <c r="J37" s="109">
        <f t="shared" si="2"/>
        <v>0</v>
      </c>
      <c r="K37" s="279"/>
      <c r="L37" s="31"/>
      <c r="M37" s="1"/>
      <c r="N37" s="2"/>
      <c r="O37" s="30"/>
      <c r="P37" s="16"/>
      <c r="Q37" s="17"/>
      <c r="R37" s="9"/>
      <c r="S37" s="9"/>
      <c r="T37" s="9"/>
      <c r="U37" s="9"/>
      <c r="V37" s="9"/>
      <c r="W37" s="109">
        <f t="shared" si="4"/>
        <v>0</v>
      </c>
      <c r="X37" s="375"/>
      <c r="Y37" s="31"/>
      <c r="Z37" s="1"/>
      <c r="AA37" s="1"/>
    </row>
    <row r="38" spans="1:27" ht="12" customHeight="1" x14ac:dyDescent="0.2">
      <c r="A38" s="1"/>
      <c r="B38" s="30"/>
      <c r="C38" s="16"/>
      <c r="D38" s="17"/>
      <c r="E38" s="9"/>
      <c r="F38" s="9"/>
      <c r="G38" s="9"/>
      <c r="H38" s="9"/>
      <c r="I38" s="9"/>
      <c r="J38" s="109">
        <f t="shared" si="2"/>
        <v>0</v>
      </c>
      <c r="K38" s="279"/>
      <c r="L38" s="31"/>
      <c r="M38" s="1"/>
      <c r="N38" s="2"/>
      <c r="O38" s="30"/>
      <c r="P38" s="16"/>
      <c r="Q38" s="17"/>
      <c r="R38" s="9"/>
      <c r="S38" s="9"/>
      <c r="T38" s="9"/>
      <c r="U38" s="9"/>
      <c r="V38" s="9"/>
      <c r="W38" s="109">
        <f t="shared" si="4"/>
        <v>0</v>
      </c>
      <c r="X38" s="375"/>
      <c r="Y38" s="31"/>
      <c r="Z38" s="1"/>
      <c r="AA38" s="1"/>
    </row>
    <row r="39" spans="1:27" ht="12" customHeight="1" x14ac:dyDescent="0.2">
      <c r="A39" s="1"/>
      <c r="B39" s="30"/>
      <c r="C39" s="16"/>
      <c r="D39" s="17"/>
      <c r="E39" s="9"/>
      <c r="F39" s="9"/>
      <c r="G39" s="9"/>
      <c r="H39" s="9"/>
      <c r="I39" s="9"/>
      <c r="J39" s="109">
        <f t="shared" si="2"/>
        <v>0</v>
      </c>
      <c r="K39" s="279"/>
      <c r="L39" s="31"/>
      <c r="M39" s="1"/>
      <c r="N39" s="2"/>
      <c r="O39" s="30"/>
      <c r="P39" s="16"/>
      <c r="Q39" s="17"/>
      <c r="R39" s="9"/>
      <c r="S39" s="9"/>
      <c r="T39" s="9"/>
      <c r="U39" s="9"/>
      <c r="V39" s="9"/>
      <c r="W39" s="109">
        <f t="shared" si="4"/>
        <v>0</v>
      </c>
      <c r="X39" s="375"/>
      <c r="Y39" s="31"/>
      <c r="Z39" s="1"/>
      <c r="AA39" s="1"/>
    </row>
    <row r="40" spans="1:27" ht="12" customHeight="1" x14ac:dyDescent="0.2">
      <c r="A40" s="1"/>
      <c r="B40" s="30"/>
      <c r="C40" s="16"/>
      <c r="D40" s="17"/>
      <c r="E40" s="9"/>
      <c r="F40" s="9"/>
      <c r="G40" s="9"/>
      <c r="H40" s="9"/>
      <c r="I40" s="9"/>
      <c r="J40" s="109">
        <f t="shared" si="2"/>
        <v>0</v>
      </c>
      <c r="K40" s="279"/>
      <c r="L40" s="31"/>
      <c r="M40" s="1"/>
      <c r="N40" s="2"/>
      <c r="O40" s="30"/>
      <c r="P40" s="16"/>
      <c r="Q40" s="17"/>
      <c r="R40" s="9"/>
      <c r="S40" s="9"/>
      <c r="T40" s="9"/>
      <c r="U40" s="9"/>
      <c r="V40" s="9"/>
      <c r="W40" s="109">
        <f t="shared" si="4"/>
        <v>0</v>
      </c>
      <c r="X40" s="9"/>
      <c r="Y40" s="31"/>
      <c r="Z40" s="1"/>
      <c r="AA40" s="1"/>
    </row>
    <row r="41" spans="1:27" ht="12" customHeight="1" x14ac:dyDescent="0.2">
      <c r="A41" s="1"/>
      <c r="B41" s="30"/>
      <c r="C41" s="16"/>
      <c r="D41" s="17"/>
      <c r="E41" s="9"/>
      <c r="F41" s="9"/>
      <c r="G41" s="9"/>
      <c r="H41" s="9"/>
      <c r="I41" s="9"/>
      <c r="J41" s="109">
        <f t="shared" si="2"/>
        <v>0</v>
      </c>
      <c r="K41" s="279"/>
      <c r="L41" s="31"/>
      <c r="M41" s="1"/>
      <c r="N41" s="2"/>
      <c r="O41" s="30"/>
      <c r="P41" s="16"/>
      <c r="Q41" s="17"/>
      <c r="R41" s="9"/>
      <c r="S41" s="9"/>
      <c r="T41" s="9"/>
      <c r="U41" s="9"/>
      <c r="V41" s="9"/>
      <c r="W41" s="109">
        <f t="shared" si="4"/>
        <v>0</v>
      </c>
      <c r="X41" s="9"/>
      <c r="Y41" s="31"/>
      <c r="Z41" s="1"/>
      <c r="AA41" s="1"/>
    </row>
    <row r="42" spans="1:27" ht="12" customHeight="1" x14ac:dyDescent="0.2">
      <c r="A42" s="1"/>
      <c r="B42" s="30"/>
      <c r="C42" s="16"/>
      <c r="D42" s="17"/>
      <c r="E42" s="9"/>
      <c r="F42" s="9"/>
      <c r="G42" s="9"/>
      <c r="H42" s="9"/>
      <c r="I42" s="9"/>
      <c r="J42" s="109">
        <f>SUM(E42:I42)</f>
        <v>0</v>
      </c>
      <c r="K42" s="279"/>
      <c r="L42" s="31"/>
      <c r="M42" s="1"/>
      <c r="N42" s="2"/>
      <c r="O42" s="30"/>
      <c r="P42" s="16"/>
      <c r="Q42" s="17"/>
      <c r="R42" s="9"/>
      <c r="S42" s="9"/>
      <c r="T42" s="9"/>
      <c r="U42" s="9"/>
      <c r="V42" s="9"/>
      <c r="W42" s="109">
        <f t="shared" si="4"/>
        <v>0</v>
      </c>
      <c r="X42" s="9"/>
      <c r="Y42" s="31"/>
      <c r="Z42" s="1"/>
      <c r="AA42" s="1"/>
    </row>
    <row r="43" spans="1:27" ht="12" customHeight="1" x14ac:dyDescent="0.2">
      <c r="A43" s="1"/>
      <c r="B43" s="30"/>
      <c r="C43" s="16"/>
      <c r="D43" s="17"/>
      <c r="E43" s="9"/>
      <c r="F43" s="9"/>
      <c r="G43" s="9"/>
      <c r="H43" s="9"/>
      <c r="I43" s="9"/>
      <c r="J43" s="109">
        <f t="shared" ref="J43:J50" si="5">SUM(E43:I43)</f>
        <v>0</v>
      </c>
      <c r="K43" s="279"/>
      <c r="L43" s="31"/>
      <c r="M43" s="1"/>
      <c r="N43" s="2"/>
      <c r="O43" s="30"/>
      <c r="P43" s="16"/>
      <c r="Q43" s="17"/>
      <c r="R43" s="9"/>
      <c r="S43" s="9"/>
      <c r="T43" s="9"/>
      <c r="U43" s="9"/>
      <c r="V43" s="9"/>
      <c r="W43" s="109">
        <f t="shared" si="4"/>
        <v>0</v>
      </c>
      <c r="X43" s="9"/>
      <c r="Y43" s="31"/>
      <c r="Z43" s="1"/>
      <c r="AA43" s="1"/>
    </row>
    <row r="44" spans="1:27" ht="12" customHeight="1" x14ac:dyDescent="0.2">
      <c r="A44" s="1"/>
      <c r="B44" s="30"/>
      <c r="C44" s="16"/>
      <c r="D44" s="17"/>
      <c r="E44" s="9"/>
      <c r="F44" s="9"/>
      <c r="G44" s="9"/>
      <c r="H44" s="9"/>
      <c r="I44" s="9"/>
      <c r="J44" s="109">
        <f t="shared" si="5"/>
        <v>0</v>
      </c>
      <c r="K44" s="279"/>
      <c r="L44" s="31"/>
      <c r="M44" s="1"/>
      <c r="N44" s="2"/>
      <c r="O44" s="30"/>
      <c r="P44" s="16"/>
      <c r="Q44" s="17"/>
      <c r="R44" s="9"/>
      <c r="S44" s="9"/>
      <c r="T44" s="9"/>
      <c r="U44" s="9"/>
      <c r="V44" s="9"/>
      <c r="W44" s="109">
        <f t="shared" si="4"/>
        <v>0</v>
      </c>
      <c r="X44" s="9"/>
      <c r="Y44" s="31"/>
      <c r="Z44" s="1"/>
      <c r="AA44" s="1"/>
    </row>
    <row r="45" spans="1:27" ht="12" customHeight="1" x14ac:dyDescent="0.2">
      <c r="A45" s="1"/>
      <c r="B45" s="30"/>
      <c r="C45" s="16"/>
      <c r="D45" s="17"/>
      <c r="E45" s="9"/>
      <c r="F45" s="9"/>
      <c r="G45" s="9"/>
      <c r="H45" s="9"/>
      <c r="I45" s="9"/>
      <c r="J45" s="109">
        <f t="shared" si="5"/>
        <v>0</v>
      </c>
      <c r="K45" s="279"/>
      <c r="L45" s="31"/>
      <c r="M45" s="1"/>
      <c r="N45" s="2"/>
      <c r="O45" s="30"/>
      <c r="P45" s="16"/>
      <c r="Q45" s="17"/>
      <c r="R45" s="9"/>
      <c r="S45" s="9"/>
      <c r="T45" s="9"/>
      <c r="U45" s="9"/>
      <c r="V45" s="9"/>
      <c r="W45" s="109">
        <f t="shared" si="4"/>
        <v>0</v>
      </c>
      <c r="X45" s="9"/>
      <c r="Y45" s="31"/>
      <c r="Z45" s="1"/>
      <c r="AA45" s="1"/>
    </row>
    <row r="46" spans="1:27" ht="12" customHeight="1" x14ac:dyDescent="0.2">
      <c r="A46" s="1"/>
      <c r="B46" s="30"/>
      <c r="C46" s="16"/>
      <c r="D46" s="17"/>
      <c r="E46" s="9"/>
      <c r="F46" s="9"/>
      <c r="G46" s="9"/>
      <c r="H46" s="9"/>
      <c r="I46" s="9"/>
      <c r="J46" s="109">
        <f t="shared" si="5"/>
        <v>0</v>
      </c>
      <c r="K46" s="279"/>
      <c r="L46" s="31"/>
      <c r="M46" s="1"/>
      <c r="N46" s="2"/>
      <c r="O46" s="30"/>
      <c r="P46" s="16"/>
      <c r="Q46" s="17"/>
      <c r="R46" s="9"/>
      <c r="S46" s="9"/>
      <c r="T46" s="9"/>
      <c r="U46" s="9"/>
      <c r="V46" s="9"/>
      <c r="W46" s="109">
        <f t="shared" si="4"/>
        <v>0</v>
      </c>
      <c r="X46" s="9"/>
      <c r="Y46" s="31"/>
      <c r="Z46" s="1"/>
      <c r="AA46" s="1"/>
    </row>
    <row r="47" spans="1:27" ht="12" customHeight="1" x14ac:dyDescent="0.2">
      <c r="A47" s="1"/>
      <c r="B47" s="30"/>
      <c r="C47" s="16"/>
      <c r="D47" s="17"/>
      <c r="E47" s="9"/>
      <c r="F47" s="9"/>
      <c r="G47" s="9"/>
      <c r="H47" s="9"/>
      <c r="I47" s="9"/>
      <c r="J47" s="109">
        <f t="shared" si="5"/>
        <v>0</v>
      </c>
      <c r="K47" s="279"/>
      <c r="L47" s="31"/>
      <c r="M47" s="1"/>
      <c r="N47" s="2"/>
      <c r="O47" s="30"/>
      <c r="P47" s="16"/>
      <c r="Q47" s="17"/>
      <c r="R47" s="9"/>
      <c r="S47" s="9"/>
      <c r="T47" s="9"/>
      <c r="U47" s="9"/>
      <c r="V47" s="9"/>
      <c r="W47" s="109">
        <f t="shared" si="4"/>
        <v>0</v>
      </c>
      <c r="X47" s="9"/>
      <c r="Y47" s="31"/>
      <c r="Z47" s="1"/>
      <c r="AA47" s="1"/>
    </row>
    <row r="48" spans="1:27" ht="12" customHeight="1" x14ac:dyDescent="0.2">
      <c r="A48" s="1"/>
      <c r="B48" s="30"/>
      <c r="C48" s="16"/>
      <c r="D48" s="17"/>
      <c r="E48" s="9"/>
      <c r="F48" s="9"/>
      <c r="G48" s="9"/>
      <c r="H48" s="9"/>
      <c r="I48" s="9"/>
      <c r="J48" s="109">
        <f t="shared" si="5"/>
        <v>0</v>
      </c>
      <c r="K48" s="279"/>
      <c r="L48" s="31"/>
      <c r="M48" s="1"/>
      <c r="N48" s="2"/>
      <c r="O48" s="30"/>
      <c r="P48" s="16"/>
      <c r="Q48" s="17"/>
      <c r="R48" s="9"/>
      <c r="S48" s="9"/>
      <c r="T48" s="9"/>
      <c r="U48" s="9"/>
      <c r="V48" s="9"/>
      <c r="W48" s="109">
        <f t="shared" si="4"/>
        <v>0</v>
      </c>
      <c r="X48" s="9"/>
      <c r="Y48" s="31"/>
      <c r="Z48" s="1"/>
      <c r="AA48" s="1"/>
    </row>
    <row r="49" spans="1:27" ht="12" customHeight="1" x14ac:dyDescent="0.2">
      <c r="A49" s="1"/>
      <c r="B49" s="30"/>
      <c r="C49" s="16"/>
      <c r="D49" s="17"/>
      <c r="E49" s="9"/>
      <c r="F49" s="9"/>
      <c r="G49" s="9"/>
      <c r="H49" s="9"/>
      <c r="I49" s="9"/>
      <c r="J49" s="109">
        <f t="shared" si="5"/>
        <v>0</v>
      </c>
      <c r="K49" s="279"/>
      <c r="L49" s="31"/>
      <c r="M49" s="1"/>
      <c r="N49" s="2"/>
      <c r="O49" s="30"/>
      <c r="P49" s="16"/>
      <c r="Q49" s="17"/>
      <c r="R49" s="9"/>
      <c r="S49" s="9"/>
      <c r="T49" s="9"/>
      <c r="U49" s="9"/>
      <c r="V49" s="9"/>
      <c r="W49" s="109">
        <f t="shared" si="4"/>
        <v>0</v>
      </c>
      <c r="X49" s="9"/>
      <c r="Y49" s="31"/>
      <c r="Z49" s="1"/>
      <c r="AA49" s="1"/>
    </row>
    <row r="50" spans="1:27" ht="12" customHeight="1" x14ac:dyDescent="0.2">
      <c r="A50" s="1"/>
      <c r="B50" s="30"/>
      <c r="C50" s="16"/>
      <c r="D50" s="17"/>
      <c r="E50" s="9"/>
      <c r="F50" s="9"/>
      <c r="G50" s="9"/>
      <c r="H50" s="9"/>
      <c r="I50" s="9"/>
      <c r="J50" s="109">
        <f t="shared" si="5"/>
        <v>0</v>
      </c>
      <c r="K50" s="279"/>
      <c r="L50" s="31"/>
      <c r="M50" s="1"/>
      <c r="N50" s="2"/>
      <c r="O50" s="30"/>
      <c r="P50" s="16"/>
      <c r="Q50" s="17"/>
      <c r="R50" s="9"/>
      <c r="S50" s="9"/>
      <c r="T50" s="9"/>
      <c r="U50" s="9"/>
      <c r="V50" s="9"/>
      <c r="W50" s="109">
        <f t="shared" si="4"/>
        <v>0</v>
      </c>
      <c r="X50" s="9"/>
      <c r="Y50" s="31"/>
      <c r="Z50" s="1"/>
      <c r="AA50" s="1"/>
    </row>
    <row r="51" spans="1:27" ht="12" customHeight="1" thickBot="1" x14ac:dyDescent="0.25">
      <c r="A51" s="1"/>
      <c r="B51" s="30"/>
      <c r="C51" s="16"/>
      <c r="D51" s="17"/>
      <c r="E51" s="9"/>
      <c r="F51" s="9"/>
      <c r="G51" s="9"/>
      <c r="H51" s="9"/>
      <c r="I51" s="9"/>
      <c r="J51" s="109">
        <f t="shared" ref="J51:J74" si="6">SUM(E51:I51)</f>
        <v>0</v>
      </c>
      <c r="K51" s="279"/>
      <c r="L51" s="31"/>
      <c r="M51" s="1"/>
      <c r="N51" s="2"/>
      <c r="O51" s="32"/>
      <c r="P51" s="33"/>
      <c r="Q51" s="34"/>
      <c r="R51" s="11"/>
      <c r="S51" s="11"/>
      <c r="T51" s="11"/>
      <c r="U51" s="11"/>
      <c r="V51" s="11"/>
      <c r="W51" s="267">
        <f t="shared" si="4"/>
        <v>0</v>
      </c>
      <c r="X51" s="11"/>
      <c r="Y51" s="35"/>
      <c r="Z51" s="1"/>
      <c r="AA51" s="1"/>
    </row>
    <row r="52" spans="1:27" ht="12" customHeight="1" x14ac:dyDescent="0.2">
      <c r="A52" s="1"/>
      <c r="B52" s="30"/>
      <c r="C52" s="16"/>
      <c r="D52" s="17"/>
      <c r="E52" s="9"/>
      <c r="F52" s="9"/>
      <c r="G52" s="9"/>
      <c r="H52" s="9"/>
      <c r="I52" s="9"/>
      <c r="J52" s="109">
        <f t="shared" si="6"/>
        <v>0</v>
      </c>
      <c r="K52" s="279"/>
      <c r="L52" s="31"/>
      <c r="M52" s="1"/>
      <c r="N52" s="2"/>
      <c r="O52" s="36"/>
      <c r="P52" s="36"/>
      <c r="Q52" s="37"/>
      <c r="R52" s="298"/>
      <c r="S52" s="298"/>
      <c r="T52" s="298"/>
      <c r="U52" s="298"/>
      <c r="V52" s="298"/>
      <c r="W52" s="38"/>
      <c r="X52" s="38"/>
      <c r="Y52" s="39"/>
      <c r="Z52" s="1"/>
      <c r="AA52" s="1"/>
    </row>
    <row r="53" spans="1:27" ht="12" customHeight="1" x14ac:dyDescent="0.2">
      <c r="A53" s="1"/>
      <c r="B53" s="30"/>
      <c r="C53" s="16"/>
      <c r="D53" s="17"/>
      <c r="E53" s="9"/>
      <c r="F53" s="9"/>
      <c r="G53" s="9"/>
      <c r="H53" s="9"/>
      <c r="I53" s="9"/>
      <c r="J53" s="109">
        <f t="shared" si="6"/>
        <v>0</v>
      </c>
      <c r="K53" s="279"/>
      <c r="L53" s="31"/>
      <c r="M53" s="1"/>
      <c r="N53" s="2"/>
      <c r="O53" s="24"/>
      <c r="P53" s="24"/>
      <c r="Q53" s="18"/>
      <c r="R53" s="21"/>
      <c r="S53" s="21"/>
      <c r="T53" s="21"/>
      <c r="U53" s="21"/>
      <c r="V53" s="21"/>
      <c r="W53" s="19"/>
      <c r="X53" s="19"/>
      <c r="Y53" s="20"/>
      <c r="Z53" s="1"/>
      <c r="AA53" s="1"/>
    </row>
    <row r="54" spans="1:27" ht="12" customHeight="1" x14ac:dyDescent="0.2">
      <c r="A54" s="1"/>
      <c r="B54" s="30"/>
      <c r="C54" s="16"/>
      <c r="D54" s="17"/>
      <c r="E54" s="9"/>
      <c r="F54" s="9"/>
      <c r="G54" s="9"/>
      <c r="H54" s="9"/>
      <c r="I54" s="9"/>
      <c r="J54" s="109">
        <f t="shared" si="6"/>
        <v>0</v>
      </c>
      <c r="K54" s="279"/>
      <c r="L54" s="31"/>
      <c r="M54" s="1"/>
      <c r="N54" s="2"/>
      <c r="O54" s="24"/>
      <c r="P54" s="24"/>
      <c r="Q54" s="18"/>
      <c r="R54" s="21"/>
      <c r="S54" s="21"/>
      <c r="T54" s="21"/>
      <c r="U54" s="21"/>
      <c r="V54" s="21"/>
      <c r="W54" s="19"/>
      <c r="X54" s="19"/>
      <c r="Y54" s="20"/>
      <c r="Z54" s="1"/>
      <c r="AA54" s="1"/>
    </row>
    <row r="55" spans="1:27" ht="12" customHeight="1" x14ac:dyDescent="0.2">
      <c r="A55" s="1"/>
      <c r="B55" s="30"/>
      <c r="C55" s="16"/>
      <c r="D55" s="17"/>
      <c r="E55" s="9"/>
      <c r="F55" s="9"/>
      <c r="G55" s="9"/>
      <c r="H55" s="9"/>
      <c r="I55" s="9"/>
      <c r="J55" s="109">
        <f t="shared" si="6"/>
        <v>0</v>
      </c>
      <c r="K55" s="279"/>
      <c r="L55" s="31"/>
      <c r="M55" s="1"/>
      <c r="N55" s="2"/>
      <c r="O55" s="24"/>
      <c r="P55" s="24"/>
      <c r="Q55" s="18"/>
      <c r="R55" s="21"/>
      <c r="S55" s="21"/>
      <c r="T55" s="21"/>
      <c r="U55" s="21"/>
      <c r="V55" s="21"/>
      <c r="W55" s="19"/>
      <c r="X55" s="19"/>
      <c r="Y55" s="20"/>
      <c r="Z55" s="1"/>
      <c r="AA55" s="1"/>
    </row>
    <row r="56" spans="1:27" ht="12" customHeight="1" x14ac:dyDescent="0.2">
      <c r="A56" s="1"/>
      <c r="B56" s="30"/>
      <c r="C56" s="16"/>
      <c r="D56" s="17"/>
      <c r="E56" s="9"/>
      <c r="F56" s="9"/>
      <c r="G56" s="9"/>
      <c r="H56" s="9"/>
      <c r="I56" s="9"/>
      <c r="J56" s="109">
        <f t="shared" si="6"/>
        <v>0</v>
      </c>
      <c r="K56" s="279"/>
      <c r="L56" s="31"/>
      <c r="M56" s="1"/>
      <c r="N56" s="2"/>
      <c r="O56" s="24"/>
      <c r="P56" s="24"/>
      <c r="Q56" s="18"/>
      <c r="R56" s="21"/>
      <c r="S56" s="21"/>
      <c r="T56" s="21"/>
      <c r="U56" s="21"/>
      <c r="V56" s="21"/>
      <c r="W56" s="19"/>
      <c r="X56" s="19"/>
      <c r="Y56" s="20"/>
      <c r="Z56" s="1"/>
      <c r="AA56" s="1"/>
    </row>
    <row r="57" spans="1:27" ht="12" customHeight="1" x14ac:dyDescent="0.2">
      <c r="A57" s="1"/>
      <c r="B57" s="30"/>
      <c r="C57" s="16"/>
      <c r="D57" s="17"/>
      <c r="E57" s="9"/>
      <c r="F57" s="9"/>
      <c r="G57" s="9"/>
      <c r="H57" s="9"/>
      <c r="I57" s="9"/>
      <c r="J57" s="109">
        <f t="shared" si="6"/>
        <v>0</v>
      </c>
      <c r="K57" s="279"/>
      <c r="L57" s="31"/>
      <c r="M57" s="1"/>
      <c r="N57" s="2"/>
      <c r="O57" s="24"/>
      <c r="P57" s="24"/>
      <c r="Q57" s="18"/>
      <c r="R57" s="21"/>
      <c r="S57" s="21"/>
      <c r="T57" s="21"/>
      <c r="U57" s="21"/>
      <c r="V57" s="21"/>
      <c r="W57" s="19"/>
      <c r="X57" s="19"/>
      <c r="Y57" s="20"/>
      <c r="Z57" s="1"/>
      <c r="AA57" s="1"/>
    </row>
    <row r="58" spans="1:27" ht="12" customHeight="1" x14ac:dyDescent="0.2">
      <c r="A58" s="1"/>
      <c r="B58" s="30"/>
      <c r="C58" s="16"/>
      <c r="D58" s="17"/>
      <c r="E58" s="9"/>
      <c r="F58" s="9"/>
      <c r="G58" s="9"/>
      <c r="H58" s="9"/>
      <c r="I58" s="9"/>
      <c r="J58" s="109">
        <f t="shared" si="6"/>
        <v>0</v>
      </c>
      <c r="K58" s="279"/>
      <c r="L58" s="31"/>
      <c r="M58" s="1"/>
      <c r="N58" s="2"/>
      <c r="O58" s="24"/>
      <c r="P58" s="24"/>
      <c r="Q58" s="18"/>
      <c r="R58" s="21"/>
      <c r="S58" s="21"/>
      <c r="T58" s="21"/>
      <c r="U58" s="21"/>
      <c r="V58" s="21"/>
      <c r="W58" s="19"/>
      <c r="X58" s="19"/>
      <c r="Y58" s="20"/>
      <c r="Z58" s="1"/>
      <c r="AA58" s="1"/>
    </row>
    <row r="59" spans="1:27" ht="12" customHeight="1" x14ac:dyDescent="0.2">
      <c r="A59" s="1"/>
      <c r="B59" s="30"/>
      <c r="C59" s="16"/>
      <c r="D59" s="17"/>
      <c r="E59" s="9"/>
      <c r="F59" s="9"/>
      <c r="G59" s="9"/>
      <c r="H59" s="9"/>
      <c r="I59" s="9"/>
      <c r="J59" s="109">
        <f t="shared" si="6"/>
        <v>0</v>
      </c>
      <c r="K59" s="279"/>
      <c r="L59" s="31"/>
      <c r="M59" s="1"/>
      <c r="N59" s="2"/>
      <c r="O59" s="24"/>
      <c r="P59" s="24"/>
      <c r="Q59" s="18"/>
      <c r="R59" s="21"/>
      <c r="S59" s="21"/>
      <c r="T59" s="21"/>
      <c r="U59" s="21"/>
      <c r="V59" s="21"/>
      <c r="W59" s="19"/>
      <c r="X59" s="19"/>
      <c r="Y59" s="20"/>
      <c r="Z59" s="1"/>
      <c r="AA59" s="1"/>
    </row>
    <row r="60" spans="1:27" ht="12" customHeight="1" x14ac:dyDescent="0.2">
      <c r="A60" s="1"/>
      <c r="B60" s="30"/>
      <c r="C60" s="16"/>
      <c r="D60" s="17"/>
      <c r="E60" s="9"/>
      <c r="F60" s="9"/>
      <c r="G60" s="9"/>
      <c r="H60" s="9"/>
      <c r="I60" s="9"/>
      <c r="J60" s="109">
        <f t="shared" si="6"/>
        <v>0</v>
      </c>
      <c r="K60" s="279"/>
      <c r="L60" s="31"/>
      <c r="M60" s="1"/>
      <c r="N60" s="2"/>
      <c r="O60" s="24"/>
      <c r="P60" s="24"/>
      <c r="Q60" s="18"/>
      <c r="R60" s="21"/>
      <c r="S60" s="21"/>
      <c r="T60" s="21"/>
      <c r="U60" s="21"/>
      <c r="V60" s="21"/>
      <c r="W60" s="19"/>
      <c r="X60" s="19"/>
      <c r="Y60" s="20"/>
      <c r="Z60" s="1"/>
      <c r="AA60" s="1"/>
    </row>
    <row r="61" spans="1:27" ht="12" customHeight="1" x14ac:dyDescent="0.2">
      <c r="A61" s="1"/>
      <c r="B61" s="30"/>
      <c r="C61" s="16"/>
      <c r="D61" s="17"/>
      <c r="E61" s="9"/>
      <c r="F61" s="9"/>
      <c r="G61" s="9"/>
      <c r="H61" s="9"/>
      <c r="I61" s="9"/>
      <c r="J61" s="109">
        <f t="shared" si="6"/>
        <v>0</v>
      </c>
      <c r="K61" s="279"/>
      <c r="L61" s="31"/>
      <c r="M61" s="1"/>
      <c r="N61" s="2"/>
      <c r="O61" s="24"/>
      <c r="P61" s="24"/>
      <c r="Q61" s="18"/>
      <c r="R61" s="21"/>
      <c r="S61" s="21"/>
      <c r="T61" s="21"/>
      <c r="U61" s="21"/>
      <c r="V61" s="21"/>
      <c r="W61" s="19"/>
      <c r="X61" s="19"/>
      <c r="Y61" s="20"/>
      <c r="Z61" s="1"/>
      <c r="AA61" s="1"/>
    </row>
    <row r="62" spans="1:27" ht="12" customHeight="1" x14ac:dyDescent="0.2">
      <c r="A62" s="1"/>
      <c r="B62" s="30"/>
      <c r="C62" s="16"/>
      <c r="D62" s="17"/>
      <c r="E62" s="9"/>
      <c r="F62" s="9"/>
      <c r="G62" s="9"/>
      <c r="H62" s="9"/>
      <c r="I62" s="9"/>
      <c r="J62" s="109">
        <f t="shared" si="6"/>
        <v>0</v>
      </c>
      <c r="K62" s="279"/>
      <c r="L62" s="31"/>
      <c r="M62" s="1"/>
      <c r="N62" s="2"/>
      <c r="O62" s="24"/>
      <c r="P62" s="24"/>
      <c r="Q62" s="18"/>
      <c r="R62" s="21"/>
      <c r="S62" s="21"/>
      <c r="T62" s="21"/>
      <c r="U62" s="21"/>
      <c r="V62" s="21"/>
      <c r="W62" s="19"/>
      <c r="X62" s="19"/>
      <c r="Y62" s="20"/>
      <c r="Z62" s="1"/>
      <c r="AA62" s="1"/>
    </row>
    <row r="63" spans="1:27" ht="12" customHeight="1" x14ac:dyDescent="0.2">
      <c r="A63" s="1"/>
      <c r="B63" s="30"/>
      <c r="C63" s="16"/>
      <c r="D63" s="17"/>
      <c r="E63" s="9"/>
      <c r="F63" s="9"/>
      <c r="G63" s="9"/>
      <c r="H63" s="9"/>
      <c r="I63" s="9"/>
      <c r="J63" s="109">
        <f t="shared" si="6"/>
        <v>0</v>
      </c>
      <c r="K63" s="279"/>
      <c r="L63" s="31"/>
      <c r="M63" s="1"/>
      <c r="N63" s="2"/>
      <c r="O63" s="24"/>
      <c r="P63" s="24"/>
      <c r="Q63" s="18"/>
      <c r="R63" s="21"/>
      <c r="S63" s="21"/>
      <c r="T63" s="21"/>
      <c r="U63" s="21"/>
      <c r="V63" s="21"/>
      <c r="W63" s="19"/>
      <c r="X63" s="19"/>
      <c r="Y63" s="20"/>
      <c r="Z63" s="1"/>
      <c r="AA63" s="1"/>
    </row>
    <row r="64" spans="1:27" ht="12" customHeight="1" x14ac:dyDescent="0.2">
      <c r="A64" s="1"/>
      <c r="B64" s="30"/>
      <c r="C64" s="16"/>
      <c r="D64" s="17"/>
      <c r="E64" s="9"/>
      <c r="F64" s="9"/>
      <c r="G64" s="9"/>
      <c r="H64" s="9"/>
      <c r="I64" s="9"/>
      <c r="J64" s="109">
        <f t="shared" si="6"/>
        <v>0</v>
      </c>
      <c r="K64" s="279"/>
      <c r="L64" s="31"/>
      <c r="M64" s="1"/>
      <c r="N64" s="2"/>
      <c r="O64" s="24"/>
      <c r="P64" s="24"/>
      <c r="Q64" s="18"/>
      <c r="R64" s="21"/>
      <c r="S64" s="21"/>
      <c r="T64" s="21"/>
      <c r="U64" s="21"/>
      <c r="V64" s="21"/>
      <c r="W64" s="19"/>
      <c r="X64" s="19"/>
      <c r="Y64" s="20"/>
      <c r="Z64" s="1"/>
      <c r="AA64" s="1"/>
    </row>
    <row r="65" spans="1:27" ht="12" customHeight="1" x14ac:dyDescent="0.2">
      <c r="A65" s="1"/>
      <c r="B65" s="30"/>
      <c r="C65" s="16"/>
      <c r="D65" s="17"/>
      <c r="E65" s="9"/>
      <c r="F65" s="9"/>
      <c r="G65" s="9"/>
      <c r="H65" s="9"/>
      <c r="I65" s="9"/>
      <c r="J65" s="109">
        <f t="shared" si="6"/>
        <v>0</v>
      </c>
      <c r="K65" s="279"/>
      <c r="L65" s="31"/>
      <c r="M65" s="1"/>
      <c r="N65" s="2"/>
      <c r="O65" s="24"/>
      <c r="P65" s="24"/>
      <c r="Q65" s="18"/>
      <c r="R65" s="21"/>
      <c r="S65" s="21"/>
      <c r="T65" s="21"/>
      <c r="U65" s="21"/>
      <c r="V65" s="21"/>
      <c r="W65" s="19"/>
      <c r="X65" s="19"/>
      <c r="Y65" s="20"/>
      <c r="Z65" s="1"/>
      <c r="AA65" s="1"/>
    </row>
    <row r="66" spans="1:27" ht="12" customHeight="1" x14ac:dyDescent="0.2">
      <c r="A66" s="1"/>
      <c r="B66" s="30"/>
      <c r="C66" s="16"/>
      <c r="D66" s="17"/>
      <c r="E66" s="9"/>
      <c r="F66" s="9"/>
      <c r="G66" s="9"/>
      <c r="H66" s="9"/>
      <c r="I66" s="9"/>
      <c r="J66" s="109">
        <f t="shared" si="6"/>
        <v>0</v>
      </c>
      <c r="K66" s="279"/>
      <c r="L66" s="31"/>
      <c r="M66" s="1"/>
      <c r="N66" s="2"/>
      <c r="O66" s="24"/>
      <c r="P66" s="24"/>
      <c r="Q66" s="18"/>
      <c r="R66" s="21"/>
      <c r="S66" s="21"/>
      <c r="T66" s="21"/>
      <c r="U66" s="21"/>
      <c r="V66" s="21"/>
      <c r="W66" s="19"/>
      <c r="X66" s="19"/>
      <c r="Y66" s="20"/>
      <c r="Z66" s="1"/>
      <c r="AA66" s="1"/>
    </row>
    <row r="67" spans="1:27" ht="12" customHeight="1" x14ac:dyDescent="0.2">
      <c r="A67" s="1"/>
      <c r="B67" s="30"/>
      <c r="C67" s="16"/>
      <c r="D67" s="17"/>
      <c r="E67" s="9"/>
      <c r="F67" s="9"/>
      <c r="G67" s="9"/>
      <c r="H67" s="9"/>
      <c r="I67" s="9"/>
      <c r="J67" s="109">
        <f t="shared" si="6"/>
        <v>0</v>
      </c>
      <c r="K67" s="279"/>
      <c r="L67" s="31"/>
      <c r="M67" s="1"/>
      <c r="N67" s="2"/>
      <c r="O67" s="24"/>
      <c r="P67" s="24"/>
      <c r="Q67" s="18"/>
      <c r="R67" s="21"/>
      <c r="S67" s="21"/>
      <c r="T67" s="21"/>
      <c r="U67" s="21"/>
      <c r="V67" s="21"/>
      <c r="W67" s="19"/>
      <c r="X67" s="19"/>
      <c r="Y67" s="20"/>
      <c r="Z67" s="1"/>
      <c r="AA67" s="1"/>
    </row>
    <row r="68" spans="1:27" ht="12" customHeight="1" x14ac:dyDescent="0.2">
      <c r="A68" s="1"/>
      <c r="B68" s="30"/>
      <c r="C68" s="16"/>
      <c r="D68" s="17"/>
      <c r="E68" s="9"/>
      <c r="F68" s="9"/>
      <c r="G68" s="9"/>
      <c r="H68" s="9"/>
      <c r="I68" s="9"/>
      <c r="J68" s="109">
        <f t="shared" si="6"/>
        <v>0</v>
      </c>
      <c r="K68" s="279"/>
      <c r="L68" s="31"/>
      <c r="M68" s="1"/>
      <c r="N68" s="2"/>
      <c r="O68" s="24"/>
      <c r="P68" s="24"/>
      <c r="Q68" s="18"/>
      <c r="R68" s="21"/>
      <c r="S68" s="21"/>
      <c r="T68" s="21"/>
      <c r="U68" s="21"/>
      <c r="V68" s="21"/>
      <c r="W68" s="19"/>
      <c r="X68" s="19"/>
      <c r="Y68" s="20"/>
      <c r="Z68" s="1"/>
      <c r="AA68" s="1"/>
    </row>
    <row r="69" spans="1:27" ht="12" customHeight="1" x14ac:dyDescent="0.2">
      <c r="A69" s="1"/>
      <c r="B69" s="30"/>
      <c r="C69" s="16"/>
      <c r="D69" s="17"/>
      <c r="E69" s="9"/>
      <c r="F69" s="9"/>
      <c r="G69" s="9"/>
      <c r="H69" s="9"/>
      <c r="I69" s="9"/>
      <c r="J69" s="109">
        <f t="shared" si="6"/>
        <v>0</v>
      </c>
      <c r="K69" s="279"/>
      <c r="L69" s="31"/>
      <c r="M69" s="1"/>
      <c r="N69" s="2"/>
      <c r="O69" s="24"/>
      <c r="P69" s="24"/>
      <c r="Q69" s="18"/>
      <c r="R69" s="21"/>
      <c r="S69" s="21"/>
      <c r="T69" s="21"/>
      <c r="U69" s="21"/>
      <c r="V69" s="21"/>
      <c r="W69" s="19"/>
      <c r="X69" s="19"/>
      <c r="Y69" s="20"/>
      <c r="Z69" s="1"/>
      <c r="AA69" s="1"/>
    </row>
    <row r="70" spans="1:27" ht="12" customHeight="1" x14ac:dyDescent="0.2">
      <c r="A70" s="1"/>
      <c r="B70" s="30"/>
      <c r="C70" s="16"/>
      <c r="D70" s="17"/>
      <c r="E70" s="9"/>
      <c r="F70" s="9"/>
      <c r="G70" s="9"/>
      <c r="H70" s="9"/>
      <c r="I70" s="9"/>
      <c r="J70" s="109">
        <f t="shared" si="6"/>
        <v>0</v>
      </c>
      <c r="K70" s="279"/>
      <c r="L70" s="31"/>
      <c r="M70" s="1"/>
      <c r="N70" s="2"/>
      <c r="O70" s="24"/>
      <c r="P70" s="24"/>
      <c r="Q70" s="18"/>
      <c r="R70" s="21"/>
      <c r="S70" s="21"/>
      <c r="T70" s="21"/>
      <c r="U70" s="21"/>
      <c r="V70" s="21"/>
      <c r="W70" s="19"/>
      <c r="X70" s="19"/>
      <c r="Y70" s="20"/>
      <c r="Z70" s="1"/>
      <c r="AA70" s="1"/>
    </row>
    <row r="71" spans="1:27" ht="12" customHeight="1" x14ac:dyDescent="0.2">
      <c r="A71" s="1"/>
      <c r="B71" s="30"/>
      <c r="C71" s="16"/>
      <c r="D71" s="17"/>
      <c r="E71" s="9"/>
      <c r="F71" s="9"/>
      <c r="G71" s="9"/>
      <c r="H71" s="9"/>
      <c r="I71" s="9"/>
      <c r="J71" s="109">
        <f t="shared" si="6"/>
        <v>0</v>
      </c>
      <c r="K71" s="279"/>
      <c r="L71" s="31"/>
      <c r="M71" s="1"/>
      <c r="N71" s="2"/>
      <c r="O71" s="24"/>
      <c r="P71" s="24"/>
      <c r="Q71" s="18"/>
      <c r="R71" s="21"/>
      <c r="S71" s="21"/>
      <c r="T71" s="21"/>
      <c r="U71" s="21"/>
      <c r="V71" s="21"/>
      <c r="W71" s="19"/>
      <c r="X71" s="19"/>
      <c r="Y71" s="20"/>
      <c r="Z71" s="1"/>
      <c r="AA71" s="1"/>
    </row>
    <row r="72" spans="1:27" ht="12" customHeight="1" x14ac:dyDescent="0.2">
      <c r="A72" s="1"/>
      <c r="B72" s="30"/>
      <c r="C72" s="16"/>
      <c r="D72" s="17"/>
      <c r="E72" s="9"/>
      <c r="F72" s="9"/>
      <c r="G72" s="9"/>
      <c r="H72" s="9"/>
      <c r="I72" s="9"/>
      <c r="J72" s="109">
        <f t="shared" si="6"/>
        <v>0</v>
      </c>
      <c r="K72" s="279"/>
      <c r="L72" s="31"/>
      <c r="M72" s="1"/>
      <c r="N72" s="2"/>
      <c r="O72" s="24"/>
      <c r="P72" s="24"/>
      <c r="Q72" s="18"/>
      <c r="R72" s="21"/>
      <c r="S72" s="21"/>
      <c r="T72" s="21"/>
      <c r="U72" s="21"/>
      <c r="V72" s="21"/>
      <c r="W72" s="19"/>
      <c r="X72" s="19"/>
      <c r="Y72" s="20"/>
      <c r="Z72" s="1"/>
      <c r="AA72" s="1"/>
    </row>
    <row r="73" spans="1:27" ht="12" customHeight="1" x14ac:dyDescent="0.2">
      <c r="A73" s="1"/>
      <c r="B73" s="30"/>
      <c r="C73" s="16"/>
      <c r="D73" s="17"/>
      <c r="E73" s="9"/>
      <c r="F73" s="9"/>
      <c r="G73" s="9"/>
      <c r="H73" s="9"/>
      <c r="I73" s="9"/>
      <c r="J73" s="109">
        <f t="shared" si="6"/>
        <v>0</v>
      </c>
      <c r="K73" s="279"/>
      <c r="L73" s="31"/>
      <c r="M73" s="1"/>
      <c r="N73" s="2"/>
      <c r="O73" s="24"/>
      <c r="P73" s="24"/>
      <c r="Q73" s="18"/>
      <c r="R73" s="21"/>
      <c r="S73" s="21"/>
      <c r="T73" s="21"/>
      <c r="U73" s="21"/>
      <c r="V73" s="21"/>
      <c r="W73" s="19"/>
      <c r="X73" s="19"/>
      <c r="Y73" s="20"/>
      <c r="Z73" s="1"/>
      <c r="AA73" s="1"/>
    </row>
    <row r="74" spans="1:27" ht="12" customHeight="1" thickBot="1" x14ac:dyDescent="0.25">
      <c r="A74" s="1"/>
      <c r="B74" s="32"/>
      <c r="C74" s="33"/>
      <c r="D74" s="34"/>
      <c r="E74" s="11"/>
      <c r="F74" s="11"/>
      <c r="G74" s="11"/>
      <c r="H74" s="11"/>
      <c r="I74" s="11"/>
      <c r="J74" s="267">
        <f t="shared" si="6"/>
        <v>0</v>
      </c>
      <c r="K74" s="285"/>
      <c r="L74" s="35"/>
      <c r="M74" s="1"/>
      <c r="N74" s="2"/>
      <c r="O74" s="24"/>
      <c r="P74" s="24"/>
      <c r="Q74" s="18"/>
      <c r="R74" s="21"/>
      <c r="S74" s="21"/>
      <c r="T74" s="21"/>
      <c r="U74" s="21"/>
      <c r="V74" s="21"/>
      <c r="W74" s="19"/>
      <c r="X74" s="19"/>
      <c r="Y74" s="20"/>
      <c r="Z74" s="1"/>
      <c r="AA74" s="1"/>
    </row>
    <row r="75" spans="1:27" ht="12" customHeight="1" x14ac:dyDescent="0.2">
      <c r="A75" s="1"/>
      <c r="B75" s="24"/>
      <c r="C75" s="24"/>
      <c r="D75" s="280"/>
      <c r="E75" s="21"/>
      <c r="F75" s="21"/>
      <c r="G75" s="21"/>
      <c r="H75" s="21"/>
      <c r="I75" s="21"/>
      <c r="J75" s="21"/>
      <c r="K75" s="20"/>
      <c r="L75" s="20"/>
      <c r="M75" s="1"/>
      <c r="N75" s="2"/>
      <c r="O75" s="24"/>
      <c r="P75" s="24"/>
      <c r="Q75" s="18"/>
      <c r="R75" s="21"/>
      <c r="S75" s="21"/>
      <c r="T75" s="21"/>
      <c r="U75" s="21"/>
      <c r="V75" s="21"/>
      <c r="W75" s="19"/>
      <c r="X75" s="19"/>
      <c r="Y75" s="20"/>
      <c r="Z75" s="1"/>
      <c r="AA75" s="1"/>
    </row>
    <row r="76" spans="1:27" ht="12" customHeight="1" x14ac:dyDescent="0.2">
      <c r="A76" s="1"/>
      <c r="B76" s="24"/>
      <c r="C76" s="24"/>
      <c r="D76" s="280"/>
      <c r="E76" s="21"/>
      <c r="F76" s="21"/>
      <c r="G76" s="21"/>
      <c r="H76" s="21"/>
      <c r="I76" s="21"/>
      <c r="J76" s="21"/>
      <c r="K76" s="20"/>
      <c r="L76" s="20"/>
      <c r="M76" s="1"/>
      <c r="N76" s="2"/>
      <c r="O76" s="24"/>
      <c r="P76" s="24"/>
      <c r="Q76" s="18"/>
      <c r="R76" s="21"/>
      <c r="S76" s="21"/>
      <c r="T76" s="21"/>
      <c r="U76" s="21"/>
      <c r="V76" s="21"/>
      <c r="W76" s="19"/>
      <c r="X76" s="19"/>
      <c r="Y76" s="20"/>
      <c r="Z76" s="1"/>
      <c r="AA76" s="1"/>
    </row>
    <row r="77" spans="1:27" ht="12" customHeight="1" x14ac:dyDescent="0.2">
      <c r="A77" s="1"/>
      <c r="B77" s="24"/>
      <c r="C77" s="24"/>
      <c r="D77" s="280"/>
      <c r="E77" s="21"/>
      <c r="F77" s="21"/>
      <c r="G77" s="21"/>
      <c r="H77" s="21"/>
      <c r="I77" s="21"/>
      <c r="J77" s="21"/>
      <c r="K77" s="20"/>
      <c r="L77" s="20"/>
      <c r="M77" s="1"/>
      <c r="N77" s="2"/>
      <c r="O77" s="24"/>
      <c r="P77" s="24"/>
      <c r="Q77" s="18"/>
      <c r="R77" s="21"/>
      <c r="S77" s="21"/>
      <c r="T77" s="21"/>
      <c r="U77" s="21"/>
      <c r="V77" s="21"/>
      <c r="W77" s="19"/>
      <c r="X77" s="19"/>
      <c r="Y77" s="20"/>
      <c r="Z77" s="1"/>
      <c r="AA77" s="1"/>
    </row>
    <row r="78" spans="1:27" ht="12" customHeight="1" x14ac:dyDescent="0.2">
      <c r="A78" s="1"/>
      <c r="B78" s="24"/>
      <c r="C78" s="24"/>
      <c r="D78" s="280"/>
      <c r="E78" s="21"/>
      <c r="F78" s="21"/>
      <c r="G78" s="21"/>
      <c r="H78" s="21"/>
      <c r="I78" s="21"/>
      <c r="J78" s="21"/>
      <c r="K78" s="20"/>
      <c r="L78" s="20"/>
      <c r="M78" s="1"/>
      <c r="N78" s="2"/>
      <c r="O78" s="24"/>
      <c r="P78" s="24"/>
      <c r="Q78" s="18"/>
      <c r="R78" s="21"/>
      <c r="S78" s="21"/>
      <c r="T78" s="21"/>
      <c r="U78" s="21"/>
      <c r="V78" s="21"/>
      <c r="W78" s="19"/>
      <c r="X78" s="19"/>
      <c r="Y78" s="20"/>
      <c r="Z78" s="1"/>
      <c r="AA78" s="1"/>
    </row>
    <row r="79" spans="1:27" ht="12" customHeight="1" x14ac:dyDescent="0.2">
      <c r="A79" s="1"/>
      <c r="B79" s="24"/>
      <c r="C79" s="24"/>
      <c r="D79" s="280"/>
      <c r="E79" s="21"/>
      <c r="F79" s="21"/>
      <c r="G79" s="21"/>
      <c r="H79" s="21"/>
      <c r="I79" s="21"/>
      <c r="J79" s="21"/>
      <c r="K79" s="20"/>
      <c r="L79" s="20"/>
      <c r="M79" s="1"/>
      <c r="N79" s="2"/>
      <c r="O79" s="24"/>
      <c r="P79" s="24"/>
      <c r="Q79" s="18"/>
      <c r="R79" s="21"/>
      <c r="S79" s="21"/>
      <c r="T79" s="21"/>
      <c r="U79" s="21"/>
      <c r="V79" s="21"/>
      <c r="W79" s="19"/>
      <c r="X79" s="19"/>
      <c r="Y79" s="20"/>
      <c r="Z79" s="1"/>
      <c r="AA79" s="1"/>
    </row>
    <row r="80" spans="1:27" ht="12" customHeight="1" x14ac:dyDescent="0.2">
      <c r="A80" s="1"/>
      <c r="B80" s="24"/>
      <c r="C80" s="24"/>
      <c r="D80" s="280"/>
      <c r="E80" s="21"/>
      <c r="F80" s="21"/>
      <c r="G80" s="21"/>
      <c r="H80" s="21"/>
      <c r="I80" s="21"/>
      <c r="J80" s="21"/>
      <c r="K80" s="20"/>
      <c r="L80" s="20"/>
      <c r="M80" s="1"/>
      <c r="N80" s="2"/>
      <c r="O80" s="24"/>
      <c r="P80" s="24"/>
      <c r="Q80" s="18"/>
      <c r="R80" s="21"/>
      <c r="S80" s="21"/>
      <c r="T80" s="21"/>
      <c r="U80" s="21"/>
      <c r="V80" s="21"/>
      <c r="W80" s="19"/>
      <c r="X80" s="19"/>
      <c r="Y80" s="20"/>
      <c r="Z80" s="1"/>
      <c r="AA80" s="1"/>
    </row>
    <row r="81" spans="1:27" ht="12" customHeight="1" x14ac:dyDescent="0.2">
      <c r="A81" s="1"/>
      <c r="B81" s="24"/>
      <c r="C81" s="24"/>
      <c r="D81" s="280"/>
      <c r="E81" s="21"/>
      <c r="F81" s="21"/>
      <c r="G81" s="21"/>
      <c r="H81" s="21"/>
      <c r="I81" s="21"/>
      <c r="J81" s="21"/>
      <c r="K81" s="20"/>
      <c r="L81" s="20"/>
      <c r="M81" s="1"/>
      <c r="N81" s="2"/>
      <c r="O81" s="24"/>
      <c r="P81" s="24"/>
      <c r="Q81" s="18"/>
      <c r="R81" s="21"/>
      <c r="S81" s="21"/>
      <c r="T81" s="21"/>
      <c r="U81" s="21"/>
      <c r="V81" s="21"/>
      <c r="W81" s="19"/>
      <c r="X81" s="19"/>
      <c r="Y81" s="20"/>
      <c r="Z81" s="1"/>
      <c r="AA81" s="1"/>
    </row>
    <row r="82" spans="1:27" ht="12" customHeight="1" x14ac:dyDescent="0.2">
      <c r="A82" s="1"/>
      <c r="B82" s="24"/>
      <c r="C82" s="24"/>
      <c r="D82" s="280"/>
      <c r="E82" s="21"/>
      <c r="F82" s="21"/>
      <c r="G82" s="21"/>
      <c r="H82" s="21"/>
      <c r="I82" s="21"/>
      <c r="J82" s="21"/>
      <c r="K82" s="20"/>
      <c r="L82" s="20"/>
      <c r="M82" s="1"/>
      <c r="N82" s="2"/>
      <c r="O82" s="24"/>
      <c r="P82" s="24"/>
      <c r="Q82" s="18"/>
      <c r="R82" s="21"/>
      <c r="S82" s="21"/>
      <c r="T82" s="21"/>
      <c r="U82" s="21"/>
      <c r="V82" s="21"/>
      <c r="W82" s="19"/>
      <c r="X82" s="19"/>
      <c r="Y82" s="20"/>
      <c r="Z82" s="1"/>
      <c r="AA82" s="1"/>
    </row>
    <row r="83" spans="1:27" ht="12" customHeight="1" x14ac:dyDescent="0.2">
      <c r="A83" s="1"/>
      <c r="B83" s="24"/>
      <c r="C83" s="24"/>
      <c r="D83" s="280"/>
      <c r="E83" s="21"/>
      <c r="F83" s="21"/>
      <c r="G83" s="21"/>
      <c r="H83" s="21"/>
      <c r="I83" s="21"/>
      <c r="J83" s="21"/>
      <c r="K83" s="20"/>
      <c r="L83" s="20"/>
      <c r="M83" s="1"/>
      <c r="N83" s="2"/>
      <c r="O83" s="24"/>
      <c r="P83" s="24"/>
      <c r="Q83" s="18"/>
      <c r="R83" s="21"/>
      <c r="S83" s="21"/>
      <c r="T83" s="21"/>
      <c r="U83" s="21"/>
      <c r="V83" s="21"/>
      <c r="W83" s="19"/>
      <c r="X83" s="19"/>
      <c r="Y83" s="20"/>
      <c r="Z83" s="1"/>
      <c r="AA83" s="1"/>
    </row>
    <row r="84" spans="1:27" ht="12" customHeight="1" x14ac:dyDescent="0.2">
      <c r="A84" s="1"/>
      <c r="B84" s="24"/>
      <c r="C84" s="24"/>
      <c r="D84" s="280"/>
      <c r="E84" s="21"/>
      <c r="F84" s="21"/>
      <c r="G84" s="21"/>
      <c r="H84" s="21"/>
      <c r="I84" s="21"/>
      <c r="J84" s="21"/>
      <c r="K84" s="20"/>
      <c r="L84" s="20"/>
      <c r="M84" s="1"/>
      <c r="N84" s="2"/>
      <c r="O84" s="24"/>
      <c r="P84" s="24"/>
      <c r="Q84" s="18"/>
      <c r="R84" s="21"/>
      <c r="S84" s="21"/>
      <c r="T84" s="21"/>
      <c r="U84" s="21"/>
      <c r="V84" s="21"/>
      <c r="W84" s="19"/>
      <c r="X84" s="19"/>
      <c r="Y84" s="20"/>
      <c r="Z84" s="1"/>
      <c r="AA84" s="1"/>
    </row>
    <row r="85" spans="1:27" ht="12" customHeight="1" x14ac:dyDescent="0.2">
      <c r="A85" s="1"/>
      <c r="B85" s="24"/>
      <c r="C85" s="24"/>
      <c r="D85" s="280"/>
      <c r="E85" s="21"/>
      <c r="F85" s="21"/>
      <c r="G85" s="21"/>
      <c r="H85" s="21"/>
      <c r="I85" s="21"/>
      <c r="J85" s="21"/>
      <c r="K85" s="20"/>
      <c r="L85" s="20"/>
      <c r="M85" s="1"/>
      <c r="N85" s="2"/>
      <c r="O85" s="24"/>
      <c r="P85" s="24"/>
      <c r="Q85" s="18"/>
      <c r="R85" s="21"/>
      <c r="S85" s="21"/>
      <c r="T85" s="21"/>
      <c r="U85" s="21"/>
      <c r="V85" s="21"/>
      <c r="W85" s="19"/>
      <c r="X85" s="19"/>
      <c r="Y85" s="20"/>
      <c r="Z85" s="1"/>
      <c r="AA85" s="1"/>
    </row>
    <row r="86" spans="1:27" ht="12" customHeight="1" x14ac:dyDescent="0.2">
      <c r="A86" s="1"/>
      <c r="B86" s="24"/>
      <c r="C86" s="24" t="s">
        <v>0</v>
      </c>
      <c r="D86" s="280"/>
      <c r="E86" s="21"/>
      <c r="F86" s="21"/>
      <c r="G86" s="21"/>
      <c r="H86" s="21"/>
      <c r="I86" s="21"/>
      <c r="J86" s="21"/>
      <c r="K86" s="20"/>
      <c r="L86" s="20"/>
      <c r="M86" s="1"/>
      <c r="N86" s="2"/>
      <c r="O86" s="24"/>
      <c r="P86" s="24" t="s">
        <v>0</v>
      </c>
      <c r="Q86" s="18"/>
      <c r="R86" s="21"/>
      <c r="S86" s="21"/>
      <c r="T86" s="21"/>
      <c r="U86" s="21"/>
      <c r="V86" s="21"/>
      <c r="W86" s="19"/>
      <c r="X86" s="19"/>
      <c r="Y86" s="20"/>
      <c r="Z86" s="1"/>
      <c r="AA86" s="1"/>
    </row>
    <row r="87" spans="1:27" ht="12" customHeight="1" x14ac:dyDescent="0.2">
      <c r="A87" s="1"/>
      <c r="B87" s="24"/>
      <c r="C87" s="24"/>
      <c r="D87" s="13"/>
      <c r="E87" s="13"/>
      <c r="F87" s="13"/>
      <c r="G87" s="13"/>
      <c r="H87" s="13"/>
      <c r="I87" s="13"/>
      <c r="J87" s="21"/>
      <c r="K87" s="20"/>
      <c r="L87" s="20"/>
      <c r="M87" s="1"/>
      <c r="N87" s="1"/>
      <c r="O87" s="24"/>
      <c r="P87" s="24"/>
      <c r="Q87" s="15"/>
      <c r="R87" s="13"/>
      <c r="S87" s="13"/>
      <c r="T87" s="13"/>
      <c r="U87" s="13"/>
      <c r="V87" s="13"/>
      <c r="W87" s="19"/>
      <c r="X87" s="19"/>
      <c r="Y87" s="20"/>
      <c r="Z87" s="1"/>
      <c r="AA87" s="1"/>
    </row>
    <row r="88" spans="1:27" ht="12" customHeight="1" x14ac:dyDescent="0.2">
      <c r="A88" s="1"/>
      <c r="B88" s="24"/>
      <c r="C88" s="24"/>
      <c r="D88" s="13"/>
      <c r="E88" s="21"/>
      <c r="F88" s="21"/>
      <c r="G88" s="21"/>
      <c r="H88" s="13"/>
      <c r="I88" s="13"/>
      <c r="J88" s="21"/>
      <c r="K88" s="20"/>
      <c r="L88" s="20"/>
      <c r="M88" s="1"/>
      <c r="N88" s="1"/>
      <c r="O88" s="24"/>
      <c r="P88" s="24"/>
      <c r="Q88" s="13"/>
      <c r="R88" s="21"/>
      <c r="S88" s="21"/>
      <c r="T88" s="21"/>
      <c r="U88" s="13"/>
      <c r="V88" s="13"/>
      <c r="W88" s="21"/>
      <c r="X88" s="21"/>
      <c r="Y88" s="20"/>
      <c r="Z88" s="1"/>
      <c r="AA88" s="1"/>
    </row>
    <row r="89" spans="1:27" ht="12" customHeight="1" x14ac:dyDescent="0.2">
      <c r="A89" s="1"/>
      <c r="B89" s="24"/>
      <c r="C89" s="24"/>
      <c r="D89" s="13"/>
      <c r="E89" s="21"/>
      <c r="F89" s="13"/>
      <c r="G89" s="13"/>
      <c r="H89" s="13"/>
      <c r="I89" s="13"/>
      <c r="J89" s="21"/>
      <c r="K89" s="20"/>
      <c r="L89" s="20"/>
      <c r="M89" s="1"/>
      <c r="N89" s="1"/>
      <c r="O89" s="24"/>
      <c r="P89" s="24"/>
      <c r="Q89" s="13"/>
      <c r="R89" s="21"/>
      <c r="S89" s="13"/>
      <c r="T89" s="13"/>
      <c r="U89" s="13"/>
      <c r="V89" s="13"/>
      <c r="W89" s="21"/>
      <c r="X89" s="21"/>
      <c r="Y89" s="20"/>
      <c r="Z89" s="1"/>
      <c r="AA89" s="1"/>
    </row>
    <row r="90" spans="1:27" ht="12" customHeight="1" x14ac:dyDescent="0.2">
      <c r="A90" s="1"/>
      <c r="B90" s="24"/>
      <c r="C90" s="22"/>
      <c r="D90" s="13"/>
      <c r="E90" s="23"/>
      <c r="F90" s="13"/>
      <c r="G90" s="13"/>
      <c r="H90" s="13"/>
      <c r="I90" s="13"/>
      <c r="J90" s="21"/>
      <c r="K90" s="20"/>
      <c r="L90" s="20"/>
      <c r="M90" s="1"/>
      <c r="N90" s="1"/>
      <c r="O90" s="24"/>
      <c r="P90" s="22"/>
      <c r="Q90" s="13"/>
      <c r="R90" s="23"/>
      <c r="S90" s="13"/>
      <c r="T90" s="13"/>
      <c r="U90" s="13"/>
      <c r="V90" s="13"/>
      <c r="W90" s="21"/>
      <c r="X90" s="21"/>
      <c r="Y90" s="20"/>
      <c r="Z90" s="1"/>
      <c r="AA90" s="1"/>
    </row>
    <row r="91" spans="1:27" ht="12" customHeight="1" x14ac:dyDescent="0.2">
      <c r="A91" s="1"/>
      <c r="B91" s="24"/>
      <c r="C91" s="24"/>
      <c r="D91" s="13"/>
      <c r="E91" s="23"/>
      <c r="F91" s="13"/>
      <c r="G91" s="13"/>
      <c r="H91" s="13"/>
      <c r="I91" s="13"/>
      <c r="J91" s="21"/>
      <c r="K91" s="20"/>
      <c r="L91" s="20"/>
      <c r="M91" s="1"/>
      <c r="N91" s="1"/>
      <c r="O91" s="24"/>
      <c r="P91" s="24"/>
      <c r="Q91" s="13"/>
      <c r="R91" s="23"/>
      <c r="S91" s="13"/>
      <c r="T91" s="13"/>
      <c r="U91" s="13"/>
      <c r="V91" s="13"/>
      <c r="W91" s="21"/>
      <c r="X91" s="21"/>
      <c r="Y91" s="20"/>
      <c r="Z91" s="1"/>
      <c r="AA91" s="1"/>
    </row>
    <row r="92" spans="1:27" ht="12" customHeight="1" x14ac:dyDescent="0.2">
      <c r="A92" s="1"/>
      <c r="B92" s="24"/>
      <c r="C92" s="24"/>
      <c r="D92" s="13"/>
      <c r="E92" s="23"/>
      <c r="F92" s="13"/>
      <c r="G92" s="13"/>
      <c r="H92" s="13"/>
      <c r="I92" s="13"/>
      <c r="J92" s="21"/>
      <c r="K92" s="20"/>
      <c r="L92" s="20"/>
      <c r="M92" s="1"/>
      <c r="N92" s="1"/>
      <c r="O92" s="24"/>
      <c r="P92" s="24"/>
      <c r="Q92" s="13"/>
      <c r="R92" s="23"/>
      <c r="S92" s="13"/>
      <c r="T92" s="13"/>
      <c r="U92" s="13"/>
      <c r="V92" s="13"/>
      <c r="W92" s="21"/>
      <c r="X92" s="21"/>
      <c r="Y92" s="20"/>
      <c r="Z92" s="1"/>
      <c r="AA92" s="1"/>
    </row>
    <row r="93" spans="1:27" ht="12" customHeight="1" x14ac:dyDescent="0.2">
      <c r="A93" s="1"/>
      <c r="B93" s="24"/>
      <c r="C93" s="24"/>
      <c r="D93" s="13"/>
      <c r="E93" s="23"/>
      <c r="F93" s="13"/>
      <c r="G93" s="13"/>
      <c r="H93" s="13"/>
      <c r="I93" s="13"/>
      <c r="J93" s="21"/>
      <c r="K93" s="20"/>
      <c r="L93" s="20"/>
      <c r="M93" s="1"/>
      <c r="N93" s="1"/>
      <c r="O93" s="24"/>
      <c r="P93" s="24"/>
      <c r="Q93" s="13"/>
      <c r="R93" s="23"/>
      <c r="S93" s="13"/>
      <c r="T93" s="13"/>
      <c r="U93" s="13"/>
      <c r="V93" s="13"/>
      <c r="W93" s="21"/>
      <c r="X93" s="21"/>
      <c r="Y93" s="20"/>
      <c r="Z93" s="1"/>
      <c r="AA93" s="1"/>
    </row>
    <row r="94" spans="1:27" ht="12" customHeight="1" x14ac:dyDescent="0.2">
      <c r="A94" s="1"/>
      <c r="B94" s="24"/>
      <c r="C94" s="24"/>
      <c r="D94" s="13"/>
      <c r="E94" s="23"/>
      <c r="F94" s="13"/>
      <c r="G94" s="13"/>
      <c r="H94" s="13"/>
      <c r="I94" s="13"/>
      <c r="J94" s="21"/>
      <c r="K94" s="20"/>
      <c r="L94" s="20"/>
      <c r="M94" s="1"/>
      <c r="N94" s="1"/>
      <c r="O94" s="24"/>
      <c r="P94" s="24"/>
      <c r="Q94" s="13"/>
      <c r="R94" s="23"/>
      <c r="S94" s="13"/>
      <c r="T94" s="13"/>
      <c r="U94" s="13"/>
      <c r="V94" s="13"/>
      <c r="W94" s="21"/>
      <c r="X94" s="21"/>
      <c r="Y94" s="20"/>
      <c r="Z94" s="1"/>
      <c r="AA94" s="1"/>
    </row>
    <row r="95" spans="1:27" ht="12" customHeight="1" x14ac:dyDescent="0.2">
      <c r="A95" s="1"/>
      <c r="B95" s="24"/>
      <c r="C95" s="24"/>
      <c r="D95" s="13"/>
      <c r="E95" s="23"/>
      <c r="F95" s="13"/>
      <c r="G95" s="13"/>
      <c r="H95" s="13"/>
      <c r="I95" s="13"/>
      <c r="J95" s="21"/>
      <c r="K95" s="20"/>
      <c r="L95" s="20"/>
      <c r="M95" s="1"/>
      <c r="N95" s="1"/>
      <c r="O95" s="24"/>
      <c r="P95" s="24"/>
      <c r="Q95" s="13"/>
      <c r="R95" s="23"/>
      <c r="S95" s="13"/>
      <c r="T95" s="13"/>
      <c r="U95" s="13"/>
      <c r="V95" s="13"/>
      <c r="W95" s="21"/>
      <c r="X95" s="21"/>
      <c r="Y95" s="20"/>
      <c r="Z95" s="1"/>
      <c r="AA95" s="1"/>
    </row>
    <row r="96" spans="1:27" ht="12" customHeight="1" x14ac:dyDescent="0.2">
      <c r="A96" s="1"/>
      <c r="B96" s="24"/>
      <c r="C96" s="24"/>
      <c r="D96" s="13"/>
      <c r="E96" s="23"/>
      <c r="F96" s="13"/>
      <c r="G96" s="13"/>
      <c r="H96" s="13"/>
      <c r="I96" s="13"/>
      <c r="J96" s="21"/>
      <c r="K96" s="20"/>
      <c r="L96" s="20"/>
      <c r="M96" s="1"/>
      <c r="N96" s="1"/>
      <c r="O96" s="24"/>
      <c r="P96" s="24"/>
      <c r="Q96" s="13"/>
      <c r="R96" s="23"/>
      <c r="S96" s="13"/>
      <c r="T96" s="13"/>
      <c r="U96" s="13"/>
      <c r="V96" s="13"/>
      <c r="W96" s="21"/>
      <c r="X96" s="21"/>
      <c r="Y96" s="20"/>
      <c r="Z96" s="1"/>
      <c r="AA96" s="1"/>
    </row>
    <row r="97" spans="1:27" ht="12" customHeight="1" x14ac:dyDescent="0.2">
      <c r="A97" s="1"/>
      <c r="B97" s="24"/>
      <c r="C97" s="24"/>
      <c r="D97" s="13"/>
      <c r="E97" s="23"/>
      <c r="F97" s="13"/>
      <c r="G97" s="13"/>
      <c r="H97" s="13"/>
      <c r="I97" s="13"/>
      <c r="J97" s="21"/>
      <c r="K97" s="20"/>
      <c r="L97" s="20"/>
      <c r="M97" s="1"/>
      <c r="N97" s="1"/>
      <c r="O97" s="24"/>
      <c r="P97" s="24"/>
      <c r="Q97" s="13"/>
      <c r="R97" s="23"/>
      <c r="S97" s="13"/>
      <c r="T97" s="13"/>
      <c r="U97" s="13"/>
      <c r="V97" s="13"/>
      <c r="W97" s="21"/>
      <c r="X97" s="21"/>
      <c r="Y97" s="20"/>
      <c r="Z97" s="1"/>
      <c r="AA97" s="1"/>
    </row>
    <row r="98" spans="1:27" ht="12" customHeight="1" x14ac:dyDescent="0.2">
      <c r="A98" s="1"/>
      <c r="B98" s="24"/>
      <c r="C98" s="23"/>
      <c r="D98" s="13"/>
      <c r="E98" s="23"/>
      <c r="F98" s="13"/>
      <c r="G98" s="13"/>
      <c r="H98" s="13"/>
      <c r="I98" s="13"/>
      <c r="J98" s="21"/>
      <c r="K98" s="20"/>
      <c r="L98" s="20"/>
      <c r="M98" s="1"/>
      <c r="N98" s="1"/>
      <c r="O98" s="24"/>
      <c r="P98" s="23"/>
      <c r="Q98" s="13"/>
      <c r="R98" s="23"/>
      <c r="S98" s="13"/>
      <c r="T98" s="13"/>
      <c r="U98" s="13"/>
      <c r="V98" s="13"/>
      <c r="W98" s="21"/>
      <c r="X98" s="21"/>
      <c r="Y98" s="20"/>
      <c r="Z98" s="1"/>
      <c r="AA98" s="1"/>
    </row>
    <row r="99" spans="1:27" ht="12" customHeight="1" x14ac:dyDescent="0.2">
      <c r="A99" s="1"/>
      <c r="B99" s="24"/>
      <c r="C99" s="23"/>
      <c r="D99" s="13"/>
      <c r="E99" s="23"/>
      <c r="F99" s="13"/>
      <c r="G99" s="13"/>
      <c r="H99" s="13"/>
      <c r="I99" s="13"/>
      <c r="J99" s="21"/>
      <c r="K99" s="20"/>
      <c r="L99" s="20"/>
      <c r="M99" s="1"/>
      <c r="N99" s="1"/>
      <c r="O99" s="24"/>
      <c r="P99" s="23"/>
      <c r="Q99" s="13"/>
      <c r="R99" s="23"/>
      <c r="S99" s="13"/>
      <c r="T99" s="13"/>
      <c r="U99" s="13"/>
      <c r="V99" s="13"/>
      <c r="W99" s="21"/>
      <c r="X99" s="21"/>
      <c r="Y99" s="20"/>
      <c r="Z99" s="1"/>
      <c r="AA99" s="1"/>
    </row>
    <row r="100" spans="1:27" ht="12" customHeight="1" x14ac:dyDescent="0.2">
      <c r="A100" s="1"/>
      <c r="B100" s="24"/>
      <c r="C100" s="24"/>
      <c r="D100" s="13"/>
      <c r="E100" s="23"/>
      <c r="F100" s="13"/>
      <c r="G100" s="13"/>
      <c r="H100" s="13"/>
      <c r="I100" s="13"/>
      <c r="J100" s="21"/>
      <c r="K100" s="20"/>
      <c r="L100" s="20"/>
      <c r="M100" s="1"/>
      <c r="N100" s="1"/>
      <c r="O100" s="24"/>
      <c r="P100" s="24"/>
      <c r="Q100" s="13"/>
      <c r="R100" s="23"/>
      <c r="S100" s="13"/>
      <c r="T100" s="13"/>
      <c r="U100" s="13"/>
      <c r="V100" s="13"/>
      <c r="W100" s="21"/>
      <c r="X100" s="21"/>
      <c r="Y100" s="20"/>
      <c r="Z100" s="1"/>
      <c r="AA100" s="1"/>
    </row>
    <row r="101" spans="1:27" ht="12" customHeight="1" x14ac:dyDescent="0.2">
      <c r="A101" s="1"/>
      <c r="B101" s="24"/>
      <c r="C101" s="24"/>
      <c r="D101" s="13"/>
      <c r="E101" s="23"/>
      <c r="F101" s="13"/>
      <c r="G101" s="13"/>
      <c r="H101" s="13"/>
      <c r="I101" s="13"/>
      <c r="J101" s="21"/>
      <c r="K101" s="20"/>
      <c r="L101" s="20"/>
      <c r="M101" s="1"/>
      <c r="N101" s="1"/>
      <c r="O101" s="24"/>
      <c r="P101" s="24"/>
      <c r="Q101" s="13"/>
      <c r="R101" s="23"/>
      <c r="S101" s="13"/>
      <c r="T101" s="13"/>
      <c r="U101" s="13"/>
      <c r="V101" s="13"/>
      <c r="W101" s="21"/>
      <c r="X101" s="21"/>
      <c r="Y101" s="20"/>
      <c r="Z101" s="1"/>
      <c r="AA101" s="1"/>
    </row>
    <row r="102" spans="1:27" ht="12" customHeight="1" x14ac:dyDescent="0.2">
      <c r="A102" s="1"/>
      <c r="B102" s="24"/>
      <c r="C102" s="24"/>
      <c r="D102" s="13"/>
      <c r="E102" s="23"/>
      <c r="F102" s="13"/>
      <c r="G102" s="13"/>
      <c r="H102" s="13"/>
      <c r="I102" s="13"/>
      <c r="J102" s="21"/>
      <c r="K102" s="20"/>
      <c r="L102" s="20"/>
      <c r="M102" s="1"/>
      <c r="N102" s="1"/>
      <c r="O102" s="24"/>
      <c r="P102" s="24"/>
      <c r="Q102" s="13"/>
      <c r="R102" s="23"/>
      <c r="S102" s="13"/>
      <c r="T102" s="13"/>
      <c r="U102" s="13"/>
      <c r="V102" s="13"/>
      <c r="W102" s="21"/>
      <c r="X102" s="21"/>
      <c r="Y102" s="20"/>
      <c r="Z102" s="1"/>
      <c r="AA102" s="1"/>
    </row>
    <row r="103" spans="1:27" ht="12" customHeight="1" x14ac:dyDescent="0.2">
      <c r="A103" s="1"/>
      <c r="B103" s="24"/>
      <c r="C103" s="24"/>
      <c r="D103" s="13"/>
      <c r="E103" s="23"/>
      <c r="F103" s="13"/>
      <c r="G103" s="13"/>
      <c r="H103" s="13"/>
      <c r="I103" s="13"/>
      <c r="J103" s="21"/>
      <c r="K103" s="20"/>
      <c r="L103" s="20"/>
      <c r="M103" s="1"/>
      <c r="N103" s="1"/>
      <c r="O103" s="24"/>
      <c r="P103" s="24"/>
      <c r="Q103" s="13"/>
      <c r="R103" s="23"/>
      <c r="S103" s="13"/>
      <c r="T103" s="13"/>
      <c r="U103" s="13"/>
      <c r="V103" s="13"/>
      <c r="W103" s="21"/>
      <c r="X103" s="21"/>
      <c r="Y103" s="20"/>
      <c r="Z103" s="1"/>
      <c r="AA103" s="1"/>
    </row>
    <row r="104" spans="1:27" ht="12" customHeight="1" x14ac:dyDescent="0.2">
      <c r="A104" s="1"/>
      <c r="B104" s="24"/>
      <c r="C104" s="24"/>
      <c r="D104" s="13"/>
      <c r="E104" s="23"/>
      <c r="F104" s="13"/>
      <c r="G104" s="13"/>
      <c r="H104" s="13"/>
      <c r="I104" s="13"/>
      <c r="J104" s="21"/>
      <c r="K104" s="20"/>
      <c r="L104" s="20"/>
      <c r="M104" s="1"/>
      <c r="N104" s="1"/>
      <c r="O104" s="24"/>
      <c r="P104" s="24"/>
      <c r="Q104" s="13"/>
      <c r="R104" s="23"/>
      <c r="S104" s="13"/>
      <c r="T104" s="13"/>
      <c r="U104" s="13"/>
      <c r="V104" s="13"/>
      <c r="W104" s="21"/>
      <c r="X104" s="21"/>
      <c r="Y104" s="20"/>
      <c r="Z104" s="1"/>
      <c r="AA104" s="1"/>
    </row>
    <row r="105" spans="1:27" ht="12" customHeight="1" x14ac:dyDescent="0.2">
      <c r="A105" s="1"/>
      <c r="B105" s="24"/>
      <c r="C105" s="24"/>
      <c r="D105" s="13"/>
      <c r="E105" s="23"/>
      <c r="F105" s="13"/>
      <c r="G105" s="13"/>
      <c r="H105" s="13"/>
      <c r="I105" s="13"/>
      <c r="J105" s="21"/>
      <c r="K105" s="20"/>
      <c r="L105" s="20"/>
      <c r="M105" s="1"/>
      <c r="N105" s="1"/>
      <c r="O105" s="24"/>
      <c r="P105" s="24"/>
      <c r="Q105" s="13"/>
      <c r="R105" s="23"/>
      <c r="S105" s="13"/>
      <c r="T105" s="13"/>
      <c r="U105" s="13"/>
      <c r="V105" s="13"/>
      <c r="W105" s="21"/>
      <c r="X105" s="21"/>
      <c r="Y105" s="20"/>
      <c r="Z105" s="1"/>
      <c r="AA105" s="1"/>
    </row>
    <row r="106" spans="1:27" ht="12" customHeight="1" x14ac:dyDescent="0.2">
      <c r="A106" s="1"/>
      <c r="B106" s="24"/>
      <c r="C106" s="24"/>
      <c r="D106" s="13"/>
      <c r="E106" s="23"/>
      <c r="F106" s="13"/>
      <c r="G106" s="13"/>
      <c r="H106" s="13"/>
      <c r="I106" s="13"/>
      <c r="J106" s="21"/>
      <c r="K106" s="20"/>
      <c r="L106" s="20"/>
      <c r="M106" s="1"/>
      <c r="N106" s="1"/>
      <c r="O106" s="24"/>
      <c r="P106" s="24"/>
      <c r="Q106" s="13"/>
      <c r="R106" s="23"/>
      <c r="S106" s="13"/>
      <c r="T106" s="13"/>
      <c r="U106" s="13"/>
      <c r="V106" s="13"/>
      <c r="W106" s="21"/>
      <c r="X106" s="21"/>
      <c r="Y106" s="20"/>
      <c r="Z106" s="1"/>
      <c r="AA106" s="1"/>
    </row>
    <row r="107" spans="1:27" ht="12" customHeight="1" x14ac:dyDescent="0.2">
      <c r="A107" s="1"/>
      <c r="B107" s="24"/>
      <c r="C107" s="24"/>
      <c r="D107" s="13"/>
      <c r="E107" s="23"/>
      <c r="F107" s="13"/>
      <c r="G107" s="13"/>
      <c r="H107" s="13"/>
      <c r="I107" s="13"/>
      <c r="J107" s="21"/>
      <c r="K107" s="20"/>
      <c r="L107" s="20"/>
      <c r="M107" s="1"/>
      <c r="N107" s="1"/>
      <c r="O107" s="24"/>
      <c r="P107" s="24"/>
      <c r="Q107" s="13"/>
      <c r="R107" s="23"/>
      <c r="S107" s="13"/>
      <c r="T107" s="13"/>
      <c r="U107" s="13"/>
      <c r="V107" s="13"/>
      <c r="W107" s="21"/>
      <c r="X107" s="21"/>
      <c r="Y107" s="20"/>
      <c r="Z107" s="1"/>
      <c r="AA107" s="1"/>
    </row>
    <row r="108" spans="1:27" ht="12" customHeight="1" x14ac:dyDescent="0.2">
      <c r="A108" s="1"/>
      <c r="B108" s="24"/>
      <c r="C108" s="24"/>
      <c r="D108" s="13"/>
      <c r="E108" s="13"/>
      <c r="F108" s="13"/>
      <c r="G108" s="13"/>
      <c r="H108" s="23"/>
      <c r="I108" s="13"/>
      <c r="J108" s="21"/>
      <c r="K108" s="20"/>
      <c r="L108" s="20"/>
      <c r="M108" s="1"/>
      <c r="N108" s="1"/>
      <c r="O108" s="24"/>
      <c r="P108" s="24"/>
      <c r="Q108" s="13"/>
      <c r="R108" s="13"/>
      <c r="S108" s="13"/>
      <c r="T108" s="13"/>
      <c r="U108" s="23"/>
      <c r="V108" s="13"/>
      <c r="W108" s="21"/>
      <c r="X108" s="21"/>
      <c r="Y108" s="20"/>
      <c r="Z108" s="1"/>
      <c r="AA108" s="1"/>
    </row>
    <row r="109" spans="1:27" ht="12" customHeight="1" x14ac:dyDescent="0.2">
      <c r="A109" s="1"/>
      <c r="B109" s="24"/>
      <c r="C109" s="24"/>
      <c r="D109" s="13"/>
      <c r="E109" s="23"/>
      <c r="F109" s="13"/>
      <c r="G109" s="13"/>
      <c r="H109" s="13"/>
      <c r="I109" s="13"/>
      <c r="J109" s="21"/>
      <c r="K109" s="20"/>
      <c r="L109" s="20"/>
      <c r="M109" s="1"/>
      <c r="N109" s="1"/>
      <c r="O109" s="24"/>
      <c r="P109" s="24"/>
      <c r="Q109" s="13"/>
      <c r="R109" s="23"/>
      <c r="S109" s="13"/>
      <c r="T109" s="13"/>
      <c r="U109" s="13"/>
      <c r="V109" s="13"/>
      <c r="W109" s="21"/>
      <c r="X109" s="21"/>
      <c r="Y109" s="20"/>
      <c r="Z109" s="1"/>
      <c r="AA109" s="1"/>
    </row>
    <row r="110" spans="1:27" ht="12" customHeight="1" x14ac:dyDescent="0.2">
      <c r="A110" s="1"/>
      <c r="B110" s="24"/>
      <c r="C110" s="24"/>
      <c r="D110" s="13"/>
      <c r="E110" s="23"/>
      <c r="F110" s="13"/>
      <c r="G110" s="13"/>
      <c r="H110" s="13"/>
      <c r="I110" s="13"/>
      <c r="J110" s="21"/>
      <c r="K110" s="20"/>
      <c r="L110" s="20"/>
      <c r="M110" s="1"/>
      <c r="N110" s="1"/>
      <c r="O110" s="24"/>
      <c r="P110" s="24"/>
      <c r="Q110" s="13"/>
      <c r="R110" s="23"/>
      <c r="S110" s="13"/>
      <c r="T110" s="13"/>
      <c r="U110" s="13"/>
      <c r="V110" s="13"/>
      <c r="W110" s="21"/>
      <c r="X110" s="21"/>
      <c r="Y110" s="20"/>
      <c r="Z110" s="1"/>
      <c r="AA110" s="1"/>
    </row>
    <row r="111" spans="1:27" ht="12" customHeight="1" x14ac:dyDescent="0.2">
      <c r="A111" s="1"/>
      <c r="B111" s="24"/>
      <c r="C111" s="24"/>
      <c r="D111" s="13"/>
      <c r="E111" s="13"/>
      <c r="F111" s="13"/>
      <c r="G111" s="13"/>
      <c r="H111" s="13"/>
      <c r="I111" s="13"/>
      <c r="J111" s="21"/>
      <c r="K111" s="20"/>
      <c r="L111" s="20"/>
      <c r="M111" s="1"/>
      <c r="N111" s="1"/>
      <c r="O111" s="24"/>
      <c r="P111" s="24"/>
      <c r="Q111" s="13"/>
      <c r="R111" s="13"/>
      <c r="S111" s="13"/>
      <c r="T111" s="13"/>
      <c r="U111" s="13"/>
      <c r="V111" s="13"/>
      <c r="W111" s="21"/>
      <c r="X111" s="21"/>
      <c r="Y111" s="20"/>
      <c r="Z111" s="1"/>
      <c r="AA111" s="1"/>
    </row>
    <row r="112" spans="1:27" ht="12" customHeight="1" x14ac:dyDescent="0.2">
      <c r="A112" s="1"/>
      <c r="B112" s="24"/>
      <c r="C112" s="24"/>
      <c r="D112" s="13"/>
      <c r="E112" s="13"/>
      <c r="F112" s="13"/>
      <c r="G112" s="13"/>
      <c r="H112" s="13"/>
      <c r="I112" s="13"/>
      <c r="J112" s="21"/>
      <c r="K112" s="20"/>
      <c r="L112" s="20"/>
      <c r="M112" s="1"/>
      <c r="N112" s="1"/>
      <c r="O112" s="24"/>
      <c r="P112" s="24"/>
      <c r="Q112" s="13"/>
      <c r="R112" s="13"/>
      <c r="S112" s="13"/>
      <c r="T112" s="13"/>
      <c r="U112" s="13"/>
      <c r="V112" s="13"/>
      <c r="W112" s="21"/>
      <c r="X112" s="21"/>
      <c r="Y112" s="20"/>
      <c r="Z112" s="1"/>
      <c r="AA112" s="1"/>
    </row>
    <row r="113" spans="1:27" ht="12" customHeight="1" x14ac:dyDescent="0.2">
      <c r="A113" s="1"/>
      <c r="B113" s="24"/>
      <c r="C113" s="24"/>
      <c r="D113" s="13"/>
      <c r="E113" s="13"/>
      <c r="F113" s="13"/>
      <c r="G113" s="13"/>
      <c r="H113" s="13"/>
      <c r="I113" s="13"/>
      <c r="J113" s="21"/>
      <c r="K113" s="20"/>
      <c r="L113" s="20"/>
      <c r="M113" s="1"/>
      <c r="N113" s="1"/>
      <c r="O113" s="24"/>
      <c r="P113" s="24"/>
      <c r="Q113" s="13"/>
      <c r="R113" s="13"/>
      <c r="S113" s="13"/>
      <c r="T113" s="13"/>
      <c r="U113" s="13"/>
      <c r="V113" s="13"/>
      <c r="W113" s="21"/>
      <c r="X113" s="21"/>
      <c r="Y113" s="20"/>
      <c r="Z113" s="1"/>
      <c r="AA113" s="1"/>
    </row>
    <row r="114" spans="1:27" ht="12" customHeight="1" x14ac:dyDescent="0.2">
      <c r="A114" s="1"/>
      <c r="B114" s="24"/>
      <c r="C114" s="24"/>
      <c r="D114" s="13"/>
      <c r="E114" s="13"/>
      <c r="F114" s="13"/>
      <c r="G114" s="13"/>
      <c r="H114" s="13"/>
      <c r="I114" s="13"/>
      <c r="J114" s="13"/>
      <c r="K114" s="20"/>
      <c r="L114" s="20"/>
      <c r="M114" s="1"/>
      <c r="N114" s="1"/>
      <c r="O114" s="24"/>
      <c r="P114" s="24"/>
      <c r="Q114" s="13"/>
      <c r="R114" s="13"/>
      <c r="S114" s="13"/>
      <c r="T114" s="13"/>
      <c r="U114" s="13"/>
      <c r="V114" s="13"/>
      <c r="W114" s="13"/>
      <c r="X114" s="13"/>
      <c r="Y114" s="20"/>
      <c r="Z114" s="1"/>
      <c r="AA114" s="1"/>
    </row>
    <row r="115" spans="1:27" ht="12" customHeight="1" x14ac:dyDescent="0.2">
      <c r="A115" s="1"/>
      <c r="B115" s="24"/>
      <c r="C115" s="24"/>
      <c r="D115" s="13"/>
      <c r="E115" s="13"/>
      <c r="F115" s="13"/>
      <c r="G115" s="13"/>
      <c r="H115" s="13"/>
      <c r="I115" s="13"/>
      <c r="J115" s="13"/>
      <c r="K115" s="20"/>
      <c r="L115" s="20"/>
      <c r="M115" s="1"/>
      <c r="N115" s="1"/>
      <c r="O115" s="24"/>
      <c r="P115" s="24"/>
      <c r="Q115" s="13"/>
      <c r="R115" s="13"/>
      <c r="S115" s="13"/>
      <c r="T115" s="13"/>
      <c r="U115" s="13"/>
      <c r="V115" s="13"/>
      <c r="W115" s="13"/>
      <c r="X115" s="13"/>
      <c r="Y115" s="20"/>
      <c r="Z115" s="1"/>
      <c r="AA115" s="1"/>
    </row>
    <row r="116" spans="1:27" ht="12" customHeight="1" x14ac:dyDescent="0.2">
      <c r="A116" s="1"/>
      <c r="B116" s="24"/>
      <c r="C116" s="24"/>
      <c r="D116" s="13"/>
      <c r="E116" s="13"/>
      <c r="F116" s="13"/>
      <c r="G116" s="13"/>
      <c r="H116" s="13"/>
      <c r="I116" s="13"/>
      <c r="J116" s="13"/>
      <c r="K116" s="20"/>
      <c r="L116" s="20"/>
      <c r="M116" s="1"/>
      <c r="N116" s="1"/>
      <c r="O116" s="24"/>
      <c r="P116" s="24"/>
      <c r="Q116" s="13"/>
      <c r="R116" s="13"/>
      <c r="S116" s="13"/>
      <c r="T116" s="13"/>
      <c r="U116" s="13"/>
      <c r="V116" s="13"/>
      <c r="W116" s="13"/>
      <c r="X116" s="13"/>
      <c r="Y116" s="20"/>
      <c r="Z116" s="1"/>
      <c r="AA116" s="1"/>
    </row>
    <row r="117" spans="1:27" ht="12" customHeight="1" x14ac:dyDescent="0.2">
      <c r="A117" s="1"/>
      <c r="B117" s="24"/>
      <c r="C117" s="24"/>
      <c r="D117" s="13"/>
      <c r="E117" s="13"/>
      <c r="F117" s="13"/>
      <c r="G117" s="13"/>
      <c r="H117" s="13"/>
      <c r="I117" s="13"/>
      <c r="J117" s="13"/>
      <c r="K117" s="20"/>
      <c r="L117" s="20"/>
      <c r="M117" s="1"/>
      <c r="N117" s="1"/>
      <c r="O117" s="24"/>
      <c r="P117" s="24"/>
      <c r="Q117" s="13"/>
      <c r="R117" s="13"/>
      <c r="S117" s="13"/>
      <c r="T117" s="13"/>
      <c r="U117" s="13"/>
      <c r="V117" s="13"/>
      <c r="W117" s="13"/>
      <c r="X117" s="13"/>
      <c r="Y117" s="20"/>
      <c r="Z117" s="1"/>
      <c r="AA117" s="1"/>
    </row>
    <row r="118" spans="1:27" ht="12" customHeight="1" x14ac:dyDescent="0.2">
      <c r="A118" s="1"/>
      <c r="B118" s="24"/>
      <c r="C118" s="24"/>
      <c r="D118" s="13"/>
      <c r="E118" s="13"/>
      <c r="F118" s="13"/>
      <c r="G118" s="13"/>
      <c r="H118" s="13"/>
      <c r="I118" s="13"/>
      <c r="J118" s="13"/>
      <c r="K118" s="20"/>
      <c r="L118" s="20"/>
      <c r="M118" s="1"/>
      <c r="N118" s="1"/>
      <c r="O118" s="24"/>
      <c r="P118" s="24"/>
      <c r="Q118" s="13"/>
      <c r="R118" s="13"/>
      <c r="S118" s="13"/>
      <c r="T118" s="13"/>
      <c r="U118" s="13"/>
      <c r="V118" s="13"/>
      <c r="W118" s="13"/>
      <c r="X118" s="13"/>
      <c r="Y118" s="20"/>
      <c r="Z118" s="1"/>
      <c r="AA118" s="1"/>
    </row>
    <row r="119" spans="1:27" ht="12" customHeight="1" x14ac:dyDescent="0.2">
      <c r="A119" s="1"/>
      <c r="B119" s="24"/>
      <c r="C119" s="24"/>
      <c r="D119" s="13"/>
      <c r="E119" s="13"/>
      <c r="F119" s="13"/>
      <c r="G119" s="13"/>
      <c r="H119" s="13"/>
      <c r="I119" s="13"/>
      <c r="J119" s="13"/>
      <c r="K119" s="20"/>
      <c r="L119" s="20"/>
      <c r="M119" s="1"/>
      <c r="N119" s="1"/>
      <c r="O119" s="24"/>
      <c r="P119" s="24"/>
      <c r="Q119" s="13"/>
      <c r="R119" s="13"/>
      <c r="S119" s="13"/>
      <c r="T119" s="13"/>
      <c r="U119" s="13"/>
      <c r="V119" s="13"/>
      <c r="W119" s="13"/>
      <c r="X119" s="13"/>
      <c r="Y119" s="20"/>
      <c r="Z119" s="1"/>
      <c r="AA119" s="1"/>
    </row>
    <row r="120" spans="1:27" ht="12" customHeight="1" x14ac:dyDescent="0.2">
      <c r="A120" s="1"/>
      <c r="B120" s="24"/>
      <c r="C120" s="24"/>
      <c r="D120" s="13"/>
      <c r="E120" s="13"/>
      <c r="F120" s="13"/>
      <c r="G120" s="13"/>
      <c r="H120" s="13"/>
      <c r="I120" s="13"/>
      <c r="J120" s="13"/>
      <c r="K120" s="20"/>
      <c r="L120" s="20"/>
      <c r="M120" s="1"/>
      <c r="N120" s="1"/>
      <c r="O120" s="24"/>
      <c r="P120" s="24"/>
      <c r="Q120" s="13"/>
      <c r="R120" s="13"/>
      <c r="S120" s="13"/>
      <c r="T120" s="13"/>
      <c r="U120" s="13"/>
      <c r="V120" s="13"/>
      <c r="W120" s="13"/>
      <c r="X120" s="13"/>
      <c r="Y120" s="20"/>
      <c r="Z120" s="1"/>
      <c r="AA120" s="1"/>
    </row>
    <row r="121" spans="1:27" ht="12" customHeight="1" x14ac:dyDescent="0.2">
      <c r="A121" s="1"/>
      <c r="B121" s="24"/>
      <c r="C121" s="24"/>
      <c r="D121" s="13"/>
      <c r="E121" s="13"/>
      <c r="F121" s="13"/>
      <c r="G121" s="13"/>
      <c r="H121" s="13"/>
      <c r="I121" s="13"/>
      <c r="J121" s="13"/>
      <c r="K121" s="20"/>
      <c r="L121" s="20"/>
      <c r="M121" s="1"/>
      <c r="N121" s="1"/>
      <c r="O121" s="24"/>
      <c r="P121" s="24"/>
      <c r="Q121" s="13"/>
      <c r="R121" s="13"/>
      <c r="S121" s="13"/>
      <c r="T121" s="13"/>
      <c r="U121" s="13"/>
      <c r="V121" s="13"/>
      <c r="W121" s="13"/>
      <c r="X121" s="13"/>
      <c r="Y121" s="20"/>
      <c r="Z121" s="1"/>
      <c r="AA121" s="1"/>
    </row>
    <row r="122" spans="1:27" ht="12" customHeight="1" x14ac:dyDescent="0.2">
      <c r="A122" s="1"/>
      <c r="B122" s="24"/>
      <c r="C122" s="24"/>
      <c r="D122" s="13"/>
      <c r="E122" s="13"/>
      <c r="F122" s="13"/>
      <c r="G122" s="13"/>
      <c r="H122" s="13"/>
      <c r="I122" s="13"/>
      <c r="J122" s="13"/>
      <c r="K122" s="20"/>
      <c r="L122" s="20"/>
      <c r="M122" s="1"/>
      <c r="N122" s="1"/>
      <c r="O122" s="24"/>
      <c r="P122" s="24"/>
      <c r="Q122" s="13"/>
      <c r="R122" s="13"/>
      <c r="S122" s="13"/>
      <c r="T122" s="13"/>
      <c r="U122" s="13"/>
      <c r="V122" s="13"/>
      <c r="W122" s="13"/>
      <c r="X122" s="13"/>
      <c r="Y122" s="20"/>
      <c r="Z122" s="1"/>
      <c r="AA122" s="1"/>
    </row>
    <row r="123" spans="1:27" ht="12" customHeight="1" x14ac:dyDescent="0.2">
      <c r="A123" s="1"/>
      <c r="B123" s="24"/>
      <c r="C123" s="24"/>
      <c r="D123" s="13"/>
      <c r="E123" s="13"/>
      <c r="F123" s="13"/>
      <c r="G123" s="13"/>
      <c r="H123" s="13"/>
      <c r="I123" s="13"/>
      <c r="J123" s="13"/>
      <c r="K123" s="20"/>
      <c r="L123" s="20"/>
      <c r="M123" s="1"/>
      <c r="N123" s="1"/>
      <c r="O123" s="24"/>
      <c r="P123" s="24"/>
      <c r="Q123" s="13"/>
      <c r="R123" s="13"/>
      <c r="S123" s="13"/>
      <c r="T123" s="13"/>
      <c r="U123" s="13"/>
      <c r="V123" s="13"/>
      <c r="W123" s="13"/>
      <c r="X123" s="13"/>
      <c r="Y123" s="20"/>
      <c r="Z123" s="1"/>
      <c r="AA123" s="1"/>
    </row>
    <row r="124" spans="1:27" ht="12" customHeight="1" x14ac:dyDescent="0.2">
      <c r="A124" s="1"/>
      <c r="B124" s="24"/>
      <c r="C124" s="24"/>
      <c r="D124" s="13"/>
      <c r="E124" s="13"/>
      <c r="F124" s="13"/>
      <c r="G124" s="13"/>
      <c r="H124" s="13"/>
      <c r="I124" s="13"/>
      <c r="J124" s="13"/>
      <c r="K124" s="20"/>
      <c r="L124" s="20"/>
      <c r="M124" s="1"/>
      <c r="N124" s="1"/>
      <c r="O124" s="24"/>
      <c r="P124" s="24"/>
      <c r="Q124" s="13"/>
      <c r="R124" s="13"/>
      <c r="S124" s="13"/>
      <c r="T124" s="13"/>
      <c r="U124" s="13"/>
      <c r="V124" s="13"/>
      <c r="W124" s="13"/>
      <c r="X124" s="13"/>
      <c r="Y124" s="20"/>
      <c r="Z124" s="1"/>
      <c r="AA124" s="1"/>
    </row>
    <row r="125" spans="1:27" ht="12" customHeight="1" x14ac:dyDescent="0.2">
      <c r="A125" s="1"/>
      <c r="B125" s="24"/>
      <c r="C125" s="24"/>
      <c r="D125" s="13"/>
      <c r="E125" s="13"/>
      <c r="F125" s="13"/>
      <c r="G125" s="13"/>
      <c r="H125" s="13"/>
      <c r="I125" s="13"/>
      <c r="J125" s="13"/>
      <c r="K125" s="20"/>
      <c r="L125" s="20"/>
      <c r="M125" s="1"/>
      <c r="N125" s="1"/>
      <c r="O125" s="24"/>
      <c r="P125" s="24"/>
      <c r="Q125" s="13"/>
      <c r="R125" s="13"/>
      <c r="S125" s="13"/>
      <c r="T125" s="13"/>
      <c r="U125" s="13"/>
      <c r="V125" s="13"/>
      <c r="W125" s="13"/>
      <c r="X125" s="13"/>
      <c r="Y125" s="20"/>
      <c r="Z125" s="1"/>
      <c r="AA125" s="1"/>
    </row>
    <row r="126" spans="1:27" ht="12" customHeight="1" x14ac:dyDescent="0.2">
      <c r="A126" s="1"/>
      <c r="B126" s="24"/>
      <c r="C126" s="24"/>
      <c r="D126" s="13"/>
      <c r="E126" s="13"/>
      <c r="F126" s="13"/>
      <c r="G126" s="13"/>
      <c r="H126" s="13"/>
      <c r="I126" s="13"/>
      <c r="J126" s="13"/>
      <c r="K126" s="20"/>
      <c r="L126" s="20"/>
      <c r="M126" s="1"/>
      <c r="N126" s="1"/>
      <c r="O126" s="24"/>
      <c r="P126" s="24"/>
      <c r="Q126" s="13"/>
      <c r="R126" s="13"/>
      <c r="S126" s="13"/>
      <c r="T126" s="13"/>
      <c r="U126" s="13"/>
      <c r="V126" s="13"/>
      <c r="W126" s="13"/>
      <c r="X126" s="13"/>
      <c r="Y126" s="20"/>
      <c r="Z126" s="1"/>
      <c r="AA126" s="1"/>
    </row>
    <row r="127" spans="1:27" ht="12" customHeight="1" x14ac:dyDescent="0.2">
      <c r="A127" s="1"/>
      <c r="B127" s="24"/>
      <c r="C127" s="24"/>
      <c r="D127" s="13"/>
      <c r="E127" s="13"/>
      <c r="F127" s="13"/>
      <c r="G127" s="13"/>
      <c r="H127" s="13"/>
      <c r="I127" s="13"/>
      <c r="J127" s="13"/>
      <c r="K127" s="20"/>
      <c r="L127" s="20"/>
      <c r="M127" s="1"/>
      <c r="N127" s="1"/>
      <c r="O127" s="24"/>
      <c r="P127" s="24"/>
      <c r="Q127" s="13"/>
      <c r="R127" s="13"/>
      <c r="S127" s="13"/>
      <c r="T127" s="13"/>
      <c r="U127" s="13"/>
      <c r="V127" s="13"/>
      <c r="W127" s="13"/>
      <c r="X127" s="13"/>
      <c r="Y127" s="20"/>
      <c r="Z127" s="1"/>
      <c r="AA127" s="1"/>
    </row>
    <row r="128" spans="1:27" ht="12" customHeight="1" x14ac:dyDescent="0.2">
      <c r="A128" s="1"/>
      <c r="B128" s="24"/>
      <c r="C128" s="24"/>
      <c r="D128" s="13"/>
      <c r="E128" s="13"/>
      <c r="F128" s="13"/>
      <c r="G128" s="13"/>
      <c r="H128" s="13"/>
      <c r="I128" s="13"/>
      <c r="J128" s="13"/>
      <c r="K128" s="20"/>
      <c r="L128" s="20"/>
      <c r="M128" s="1"/>
      <c r="N128" s="1"/>
      <c r="O128" s="24"/>
      <c r="P128" s="24"/>
      <c r="Q128" s="13"/>
      <c r="R128" s="13"/>
      <c r="S128" s="13"/>
      <c r="T128" s="13"/>
      <c r="U128" s="13"/>
      <c r="V128" s="13"/>
      <c r="W128" s="13"/>
      <c r="X128" s="13"/>
      <c r="Y128" s="20"/>
      <c r="Z128" s="1"/>
      <c r="AA128" s="1"/>
    </row>
    <row r="129" spans="1:27" ht="12" customHeight="1" x14ac:dyDescent="0.2">
      <c r="A129" s="1"/>
      <c r="B129" s="24"/>
      <c r="C129" s="24"/>
      <c r="D129" s="13"/>
      <c r="E129" s="13"/>
      <c r="F129" s="13"/>
      <c r="G129" s="13"/>
      <c r="H129" s="13"/>
      <c r="I129" s="13"/>
      <c r="J129" s="13"/>
      <c r="K129" s="20"/>
      <c r="L129" s="20"/>
      <c r="M129" s="1"/>
      <c r="N129" s="1"/>
      <c r="O129" s="24"/>
      <c r="P129" s="24"/>
      <c r="Q129" s="13"/>
      <c r="R129" s="13"/>
      <c r="S129" s="13"/>
      <c r="T129" s="13"/>
      <c r="U129" s="13"/>
      <c r="V129" s="13"/>
      <c r="W129" s="13"/>
      <c r="X129" s="13"/>
      <c r="Y129" s="20"/>
      <c r="Z129" s="1"/>
      <c r="AA129" s="1"/>
    </row>
    <row r="130" spans="1:27" ht="12" customHeight="1" x14ac:dyDescent="0.2">
      <c r="A130" s="1"/>
      <c r="B130" s="24"/>
      <c r="C130" s="24"/>
      <c r="D130" s="13"/>
      <c r="E130" s="13"/>
      <c r="F130" s="13"/>
      <c r="G130" s="13"/>
      <c r="H130" s="13"/>
      <c r="I130" s="13"/>
      <c r="J130" s="13"/>
      <c r="K130" s="20"/>
      <c r="L130" s="20"/>
      <c r="M130" s="1"/>
      <c r="N130" s="1"/>
      <c r="O130" s="24"/>
      <c r="P130" s="24"/>
      <c r="Q130" s="13"/>
      <c r="R130" s="13"/>
      <c r="S130" s="13"/>
      <c r="T130" s="13"/>
      <c r="U130" s="13"/>
      <c r="V130" s="13"/>
      <c r="W130" s="13"/>
      <c r="X130" s="13"/>
      <c r="Y130" s="20"/>
      <c r="Z130" s="1"/>
      <c r="AA130" s="1"/>
    </row>
    <row r="131" spans="1:27" ht="12" customHeight="1" x14ac:dyDescent="0.2">
      <c r="A131" s="1"/>
      <c r="B131" s="24"/>
      <c r="C131" s="24"/>
      <c r="D131" s="13"/>
      <c r="E131" s="13"/>
      <c r="F131" s="13"/>
      <c r="G131" s="13"/>
      <c r="H131" s="13"/>
      <c r="I131" s="13"/>
      <c r="J131" s="13"/>
      <c r="K131" s="20"/>
      <c r="L131" s="20"/>
      <c r="M131" s="1"/>
      <c r="N131" s="1"/>
      <c r="O131" s="24"/>
      <c r="P131" s="24"/>
      <c r="Q131" s="13"/>
      <c r="R131" s="13"/>
      <c r="S131" s="13"/>
      <c r="T131" s="13"/>
      <c r="U131" s="13"/>
      <c r="V131" s="13"/>
      <c r="W131" s="13"/>
      <c r="X131" s="13"/>
      <c r="Y131" s="20"/>
      <c r="Z131" s="1"/>
      <c r="AA131" s="1"/>
    </row>
    <row r="132" spans="1:27" ht="12" customHeight="1" x14ac:dyDescent="0.2">
      <c r="A132" s="1"/>
      <c r="B132" s="24"/>
      <c r="C132" s="24"/>
      <c r="D132" s="13"/>
      <c r="E132" s="13"/>
      <c r="F132" s="13"/>
      <c r="G132" s="13"/>
      <c r="H132" s="13"/>
      <c r="I132" s="13"/>
      <c r="J132" s="13"/>
      <c r="K132" s="20"/>
      <c r="L132" s="20"/>
      <c r="M132" s="1"/>
      <c r="N132" s="1"/>
      <c r="O132" s="24"/>
      <c r="P132" s="24"/>
      <c r="Q132" s="13"/>
      <c r="R132" s="13"/>
      <c r="S132" s="13"/>
      <c r="T132" s="13"/>
      <c r="U132" s="13"/>
      <c r="V132" s="13"/>
      <c r="W132" s="13"/>
      <c r="X132" s="13"/>
      <c r="Y132" s="20"/>
      <c r="Z132" s="1"/>
      <c r="AA132" s="1"/>
    </row>
    <row r="133" spans="1:27" ht="12" customHeight="1" x14ac:dyDescent="0.2">
      <c r="A133" s="1"/>
      <c r="B133" s="24"/>
      <c r="C133" s="24"/>
      <c r="D133" s="13"/>
      <c r="E133" s="13"/>
      <c r="F133" s="13"/>
      <c r="G133" s="13"/>
      <c r="H133" s="13"/>
      <c r="I133" s="13"/>
      <c r="J133" s="13"/>
      <c r="K133" s="20"/>
      <c r="L133" s="20"/>
      <c r="M133" s="1"/>
      <c r="N133" s="1"/>
      <c r="O133" s="24"/>
      <c r="P133" s="24"/>
      <c r="Q133" s="13"/>
      <c r="R133" s="13"/>
      <c r="S133" s="13"/>
      <c r="T133" s="13"/>
      <c r="U133" s="13"/>
      <c r="V133" s="13"/>
      <c r="W133" s="13"/>
      <c r="X133" s="13"/>
      <c r="Y133" s="20"/>
      <c r="Z133" s="1"/>
      <c r="AA133" s="1"/>
    </row>
    <row r="134" spans="1:27" ht="12" customHeight="1" x14ac:dyDescent="0.2">
      <c r="A134" s="1"/>
      <c r="B134" s="24"/>
      <c r="C134" s="24"/>
      <c r="D134" s="13"/>
      <c r="E134" s="13"/>
      <c r="F134" s="13"/>
      <c r="G134" s="13"/>
      <c r="H134" s="13"/>
      <c r="I134" s="13"/>
      <c r="J134" s="13"/>
      <c r="K134" s="20"/>
      <c r="L134" s="20"/>
      <c r="M134" s="1"/>
      <c r="N134" s="1"/>
      <c r="O134" s="24"/>
      <c r="P134" s="24"/>
      <c r="Q134" s="13"/>
      <c r="R134" s="13"/>
      <c r="S134" s="13"/>
      <c r="T134" s="13"/>
      <c r="U134" s="13"/>
      <c r="V134" s="13"/>
      <c r="W134" s="13"/>
      <c r="X134" s="13"/>
      <c r="Y134" s="20"/>
      <c r="Z134" s="1"/>
      <c r="AA134" s="1"/>
    </row>
    <row r="135" spans="1:27" ht="12" customHeight="1" x14ac:dyDescent="0.2">
      <c r="A135" s="1"/>
      <c r="B135" s="24"/>
      <c r="C135" s="24"/>
      <c r="D135" s="13"/>
      <c r="E135" s="13"/>
      <c r="F135" s="13"/>
      <c r="G135" s="13"/>
      <c r="H135" s="13"/>
      <c r="I135" s="13"/>
      <c r="J135" s="13"/>
      <c r="K135" s="20"/>
      <c r="L135" s="20"/>
      <c r="M135" s="1"/>
      <c r="N135" s="1"/>
      <c r="O135" s="24"/>
      <c r="P135" s="24"/>
      <c r="Q135" s="13"/>
      <c r="R135" s="13"/>
      <c r="S135" s="13"/>
      <c r="T135" s="13"/>
      <c r="U135" s="13"/>
      <c r="V135" s="13"/>
      <c r="W135" s="13"/>
      <c r="X135" s="13"/>
      <c r="Y135" s="20"/>
      <c r="Z135" s="1"/>
      <c r="AA135" s="1"/>
    </row>
    <row r="136" spans="1:27" ht="12" customHeight="1" x14ac:dyDescent="0.2">
      <c r="A136" s="1"/>
      <c r="B136" s="24"/>
      <c r="C136" s="24"/>
      <c r="D136" s="13"/>
      <c r="E136" s="13"/>
      <c r="F136" s="13"/>
      <c r="G136" s="13"/>
      <c r="H136" s="13"/>
      <c r="I136" s="13"/>
      <c r="J136" s="13"/>
      <c r="K136" s="20"/>
      <c r="L136" s="20"/>
      <c r="M136" s="1"/>
      <c r="N136" s="1"/>
      <c r="O136" s="24"/>
      <c r="P136" s="24"/>
      <c r="Q136" s="13"/>
      <c r="R136" s="13"/>
      <c r="S136" s="13"/>
      <c r="T136" s="13"/>
      <c r="U136" s="13"/>
      <c r="V136" s="13"/>
      <c r="W136" s="13"/>
      <c r="X136" s="13"/>
      <c r="Y136" s="20"/>
      <c r="Z136" s="1"/>
      <c r="AA136" s="1"/>
    </row>
    <row r="137" spans="1:27" ht="12" customHeight="1" x14ac:dyDescent="0.2">
      <c r="A137" s="1"/>
      <c r="B137" s="24"/>
      <c r="C137" s="24"/>
      <c r="D137" s="13"/>
      <c r="E137" s="13"/>
      <c r="F137" s="13"/>
      <c r="G137" s="13"/>
      <c r="H137" s="13"/>
      <c r="I137" s="13"/>
      <c r="J137" s="13"/>
      <c r="K137" s="20"/>
      <c r="L137" s="20"/>
      <c r="M137" s="1"/>
      <c r="N137" s="1"/>
      <c r="O137" s="24"/>
      <c r="P137" s="24"/>
      <c r="Q137" s="13"/>
      <c r="R137" s="13"/>
      <c r="S137" s="13"/>
      <c r="T137" s="13"/>
      <c r="U137" s="13"/>
      <c r="V137" s="13"/>
      <c r="W137" s="13"/>
      <c r="X137" s="13"/>
      <c r="Y137" s="20"/>
      <c r="Z137" s="1"/>
      <c r="AA137" s="1"/>
    </row>
    <row r="138" spans="1:27" ht="12" customHeight="1" x14ac:dyDescent="0.2">
      <c r="A138" s="1"/>
      <c r="B138" s="24"/>
      <c r="C138" s="24"/>
      <c r="D138" s="13"/>
      <c r="E138" s="13"/>
      <c r="F138" s="13"/>
      <c r="G138" s="13"/>
      <c r="H138" s="13"/>
      <c r="I138" s="13"/>
      <c r="J138" s="13"/>
      <c r="K138" s="20"/>
      <c r="L138" s="20"/>
      <c r="M138" s="1"/>
      <c r="N138" s="1"/>
      <c r="O138" s="24"/>
      <c r="P138" s="24"/>
      <c r="Q138" s="13"/>
      <c r="R138" s="13"/>
      <c r="S138" s="13"/>
      <c r="T138" s="13"/>
      <c r="U138" s="13"/>
      <c r="V138" s="13"/>
      <c r="W138" s="13"/>
      <c r="X138" s="13"/>
      <c r="Y138" s="20"/>
      <c r="Z138" s="1"/>
      <c r="AA138" s="1"/>
    </row>
    <row r="139" spans="1:27" ht="12" customHeight="1" x14ac:dyDescent="0.2">
      <c r="A139" s="1"/>
      <c r="B139" s="24"/>
      <c r="C139" s="24"/>
      <c r="D139" s="13"/>
      <c r="E139" s="13"/>
      <c r="F139" s="13"/>
      <c r="G139" s="13"/>
      <c r="H139" s="13"/>
      <c r="I139" s="13"/>
      <c r="J139" s="13"/>
      <c r="K139" s="20"/>
      <c r="L139" s="20"/>
      <c r="M139" s="1"/>
      <c r="N139" s="1"/>
      <c r="O139" s="24"/>
      <c r="P139" s="24"/>
      <c r="Q139" s="13"/>
      <c r="R139" s="13"/>
      <c r="S139" s="13"/>
      <c r="T139" s="13"/>
      <c r="U139" s="13"/>
      <c r="V139" s="13"/>
      <c r="W139" s="13"/>
      <c r="X139" s="13"/>
      <c r="Y139" s="20"/>
      <c r="Z139" s="1"/>
      <c r="AA139" s="1"/>
    </row>
    <row r="140" spans="1:27" ht="12" customHeight="1" x14ac:dyDescent="0.2">
      <c r="A140" s="1"/>
      <c r="B140" s="24"/>
      <c r="C140" s="24"/>
      <c r="D140" s="13"/>
      <c r="E140" s="13"/>
      <c r="F140" s="13"/>
      <c r="G140" s="13"/>
      <c r="H140" s="13"/>
      <c r="I140" s="13"/>
      <c r="J140" s="13"/>
      <c r="K140" s="20"/>
      <c r="L140" s="20"/>
      <c r="M140" s="1"/>
      <c r="N140" s="1"/>
      <c r="O140" s="24"/>
      <c r="P140" s="24"/>
      <c r="Q140" s="13"/>
      <c r="R140" s="13"/>
      <c r="S140" s="13"/>
      <c r="T140" s="13"/>
      <c r="U140" s="13"/>
      <c r="V140" s="13"/>
      <c r="W140" s="13"/>
      <c r="X140" s="13"/>
      <c r="Y140" s="20"/>
      <c r="Z140" s="1"/>
      <c r="AA140" s="1"/>
    </row>
    <row r="141" spans="1:27" ht="12" customHeight="1" x14ac:dyDescent="0.2">
      <c r="A141" s="1"/>
      <c r="B141" s="24"/>
      <c r="C141" s="24"/>
      <c r="D141" s="13"/>
      <c r="E141" s="13"/>
      <c r="F141" s="13"/>
      <c r="G141" s="13"/>
      <c r="H141" s="13"/>
      <c r="I141" s="13"/>
      <c r="J141" s="13"/>
      <c r="K141" s="20"/>
      <c r="L141" s="20"/>
      <c r="M141" s="1"/>
      <c r="N141" s="1"/>
      <c r="O141" s="24"/>
      <c r="P141" s="24"/>
      <c r="Q141" s="13"/>
      <c r="R141" s="13"/>
      <c r="S141" s="13"/>
      <c r="T141" s="13"/>
      <c r="U141" s="13"/>
      <c r="V141" s="13"/>
      <c r="W141" s="13"/>
      <c r="X141" s="13"/>
      <c r="Y141" s="20"/>
      <c r="Z141" s="1"/>
      <c r="AA141" s="1"/>
    </row>
    <row r="142" spans="1:27" ht="12" customHeight="1" x14ac:dyDescent="0.2">
      <c r="A142" s="1"/>
      <c r="B142" s="24"/>
      <c r="C142" s="24"/>
      <c r="D142" s="13"/>
      <c r="E142" s="13"/>
      <c r="F142" s="13"/>
      <c r="G142" s="13"/>
      <c r="H142" s="13"/>
      <c r="I142" s="13"/>
      <c r="J142" s="13"/>
      <c r="K142" s="20"/>
      <c r="L142" s="20"/>
      <c r="M142" s="1"/>
      <c r="N142" s="1"/>
      <c r="O142" s="24"/>
      <c r="P142" s="24"/>
      <c r="Q142" s="13"/>
      <c r="R142" s="13"/>
      <c r="S142" s="13"/>
      <c r="T142" s="13"/>
      <c r="U142" s="13"/>
      <c r="V142" s="13"/>
      <c r="W142" s="13"/>
      <c r="X142" s="13"/>
      <c r="Y142" s="20"/>
      <c r="Z142" s="1"/>
      <c r="AA142" s="1"/>
    </row>
    <row r="143" spans="1:27" ht="12" customHeight="1" x14ac:dyDescent="0.2">
      <c r="A143" s="1"/>
      <c r="B143" s="24"/>
      <c r="C143" s="24"/>
      <c r="D143" s="13"/>
      <c r="E143" s="13"/>
      <c r="F143" s="13"/>
      <c r="G143" s="13"/>
      <c r="H143" s="13"/>
      <c r="I143" s="13"/>
      <c r="J143" s="13"/>
      <c r="K143" s="20"/>
      <c r="L143" s="20"/>
      <c r="M143" s="1"/>
      <c r="N143" s="1"/>
      <c r="O143" s="24"/>
      <c r="P143" s="24"/>
      <c r="Q143" s="13"/>
      <c r="R143" s="13"/>
      <c r="S143" s="13"/>
      <c r="T143" s="13"/>
      <c r="U143" s="13"/>
      <c r="V143" s="13"/>
      <c r="W143" s="13"/>
      <c r="X143" s="13"/>
      <c r="Y143" s="20"/>
      <c r="Z143" s="1"/>
      <c r="AA143" s="1"/>
    </row>
    <row r="144" spans="1:27" ht="12" customHeight="1" x14ac:dyDescent="0.2">
      <c r="A144" s="1"/>
      <c r="B144" s="24"/>
      <c r="C144" s="24"/>
      <c r="D144" s="13"/>
      <c r="E144" s="13"/>
      <c r="F144" s="13"/>
      <c r="G144" s="13"/>
      <c r="H144" s="13"/>
      <c r="I144" s="13"/>
      <c r="J144" s="13"/>
      <c r="K144" s="20"/>
      <c r="L144" s="20"/>
      <c r="M144" s="1"/>
      <c r="N144" s="1"/>
      <c r="O144" s="24"/>
      <c r="P144" s="24"/>
      <c r="Q144" s="13"/>
      <c r="R144" s="13"/>
      <c r="S144" s="13"/>
      <c r="T144" s="13"/>
      <c r="U144" s="13"/>
      <c r="V144" s="13"/>
      <c r="W144" s="13"/>
      <c r="X144" s="13"/>
      <c r="Y144" s="20"/>
      <c r="Z144" s="1"/>
      <c r="AA144" s="1"/>
    </row>
    <row r="145" spans="1:27" ht="12" customHeight="1" x14ac:dyDescent="0.2">
      <c r="A145" s="1"/>
      <c r="B145" s="24"/>
      <c r="C145" s="24"/>
      <c r="D145" s="13"/>
      <c r="E145" s="13"/>
      <c r="F145" s="13"/>
      <c r="G145" s="13"/>
      <c r="H145" s="13"/>
      <c r="I145" s="13"/>
      <c r="J145" s="13"/>
      <c r="K145" s="20"/>
      <c r="L145" s="20"/>
      <c r="M145" s="1"/>
      <c r="N145" s="1"/>
      <c r="O145" s="24"/>
      <c r="P145" s="24"/>
      <c r="Q145" s="13"/>
      <c r="R145" s="13"/>
      <c r="S145" s="13"/>
      <c r="T145" s="13"/>
      <c r="U145" s="13"/>
      <c r="V145" s="13"/>
      <c r="W145" s="13"/>
      <c r="X145" s="13"/>
      <c r="Y145" s="20"/>
      <c r="Z145" s="1"/>
      <c r="AA145" s="1"/>
    </row>
    <row r="146" spans="1:27" ht="12" customHeight="1" x14ac:dyDescent="0.2">
      <c r="A146" s="1"/>
      <c r="B146" s="24"/>
      <c r="C146" s="24"/>
      <c r="D146" s="13"/>
      <c r="E146" s="13"/>
      <c r="F146" s="13"/>
      <c r="G146" s="13"/>
      <c r="H146" s="13"/>
      <c r="I146" s="13"/>
      <c r="J146" s="13"/>
      <c r="K146" s="20"/>
      <c r="L146" s="20"/>
      <c r="M146" s="1"/>
      <c r="N146" s="1"/>
      <c r="O146" s="24"/>
      <c r="P146" s="24"/>
      <c r="Q146" s="13"/>
      <c r="R146" s="13"/>
      <c r="S146" s="13"/>
      <c r="T146" s="13"/>
      <c r="U146" s="13"/>
      <c r="V146" s="13"/>
      <c r="W146" s="13"/>
      <c r="X146" s="13"/>
      <c r="Y146" s="20"/>
      <c r="Z146" s="1"/>
      <c r="AA146" s="1"/>
    </row>
    <row r="147" spans="1:27" ht="12" customHeight="1" x14ac:dyDescent="0.2">
      <c r="A147" s="1"/>
      <c r="B147" s="24"/>
      <c r="C147" s="24"/>
      <c r="D147" s="13"/>
      <c r="E147" s="13"/>
      <c r="F147" s="13"/>
      <c r="G147" s="13"/>
      <c r="H147" s="13"/>
      <c r="I147" s="13"/>
      <c r="J147" s="13"/>
      <c r="K147" s="20"/>
      <c r="L147" s="20"/>
      <c r="M147" s="1"/>
      <c r="N147" s="1"/>
      <c r="O147" s="24"/>
      <c r="P147" s="24"/>
      <c r="Q147" s="13"/>
      <c r="R147" s="13"/>
      <c r="S147" s="13"/>
      <c r="T147" s="13"/>
      <c r="U147" s="13"/>
      <c r="V147" s="13"/>
      <c r="W147" s="13"/>
      <c r="X147" s="13"/>
      <c r="Y147" s="20"/>
      <c r="Z147" s="1"/>
      <c r="AA147" s="1"/>
    </row>
    <row r="148" spans="1:27" ht="12" customHeight="1" x14ac:dyDescent="0.2">
      <c r="A148" s="1"/>
      <c r="B148" s="24"/>
      <c r="C148" s="24"/>
      <c r="D148" s="13"/>
      <c r="E148" s="13"/>
      <c r="F148" s="13"/>
      <c r="G148" s="13"/>
      <c r="H148" s="13"/>
      <c r="I148" s="13"/>
      <c r="J148" s="13"/>
      <c r="K148" s="20"/>
      <c r="L148" s="20"/>
      <c r="M148" s="1"/>
      <c r="N148" s="1"/>
      <c r="O148" s="24"/>
      <c r="P148" s="24"/>
      <c r="Q148" s="13"/>
      <c r="R148" s="13"/>
      <c r="S148" s="13"/>
      <c r="T148" s="13"/>
      <c r="U148" s="13"/>
      <c r="V148" s="13"/>
      <c r="W148" s="13"/>
      <c r="X148" s="13"/>
      <c r="Y148" s="20"/>
      <c r="Z148" s="1"/>
      <c r="AA148" s="1"/>
    </row>
    <row r="149" spans="1:27" ht="12" customHeight="1" x14ac:dyDescent="0.2">
      <c r="A149" s="1"/>
      <c r="B149" s="24"/>
      <c r="C149" s="24"/>
      <c r="D149" s="13"/>
      <c r="E149" s="13"/>
      <c r="F149" s="13"/>
      <c r="G149" s="13"/>
      <c r="H149" s="13"/>
      <c r="I149" s="13"/>
      <c r="J149" s="13"/>
      <c r="K149" s="20"/>
      <c r="L149" s="20"/>
      <c r="M149" s="1"/>
      <c r="N149" s="1"/>
      <c r="O149" s="24"/>
      <c r="P149" s="24"/>
      <c r="Q149" s="13"/>
      <c r="R149" s="13"/>
      <c r="S149" s="13"/>
      <c r="T149" s="13"/>
      <c r="U149" s="13"/>
      <c r="V149" s="13"/>
      <c r="W149" s="13"/>
      <c r="X149" s="13"/>
      <c r="Y149" s="20"/>
      <c r="Z149" s="1"/>
      <c r="AA149" s="1"/>
    </row>
    <row r="150" spans="1:27" ht="12" customHeight="1" x14ac:dyDescent="0.2">
      <c r="A150" s="1"/>
      <c r="B150" s="24"/>
      <c r="C150" s="24"/>
      <c r="D150" s="13"/>
      <c r="E150" s="13"/>
      <c r="F150" s="13"/>
      <c r="G150" s="13"/>
      <c r="H150" s="13"/>
      <c r="I150" s="13"/>
      <c r="J150" s="13"/>
      <c r="K150" s="20"/>
      <c r="L150" s="20"/>
      <c r="M150" s="1"/>
      <c r="N150" s="1"/>
      <c r="O150" s="24"/>
      <c r="P150" s="24"/>
      <c r="Q150" s="13"/>
      <c r="R150" s="13"/>
      <c r="S150" s="13"/>
      <c r="T150" s="13"/>
      <c r="U150" s="13"/>
      <c r="V150" s="13"/>
      <c r="W150" s="13"/>
      <c r="X150" s="13"/>
      <c r="Y150" s="20"/>
      <c r="Z150" s="1"/>
      <c r="AA150" s="1"/>
    </row>
    <row r="151" spans="1:27" ht="12" customHeight="1" x14ac:dyDescent="0.2">
      <c r="A151" s="1"/>
      <c r="B151" s="24"/>
      <c r="C151" s="24"/>
      <c r="D151" s="13"/>
      <c r="E151" s="13"/>
      <c r="F151" s="13"/>
      <c r="G151" s="13"/>
      <c r="H151" s="13"/>
      <c r="I151" s="13"/>
      <c r="J151" s="13"/>
      <c r="K151" s="20"/>
      <c r="L151" s="20"/>
      <c r="M151" s="1"/>
      <c r="N151" s="1"/>
      <c r="O151" s="24"/>
      <c r="P151" s="24"/>
      <c r="Q151" s="13"/>
      <c r="R151" s="13"/>
      <c r="S151" s="13"/>
      <c r="T151" s="13"/>
      <c r="U151" s="13"/>
      <c r="V151" s="13"/>
      <c r="W151" s="13"/>
      <c r="X151" s="13"/>
      <c r="Y151" s="20"/>
      <c r="Z151" s="1"/>
      <c r="AA151" s="1"/>
    </row>
    <row r="152" spans="1:27" ht="12" customHeight="1" x14ac:dyDescent="0.2">
      <c r="A152" s="1"/>
      <c r="B152" s="24"/>
      <c r="C152" s="24"/>
      <c r="D152" s="13"/>
      <c r="E152" s="13"/>
      <c r="F152" s="13"/>
      <c r="G152" s="13"/>
      <c r="H152" s="13"/>
      <c r="I152" s="13"/>
      <c r="J152" s="13"/>
      <c r="K152" s="20"/>
      <c r="L152" s="20"/>
      <c r="M152" s="1"/>
      <c r="N152" s="1"/>
      <c r="O152" s="24"/>
      <c r="P152" s="24"/>
      <c r="Q152" s="13"/>
      <c r="R152" s="13"/>
      <c r="S152" s="13"/>
      <c r="T152" s="13"/>
      <c r="U152" s="13"/>
      <c r="V152" s="13"/>
      <c r="W152" s="13"/>
      <c r="X152" s="13"/>
      <c r="Y152" s="20"/>
      <c r="Z152" s="1"/>
      <c r="AA152" s="1"/>
    </row>
    <row r="153" spans="1:27" ht="12" customHeight="1" x14ac:dyDescent="0.2">
      <c r="A153" s="1"/>
      <c r="B153" s="24"/>
      <c r="C153" s="24"/>
      <c r="D153" s="13"/>
      <c r="E153" s="13"/>
      <c r="F153" s="13"/>
      <c r="G153" s="13"/>
      <c r="H153" s="13"/>
      <c r="I153" s="13"/>
      <c r="J153" s="13"/>
      <c r="K153" s="20"/>
      <c r="L153" s="20"/>
      <c r="M153" s="1"/>
      <c r="N153" s="1"/>
      <c r="O153" s="24"/>
      <c r="P153" s="24"/>
      <c r="Q153" s="13"/>
      <c r="R153" s="13"/>
      <c r="S153" s="13"/>
      <c r="T153" s="13"/>
      <c r="U153" s="13"/>
      <c r="V153" s="13"/>
      <c r="W153" s="13"/>
      <c r="X153" s="13"/>
      <c r="Y153" s="20"/>
      <c r="Z153" s="1"/>
      <c r="AA153" s="1"/>
    </row>
    <row r="154" spans="1:27" ht="12" customHeight="1" x14ac:dyDescent="0.2">
      <c r="A154" s="1"/>
      <c r="B154" s="24"/>
      <c r="C154" s="24"/>
      <c r="D154" s="13"/>
      <c r="E154" s="13"/>
      <c r="F154" s="13"/>
      <c r="G154" s="13"/>
      <c r="H154" s="13"/>
      <c r="I154" s="13"/>
      <c r="J154" s="13"/>
      <c r="K154" s="20"/>
      <c r="L154" s="20"/>
      <c r="M154" s="1"/>
      <c r="N154" s="1"/>
      <c r="O154" s="24"/>
      <c r="P154" s="24"/>
      <c r="Q154" s="13"/>
      <c r="R154" s="13"/>
      <c r="S154" s="13"/>
      <c r="T154" s="13"/>
      <c r="U154" s="13"/>
      <c r="V154" s="13"/>
      <c r="W154" s="13"/>
      <c r="X154" s="13"/>
      <c r="Y154" s="20"/>
      <c r="Z154" s="1"/>
      <c r="AA154" s="1"/>
    </row>
    <row r="155" spans="1:27" ht="12" customHeight="1" x14ac:dyDescent="0.2">
      <c r="A155" s="1"/>
      <c r="B155" s="24"/>
      <c r="C155" s="24"/>
      <c r="D155" s="13"/>
      <c r="E155" s="13"/>
      <c r="F155" s="13"/>
      <c r="G155" s="13"/>
      <c r="H155" s="13"/>
      <c r="I155" s="13"/>
      <c r="J155" s="13"/>
      <c r="K155" s="20"/>
      <c r="L155" s="20"/>
      <c r="M155" s="1"/>
      <c r="N155" s="1"/>
      <c r="O155" s="24"/>
      <c r="P155" s="24"/>
      <c r="Q155" s="13"/>
      <c r="R155" s="13"/>
      <c r="S155" s="13"/>
      <c r="T155" s="13"/>
      <c r="U155" s="13"/>
      <c r="V155" s="13"/>
      <c r="W155" s="13"/>
      <c r="X155" s="13"/>
      <c r="Y155" s="20"/>
      <c r="Z155" s="1"/>
      <c r="AA155" s="1"/>
    </row>
    <row r="156" spans="1:27" ht="12" customHeight="1" x14ac:dyDescent="0.2">
      <c r="A156" s="1"/>
      <c r="B156" s="24"/>
      <c r="C156" s="24"/>
      <c r="D156" s="13"/>
      <c r="E156" s="13"/>
      <c r="F156" s="13"/>
      <c r="G156" s="13"/>
      <c r="H156" s="13"/>
      <c r="I156" s="13"/>
      <c r="J156" s="13"/>
      <c r="K156" s="20"/>
      <c r="L156" s="20"/>
      <c r="M156" s="1"/>
      <c r="N156" s="1"/>
      <c r="O156" s="24"/>
      <c r="P156" s="24"/>
      <c r="Q156" s="13"/>
      <c r="R156" s="13"/>
      <c r="S156" s="13"/>
      <c r="T156" s="13"/>
      <c r="U156" s="13"/>
      <c r="V156" s="13"/>
      <c r="W156" s="13"/>
      <c r="X156" s="13"/>
      <c r="Y156" s="20"/>
      <c r="Z156" s="1"/>
      <c r="AA156" s="1"/>
    </row>
    <row r="157" spans="1:27" ht="12" customHeight="1" x14ac:dyDescent="0.2">
      <c r="A157" s="1"/>
      <c r="B157" s="24"/>
      <c r="C157" s="24"/>
      <c r="D157" s="13"/>
      <c r="E157" s="13"/>
      <c r="F157" s="13"/>
      <c r="G157" s="13"/>
      <c r="H157" s="13"/>
      <c r="I157" s="13"/>
      <c r="J157" s="13"/>
      <c r="K157" s="20"/>
      <c r="L157" s="20"/>
      <c r="M157" s="1"/>
      <c r="N157" s="1"/>
      <c r="O157" s="24"/>
      <c r="P157" s="24"/>
      <c r="Q157" s="13"/>
      <c r="R157" s="13"/>
      <c r="S157" s="13"/>
      <c r="T157" s="13"/>
      <c r="U157" s="13"/>
      <c r="V157" s="13"/>
      <c r="W157" s="13"/>
      <c r="X157" s="13"/>
      <c r="Y157" s="20"/>
      <c r="Z157" s="1"/>
      <c r="AA157" s="1"/>
    </row>
    <row r="158" spans="1:27" ht="12" customHeight="1" x14ac:dyDescent="0.2">
      <c r="A158" s="1"/>
      <c r="B158" s="24"/>
      <c r="C158" s="24"/>
      <c r="D158" s="13"/>
      <c r="E158" s="13"/>
      <c r="F158" s="13"/>
      <c r="G158" s="13"/>
      <c r="H158" s="13"/>
      <c r="I158" s="13"/>
      <c r="J158" s="13"/>
      <c r="K158" s="20"/>
      <c r="L158" s="20"/>
      <c r="M158" s="1"/>
      <c r="N158" s="1"/>
      <c r="O158" s="24"/>
      <c r="P158" s="24"/>
      <c r="Q158" s="13"/>
      <c r="R158" s="13"/>
      <c r="S158" s="13"/>
      <c r="T158" s="13"/>
      <c r="U158" s="13"/>
      <c r="V158" s="13"/>
      <c r="W158" s="13"/>
      <c r="X158" s="13"/>
      <c r="Y158" s="20"/>
      <c r="Z158" s="1"/>
      <c r="AA158" s="1"/>
    </row>
    <row r="159" spans="1:27" ht="12" customHeight="1" x14ac:dyDescent="0.2">
      <c r="A159" s="1"/>
      <c r="B159" s="24"/>
      <c r="C159" s="24"/>
      <c r="D159" s="13"/>
      <c r="E159" s="13"/>
      <c r="F159" s="13"/>
      <c r="G159" s="13"/>
      <c r="H159" s="13"/>
      <c r="I159" s="13"/>
      <c r="J159" s="13"/>
      <c r="K159" s="20"/>
      <c r="L159" s="20"/>
      <c r="M159" s="1"/>
      <c r="N159" s="1"/>
      <c r="O159" s="24"/>
      <c r="P159" s="24"/>
      <c r="Q159" s="13"/>
      <c r="R159" s="13"/>
      <c r="S159" s="13"/>
      <c r="T159" s="13"/>
      <c r="U159" s="13"/>
      <c r="V159" s="13"/>
      <c r="W159" s="13"/>
      <c r="X159" s="13"/>
      <c r="Y159" s="20"/>
      <c r="Z159" s="1"/>
      <c r="AA159" s="1"/>
    </row>
    <row r="160" spans="1:27" ht="12" customHeight="1" x14ac:dyDescent="0.2">
      <c r="A160" s="1"/>
      <c r="B160" s="24"/>
      <c r="C160" s="24"/>
      <c r="D160" s="13"/>
      <c r="E160" s="13"/>
      <c r="F160" s="13"/>
      <c r="G160" s="13"/>
      <c r="H160" s="13"/>
      <c r="I160" s="13"/>
      <c r="J160" s="13"/>
      <c r="K160" s="20"/>
      <c r="L160" s="20"/>
      <c r="M160" s="1"/>
      <c r="N160" s="1"/>
      <c r="O160" s="24"/>
      <c r="P160" s="24"/>
      <c r="Q160" s="13"/>
      <c r="R160" s="13"/>
      <c r="S160" s="13"/>
      <c r="T160" s="13"/>
      <c r="U160" s="13"/>
      <c r="V160" s="13"/>
      <c r="W160" s="13"/>
      <c r="X160" s="13"/>
      <c r="Y160" s="20"/>
      <c r="Z160" s="1"/>
      <c r="AA160" s="1"/>
    </row>
    <row r="161" spans="1:27" ht="12" customHeight="1" x14ac:dyDescent="0.2">
      <c r="A161" s="1"/>
      <c r="B161" s="24"/>
      <c r="C161" s="24"/>
      <c r="D161" s="13"/>
      <c r="E161" s="13"/>
      <c r="F161" s="13"/>
      <c r="G161" s="13"/>
      <c r="H161" s="13"/>
      <c r="I161" s="13"/>
      <c r="J161" s="13"/>
      <c r="K161" s="20"/>
      <c r="L161" s="20"/>
      <c r="M161" s="1"/>
      <c r="N161" s="1"/>
      <c r="O161" s="24"/>
      <c r="P161" s="24"/>
      <c r="Q161" s="13"/>
      <c r="R161" s="13"/>
      <c r="S161" s="13"/>
      <c r="T161" s="13"/>
      <c r="U161" s="13"/>
      <c r="V161" s="13"/>
      <c r="W161" s="13"/>
      <c r="X161" s="13"/>
      <c r="Y161" s="20"/>
      <c r="Z161" s="1"/>
      <c r="AA161" s="1"/>
    </row>
    <row r="162" spans="1:27" ht="12" customHeight="1" x14ac:dyDescent="0.2">
      <c r="A162" s="1"/>
      <c r="B162" s="24"/>
      <c r="C162" s="24"/>
      <c r="D162" s="13"/>
      <c r="E162" s="13"/>
      <c r="F162" s="13"/>
      <c r="G162" s="13"/>
      <c r="H162" s="13"/>
      <c r="I162" s="13"/>
      <c r="J162" s="13"/>
      <c r="K162" s="20"/>
      <c r="L162" s="20"/>
      <c r="M162" s="1"/>
      <c r="N162" s="1"/>
      <c r="O162" s="24"/>
      <c r="P162" s="24"/>
      <c r="Q162" s="13"/>
      <c r="R162" s="13"/>
      <c r="S162" s="13"/>
      <c r="T162" s="13"/>
      <c r="U162" s="13"/>
      <c r="V162" s="13"/>
      <c r="W162" s="13"/>
      <c r="X162" s="13"/>
      <c r="Y162" s="20"/>
      <c r="Z162" s="1"/>
      <c r="AA162" s="1"/>
    </row>
    <row r="163" spans="1:27" ht="12" customHeight="1" x14ac:dyDescent="0.2">
      <c r="A163" s="1"/>
      <c r="B163" s="24"/>
      <c r="C163" s="24"/>
      <c r="D163" s="13"/>
      <c r="E163" s="13"/>
      <c r="F163" s="13"/>
      <c r="G163" s="13"/>
      <c r="H163" s="13"/>
      <c r="I163" s="13"/>
      <c r="J163" s="13"/>
      <c r="K163" s="20"/>
      <c r="L163" s="20"/>
      <c r="M163" s="1"/>
      <c r="N163" s="1"/>
      <c r="O163" s="24"/>
      <c r="P163" s="24"/>
      <c r="Q163" s="13"/>
      <c r="R163" s="13"/>
      <c r="S163" s="13"/>
      <c r="T163" s="13"/>
      <c r="U163" s="13"/>
      <c r="V163" s="13"/>
      <c r="W163" s="13"/>
      <c r="X163" s="13"/>
      <c r="Y163" s="20"/>
      <c r="Z163" s="1"/>
      <c r="AA163" s="1"/>
    </row>
    <row r="164" spans="1:27" ht="12" customHeight="1" x14ac:dyDescent="0.2">
      <c r="A164" s="1"/>
      <c r="B164" s="24"/>
      <c r="C164" s="24"/>
      <c r="D164" s="13"/>
      <c r="E164" s="13"/>
      <c r="F164" s="13"/>
      <c r="G164" s="13"/>
      <c r="H164" s="13"/>
      <c r="I164" s="13"/>
      <c r="J164" s="13"/>
      <c r="K164" s="20"/>
      <c r="L164" s="20"/>
      <c r="M164" s="1"/>
      <c r="N164" s="1"/>
      <c r="O164" s="24"/>
      <c r="P164" s="24"/>
      <c r="Q164" s="13"/>
      <c r="R164" s="13"/>
      <c r="S164" s="13"/>
      <c r="T164" s="13"/>
      <c r="U164" s="13"/>
      <c r="V164" s="13"/>
      <c r="W164" s="13"/>
      <c r="X164" s="13"/>
      <c r="Y164" s="20"/>
      <c r="Z164" s="1"/>
      <c r="AA164" s="1"/>
    </row>
    <row r="165" spans="1:27" ht="12" customHeight="1" x14ac:dyDescent="0.2">
      <c r="A165" s="1"/>
      <c r="B165" s="24"/>
      <c r="C165" s="24"/>
      <c r="D165" s="13"/>
      <c r="E165" s="13"/>
      <c r="F165" s="13"/>
      <c r="G165" s="13"/>
      <c r="H165" s="13"/>
      <c r="I165" s="13"/>
      <c r="J165" s="13"/>
      <c r="K165" s="20"/>
      <c r="L165" s="20"/>
      <c r="M165" s="1"/>
      <c r="N165" s="1"/>
      <c r="O165" s="24"/>
      <c r="P165" s="24"/>
      <c r="Q165" s="13"/>
      <c r="R165" s="13"/>
      <c r="S165" s="13"/>
      <c r="T165" s="13"/>
      <c r="U165" s="13"/>
      <c r="V165" s="13"/>
      <c r="W165" s="13"/>
      <c r="X165" s="13"/>
      <c r="Y165" s="20"/>
      <c r="Z165" s="1"/>
      <c r="AA165" s="1"/>
    </row>
    <row r="166" spans="1:27" ht="12" customHeight="1" x14ac:dyDescent="0.2">
      <c r="A166" s="1"/>
      <c r="B166" s="24"/>
      <c r="C166" s="24"/>
      <c r="D166" s="13"/>
      <c r="E166" s="13"/>
      <c r="F166" s="13"/>
      <c r="G166" s="13"/>
      <c r="H166" s="13"/>
      <c r="I166" s="13"/>
      <c r="J166" s="13"/>
      <c r="K166" s="20"/>
      <c r="L166" s="20"/>
      <c r="M166" s="1"/>
      <c r="N166" s="1"/>
      <c r="O166" s="24"/>
      <c r="P166" s="24"/>
      <c r="Q166" s="13"/>
      <c r="R166" s="13"/>
      <c r="S166" s="13"/>
      <c r="T166" s="13"/>
      <c r="U166" s="13"/>
      <c r="V166" s="13"/>
      <c r="W166" s="13"/>
      <c r="X166" s="13"/>
      <c r="Y166" s="20"/>
      <c r="Z166" s="1"/>
      <c r="AA166" s="1"/>
    </row>
    <row r="167" spans="1:27" ht="12" customHeight="1" x14ac:dyDescent="0.2">
      <c r="A167" s="1"/>
      <c r="B167" s="24"/>
      <c r="C167" s="24"/>
      <c r="D167" s="13"/>
      <c r="E167" s="13"/>
      <c r="F167" s="13"/>
      <c r="G167" s="13"/>
      <c r="H167" s="13"/>
      <c r="I167" s="13"/>
      <c r="J167" s="13"/>
      <c r="K167" s="20"/>
      <c r="L167" s="20"/>
      <c r="M167" s="1"/>
      <c r="N167" s="1"/>
      <c r="O167" s="24"/>
      <c r="P167" s="24"/>
      <c r="Q167" s="13"/>
      <c r="R167" s="13"/>
      <c r="S167" s="13"/>
      <c r="T167" s="13"/>
      <c r="U167" s="13"/>
      <c r="V167" s="13"/>
      <c r="W167" s="13"/>
      <c r="X167" s="13"/>
      <c r="Y167" s="20"/>
      <c r="Z167" s="1"/>
      <c r="AA167" s="1"/>
    </row>
    <row r="168" spans="1:27" ht="12" customHeight="1" x14ac:dyDescent="0.2">
      <c r="A168" s="1"/>
      <c r="B168" s="24"/>
      <c r="C168" s="24"/>
      <c r="D168" s="13"/>
      <c r="E168" s="13"/>
      <c r="F168" s="13"/>
      <c r="G168" s="13"/>
      <c r="H168" s="13"/>
      <c r="I168" s="13"/>
      <c r="J168" s="13"/>
      <c r="K168" s="20"/>
      <c r="L168" s="20"/>
      <c r="M168" s="1"/>
      <c r="N168" s="1"/>
      <c r="O168" s="24"/>
      <c r="P168" s="24"/>
      <c r="Q168" s="13"/>
      <c r="R168" s="13"/>
      <c r="S168" s="13"/>
      <c r="T168" s="13"/>
      <c r="U168" s="13"/>
      <c r="V168" s="13"/>
      <c r="W168" s="13"/>
      <c r="X168" s="13"/>
      <c r="Y168" s="20"/>
      <c r="Z168" s="1"/>
      <c r="AA168" s="1"/>
    </row>
    <row r="169" spans="1:27" ht="12" customHeight="1" x14ac:dyDescent="0.2">
      <c r="A169" s="1"/>
      <c r="B169" s="24"/>
      <c r="C169" s="24"/>
      <c r="D169" s="13"/>
      <c r="E169" s="13"/>
      <c r="F169" s="13"/>
      <c r="G169" s="13"/>
      <c r="H169" s="13"/>
      <c r="I169" s="13"/>
      <c r="J169" s="13"/>
      <c r="K169" s="20"/>
      <c r="L169" s="20"/>
      <c r="M169" s="1"/>
      <c r="N169" s="1"/>
      <c r="O169" s="24"/>
      <c r="P169" s="24"/>
      <c r="Q169" s="13"/>
      <c r="R169" s="13"/>
      <c r="S169" s="13"/>
      <c r="T169" s="13"/>
      <c r="U169" s="13"/>
      <c r="V169" s="13"/>
      <c r="W169" s="13"/>
      <c r="X169" s="13"/>
      <c r="Y169" s="20"/>
      <c r="Z169" s="1"/>
      <c r="AA169" s="1"/>
    </row>
    <row r="170" spans="1:27" ht="12" customHeight="1" x14ac:dyDescent="0.2">
      <c r="A170" s="1"/>
      <c r="B170" s="24"/>
      <c r="C170" s="24"/>
      <c r="D170" s="13"/>
      <c r="E170" s="13"/>
      <c r="F170" s="13"/>
      <c r="G170" s="13"/>
      <c r="H170" s="13"/>
      <c r="I170" s="13"/>
      <c r="J170" s="13"/>
      <c r="K170" s="20"/>
      <c r="L170" s="20"/>
      <c r="M170" s="1"/>
      <c r="N170" s="1"/>
      <c r="O170" s="24"/>
      <c r="P170" s="24"/>
      <c r="Q170" s="13"/>
      <c r="R170" s="13"/>
      <c r="S170" s="13"/>
      <c r="T170" s="13"/>
      <c r="U170" s="13"/>
      <c r="V170" s="13"/>
      <c r="W170" s="13"/>
      <c r="X170" s="13"/>
      <c r="Y170" s="20"/>
      <c r="Z170" s="1"/>
      <c r="AA170" s="1"/>
    </row>
    <row r="171" spans="1:27" ht="12" customHeight="1" x14ac:dyDescent="0.2">
      <c r="A171" s="1"/>
      <c r="B171" s="24"/>
      <c r="C171" s="24"/>
      <c r="D171" s="13"/>
      <c r="E171" s="13"/>
      <c r="F171" s="13"/>
      <c r="G171" s="13"/>
      <c r="H171" s="13"/>
      <c r="I171" s="13"/>
      <c r="J171" s="13"/>
      <c r="K171" s="20"/>
      <c r="L171" s="20"/>
      <c r="M171" s="1"/>
      <c r="N171" s="1"/>
      <c r="O171" s="24"/>
      <c r="P171" s="24"/>
      <c r="Q171" s="13"/>
      <c r="R171" s="13"/>
      <c r="S171" s="13"/>
      <c r="T171" s="13"/>
      <c r="U171" s="13"/>
      <c r="V171" s="13"/>
      <c r="W171" s="13"/>
      <c r="X171" s="13"/>
      <c r="Y171" s="20"/>
      <c r="Z171" s="1"/>
      <c r="AA171" s="1"/>
    </row>
    <row r="172" spans="1:27" ht="12" customHeight="1" x14ac:dyDescent="0.2">
      <c r="A172" s="1"/>
      <c r="B172" s="24"/>
      <c r="C172" s="24"/>
      <c r="D172" s="13"/>
      <c r="E172" s="13"/>
      <c r="F172" s="13"/>
      <c r="G172" s="13"/>
      <c r="H172" s="13"/>
      <c r="I172" s="13"/>
      <c r="J172" s="13"/>
      <c r="K172" s="20"/>
      <c r="L172" s="20"/>
      <c r="M172" s="1"/>
      <c r="N172" s="1"/>
      <c r="O172" s="24"/>
      <c r="P172" s="24"/>
      <c r="Q172" s="13"/>
      <c r="R172" s="13"/>
      <c r="S172" s="13"/>
      <c r="T172" s="13"/>
      <c r="U172" s="13"/>
      <c r="V172" s="13"/>
      <c r="W172" s="13"/>
      <c r="X172" s="13"/>
      <c r="Y172" s="20"/>
      <c r="Z172" s="1"/>
      <c r="AA172" s="1"/>
    </row>
    <row r="173" spans="1:27" ht="12" customHeight="1" x14ac:dyDescent="0.2">
      <c r="A173" s="1"/>
      <c r="B173" s="24"/>
      <c r="C173" s="24"/>
      <c r="D173" s="13"/>
      <c r="E173" s="13"/>
      <c r="F173" s="13"/>
      <c r="G173" s="13"/>
      <c r="H173" s="13"/>
      <c r="I173" s="13"/>
      <c r="J173" s="13"/>
      <c r="K173" s="20"/>
      <c r="L173" s="20"/>
      <c r="M173" s="1"/>
      <c r="N173" s="1"/>
      <c r="O173" s="24"/>
      <c r="P173" s="24"/>
      <c r="Q173" s="13"/>
      <c r="R173" s="13"/>
      <c r="S173" s="13"/>
      <c r="T173" s="13"/>
      <c r="U173" s="13"/>
      <c r="V173" s="13"/>
      <c r="W173" s="13"/>
      <c r="X173" s="13"/>
      <c r="Y173" s="20"/>
      <c r="Z173" s="1"/>
      <c r="AA173" s="1"/>
    </row>
    <row r="174" spans="1:27" ht="12" customHeight="1" x14ac:dyDescent="0.2">
      <c r="A174" s="1"/>
      <c r="B174" s="24"/>
      <c r="C174" s="24"/>
      <c r="D174" s="13"/>
      <c r="E174" s="13"/>
      <c r="F174" s="13"/>
      <c r="G174" s="13"/>
      <c r="H174" s="13"/>
      <c r="I174" s="13"/>
      <c r="J174" s="13"/>
      <c r="K174" s="20"/>
      <c r="L174" s="20"/>
      <c r="M174" s="1"/>
      <c r="N174" s="1"/>
      <c r="O174" s="24"/>
      <c r="P174" s="24"/>
      <c r="Q174" s="13"/>
      <c r="R174" s="13"/>
      <c r="S174" s="13"/>
      <c r="T174" s="13"/>
      <c r="U174" s="13"/>
      <c r="V174" s="13"/>
      <c r="W174" s="13"/>
      <c r="X174" s="13"/>
      <c r="Y174" s="20"/>
      <c r="Z174" s="1"/>
      <c r="AA174" s="1"/>
    </row>
    <row r="175" spans="1:27" ht="12" customHeight="1" x14ac:dyDescent="0.2">
      <c r="A175" s="1"/>
      <c r="B175" s="24"/>
      <c r="C175" s="24"/>
      <c r="D175" s="13"/>
      <c r="E175" s="13"/>
      <c r="F175" s="13"/>
      <c r="G175" s="13"/>
      <c r="H175" s="13"/>
      <c r="I175" s="13"/>
      <c r="J175" s="13"/>
      <c r="K175" s="20"/>
      <c r="L175" s="20"/>
      <c r="M175" s="1"/>
      <c r="N175" s="1"/>
      <c r="O175" s="24"/>
      <c r="P175" s="24"/>
      <c r="Q175" s="13"/>
      <c r="R175" s="13"/>
      <c r="S175" s="13"/>
      <c r="T175" s="13"/>
      <c r="U175" s="13"/>
      <c r="V175" s="13"/>
      <c r="W175" s="13"/>
      <c r="X175" s="13"/>
      <c r="Y175" s="20"/>
      <c r="Z175" s="1"/>
      <c r="AA175" s="1"/>
    </row>
    <row r="176" spans="1:27" ht="12" customHeight="1" x14ac:dyDescent="0.2">
      <c r="A176" s="1"/>
      <c r="B176" s="24"/>
      <c r="C176" s="24"/>
      <c r="D176" s="13"/>
      <c r="E176" s="13"/>
      <c r="F176" s="13"/>
      <c r="G176" s="13"/>
      <c r="H176" s="13"/>
      <c r="I176" s="13"/>
      <c r="J176" s="13"/>
      <c r="K176" s="20"/>
      <c r="L176" s="20"/>
      <c r="M176" s="1"/>
      <c r="N176" s="1"/>
      <c r="O176" s="24"/>
      <c r="P176" s="24"/>
      <c r="Q176" s="13"/>
      <c r="R176" s="13"/>
      <c r="S176" s="13"/>
      <c r="T176" s="13"/>
      <c r="U176" s="13"/>
      <c r="V176" s="13"/>
      <c r="W176" s="13"/>
      <c r="X176" s="13"/>
      <c r="Y176" s="20"/>
      <c r="Z176" s="1"/>
      <c r="AA176" s="1"/>
    </row>
    <row r="177" spans="1:27" ht="12" customHeight="1" x14ac:dyDescent="0.2">
      <c r="A177" s="1"/>
      <c r="B177" s="24"/>
      <c r="C177" s="24"/>
      <c r="D177" s="13"/>
      <c r="E177" s="13"/>
      <c r="F177" s="13"/>
      <c r="G177" s="13"/>
      <c r="H177" s="13"/>
      <c r="I177" s="13"/>
      <c r="J177" s="13"/>
      <c r="K177" s="20"/>
      <c r="L177" s="20"/>
      <c r="M177" s="1"/>
      <c r="N177" s="1"/>
      <c r="O177" s="24"/>
      <c r="P177" s="24"/>
      <c r="Q177" s="13"/>
      <c r="R177" s="13"/>
      <c r="S177" s="13"/>
      <c r="T177" s="13"/>
      <c r="U177" s="13"/>
      <c r="V177" s="13"/>
      <c r="W177" s="13"/>
      <c r="X177" s="13"/>
      <c r="Y177" s="20"/>
      <c r="Z177" s="1"/>
      <c r="AA177" s="1"/>
    </row>
    <row r="178" spans="1:27" ht="12" customHeight="1" x14ac:dyDescent="0.2">
      <c r="A178" s="1"/>
      <c r="B178" s="24"/>
      <c r="C178" s="24"/>
      <c r="D178" s="13"/>
      <c r="E178" s="13"/>
      <c r="F178" s="13"/>
      <c r="G178" s="13"/>
      <c r="H178" s="13"/>
      <c r="I178" s="13"/>
      <c r="J178" s="13"/>
      <c r="K178" s="20"/>
      <c r="L178" s="20"/>
      <c r="M178" s="1"/>
      <c r="N178" s="1"/>
      <c r="O178" s="24"/>
      <c r="P178" s="24"/>
      <c r="Q178" s="13"/>
      <c r="R178" s="13"/>
      <c r="S178" s="13"/>
      <c r="T178" s="13"/>
      <c r="U178" s="13"/>
      <c r="V178" s="13"/>
      <c r="W178" s="13"/>
      <c r="X178" s="13"/>
      <c r="Y178" s="20"/>
      <c r="Z178" s="1"/>
      <c r="AA178" s="1"/>
    </row>
    <row r="179" spans="1:27" ht="12" customHeight="1" x14ac:dyDescent="0.2">
      <c r="A179" s="1"/>
      <c r="B179" s="24"/>
      <c r="C179" s="24"/>
      <c r="D179" s="13"/>
      <c r="E179" s="13"/>
      <c r="F179" s="13"/>
      <c r="G179" s="13"/>
      <c r="H179" s="13"/>
      <c r="I179" s="13"/>
      <c r="J179" s="13"/>
      <c r="K179" s="20"/>
      <c r="L179" s="20"/>
      <c r="M179" s="1"/>
      <c r="N179" s="1"/>
      <c r="O179" s="24"/>
      <c r="P179" s="24"/>
      <c r="Q179" s="13"/>
      <c r="R179" s="13"/>
      <c r="S179" s="13"/>
      <c r="T179" s="13"/>
      <c r="U179" s="13"/>
      <c r="V179" s="13"/>
      <c r="W179" s="13"/>
      <c r="X179" s="13"/>
      <c r="Y179" s="20"/>
      <c r="Z179" s="1"/>
      <c r="AA179" s="1"/>
    </row>
    <row r="180" spans="1:27" ht="12" customHeight="1" x14ac:dyDescent="0.2">
      <c r="A180" s="1"/>
      <c r="B180" s="24"/>
      <c r="C180" s="24"/>
      <c r="D180" s="13"/>
      <c r="E180" s="13"/>
      <c r="F180" s="13"/>
      <c r="G180" s="13"/>
      <c r="H180" s="13"/>
      <c r="I180" s="13"/>
      <c r="J180" s="13"/>
      <c r="K180" s="20"/>
      <c r="L180" s="20"/>
      <c r="M180" s="1"/>
      <c r="N180" s="1"/>
      <c r="O180" s="24"/>
      <c r="P180" s="24"/>
      <c r="Q180" s="13"/>
      <c r="R180" s="13"/>
      <c r="S180" s="13"/>
      <c r="T180" s="13"/>
      <c r="U180" s="13"/>
      <c r="V180" s="13"/>
      <c r="W180" s="13"/>
      <c r="X180" s="13"/>
      <c r="Y180" s="20"/>
      <c r="Z180" s="1"/>
      <c r="AA180" s="1"/>
    </row>
    <row r="181" spans="1:27" ht="12" customHeight="1" x14ac:dyDescent="0.2">
      <c r="A181" s="1"/>
      <c r="B181" s="24"/>
      <c r="C181" s="24"/>
      <c r="D181" s="13"/>
      <c r="E181" s="13"/>
      <c r="F181" s="13"/>
      <c r="G181" s="13"/>
      <c r="H181" s="13"/>
      <c r="I181" s="13"/>
      <c r="J181" s="13"/>
      <c r="K181" s="20"/>
      <c r="L181" s="20"/>
      <c r="M181" s="1"/>
      <c r="N181" s="1"/>
      <c r="O181" s="24"/>
      <c r="P181" s="24"/>
      <c r="Q181" s="13"/>
      <c r="R181" s="13"/>
      <c r="S181" s="13"/>
      <c r="T181" s="13"/>
      <c r="U181" s="13"/>
      <c r="V181" s="13"/>
      <c r="W181" s="13"/>
      <c r="X181" s="13"/>
      <c r="Y181" s="20"/>
      <c r="Z181" s="1"/>
      <c r="AA181" s="1"/>
    </row>
    <row r="182" spans="1:27" ht="12" customHeight="1" x14ac:dyDescent="0.2">
      <c r="A182" s="1"/>
      <c r="B182" s="24"/>
      <c r="C182" s="24"/>
      <c r="D182" s="13"/>
      <c r="E182" s="13"/>
      <c r="F182" s="13"/>
      <c r="G182" s="13"/>
      <c r="H182" s="13"/>
      <c r="I182" s="13"/>
      <c r="J182" s="13"/>
      <c r="K182" s="20"/>
      <c r="L182" s="20"/>
      <c r="M182" s="1"/>
      <c r="N182" s="1"/>
      <c r="O182" s="24"/>
      <c r="P182" s="24"/>
      <c r="Q182" s="13"/>
      <c r="R182" s="13"/>
      <c r="S182" s="13"/>
      <c r="T182" s="13"/>
      <c r="U182" s="13"/>
      <c r="V182" s="13"/>
      <c r="W182" s="13"/>
      <c r="X182" s="13"/>
      <c r="Y182" s="20"/>
      <c r="Z182" s="1"/>
      <c r="AA182" s="1"/>
    </row>
    <row r="183" spans="1:27" ht="12" customHeight="1" x14ac:dyDescent="0.2">
      <c r="A183" s="1"/>
      <c r="B183" s="24"/>
      <c r="C183" s="24"/>
      <c r="D183" s="13"/>
      <c r="E183" s="13"/>
      <c r="F183" s="13"/>
      <c r="G183" s="13"/>
      <c r="H183" s="13"/>
      <c r="I183" s="13"/>
      <c r="J183" s="13"/>
      <c r="K183" s="20"/>
      <c r="L183" s="20"/>
      <c r="M183" s="1"/>
      <c r="N183" s="1"/>
      <c r="O183" s="24"/>
      <c r="P183" s="24"/>
      <c r="Q183" s="13"/>
      <c r="R183" s="13"/>
      <c r="S183" s="13"/>
      <c r="T183" s="13"/>
      <c r="U183" s="13"/>
      <c r="V183" s="13"/>
      <c r="W183" s="13"/>
      <c r="X183" s="13"/>
      <c r="Y183" s="20"/>
      <c r="Z183" s="1"/>
      <c r="AA183" s="1"/>
    </row>
    <row r="184" spans="1:27" ht="12" customHeight="1" x14ac:dyDescent="0.2">
      <c r="A184" s="1"/>
      <c r="B184" s="24"/>
      <c r="C184" s="24"/>
      <c r="D184" s="13"/>
      <c r="E184" s="13"/>
      <c r="F184" s="13"/>
      <c r="G184" s="13"/>
      <c r="H184" s="13"/>
      <c r="I184" s="13"/>
      <c r="J184" s="13"/>
      <c r="K184" s="20"/>
      <c r="L184" s="20"/>
      <c r="M184" s="1"/>
      <c r="N184" s="1"/>
      <c r="O184" s="24"/>
      <c r="P184" s="24"/>
      <c r="Q184" s="13"/>
      <c r="R184" s="13"/>
      <c r="S184" s="13"/>
      <c r="T184" s="13"/>
      <c r="U184" s="13"/>
      <c r="V184" s="13"/>
      <c r="W184" s="13"/>
      <c r="X184" s="13"/>
      <c r="Y184" s="20"/>
      <c r="Z184" s="1"/>
      <c r="AA184" s="1"/>
    </row>
    <row r="185" spans="1:27" ht="12" customHeight="1" x14ac:dyDescent="0.2">
      <c r="A185" s="1"/>
      <c r="B185" s="24"/>
      <c r="C185" s="24"/>
      <c r="D185" s="13"/>
      <c r="E185" s="13"/>
      <c r="F185" s="13"/>
      <c r="G185" s="13"/>
      <c r="H185" s="13"/>
      <c r="I185" s="13"/>
      <c r="J185" s="13"/>
      <c r="K185" s="20"/>
      <c r="L185" s="20"/>
      <c r="M185" s="1"/>
      <c r="N185" s="1"/>
      <c r="O185" s="24"/>
      <c r="P185" s="24"/>
      <c r="Q185" s="13"/>
      <c r="R185" s="13"/>
      <c r="S185" s="13"/>
      <c r="T185" s="13"/>
      <c r="U185" s="13"/>
      <c r="V185" s="13"/>
      <c r="W185" s="13"/>
      <c r="X185" s="13"/>
      <c r="Y185" s="20"/>
      <c r="Z185" s="1"/>
      <c r="AA185" s="1"/>
    </row>
    <row r="186" spans="1:27" ht="12" customHeight="1" x14ac:dyDescent="0.2">
      <c r="A186" s="1"/>
      <c r="B186" s="24"/>
      <c r="C186" s="24"/>
      <c r="D186" s="13"/>
      <c r="E186" s="13"/>
      <c r="F186" s="13"/>
      <c r="G186" s="13"/>
      <c r="H186" s="13"/>
      <c r="I186" s="13"/>
      <c r="J186" s="13"/>
      <c r="K186" s="20"/>
      <c r="L186" s="20"/>
      <c r="M186" s="1"/>
      <c r="N186" s="1"/>
      <c r="O186" s="24"/>
      <c r="P186" s="24"/>
      <c r="Q186" s="13"/>
      <c r="R186" s="13"/>
      <c r="S186" s="13"/>
      <c r="T186" s="13"/>
      <c r="U186" s="13"/>
      <c r="V186" s="13"/>
      <c r="W186" s="13"/>
      <c r="X186" s="13"/>
      <c r="Y186" s="20"/>
      <c r="Z186" s="1"/>
      <c r="AA186" s="1"/>
    </row>
    <row r="187" spans="1:27" ht="12" customHeight="1" x14ac:dyDescent="0.2">
      <c r="A187" s="1"/>
      <c r="B187" s="24"/>
      <c r="C187" s="24"/>
      <c r="D187" s="13"/>
      <c r="E187" s="13"/>
      <c r="F187" s="13"/>
      <c r="G187" s="13"/>
      <c r="H187" s="13"/>
      <c r="I187" s="13"/>
      <c r="J187" s="13"/>
      <c r="K187" s="20"/>
      <c r="L187" s="20"/>
      <c r="M187" s="1"/>
      <c r="N187" s="1"/>
      <c r="O187" s="24"/>
      <c r="P187" s="24"/>
      <c r="Q187" s="13"/>
      <c r="R187" s="13"/>
      <c r="S187" s="13"/>
      <c r="T187" s="13"/>
      <c r="U187" s="13"/>
      <c r="V187" s="13"/>
      <c r="W187" s="13"/>
      <c r="X187" s="13"/>
      <c r="Y187" s="20"/>
      <c r="Z187" s="1"/>
      <c r="AA187" s="1"/>
    </row>
    <row r="188" spans="1:27" ht="12" customHeight="1" x14ac:dyDescent="0.2">
      <c r="A188" s="1"/>
      <c r="B188" s="24"/>
      <c r="C188" s="24"/>
      <c r="D188" s="13"/>
      <c r="E188" s="13"/>
      <c r="F188" s="13"/>
      <c r="G188" s="13"/>
      <c r="H188" s="13"/>
      <c r="I188" s="13"/>
      <c r="J188" s="13"/>
      <c r="K188" s="20"/>
      <c r="L188" s="20"/>
      <c r="M188" s="1"/>
      <c r="N188" s="1"/>
      <c r="O188" s="24"/>
      <c r="P188" s="24"/>
      <c r="Q188" s="13"/>
      <c r="R188" s="13"/>
      <c r="S188" s="13"/>
      <c r="T188" s="13"/>
      <c r="U188" s="13"/>
      <c r="V188" s="13"/>
      <c r="W188" s="13"/>
      <c r="X188" s="13"/>
      <c r="Y188" s="20"/>
      <c r="Z188" s="1"/>
      <c r="AA188" s="1"/>
    </row>
    <row r="189" spans="1:27" ht="12" customHeight="1" x14ac:dyDescent="0.2">
      <c r="A189" s="1"/>
      <c r="B189" s="24"/>
      <c r="C189" s="24"/>
      <c r="D189" s="13"/>
      <c r="E189" s="13"/>
      <c r="F189" s="13"/>
      <c r="G189" s="13"/>
      <c r="H189" s="13"/>
      <c r="I189" s="13"/>
      <c r="J189" s="13"/>
      <c r="K189" s="20"/>
      <c r="L189" s="20"/>
      <c r="M189" s="1"/>
      <c r="N189" s="1"/>
      <c r="O189" s="24"/>
      <c r="P189" s="24"/>
      <c r="Q189" s="13"/>
      <c r="R189" s="13"/>
      <c r="S189" s="13"/>
      <c r="T189" s="13"/>
      <c r="U189" s="13"/>
      <c r="V189" s="13"/>
      <c r="W189" s="13"/>
      <c r="X189" s="13"/>
      <c r="Y189" s="20"/>
      <c r="Z189" s="1"/>
      <c r="AA189" s="1"/>
    </row>
    <row r="190" spans="1:27" ht="12" customHeight="1" x14ac:dyDescent="0.2">
      <c r="A190" s="1"/>
      <c r="B190" s="24"/>
      <c r="C190" s="24"/>
      <c r="D190" s="13"/>
      <c r="E190" s="13"/>
      <c r="F190" s="13"/>
      <c r="G190" s="13"/>
      <c r="H190" s="13"/>
      <c r="I190" s="13"/>
      <c r="J190" s="13"/>
      <c r="K190" s="20"/>
      <c r="L190" s="20"/>
      <c r="M190" s="1"/>
      <c r="N190" s="1"/>
      <c r="O190" s="24"/>
      <c r="P190" s="24"/>
      <c r="Q190" s="13"/>
      <c r="R190" s="13"/>
      <c r="S190" s="13"/>
      <c r="T190" s="13"/>
      <c r="U190" s="13"/>
      <c r="V190" s="13"/>
      <c r="W190" s="13"/>
      <c r="X190" s="13"/>
      <c r="Y190" s="20"/>
      <c r="Z190" s="1"/>
      <c r="AA190" s="1"/>
    </row>
    <row r="191" spans="1:27" ht="12" customHeight="1" x14ac:dyDescent="0.2">
      <c r="A191" s="1"/>
      <c r="B191" s="24"/>
      <c r="C191" s="24"/>
      <c r="D191" s="13"/>
      <c r="E191" s="13"/>
      <c r="F191" s="13"/>
      <c r="G191" s="13"/>
      <c r="H191" s="13"/>
      <c r="I191" s="13"/>
      <c r="J191" s="13"/>
      <c r="K191" s="20"/>
      <c r="L191" s="20"/>
      <c r="M191" s="1"/>
      <c r="N191" s="1"/>
      <c r="O191" s="24"/>
      <c r="P191" s="24"/>
      <c r="Q191" s="13"/>
      <c r="R191" s="13"/>
      <c r="S191" s="13"/>
      <c r="T191" s="13"/>
      <c r="U191" s="13"/>
      <c r="V191" s="13"/>
      <c r="W191" s="13"/>
      <c r="X191" s="13"/>
      <c r="Y191" s="20"/>
      <c r="Z191" s="1"/>
      <c r="AA191" s="1"/>
    </row>
    <row r="192" spans="1:27" ht="12" customHeight="1" x14ac:dyDescent="0.2">
      <c r="A192" s="1"/>
      <c r="B192" s="24"/>
      <c r="C192" s="24"/>
      <c r="D192" s="13"/>
      <c r="E192" s="13"/>
      <c r="F192" s="13"/>
      <c r="G192" s="13"/>
      <c r="H192" s="13"/>
      <c r="I192" s="13"/>
      <c r="J192" s="13"/>
      <c r="K192" s="20"/>
      <c r="L192" s="20"/>
      <c r="M192" s="1"/>
      <c r="N192" s="1"/>
      <c r="O192" s="24"/>
      <c r="P192" s="24"/>
      <c r="Q192" s="13"/>
      <c r="R192" s="13"/>
      <c r="S192" s="13"/>
      <c r="T192" s="13"/>
      <c r="U192" s="13"/>
      <c r="V192" s="13"/>
      <c r="W192" s="13"/>
      <c r="X192" s="13"/>
      <c r="Y192" s="20"/>
      <c r="Z192" s="1"/>
      <c r="AA192" s="1"/>
    </row>
    <row r="193" spans="1:27" ht="12" customHeight="1" x14ac:dyDescent="0.2">
      <c r="A193" s="1"/>
      <c r="B193" s="24"/>
      <c r="C193" s="24"/>
      <c r="D193" s="13"/>
      <c r="E193" s="13"/>
      <c r="F193" s="13"/>
      <c r="G193" s="13"/>
      <c r="H193" s="13"/>
      <c r="I193" s="13"/>
      <c r="J193" s="13"/>
      <c r="K193" s="20"/>
      <c r="L193" s="20"/>
      <c r="M193" s="1"/>
      <c r="N193" s="1"/>
      <c r="O193" s="24"/>
      <c r="P193" s="24"/>
      <c r="Q193" s="13"/>
      <c r="R193" s="13"/>
      <c r="S193" s="13"/>
      <c r="T193" s="13"/>
      <c r="U193" s="13"/>
      <c r="V193" s="13"/>
      <c r="W193" s="13"/>
      <c r="X193" s="13"/>
      <c r="Y193" s="20"/>
      <c r="Z193" s="1"/>
      <c r="AA193" s="1"/>
    </row>
    <row r="194" spans="1:27" ht="12" customHeight="1" x14ac:dyDescent="0.2">
      <c r="A194" s="1"/>
      <c r="B194" s="24"/>
      <c r="C194" s="24"/>
      <c r="D194" s="13"/>
      <c r="E194" s="13"/>
      <c r="F194" s="13"/>
      <c r="G194" s="13"/>
      <c r="H194" s="13"/>
      <c r="I194" s="13"/>
      <c r="J194" s="13"/>
      <c r="K194" s="20"/>
      <c r="L194" s="20"/>
      <c r="M194" s="1"/>
      <c r="N194" s="1"/>
      <c r="O194" s="24"/>
      <c r="P194" s="24"/>
      <c r="Q194" s="13"/>
      <c r="R194" s="13"/>
      <c r="S194" s="13"/>
      <c r="T194" s="13"/>
      <c r="U194" s="13"/>
      <c r="V194" s="13"/>
      <c r="W194" s="13"/>
      <c r="X194" s="13"/>
      <c r="Y194" s="20"/>
      <c r="Z194" s="1"/>
      <c r="AA194" s="1"/>
    </row>
    <row r="195" spans="1:27" ht="12" customHeight="1" x14ac:dyDescent="0.2">
      <c r="A195" s="1"/>
      <c r="B195" s="24"/>
      <c r="C195" s="24"/>
      <c r="D195" s="13"/>
      <c r="E195" s="13"/>
      <c r="F195" s="13"/>
      <c r="G195" s="13"/>
      <c r="H195" s="13"/>
      <c r="I195" s="13"/>
      <c r="J195" s="13"/>
      <c r="K195" s="20"/>
      <c r="L195" s="20"/>
      <c r="M195" s="1"/>
      <c r="N195" s="1"/>
      <c r="O195" s="24"/>
      <c r="P195" s="24"/>
      <c r="Q195" s="13"/>
      <c r="R195" s="13"/>
      <c r="S195" s="13"/>
      <c r="T195" s="13"/>
      <c r="U195" s="13"/>
      <c r="V195" s="13"/>
      <c r="W195" s="13"/>
      <c r="X195" s="13"/>
      <c r="Y195" s="20"/>
      <c r="Z195" s="1"/>
      <c r="AA195" s="1"/>
    </row>
    <row r="196" spans="1:27" ht="12" customHeight="1" x14ac:dyDescent="0.2">
      <c r="A196" s="1"/>
      <c r="B196" s="24"/>
      <c r="C196" s="24"/>
      <c r="D196" s="13"/>
      <c r="E196" s="13"/>
      <c r="F196" s="13"/>
      <c r="G196" s="13"/>
      <c r="H196" s="13"/>
      <c r="I196" s="13"/>
      <c r="J196" s="13"/>
      <c r="K196" s="20"/>
      <c r="L196" s="20"/>
      <c r="M196" s="1"/>
      <c r="N196" s="1"/>
      <c r="O196" s="24"/>
      <c r="P196" s="24"/>
      <c r="Q196" s="13"/>
      <c r="R196" s="13"/>
      <c r="S196" s="13"/>
      <c r="T196" s="13"/>
      <c r="U196" s="13"/>
      <c r="V196" s="13"/>
      <c r="W196" s="13"/>
      <c r="X196" s="13"/>
      <c r="Y196" s="20"/>
      <c r="Z196" s="1"/>
      <c r="AA196" s="1"/>
    </row>
    <row r="197" spans="1:27" ht="12" customHeight="1" x14ac:dyDescent="0.2">
      <c r="A197" s="1"/>
      <c r="B197" s="24"/>
      <c r="C197" s="24"/>
      <c r="D197" s="13"/>
      <c r="E197" s="13"/>
      <c r="F197" s="13"/>
      <c r="G197" s="13"/>
      <c r="H197" s="13"/>
      <c r="I197" s="13"/>
      <c r="J197" s="13"/>
      <c r="K197" s="20"/>
      <c r="L197" s="20"/>
      <c r="M197" s="1"/>
      <c r="N197" s="1"/>
      <c r="O197" s="24"/>
      <c r="P197" s="24"/>
      <c r="Q197" s="13"/>
      <c r="R197" s="13"/>
      <c r="S197" s="13"/>
      <c r="T197" s="13"/>
      <c r="U197" s="13"/>
      <c r="V197" s="13"/>
      <c r="W197" s="13"/>
      <c r="X197" s="13"/>
      <c r="Y197" s="20"/>
      <c r="Z197" s="1"/>
      <c r="AA197" s="1"/>
    </row>
    <row r="198" spans="1:27" ht="12" customHeight="1" x14ac:dyDescent="0.2">
      <c r="A198" s="1"/>
      <c r="B198" s="24"/>
      <c r="C198" s="24"/>
      <c r="D198" s="13"/>
      <c r="E198" s="13"/>
      <c r="F198" s="13"/>
      <c r="G198" s="13"/>
      <c r="H198" s="13"/>
      <c r="I198" s="13"/>
      <c r="J198" s="13"/>
      <c r="K198" s="20"/>
      <c r="L198" s="20"/>
      <c r="M198" s="1"/>
      <c r="N198" s="1"/>
      <c r="O198" s="24"/>
      <c r="P198" s="24"/>
      <c r="Q198" s="13"/>
      <c r="R198" s="13"/>
      <c r="S198" s="13"/>
      <c r="T198" s="13"/>
      <c r="U198" s="13"/>
      <c r="V198" s="13"/>
      <c r="W198" s="13"/>
      <c r="X198" s="13"/>
      <c r="Y198" s="20"/>
      <c r="Z198" s="1"/>
      <c r="AA198" s="1"/>
    </row>
    <row r="199" spans="1:27" ht="12" customHeight="1" x14ac:dyDescent="0.2">
      <c r="A199" s="1"/>
      <c r="B199" s="24"/>
      <c r="C199" s="24"/>
      <c r="D199" s="13"/>
      <c r="E199" s="13"/>
      <c r="F199" s="13"/>
      <c r="G199" s="13"/>
      <c r="H199" s="13"/>
      <c r="I199" s="13"/>
      <c r="J199" s="13"/>
      <c r="K199" s="20"/>
      <c r="L199" s="20"/>
      <c r="M199" s="1"/>
      <c r="N199" s="1"/>
      <c r="O199" s="24"/>
      <c r="P199" s="24"/>
      <c r="Q199" s="13"/>
      <c r="R199" s="13"/>
      <c r="S199" s="13"/>
      <c r="T199" s="13"/>
      <c r="U199" s="13"/>
      <c r="V199" s="13"/>
      <c r="W199" s="13"/>
      <c r="X199" s="13"/>
      <c r="Y199" s="20"/>
      <c r="Z199" s="1"/>
      <c r="AA199" s="1"/>
    </row>
    <row r="200" spans="1:27" ht="12" customHeight="1" x14ac:dyDescent="0.2">
      <c r="A200" s="1"/>
      <c r="B200" s="24"/>
      <c r="C200" s="24"/>
      <c r="D200" s="13"/>
      <c r="E200" s="13"/>
      <c r="F200" s="13"/>
      <c r="G200" s="13"/>
      <c r="H200" s="13"/>
      <c r="I200" s="13"/>
      <c r="J200" s="13"/>
      <c r="K200" s="20"/>
      <c r="L200" s="20"/>
      <c r="M200" s="1"/>
      <c r="N200" s="1"/>
      <c r="O200" s="24"/>
      <c r="P200" s="24"/>
      <c r="Q200" s="13"/>
      <c r="R200" s="13"/>
      <c r="S200" s="13"/>
      <c r="T200" s="13"/>
      <c r="U200" s="13"/>
      <c r="V200" s="13"/>
      <c r="W200" s="13"/>
      <c r="X200" s="13"/>
      <c r="Y200" s="20"/>
      <c r="Z200" s="1"/>
      <c r="AA200" s="1"/>
    </row>
    <row r="201" spans="1:27" ht="12" customHeight="1" x14ac:dyDescent="0.2">
      <c r="A201" s="1"/>
      <c r="B201" s="24"/>
      <c r="C201" s="24"/>
      <c r="D201" s="13"/>
      <c r="E201" s="13"/>
      <c r="F201" s="13"/>
      <c r="G201" s="13"/>
      <c r="H201" s="13"/>
      <c r="I201" s="13"/>
      <c r="J201" s="13"/>
      <c r="K201" s="20"/>
      <c r="L201" s="20"/>
      <c r="M201" s="1"/>
      <c r="N201" s="1"/>
      <c r="O201" s="24"/>
      <c r="P201" s="24"/>
      <c r="Q201" s="13"/>
      <c r="R201" s="13"/>
      <c r="S201" s="13"/>
      <c r="T201" s="13"/>
      <c r="U201" s="13"/>
      <c r="V201" s="13"/>
      <c r="W201" s="13"/>
      <c r="X201" s="13"/>
      <c r="Y201" s="20"/>
      <c r="Z201" s="1"/>
      <c r="AA201" s="1"/>
    </row>
    <row r="202" spans="1:27" ht="12" customHeight="1" x14ac:dyDescent="0.2">
      <c r="A202" s="1"/>
      <c r="B202" s="24"/>
      <c r="C202" s="24"/>
      <c r="D202" s="13"/>
      <c r="E202" s="13"/>
      <c r="F202" s="13"/>
      <c r="G202" s="13"/>
      <c r="H202" s="13"/>
      <c r="I202" s="13"/>
      <c r="J202" s="13"/>
      <c r="K202" s="20"/>
      <c r="L202" s="20"/>
      <c r="M202" s="1"/>
      <c r="N202" s="1"/>
      <c r="O202" s="24"/>
      <c r="P202" s="24"/>
      <c r="Q202" s="13"/>
      <c r="R202" s="13"/>
      <c r="S202" s="13"/>
      <c r="T202" s="13"/>
      <c r="U202" s="13"/>
      <c r="V202" s="13"/>
      <c r="W202" s="13"/>
      <c r="X202" s="13"/>
      <c r="Y202" s="20"/>
      <c r="Z202" s="1"/>
      <c r="AA202" s="1"/>
    </row>
    <row r="203" spans="1:27" ht="12" customHeight="1" x14ac:dyDescent="0.2">
      <c r="A203" s="1"/>
      <c r="B203" s="24"/>
      <c r="C203" s="24"/>
      <c r="D203" s="13"/>
      <c r="E203" s="13"/>
      <c r="F203" s="13"/>
      <c r="G203" s="13"/>
      <c r="H203" s="13"/>
      <c r="I203" s="13"/>
      <c r="J203" s="13"/>
      <c r="K203" s="20"/>
      <c r="L203" s="20"/>
      <c r="M203" s="1"/>
      <c r="N203" s="1"/>
      <c r="O203" s="24"/>
      <c r="P203" s="24"/>
      <c r="Q203" s="13"/>
      <c r="R203" s="13"/>
      <c r="S203" s="13"/>
      <c r="T203" s="13"/>
      <c r="U203" s="13"/>
      <c r="V203" s="13"/>
      <c r="W203" s="13"/>
      <c r="X203" s="13"/>
      <c r="Y203" s="20"/>
      <c r="Z203" s="1"/>
      <c r="AA203" s="1"/>
    </row>
    <row r="204" spans="1:27" ht="12" customHeight="1" x14ac:dyDescent="0.2">
      <c r="A204" s="1"/>
      <c r="B204" s="24"/>
      <c r="C204" s="24"/>
      <c r="D204" s="13"/>
      <c r="E204" s="13"/>
      <c r="F204" s="13"/>
      <c r="G204" s="13"/>
      <c r="H204" s="13"/>
      <c r="I204" s="13"/>
      <c r="J204" s="13"/>
      <c r="K204" s="20"/>
      <c r="L204" s="20"/>
      <c r="M204" s="1"/>
      <c r="N204" s="1"/>
      <c r="O204" s="24"/>
      <c r="P204" s="24"/>
      <c r="Q204" s="13"/>
      <c r="R204" s="13"/>
      <c r="S204" s="13"/>
      <c r="T204" s="13"/>
      <c r="U204" s="13"/>
      <c r="V204" s="13"/>
      <c r="W204" s="13"/>
      <c r="X204" s="13"/>
      <c r="Y204" s="20"/>
      <c r="Z204" s="1"/>
      <c r="AA204" s="1"/>
    </row>
    <row r="205" spans="1:27" ht="12" customHeight="1" x14ac:dyDescent="0.2">
      <c r="A205" s="1"/>
      <c r="B205" s="24"/>
      <c r="C205" s="24"/>
      <c r="D205" s="13"/>
      <c r="E205" s="13"/>
      <c r="F205" s="13"/>
      <c r="G205" s="13"/>
      <c r="H205" s="13"/>
      <c r="I205" s="13"/>
      <c r="J205" s="13"/>
      <c r="K205" s="20"/>
      <c r="L205" s="20"/>
      <c r="M205" s="1"/>
      <c r="N205" s="1"/>
      <c r="O205" s="24"/>
      <c r="P205" s="24"/>
      <c r="Q205" s="13"/>
      <c r="R205" s="13"/>
      <c r="S205" s="13"/>
      <c r="T205" s="13"/>
      <c r="U205" s="13"/>
      <c r="V205" s="13"/>
      <c r="W205" s="13"/>
      <c r="X205" s="13"/>
      <c r="Y205" s="20"/>
      <c r="Z205" s="1"/>
      <c r="AA205" s="1"/>
    </row>
    <row r="206" spans="1:27" ht="12" customHeight="1" x14ac:dyDescent="0.2">
      <c r="A206" s="1"/>
      <c r="B206" s="24"/>
      <c r="C206" s="24"/>
      <c r="D206" s="13"/>
      <c r="E206" s="13"/>
      <c r="F206" s="13"/>
      <c r="G206" s="13"/>
      <c r="H206" s="13"/>
      <c r="I206" s="13"/>
      <c r="J206" s="13"/>
      <c r="K206" s="20"/>
      <c r="L206" s="20"/>
      <c r="M206" s="1"/>
      <c r="N206" s="1"/>
      <c r="O206" s="24"/>
      <c r="P206" s="24"/>
      <c r="Q206" s="13"/>
      <c r="R206" s="13"/>
      <c r="S206" s="13"/>
      <c r="T206" s="13"/>
      <c r="U206" s="13"/>
      <c r="V206" s="13"/>
      <c r="W206" s="13"/>
      <c r="X206" s="13"/>
      <c r="Y206" s="20"/>
      <c r="Z206" s="1"/>
      <c r="AA206" s="1"/>
    </row>
    <row r="207" spans="1:27" ht="12" customHeight="1" x14ac:dyDescent="0.2">
      <c r="A207" s="1"/>
      <c r="B207" s="24"/>
      <c r="C207" s="24"/>
      <c r="D207" s="13"/>
      <c r="E207" s="13"/>
      <c r="F207" s="13"/>
      <c r="G207" s="13"/>
      <c r="H207" s="13"/>
      <c r="I207" s="13"/>
      <c r="J207" s="13"/>
      <c r="K207" s="20"/>
      <c r="L207" s="20"/>
      <c r="M207" s="1"/>
      <c r="N207" s="1"/>
      <c r="O207" s="24"/>
      <c r="P207" s="24"/>
      <c r="Q207" s="13"/>
      <c r="R207" s="13"/>
      <c r="S207" s="13"/>
      <c r="T207" s="13"/>
      <c r="U207" s="13"/>
      <c r="V207" s="13"/>
      <c r="W207" s="13"/>
      <c r="X207" s="13"/>
      <c r="Y207" s="20"/>
      <c r="Z207" s="1"/>
      <c r="AA207" s="1"/>
    </row>
    <row r="208" spans="1:27" ht="12" customHeight="1" x14ac:dyDescent="0.2">
      <c r="A208" s="1"/>
      <c r="B208" s="24"/>
      <c r="C208" s="24"/>
      <c r="D208" s="13"/>
      <c r="E208" s="13"/>
      <c r="F208" s="13"/>
      <c r="G208" s="13"/>
      <c r="H208" s="13"/>
      <c r="I208" s="13"/>
      <c r="J208" s="13"/>
      <c r="K208" s="20"/>
      <c r="L208" s="20"/>
      <c r="M208" s="1"/>
      <c r="N208" s="1"/>
      <c r="O208" s="24"/>
      <c r="P208" s="24"/>
      <c r="Q208" s="13"/>
      <c r="R208" s="13"/>
      <c r="S208" s="13"/>
      <c r="T208" s="13"/>
      <c r="U208" s="13"/>
      <c r="V208" s="13"/>
      <c r="W208" s="13"/>
      <c r="X208" s="13"/>
      <c r="Y208" s="20"/>
      <c r="Z208" s="1"/>
      <c r="AA208" s="1"/>
    </row>
    <row r="209" spans="1:27" ht="12" customHeight="1" x14ac:dyDescent="0.2">
      <c r="A209" s="1"/>
      <c r="B209" s="24"/>
      <c r="C209" s="24"/>
      <c r="D209" s="13"/>
      <c r="E209" s="13"/>
      <c r="F209" s="13"/>
      <c r="G209" s="13"/>
      <c r="H209" s="13"/>
      <c r="I209" s="13"/>
      <c r="J209" s="13"/>
      <c r="K209" s="20"/>
      <c r="L209" s="20"/>
      <c r="M209" s="1"/>
      <c r="N209" s="1"/>
      <c r="O209" s="24"/>
      <c r="P209" s="24"/>
      <c r="Q209" s="13"/>
      <c r="R209" s="13"/>
      <c r="S209" s="13"/>
      <c r="T209" s="13"/>
      <c r="U209" s="13"/>
      <c r="V209" s="13"/>
      <c r="W209" s="13"/>
      <c r="X209" s="13"/>
      <c r="Y209" s="20"/>
      <c r="Z209" s="1"/>
      <c r="AA209" s="1"/>
    </row>
    <row r="210" spans="1:27" ht="12" customHeight="1" x14ac:dyDescent="0.2">
      <c r="A210" s="1"/>
      <c r="B210" s="24"/>
      <c r="C210" s="24"/>
      <c r="D210" s="13"/>
      <c r="E210" s="13"/>
      <c r="F210" s="13"/>
      <c r="G210" s="13"/>
      <c r="H210" s="13"/>
      <c r="I210" s="13"/>
      <c r="J210" s="13"/>
      <c r="K210" s="20"/>
      <c r="L210" s="20"/>
      <c r="M210" s="1"/>
      <c r="N210" s="1"/>
      <c r="O210" s="24"/>
      <c r="P210" s="24"/>
      <c r="Q210" s="13"/>
      <c r="R210" s="13"/>
      <c r="S210" s="13"/>
      <c r="T210" s="13"/>
      <c r="U210" s="13"/>
      <c r="V210" s="13"/>
      <c r="W210" s="13"/>
      <c r="X210" s="13"/>
      <c r="Y210" s="20"/>
      <c r="Z210" s="1"/>
      <c r="AA210" s="1"/>
    </row>
    <row r="211" spans="1:27" ht="12" customHeight="1" x14ac:dyDescent="0.2">
      <c r="A211" s="1"/>
      <c r="B211" s="24"/>
      <c r="C211" s="24"/>
      <c r="D211" s="13"/>
      <c r="E211" s="13"/>
      <c r="F211" s="13"/>
      <c r="G211" s="13"/>
      <c r="H211" s="13"/>
      <c r="I211" s="13"/>
      <c r="J211" s="13"/>
      <c r="K211" s="20"/>
      <c r="L211" s="20"/>
      <c r="M211" s="1"/>
      <c r="N211" s="1"/>
      <c r="O211" s="24"/>
      <c r="P211" s="24"/>
      <c r="Q211" s="13"/>
      <c r="R211" s="13"/>
      <c r="S211" s="13"/>
      <c r="T211" s="13"/>
      <c r="U211" s="13"/>
      <c r="V211" s="13"/>
      <c r="W211" s="13"/>
      <c r="X211" s="13"/>
      <c r="Y211" s="20"/>
      <c r="Z211" s="1"/>
      <c r="AA211" s="1"/>
    </row>
    <row r="212" spans="1:27" ht="12" customHeight="1" x14ac:dyDescent="0.2">
      <c r="A212" s="1"/>
      <c r="B212" s="24"/>
      <c r="C212" s="24"/>
      <c r="D212" s="13"/>
      <c r="E212" s="13"/>
      <c r="F212" s="13"/>
      <c r="G212" s="13"/>
      <c r="H212" s="13"/>
      <c r="I212" s="13"/>
      <c r="J212" s="13"/>
      <c r="K212" s="20"/>
      <c r="L212" s="20"/>
      <c r="M212" s="1"/>
      <c r="N212" s="1"/>
      <c r="O212" s="24"/>
      <c r="P212" s="24"/>
      <c r="Q212" s="13"/>
      <c r="R212" s="13"/>
      <c r="S212" s="13"/>
      <c r="T212" s="13"/>
      <c r="U212" s="13"/>
      <c r="V212" s="13"/>
      <c r="W212" s="13"/>
      <c r="X212" s="13"/>
      <c r="Y212" s="20"/>
      <c r="Z212" s="1"/>
      <c r="AA212" s="1"/>
    </row>
    <row r="213" spans="1:27" ht="12" customHeight="1" x14ac:dyDescent="0.2">
      <c r="A213" s="1"/>
      <c r="B213" s="24"/>
      <c r="C213" s="24"/>
      <c r="D213" s="13"/>
      <c r="E213" s="13"/>
      <c r="F213" s="13"/>
      <c r="G213" s="13"/>
      <c r="H213" s="13"/>
      <c r="I213" s="13"/>
      <c r="J213" s="13"/>
      <c r="K213" s="20"/>
      <c r="L213" s="20"/>
      <c r="M213" s="1"/>
      <c r="N213" s="1"/>
      <c r="O213" s="24"/>
      <c r="P213" s="24"/>
      <c r="Q213" s="13"/>
      <c r="R213" s="13"/>
      <c r="S213" s="13"/>
      <c r="T213" s="13"/>
      <c r="U213" s="13"/>
      <c r="V213" s="13"/>
      <c r="W213" s="13"/>
      <c r="X213" s="13"/>
      <c r="Y213" s="20"/>
      <c r="Z213" s="1"/>
      <c r="AA213" s="1"/>
    </row>
    <row r="214" spans="1:27" ht="12" customHeight="1" x14ac:dyDescent="0.2">
      <c r="A214" s="1"/>
      <c r="B214" s="24"/>
      <c r="C214" s="24"/>
      <c r="D214" s="13"/>
      <c r="E214" s="13"/>
      <c r="F214" s="13"/>
      <c r="G214" s="13"/>
      <c r="H214" s="13"/>
      <c r="I214" s="13"/>
      <c r="J214" s="13"/>
      <c r="K214" s="20"/>
      <c r="L214" s="20"/>
      <c r="M214" s="1"/>
      <c r="N214" s="1"/>
      <c r="O214" s="24"/>
      <c r="P214" s="24"/>
      <c r="Q214" s="13"/>
      <c r="R214" s="13"/>
      <c r="S214" s="13"/>
      <c r="T214" s="13"/>
      <c r="U214" s="13"/>
      <c r="V214" s="13"/>
      <c r="W214" s="13"/>
      <c r="X214" s="13"/>
      <c r="Y214" s="20"/>
      <c r="Z214" s="1"/>
      <c r="AA214" s="1"/>
    </row>
    <row r="215" spans="1:27" ht="12" customHeight="1" x14ac:dyDescent="0.2">
      <c r="A215" s="1"/>
      <c r="B215" s="24"/>
      <c r="C215" s="24"/>
      <c r="D215" s="13"/>
      <c r="E215" s="13"/>
      <c r="F215" s="13"/>
      <c r="G215" s="13"/>
      <c r="H215" s="13"/>
      <c r="I215" s="13"/>
      <c r="J215" s="13"/>
      <c r="K215" s="20"/>
      <c r="L215" s="20"/>
      <c r="M215" s="1"/>
      <c r="N215" s="1"/>
      <c r="O215" s="24"/>
      <c r="P215" s="24"/>
      <c r="Q215" s="13"/>
      <c r="R215" s="13"/>
      <c r="S215" s="13"/>
      <c r="T215" s="13"/>
      <c r="U215" s="13"/>
      <c r="V215" s="13"/>
      <c r="W215" s="13"/>
      <c r="X215" s="13"/>
      <c r="Y215" s="20"/>
      <c r="Z215" s="1"/>
      <c r="AA215" s="1"/>
    </row>
    <row r="216" spans="1:27" ht="12" customHeight="1" x14ac:dyDescent="0.2">
      <c r="A216" s="1"/>
      <c r="B216" s="24"/>
      <c r="C216" s="24"/>
      <c r="D216" s="13"/>
      <c r="E216" s="13"/>
      <c r="F216" s="13"/>
      <c r="G216" s="13"/>
      <c r="H216" s="13"/>
      <c r="I216" s="13"/>
      <c r="J216" s="13"/>
      <c r="K216" s="20"/>
      <c r="L216" s="20"/>
      <c r="M216" s="1"/>
      <c r="N216" s="1"/>
      <c r="O216" s="24"/>
      <c r="P216" s="24"/>
      <c r="Q216" s="13"/>
      <c r="R216" s="13"/>
      <c r="S216" s="13"/>
      <c r="T216" s="13"/>
      <c r="U216" s="13"/>
      <c r="V216" s="13"/>
      <c r="W216" s="13"/>
      <c r="X216" s="13"/>
      <c r="Y216" s="20"/>
      <c r="Z216" s="1"/>
      <c r="AA216" s="1"/>
    </row>
    <row r="217" spans="1:27" ht="12" customHeight="1" x14ac:dyDescent="0.2">
      <c r="A217" s="1"/>
      <c r="B217" s="24"/>
      <c r="C217" s="24"/>
      <c r="D217" s="13"/>
      <c r="E217" s="13"/>
      <c r="F217" s="13"/>
      <c r="G217" s="13"/>
      <c r="H217" s="13"/>
      <c r="I217" s="13"/>
      <c r="J217" s="13"/>
      <c r="K217" s="20"/>
      <c r="L217" s="20"/>
      <c r="M217" s="1"/>
      <c r="N217" s="1"/>
      <c r="O217" s="24"/>
      <c r="P217" s="24"/>
      <c r="Q217" s="13"/>
      <c r="R217" s="13"/>
      <c r="S217" s="13"/>
      <c r="T217" s="13"/>
      <c r="U217" s="13"/>
      <c r="V217" s="13"/>
      <c r="W217" s="13"/>
      <c r="X217" s="13"/>
      <c r="Y217" s="20"/>
      <c r="Z217" s="1"/>
      <c r="AA217" s="1"/>
    </row>
    <row r="218" spans="1:27" ht="12" customHeight="1" x14ac:dyDescent="0.2">
      <c r="A218" s="1"/>
      <c r="B218" s="24"/>
      <c r="C218" s="24"/>
      <c r="D218" s="13"/>
      <c r="E218" s="13"/>
      <c r="F218" s="13"/>
      <c r="G218" s="13"/>
      <c r="H218" s="13"/>
      <c r="I218" s="13"/>
      <c r="J218" s="13"/>
      <c r="K218" s="20"/>
      <c r="L218" s="20"/>
      <c r="M218" s="1"/>
      <c r="N218" s="1"/>
      <c r="O218" s="24"/>
      <c r="P218" s="24"/>
      <c r="Q218" s="13"/>
      <c r="R218" s="13"/>
      <c r="S218" s="13"/>
      <c r="T218" s="13"/>
      <c r="U218" s="13"/>
      <c r="V218" s="13"/>
      <c r="W218" s="13"/>
      <c r="X218" s="13"/>
      <c r="Y218" s="20"/>
      <c r="Z218" s="1"/>
      <c r="AA218" s="1"/>
    </row>
    <row r="219" spans="1:27" ht="12" customHeight="1" x14ac:dyDescent="0.2">
      <c r="A219" s="1"/>
      <c r="B219" s="24"/>
      <c r="C219" s="24"/>
      <c r="D219" s="13"/>
      <c r="E219" s="13"/>
      <c r="F219" s="13"/>
      <c r="G219" s="13"/>
      <c r="H219" s="13"/>
      <c r="I219" s="13"/>
      <c r="J219" s="13"/>
      <c r="K219" s="20"/>
      <c r="L219" s="20"/>
      <c r="M219" s="1"/>
      <c r="N219" s="1"/>
      <c r="O219" s="24"/>
      <c r="P219" s="24"/>
      <c r="Q219" s="13"/>
      <c r="R219" s="13"/>
      <c r="S219" s="13"/>
      <c r="T219" s="13"/>
      <c r="U219" s="13"/>
      <c r="V219" s="13"/>
      <c r="W219" s="13"/>
      <c r="X219" s="13"/>
      <c r="Y219" s="20"/>
      <c r="Z219" s="1"/>
      <c r="AA219" s="1"/>
    </row>
    <row r="220" spans="1:27" ht="12" customHeight="1" x14ac:dyDescent="0.2">
      <c r="A220" s="1"/>
      <c r="B220" s="24"/>
      <c r="C220" s="24"/>
      <c r="D220" s="13"/>
      <c r="E220" s="13"/>
      <c r="F220" s="13"/>
      <c r="G220" s="13"/>
      <c r="H220" s="13"/>
      <c r="I220" s="13"/>
      <c r="J220" s="13"/>
      <c r="K220" s="20"/>
      <c r="L220" s="20"/>
      <c r="M220" s="1"/>
      <c r="N220" s="1"/>
      <c r="O220" s="24"/>
      <c r="P220" s="24"/>
      <c r="Q220" s="13"/>
      <c r="R220" s="13"/>
      <c r="S220" s="13"/>
      <c r="T220" s="13"/>
      <c r="U220" s="13"/>
      <c r="V220" s="13"/>
      <c r="W220" s="13"/>
      <c r="X220" s="13"/>
      <c r="Y220" s="20"/>
      <c r="Z220" s="1"/>
      <c r="AA220" s="1"/>
    </row>
    <row r="221" spans="1:27" ht="12" customHeight="1" x14ac:dyDescent="0.2">
      <c r="A221" s="1"/>
      <c r="B221" s="24"/>
      <c r="C221" s="24"/>
      <c r="D221" s="13"/>
      <c r="E221" s="13"/>
      <c r="F221" s="13"/>
      <c r="G221" s="13"/>
      <c r="H221" s="13"/>
      <c r="I221" s="13"/>
      <c r="J221" s="13"/>
      <c r="K221" s="20"/>
      <c r="L221" s="20"/>
      <c r="M221" s="1"/>
      <c r="N221" s="1"/>
      <c r="O221" s="24"/>
      <c r="P221" s="24"/>
      <c r="Q221" s="13"/>
      <c r="R221" s="13"/>
      <c r="S221" s="13"/>
      <c r="T221" s="13"/>
      <c r="U221" s="13"/>
      <c r="V221" s="13"/>
      <c r="W221" s="13"/>
      <c r="X221" s="13"/>
      <c r="Y221" s="20"/>
      <c r="Z221" s="1"/>
      <c r="AA221" s="1"/>
    </row>
    <row r="222" spans="1:27" ht="12" customHeight="1" x14ac:dyDescent="0.2">
      <c r="A222" s="1"/>
      <c r="B222" s="24"/>
      <c r="C222" s="24"/>
      <c r="D222" s="13"/>
      <c r="E222" s="13"/>
      <c r="F222" s="13"/>
      <c r="G222" s="13"/>
      <c r="H222" s="13"/>
      <c r="I222" s="13"/>
      <c r="J222" s="13"/>
      <c r="K222" s="20"/>
      <c r="L222" s="20"/>
      <c r="M222" s="1"/>
      <c r="N222" s="1"/>
      <c r="O222" s="24"/>
      <c r="P222" s="24"/>
      <c r="Q222" s="13"/>
      <c r="R222" s="13"/>
      <c r="S222" s="13"/>
      <c r="T222" s="13"/>
      <c r="U222" s="13"/>
      <c r="V222" s="13"/>
      <c r="W222" s="13"/>
      <c r="X222" s="13"/>
      <c r="Y222" s="20"/>
      <c r="Z222" s="1"/>
      <c r="AA222" s="1"/>
    </row>
    <row r="223" spans="1:27" ht="12" customHeight="1" x14ac:dyDescent="0.2">
      <c r="A223" s="1"/>
      <c r="B223" s="24"/>
      <c r="C223" s="24"/>
      <c r="D223" s="13"/>
      <c r="E223" s="13"/>
      <c r="F223" s="13"/>
      <c r="G223" s="13"/>
      <c r="H223" s="13"/>
      <c r="I223" s="13"/>
      <c r="J223" s="13"/>
      <c r="K223" s="20"/>
      <c r="L223" s="20"/>
      <c r="M223" s="1"/>
      <c r="N223" s="1"/>
      <c r="O223" s="24"/>
      <c r="P223" s="24"/>
      <c r="Q223" s="13"/>
      <c r="R223" s="13"/>
      <c r="S223" s="13"/>
      <c r="T223" s="13"/>
      <c r="U223" s="13"/>
      <c r="V223" s="13"/>
      <c r="W223" s="13"/>
      <c r="X223" s="13"/>
      <c r="Y223" s="20"/>
      <c r="Z223" s="1"/>
      <c r="AA223" s="1"/>
    </row>
    <row r="224" spans="1:27" ht="12" customHeight="1" x14ac:dyDescent="0.2">
      <c r="A224" s="1"/>
      <c r="B224" s="24"/>
      <c r="C224" s="24"/>
      <c r="D224" s="13"/>
      <c r="E224" s="13"/>
      <c r="F224" s="13"/>
      <c r="G224" s="13"/>
      <c r="H224" s="13"/>
      <c r="I224" s="13"/>
      <c r="J224" s="13"/>
      <c r="K224" s="20"/>
      <c r="L224" s="20"/>
      <c r="M224" s="1"/>
      <c r="N224" s="1"/>
      <c r="O224" s="24"/>
      <c r="P224" s="24"/>
      <c r="Q224" s="13"/>
      <c r="R224" s="13"/>
      <c r="S224" s="13"/>
      <c r="T224" s="13"/>
      <c r="U224" s="13"/>
      <c r="V224" s="13"/>
      <c r="W224" s="13"/>
      <c r="X224" s="13"/>
      <c r="Y224" s="20"/>
      <c r="Z224" s="1"/>
      <c r="AA224" s="1"/>
    </row>
    <row r="225" spans="1:27" ht="12" customHeight="1" x14ac:dyDescent="0.2">
      <c r="A225" s="1"/>
      <c r="B225" s="24"/>
      <c r="C225" s="24"/>
      <c r="D225" s="13"/>
      <c r="E225" s="13"/>
      <c r="F225" s="13"/>
      <c r="G225" s="13"/>
      <c r="H225" s="13"/>
      <c r="I225" s="13"/>
      <c r="J225" s="13"/>
      <c r="K225" s="20"/>
      <c r="L225" s="20"/>
      <c r="M225" s="1"/>
      <c r="N225" s="1"/>
      <c r="O225" s="24"/>
      <c r="P225" s="24"/>
      <c r="Q225" s="13"/>
      <c r="R225" s="13"/>
      <c r="S225" s="13"/>
      <c r="T225" s="13"/>
      <c r="U225" s="13"/>
      <c r="V225" s="13"/>
      <c r="W225" s="13"/>
      <c r="X225" s="13"/>
      <c r="Y225" s="20"/>
      <c r="Z225" s="1"/>
      <c r="AA225" s="1"/>
    </row>
    <row r="226" spans="1:27" ht="12" customHeight="1" x14ac:dyDescent="0.2">
      <c r="A226" s="1"/>
      <c r="B226" s="24"/>
      <c r="C226" s="24"/>
      <c r="D226" s="13"/>
      <c r="E226" s="13"/>
      <c r="F226" s="13"/>
      <c r="G226" s="13"/>
      <c r="H226" s="13"/>
      <c r="I226" s="13"/>
      <c r="J226" s="13"/>
      <c r="K226" s="20"/>
      <c r="L226" s="20"/>
      <c r="M226" s="1"/>
      <c r="N226" s="1"/>
      <c r="O226" s="24"/>
      <c r="P226" s="24"/>
      <c r="Q226" s="13"/>
      <c r="R226" s="13"/>
      <c r="S226" s="13"/>
      <c r="T226" s="13"/>
      <c r="U226" s="13"/>
      <c r="V226" s="13"/>
      <c r="W226" s="13"/>
      <c r="X226" s="13"/>
      <c r="Y226" s="20"/>
      <c r="Z226" s="1"/>
      <c r="AA226" s="1"/>
    </row>
    <row r="227" spans="1:27" ht="12" customHeight="1" x14ac:dyDescent="0.2">
      <c r="A227" s="1"/>
      <c r="B227" s="24"/>
      <c r="C227" s="24"/>
      <c r="D227" s="13"/>
      <c r="E227" s="13"/>
      <c r="F227" s="13"/>
      <c r="G227" s="13"/>
      <c r="H227" s="13"/>
      <c r="I227" s="13"/>
      <c r="J227" s="13"/>
      <c r="K227" s="20"/>
      <c r="L227" s="20"/>
      <c r="M227" s="1"/>
      <c r="N227" s="1"/>
      <c r="O227" s="24"/>
      <c r="P227" s="24"/>
      <c r="Q227" s="13"/>
      <c r="R227" s="13"/>
      <c r="S227" s="13"/>
      <c r="T227" s="13"/>
      <c r="U227" s="13"/>
      <c r="V227" s="13"/>
      <c r="W227" s="13"/>
      <c r="X227" s="13"/>
      <c r="Y227" s="20"/>
      <c r="Z227" s="1"/>
      <c r="AA227" s="1"/>
    </row>
    <row r="228" spans="1:27" ht="12" customHeight="1" x14ac:dyDescent="0.2">
      <c r="A228" s="1"/>
      <c r="B228" s="24"/>
      <c r="C228" s="24"/>
      <c r="D228" s="13"/>
      <c r="E228" s="13"/>
      <c r="F228" s="13"/>
      <c r="G228" s="13"/>
      <c r="H228" s="13"/>
      <c r="I228" s="13"/>
      <c r="J228" s="13"/>
      <c r="K228" s="20"/>
      <c r="L228" s="20"/>
      <c r="M228" s="1"/>
      <c r="N228" s="1"/>
      <c r="O228" s="24"/>
      <c r="P228" s="24"/>
      <c r="Q228" s="13"/>
      <c r="R228" s="13"/>
      <c r="S228" s="13"/>
      <c r="T228" s="13"/>
      <c r="U228" s="13"/>
      <c r="V228" s="13"/>
      <c r="W228" s="13"/>
      <c r="X228" s="13"/>
      <c r="Y228" s="20"/>
      <c r="Z228" s="1"/>
      <c r="AA228" s="1"/>
    </row>
    <row r="229" spans="1:27" ht="12" customHeight="1" x14ac:dyDescent="0.2">
      <c r="A229" s="1"/>
      <c r="B229" s="24"/>
      <c r="C229" s="24"/>
      <c r="D229" s="13"/>
      <c r="E229" s="13"/>
      <c r="F229" s="13"/>
      <c r="G229" s="13"/>
      <c r="H229" s="13"/>
      <c r="I229" s="13"/>
      <c r="J229" s="13"/>
      <c r="K229" s="20"/>
      <c r="L229" s="20"/>
      <c r="M229" s="1"/>
      <c r="N229" s="1"/>
      <c r="O229" s="24"/>
      <c r="P229" s="24"/>
      <c r="Q229" s="13"/>
      <c r="R229" s="13"/>
      <c r="S229" s="13"/>
      <c r="T229" s="13"/>
      <c r="U229" s="13"/>
      <c r="V229" s="13"/>
      <c r="W229" s="13"/>
      <c r="X229" s="13"/>
      <c r="Y229" s="20"/>
      <c r="Z229" s="1"/>
      <c r="AA229" s="1"/>
    </row>
    <row r="230" spans="1:27" ht="12" customHeight="1" x14ac:dyDescent="0.2">
      <c r="A230" s="1"/>
      <c r="B230" s="24"/>
      <c r="C230" s="24"/>
      <c r="D230" s="13"/>
      <c r="E230" s="13"/>
      <c r="F230" s="13"/>
      <c r="G230" s="13"/>
      <c r="H230" s="13"/>
      <c r="I230" s="13"/>
      <c r="J230" s="13"/>
      <c r="K230" s="20"/>
      <c r="L230" s="20"/>
      <c r="M230" s="1"/>
      <c r="N230" s="1"/>
      <c r="O230" s="24"/>
      <c r="P230" s="24"/>
      <c r="Q230" s="13"/>
      <c r="R230" s="13"/>
      <c r="S230" s="13"/>
      <c r="T230" s="13"/>
      <c r="U230" s="13"/>
      <c r="V230" s="13"/>
      <c r="W230" s="13"/>
      <c r="X230" s="13"/>
      <c r="Y230" s="20"/>
      <c r="Z230" s="1"/>
      <c r="AA230" s="1"/>
    </row>
    <row r="231" spans="1:27" ht="12" customHeight="1" x14ac:dyDescent="0.2">
      <c r="A231" s="1"/>
      <c r="B231" s="24"/>
      <c r="C231" s="24"/>
      <c r="D231" s="13"/>
      <c r="E231" s="13"/>
      <c r="F231" s="13"/>
      <c r="G231" s="13"/>
      <c r="H231" s="13"/>
      <c r="I231" s="13"/>
      <c r="J231" s="13"/>
      <c r="K231" s="20"/>
      <c r="L231" s="20"/>
      <c r="M231" s="1"/>
      <c r="N231" s="1"/>
      <c r="O231" s="24"/>
      <c r="P231" s="24"/>
      <c r="Q231" s="13"/>
      <c r="R231" s="13"/>
      <c r="S231" s="13"/>
      <c r="T231" s="13"/>
      <c r="U231" s="13"/>
      <c r="V231" s="13"/>
      <c r="W231" s="13"/>
      <c r="X231" s="13"/>
      <c r="Y231" s="20"/>
      <c r="Z231" s="1"/>
      <c r="AA231" s="1"/>
    </row>
    <row r="232" spans="1:27" ht="12" customHeight="1" x14ac:dyDescent="0.2">
      <c r="A232" s="1"/>
      <c r="B232" s="24"/>
      <c r="C232" s="24"/>
      <c r="D232" s="13"/>
      <c r="E232" s="13"/>
      <c r="F232" s="13"/>
      <c r="G232" s="13"/>
      <c r="H232" s="13"/>
      <c r="I232" s="13"/>
      <c r="J232" s="13"/>
      <c r="K232" s="20"/>
      <c r="L232" s="20"/>
      <c r="M232" s="1"/>
      <c r="N232" s="1"/>
      <c r="O232" s="24"/>
      <c r="P232" s="24"/>
      <c r="Q232" s="13"/>
      <c r="R232" s="13"/>
      <c r="S232" s="13"/>
      <c r="T232" s="13"/>
      <c r="U232" s="13"/>
      <c r="V232" s="13"/>
      <c r="W232" s="13"/>
      <c r="X232" s="13"/>
      <c r="Y232" s="20"/>
      <c r="Z232" s="1"/>
      <c r="AA232" s="1"/>
    </row>
    <row r="233" spans="1:27" ht="12" customHeight="1" x14ac:dyDescent="0.2">
      <c r="A233" s="1"/>
      <c r="B233" s="24"/>
      <c r="C233" s="24"/>
      <c r="D233" s="13"/>
      <c r="E233" s="13"/>
      <c r="F233" s="13"/>
      <c r="G233" s="13"/>
      <c r="H233" s="13"/>
      <c r="I233" s="13"/>
      <c r="J233" s="13"/>
      <c r="K233" s="20"/>
      <c r="L233" s="20"/>
      <c r="M233" s="1"/>
      <c r="N233" s="1"/>
      <c r="O233" s="24"/>
      <c r="P233" s="24"/>
      <c r="Q233" s="13"/>
      <c r="R233" s="13"/>
      <c r="S233" s="13"/>
      <c r="T233" s="13"/>
      <c r="U233" s="13"/>
      <c r="V233" s="13"/>
      <c r="W233" s="13"/>
      <c r="X233" s="13"/>
      <c r="Y233" s="20"/>
      <c r="Z233" s="1"/>
      <c r="AA233" s="1"/>
    </row>
    <row r="234" spans="1:27" ht="12" customHeight="1" x14ac:dyDescent="0.2">
      <c r="A234" s="1"/>
      <c r="B234" s="24"/>
      <c r="C234" s="24"/>
      <c r="D234" s="13"/>
      <c r="E234" s="13"/>
      <c r="F234" s="13"/>
      <c r="G234" s="13"/>
      <c r="H234" s="13"/>
      <c r="I234" s="13"/>
      <c r="J234" s="13"/>
      <c r="K234" s="20"/>
      <c r="L234" s="20"/>
      <c r="M234" s="1"/>
      <c r="N234" s="1"/>
      <c r="O234" s="24"/>
      <c r="P234" s="24"/>
      <c r="Q234" s="13"/>
      <c r="R234" s="13"/>
      <c r="S234" s="13"/>
      <c r="T234" s="13"/>
      <c r="U234" s="13"/>
      <c r="V234" s="13"/>
      <c r="W234" s="13"/>
      <c r="X234" s="13"/>
      <c r="Y234" s="20"/>
      <c r="Z234" s="1"/>
      <c r="AA234" s="1"/>
    </row>
    <row r="235" spans="1:27" ht="12" customHeight="1" x14ac:dyDescent="0.2">
      <c r="A235" s="1"/>
      <c r="B235" s="24"/>
      <c r="C235" s="24"/>
      <c r="D235" s="13"/>
      <c r="E235" s="13"/>
      <c r="F235" s="13"/>
      <c r="G235" s="13"/>
      <c r="H235" s="13"/>
      <c r="I235" s="13"/>
      <c r="J235" s="13"/>
      <c r="K235" s="20"/>
      <c r="L235" s="20"/>
      <c r="M235" s="1"/>
      <c r="N235" s="1"/>
      <c r="O235" s="24"/>
      <c r="P235" s="24"/>
      <c r="Q235" s="13"/>
      <c r="R235" s="13"/>
      <c r="S235" s="13"/>
      <c r="T235" s="13"/>
      <c r="U235" s="13"/>
      <c r="V235" s="13"/>
      <c r="W235" s="13"/>
      <c r="X235" s="13"/>
      <c r="Y235" s="20"/>
      <c r="Z235" s="1"/>
      <c r="AA235" s="1"/>
    </row>
    <row r="236" spans="1:27" ht="12" customHeight="1" x14ac:dyDescent="0.2">
      <c r="A236" s="1"/>
      <c r="B236" s="24"/>
      <c r="C236" s="24"/>
      <c r="D236" s="13"/>
      <c r="E236" s="13"/>
      <c r="F236" s="13"/>
      <c r="G236" s="13"/>
      <c r="H236" s="13"/>
      <c r="I236" s="13"/>
      <c r="J236" s="13"/>
      <c r="K236" s="20"/>
      <c r="L236" s="20"/>
      <c r="M236" s="1"/>
      <c r="N236" s="1"/>
      <c r="O236" s="24"/>
      <c r="P236" s="24"/>
      <c r="Q236" s="13"/>
      <c r="R236" s="13"/>
      <c r="S236" s="13"/>
      <c r="T236" s="13"/>
      <c r="U236" s="13"/>
      <c r="V236" s="13"/>
      <c r="W236" s="13"/>
      <c r="X236" s="13"/>
      <c r="Y236" s="20"/>
      <c r="Z236" s="1"/>
      <c r="AA236" s="1"/>
    </row>
    <row r="237" spans="1:27" ht="12" customHeight="1" x14ac:dyDescent="0.2">
      <c r="A237" s="1"/>
      <c r="B237" s="24"/>
      <c r="C237" s="24"/>
      <c r="D237" s="13"/>
      <c r="E237" s="13"/>
      <c r="F237" s="13"/>
      <c r="G237" s="13"/>
      <c r="H237" s="13"/>
      <c r="I237" s="13"/>
      <c r="J237" s="13"/>
      <c r="K237" s="20"/>
      <c r="L237" s="20"/>
      <c r="M237" s="1"/>
      <c r="N237" s="1"/>
      <c r="O237" s="24"/>
      <c r="P237" s="24"/>
      <c r="Q237" s="13"/>
      <c r="R237" s="13"/>
      <c r="S237" s="13"/>
      <c r="T237" s="13"/>
      <c r="U237" s="13"/>
      <c r="V237" s="13"/>
      <c r="W237" s="13"/>
      <c r="X237" s="13"/>
      <c r="Y237" s="20"/>
      <c r="Z237" s="1"/>
      <c r="AA237" s="1"/>
    </row>
    <row r="238" spans="1:27" ht="12" customHeight="1" x14ac:dyDescent="0.2">
      <c r="A238" s="1"/>
      <c r="B238" s="24"/>
      <c r="C238" s="24"/>
      <c r="D238" s="13"/>
      <c r="E238" s="13"/>
      <c r="F238" s="13"/>
      <c r="G238" s="13"/>
      <c r="H238" s="13"/>
      <c r="I238" s="13"/>
      <c r="J238" s="13"/>
      <c r="K238" s="20"/>
      <c r="L238" s="20"/>
      <c r="M238" s="1"/>
      <c r="N238" s="1"/>
      <c r="O238" s="24"/>
      <c r="P238" s="24"/>
      <c r="Q238" s="13"/>
      <c r="R238" s="13"/>
      <c r="S238" s="13"/>
      <c r="T238" s="13"/>
      <c r="U238" s="13"/>
      <c r="V238" s="13"/>
      <c r="W238" s="13"/>
      <c r="X238" s="13"/>
      <c r="Y238" s="20"/>
      <c r="Z238" s="1"/>
      <c r="AA238" s="1"/>
    </row>
    <row r="239" spans="1:27" ht="12" customHeight="1" x14ac:dyDescent="0.2">
      <c r="A239" s="1"/>
      <c r="B239" s="24"/>
      <c r="C239" s="24"/>
      <c r="D239" s="13"/>
      <c r="E239" s="13"/>
      <c r="F239" s="13"/>
      <c r="G239" s="13"/>
      <c r="H239" s="13"/>
      <c r="I239" s="13"/>
      <c r="J239" s="13"/>
      <c r="K239" s="20"/>
      <c r="L239" s="20"/>
      <c r="M239" s="1"/>
      <c r="N239" s="1"/>
      <c r="O239" s="24"/>
      <c r="P239" s="24"/>
      <c r="Q239" s="13"/>
      <c r="R239" s="13"/>
      <c r="S239" s="13"/>
      <c r="T239" s="13"/>
      <c r="U239" s="13"/>
      <c r="V239" s="13"/>
      <c r="W239" s="13"/>
      <c r="X239" s="13"/>
      <c r="Y239" s="20"/>
      <c r="Z239" s="1"/>
      <c r="AA239" s="1"/>
    </row>
    <row r="240" spans="1:27" ht="12" customHeight="1" x14ac:dyDescent="0.2">
      <c r="A240" s="1"/>
      <c r="B240" s="24"/>
      <c r="C240" s="24"/>
      <c r="D240" s="13"/>
      <c r="E240" s="13"/>
      <c r="F240" s="13"/>
      <c r="G240" s="13"/>
      <c r="H240" s="13"/>
      <c r="I240" s="13"/>
      <c r="J240" s="13"/>
      <c r="K240" s="20"/>
      <c r="L240" s="20"/>
      <c r="M240" s="1"/>
      <c r="N240" s="1"/>
      <c r="O240" s="24"/>
      <c r="P240" s="24"/>
      <c r="Q240" s="13"/>
      <c r="R240" s="13"/>
      <c r="S240" s="13"/>
      <c r="T240" s="13"/>
      <c r="U240" s="13"/>
      <c r="V240" s="13"/>
      <c r="W240" s="13"/>
      <c r="X240" s="13"/>
      <c r="Y240" s="20"/>
      <c r="Z240" s="1"/>
      <c r="AA240" s="1"/>
    </row>
    <row r="241" spans="1:27" ht="12" customHeight="1" x14ac:dyDescent="0.2">
      <c r="A241" s="1"/>
      <c r="B241" s="24"/>
      <c r="C241" s="24"/>
      <c r="D241" s="13"/>
      <c r="E241" s="13"/>
      <c r="F241" s="13"/>
      <c r="G241" s="13"/>
      <c r="H241" s="13"/>
      <c r="I241" s="13"/>
      <c r="J241" s="13"/>
      <c r="K241" s="20"/>
      <c r="L241" s="20"/>
      <c r="M241" s="1"/>
      <c r="N241" s="1"/>
      <c r="O241" s="24"/>
      <c r="P241" s="24"/>
      <c r="Q241" s="13"/>
      <c r="R241" s="13"/>
      <c r="S241" s="13"/>
      <c r="T241" s="13"/>
      <c r="U241" s="13"/>
      <c r="V241" s="13"/>
      <c r="W241" s="13"/>
      <c r="X241" s="13"/>
      <c r="Y241" s="20"/>
      <c r="Z241" s="1"/>
      <c r="AA241" s="1"/>
    </row>
    <row r="242" spans="1:27" ht="12" customHeight="1" x14ac:dyDescent="0.2">
      <c r="A242" s="1"/>
      <c r="B242" s="24"/>
      <c r="C242" s="24"/>
      <c r="D242" s="13"/>
      <c r="E242" s="13"/>
      <c r="F242" s="13"/>
      <c r="G242" s="13"/>
      <c r="H242" s="13"/>
      <c r="I242" s="13"/>
      <c r="J242" s="13"/>
      <c r="K242" s="20"/>
      <c r="L242" s="20"/>
      <c r="M242" s="1"/>
      <c r="N242" s="1"/>
      <c r="O242" s="24"/>
      <c r="P242" s="24"/>
      <c r="Q242" s="13"/>
      <c r="R242" s="13"/>
      <c r="S242" s="13"/>
      <c r="T242" s="13"/>
      <c r="U242" s="13"/>
      <c r="V242" s="13"/>
      <c r="W242" s="13"/>
      <c r="X242" s="13"/>
      <c r="Y242" s="20"/>
      <c r="Z242" s="1"/>
      <c r="AA242" s="1"/>
    </row>
    <row r="243" spans="1:27" ht="12" customHeight="1" x14ac:dyDescent="0.2">
      <c r="A243" s="1"/>
      <c r="B243" s="24"/>
      <c r="C243" s="24"/>
      <c r="D243" s="13"/>
      <c r="E243" s="13"/>
      <c r="F243" s="13"/>
      <c r="G243" s="13"/>
      <c r="H243" s="13"/>
      <c r="I243" s="13"/>
      <c r="J243" s="13"/>
      <c r="K243" s="20"/>
      <c r="L243" s="20"/>
      <c r="M243" s="1"/>
      <c r="N243" s="1"/>
      <c r="O243" s="24"/>
      <c r="P243" s="24"/>
      <c r="Q243" s="13"/>
      <c r="R243" s="13"/>
      <c r="S243" s="13"/>
      <c r="T243" s="13"/>
      <c r="U243" s="13"/>
      <c r="V243" s="13"/>
      <c r="W243" s="13"/>
      <c r="X243" s="13"/>
      <c r="Y243" s="20"/>
      <c r="Z243" s="1"/>
      <c r="AA243" s="1"/>
    </row>
    <row r="244" spans="1:27" ht="12" customHeight="1" x14ac:dyDescent="0.2">
      <c r="A244" s="1"/>
      <c r="B244" s="24"/>
      <c r="C244" s="24"/>
      <c r="D244" s="13"/>
      <c r="E244" s="13"/>
      <c r="F244" s="13"/>
      <c r="G244" s="13"/>
      <c r="H244" s="13"/>
      <c r="I244" s="13"/>
      <c r="J244" s="13"/>
      <c r="K244" s="20"/>
      <c r="L244" s="20"/>
      <c r="M244" s="1"/>
      <c r="N244" s="1"/>
      <c r="O244" s="24"/>
      <c r="P244" s="24"/>
      <c r="Q244" s="13"/>
      <c r="R244" s="13"/>
      <c r="S244" s="13"/>
      <c r="T244" s="13"/>
      <c r="U244" s="13"/>
      <c r="V244" s="13"/>
      <c r="W244" s="13"/>
      <c r="X244" s="13"/>
      <c r="Y244" s="20"/>
      <c r="Z244" s="1"/>
      <c r="AA244" s="1"/>
    </row>
    <row r="245" spans="1:27" ht="12" customHeight="1" x14ac:dyDescent="0.2">
      <c r="A245" s="1"/>
      <c r="B245" s="24"/>
      <c r="C245" s="24"/>
      <c r="D245" s="13"/>
      <c r="E245" s="13"/>
      <c r="F245" s="13"/>
      <c r="G245" s="13"/>
      <c r="H245" s="13"/>
      <c r="I245" s="13"/>
      <c r="J245" s="13"/>
      <c r="K245" s="20"/>
      <c r="L245" s="20"/>
      <c r="M245" s="1"/>
      <c r="N245" s="1"/>
      <c r="O245" s="24"/>
      <c r="P245" s="24"/>
      <c r="Q245" s="13"/>
      <c r="R245" s="13"/>
      <c r="S245" s="13"/>
      <c r="T245" s="13"/>
      <c r="U245" s="13"/>
      <c r="V245" s="13"/>
      <c r="W245" s="13"/>
      <c r="X245" s="13"/>
      <c r="Y245" s="20"/>
      <c r="Z245" s="1"/>
      <c r="AA245" s="1"/>
    </row>
    <row r="246" spans="1:27" ht="12" customHeight="1" x14ac:dyDescent="0.2">
      <c r="A246" s="1"/>
      <c r="B246" s="24"/>
      <c r="C246" s="24"/>
      <c r="D246" s="13"/>
      <c r="E246" s="13"/>
      <c r="F246" s="13"/>
      <c r="G246" s="13"/>
      <c r="H246" s="13"/>
      <c r="I246" s="13"/>
      <c r="J246" s="13"/>
      <c r="K246" s="20"/>
      <c r="L246" s="20"/>
      <c r="M246" s="1"/>
      <c r="N246" s="1"/>
      <c r="O246" s="24"/>
      <c r="P246" s="24"/>
      <c r="Q246" s="13"/>
      <c r="R246" s="13"/>
      <c r="S246" s="13"/>
      <c r="T246" s="13"/>
      <c r="U246" s="13"/>
      <c r="V246" s="13"/>
      <c r="W246" s="13"/>
      <c r="X246" s="13"/>
      <c r="Y246" s="20"/>
      <c r="Z246" s="1"/>
      <c r="AA246" s="1"/>
    </row>
    <row r="247" spans="1:27" ht="12" customHeight="1" x14ac:dyDescent="0.2">
      <c r="A247" s="1"/>
      <c r="B247" s="24"/>
      <c r="C247" s="24"/>
      <c r="D247" s="13"/>
      <c r="E247" s="13"/>
      <c r="F247" s="13"/>
      <c r="G247" s="13"/>
      <c r="H247" s="13"/>
      <c r="I247" s="13"/>
      <c r="J247" s="13"/>
      <c r="K247" s="20"/>
      <c r="L247" s="20"/>
      <c r="M247" s="1"/>
      <c r="N247" s="1"/>
      <c r="O247" s="24"/>
      <c r="P247" s="24"/>
      <c r="Q247" s="13"/>
      <c r="R247" s="13"/>
      <c r="S247" s="13"/>
      <c r="T247" s="13"/>
      <c r="U247" s="13"/>
      <c r="V247" s="13"/>
      <c r="W247" s="13"/>
      <c r="X247" s="13"/>
      <c r="Y247" s="20"/>
      <c r="Z247" s="1"/>
      <c r="AA247" s="1"/>
    </row>
    <row r="248" spans="1:27" ht="12" customHeight="1" x14ac:dyDescent="0.2">
      <c r="A248" s="1"/>
      <c r="B248" s="24"/>
      <c r="C248" s="24"/>
      <c r="D248" s="13"/>
      <c r="E248" s="13"/>
      <c r="F248" s="13"/>
      <c r="G248" s="13"/>
      <c r="H248" s="13"/>
      <c r="I248" s="13"/>
      <c r="J248" s="13"/>
      <c r="K248" s="20"/>
      <c r="L248" s="20"/>
      <c r="M248" s="1"/>
      <c r="N248" s="1"/>
      <c r="O248" s="24"/>
      <c r="P248" s="24"/>
      <c r="Q248" s="13"/>
      <c r="R248" s="13"/>
      <c r="S248" s="13"/>
      <c r="T248" s="13"/>
      <c r="U248" s="13"/>
      <c r="V248" s="13"/>
      <c r="W248" s="13"/>
      <c r="X248" s="13"/>
      <c r="Y248" s="20"/>
      <c r="Z248" s="1"/>
      <c r="AA248" s="1"/>
    </row>
    <row r="249" spans="1:27" ht="12" customHeight="1" x14ac:dyDescent="0.2">
      <c r="A249" s="1"/>
      <c r="B249" s="24"/>
      <c r="C249" s="24"/>
      <c r="D249" s="13"/>
      <c r="E249" s="13"/>
      <c r="F249" s="13"/>
      <c r="G249" s="13"/>
      <c r="H249" s="13"/>
      <c r="I249" s="13"/>
      <c r="J249" s="13"/>
      <c r="K249" s="20"/>
      <c r="L249" s="20"/>
      <c r="M249" s="1"/>
      <c r="N249" s="1"/>
      <c r="O249" s="24"/>
      <c r="P249" s="24"/>
      <c r="Q249" s="13"/>
      <c r="R249" s="13"/>
      <c r="S249" s="13"/>
      <c r="T249" s="13"/>
      <c r="U249" s="13"/>
      <c r="V249" s="13"/>
      <c r="W249" s="13"/>
      <c r="X249" s="13"/>
      <c r="Y249" s="20"/>
      <c r="Z249" s="1"/>
      <c r="AA249" s="1"/>
    </row>
    <row r="250" spans="1:27" ht="12" customHeight="1" x14ac:dyDescent="0.2">
      <c r="A250" s="1"/>
      <c r="B250" s="24"/>
      <c r="C250" s="24"/>
      <c r="D250" s="13"/>
      <c r="E250" s="13"/>
      <c r="F250" s="13"/>
      <c r="G250" s="13"/>
      <c r="H250" s="13"/>
      <c r="I250" s="13"/>
      <c r="J250" s="13"/>
      <c r="K250" s="20"/>
      <c r="L250" s="20"/>
      <c r="M250" s="1"/>
      <c r="N250" s="1"/>
      <c r="O250" s="24"/>
      <c r="P250" s="24"/>
      <c r="Q250" s="13"/>
      <c r="R250" s="13"/>
      <c r="S250" s="13"/>
      <c r="T250" s="13"/>
      <c r="U250" s="13"/>
      <c r="V250" s="13"/>
      <c r="W250" s="13"/>
      <c r="X250" s="13"/>
      <c r="Y250" s="20"/>
      <c r="Z250" s="1"/>
      <c r="AA250" s="1"/>
    </row>
    <row r="251" spans="1:27" ht="12" customHeight="1" x14ac:dyDescent="0.2">
      <c r="A251" s="1"/>
      <c r="B251" s="24"/>
      <c r="C251" s="24"/>
      <c r="D251" s="13"/>
      <c r="E251" s="13"/>
      <c r="F251" s="13"/>
      <c r="G251" s="13"/>
      <c r="H251" s="13"/>
      <c r="I251" s="13"/>
      <c r="J251" s="13"/>
      <c r="K251" s="20"/>
      <c r="L251" s="20"/>
      <c r="M251" s="1"/>
      <c r="N251" s="1"/>
      <c r="O251" s="24"/>
      <c r="P251" s="24"/>
      <c r="Q251" s="13"/>
      <c r="R251" s="13"/>
      <c r="S251" s="13"/>
      <c r="T251" s="13"/>
      <c r="U251" s="13"/>
      <c r="V251" s="13"/>
      <c r="W251" s="13"/>
      <c r="X251" s="13"/>
      <c r="Y251" s="20"/>
      <c r="Z251" s="1"/>
      <c r="AA251" s="1"/>
    </row>
    <row r="252" spans="1:27" ht="12" customHeight="1" x14ac:dyDescent="0.2">
      <c r="A252" s="1"/>
      <c r="B252" s="24"/>
      <c r="C252" s="24"/>
      <c r="D252" s="13"/>
      <c r="E252" s="13"/>
      <c r="F252" s="13"/>
      <c r="G252" s="13"/>
      <c r="H252" s="13"/>
      <c r="I252" s="13"/>
      <c r="J252" s="13"/>
      <c r="K252" s="20"/>
      <c r="L252" s="20"/>
      <c r="M252" s="1"/>
      <c r="N252" s="1"/>
      <c r="O252" s="24"/>
      <c r="P252" s="24"/>
      <c r="Q252" s="13"/>
      <c r="R252" s="13"/>
      <c r="S252" s="13"/>
      <c r="T252" s="13"/>
      <c r="U252" s="13"/>
      <c r="V252" s="13"/>
      <c r="W252" s="13"/>
      <c r="X252" s="13"/>
      <c r="Y252" s="20"/>
      <c r="Z252" s="1"/>
      <c r="AA252" s="1"/>
    </row>
    <row r="253" spans="1:27" ht="12" customHeight="1" x14ac:dyDescent="0.2">
      <c r="A253" s="1"/>
      <c r="B253" s="24"/>
      <c r="C253" s="24"/>
      <c r="D253" s="13"/>
      <c r="E253" s="13"/>
      <c r="F253" s="13"/>
      <c r="G253" s="13"/>
      <c r="H253" s="13"/>
      <c r="I253" s="13"/>
      <c r="J253" s="13"/>
      <c r="K253" s="20"/>
      <c r="L253" s="20"/>
      <c r="M253" s="1"/>
      <c r="N253" s="1"/>
      <c r="O253" s="24"/>
      <c r="P253" s="24"/>
      <c r="Q253" s="13"/>
      <c r="R253" s="13"/>
      <c r="S253" s="13"/>
      <c r="T253" s="13"/>
      <c r="U253" s="13"/>
      <c r="V253" s="13"/>
      <c r="W253" s="13"/>
      <c r="X253" s="13"/>
      <c r="Y253" s="20"/>
      <c r="Z253" s="1"/>
      <c r="AA253" s="1"/>
    </row>
    <row r="254" spans="1:27" ht="12" customHeight="1" x14ac:dyDescent="0.2">
      <c r="A254" s="1"/>
      <c r="B254" s="24"/>
      <c r="C254" s="24"/>
      <c r="D254" s="13"/>
      <c r="E254" s="13"/>
      <c r="F254" s="13"/>
      <c r="G254" s="13"/>
      <c r="H254" s="13"/>
      <c r="I254" s="13"/>
      <c r="J254" s="13"/>
      <c r="K254" s="20"/>
      <c r="L254" s="20"/>
      <c r="M254" s="1"/>
      <c r="N254" s="1"/>
      <c r="O254" s="24"/>
      <c r="P254" s="24"/>
      <c r="Q254" s="13"/>
      <c r="R254" s="13"/>
      <c r="S254" s="13"/>
      <c r="T254" s="13"/>
      <c r="U254" s="13"/>
      <c r="V254" s="13"/>
      <c r="W254" s="13"/>
      <c r="X254" s="13"/>
      <c r="Y254" s="20"/>
      <c r="Z254" s="1"/>
      <c r="AA254" s="1"/>
    </row>
    <row r="255" spans="1:27" ht="12" customHeight="1" x14ac:dyDescent="0.2">
      <c r="A255" s="1"/>
      <c r="B255" s="24"/>
      <c r="C255" s="24"/>
      <c r="D255" s="13"/>
      <c r="E255" s="13"/>
      <c r="F255" s="13"/>
      <c r="G255" s="13"/>
      <c r="H255" s="13"/>
      <c r="I255" s="13"/>
      <c r="J255" s="13"/>
      <c r="K255" s="20"/>
      <c r="L255" s="20"/>
      <c r="M255" s="1"/>
      <c r="N255" s="1"/>
      <c r="O255" s="24"/>
      <c r="P255" s="24"/>
      <c r="Q255" s="13"/>
      <c r="R255" s="13"/>
      <c r="S255" s="13"/>
      <c r="T255" s="13"/>
      <c r="U255" s="13"/>
      <c r="V255" s="13"/>
      <c r="W255" s="13"/>
      <c r="X255" s="13"/>
      <c r="Y255" s="20"/>
      <c r="Z255" s="1"/>
      <c r="AA255" s="1"/>
    </row>
    <row r="256" spans="1:27" ht="12" customHeight="1" x14ac:dyDescent="0.2">
      <c r="A256" s="1"/>
      <c r="B256" s="24"/>
      <c r="C256" s="24"/>
      <c r="D256" s="13"/>
      <c r="E256" s="13"/>
      <c r="F256" s="13"/>
      <c r="G256" s="13"/>
      <c r="H256" s="13"/>
      <c r="I256" s="13"/>
      <c r="J256" s="13"/>
      <c r="K256" s="20"/>
      <c r="L256" s="20"/>
      <c r="M256" s="1"/>
      <c r="N256" s="1"/>
      <c r="O256" s="24"/>
      <c r="P256" s="24"/>
      <c r="Q256" s="13"/>
      <c r="R256" s="13"/>
      <c r="S256" s="13"/>
      <c r="T256" s="13"/>
      <c r="U256" s="13"/>
      <c r="V256" s="13"/>
      <c r="W256" s="13"/>
      <c r="X256" s="13"/>
      <c r="Y256" s="20"/>
      <c r="Z256" s="1"/>
      <c r="AA256" s="1"/>
    </row>
    <row r="257" spans="1:27" ht="12" customHeight="1" x14ac:dyDescent="0.2">
      <c r="A257" s="1"/>
      <c r="B257" s="24"/>
      <c r="C257" s="24"/>
      <c r="D257" s="13"/>
      <c r="E257" s="13"/>
      <c r="F257" s="13"/>
      <c r="G257" s="13"/>
      <c r="H257" s="13"/>
      <c r="I257" s="13"/>
      <c r="J257" s="13"/>
      <c r="K257" s="20"/>
      <c r="L257" s="20"/>
      <c r="M257" s="1"/>
      <c r="N257" s="1"/>
      <c r="O257" s="24"/>
      <c r="P257" s="24"/>
      <c r="Q257" s="13"/>
      <c r="R257" s="13"/>
      <c r="S257" s="13"/>
      <c r="T257" s="13"/>
      <c r="U257" s="13"/>
      <c r="V257" s="13"/>
      <c r="W257" s="13"/>
      <c r="X257" s="13"/>
      <c r="Y257" s="20"/>
      <c r="Z257" s="1"/>
      <c r="AA257" s="1"/>
    </row>
    <row r="258" spans="1:27" ht="12" customHeight="1" x14ac:dyDescent="0.2">
      <c r="A258" s="1"/>
      <c r="B258" s="24"/>
      <c r="C258" s="24"/>
      <c r="D258" s="13"/>
      <c r="E258" s="13"/>
      <c r="F258" s="13"/>
      <c r="G258" s="13"/>
      <c r="H258" s="13"/>
      <c r="I258" s="13"/>
      <c r="J258" s="13"/>
      <c r="K258" s="20"/>
      <c r="L258" s="20"/>
      <c r="M258" s="1"/>
      <c r="N258" s="1"/>
      <c r="O258" s="24"/>
      <c r="P258" s="24"/>
      <c r="Q258" s="13"/>
      <c r="R258" s="13"/>
      <c r="S258" s="13"/>
      <c r="T258" s="13"/>
      <c r="U258" s="13"/>
      <c r="V258" s="13"/>
      <c r="W258" s="13"/>
      <c r="X258" s="13"/>
      <c r="Y258" s="20"/>
      <c r="Z258" s="1"/>
      <c r="AA258" s="1"/>
    </row>
    <row r="259" spans="1:27" ht="12" customHeight="1" x14ac:dyDescent="0.2">
      <c r="A259" s="1"/>
      <c r="B259" s="24"/>
      <c r="C259" s="24"/>
      <c r="D259" s="13"/>
      <c r="E259" s="13"/>
      <c r="F259" s="13"/>
      <c r="G259" s="13"/>
      <c r="H259" s="13"/>
      <c r="I259" s="13"/>
      <c r="J259" s="13"/>
      <c r="K259" s="20"/>
      <c r="L259" s="20"/>
      <c r="M259" s="1"/>
      <c r="N259" s="1"/>
      <c r="O259" s="24"/>
      <c r="P259" s="24"/>
      <c r="Q259" s="13"/>
      <c r="R259" s="13"/>
      <c r="S259" s="13"/>
      <c r="T259" s="13"/>
      <c r="U259" s="13"/>
      <c r="V259" s="13"/>
      <c r="W259" s="13"/>
      <c r="X259" s="13"/>
      <c r="Y259" s="20"/>
      <c r="Z259" s="1"/>
      <c r="AA259" s="1"/>
    </row>
    <row r="260" spans="1:27" ht="12" customHeight="1" x14ac:dyDescent="0.2">
      <c r="A260" s="1"/>
      <c r="B260" s="24"/>
      <c r="C260" s="24"/>
      <c r="D260" s="13"/>
      <c r="E260" s="13"/>
      <c r="F260" s="13"/>
      <c r="G260" s="13"/>
      <c r="H260" s="13"/>
      <c r="I260" s="13"/>
      <c r="J260" s="13"/>
      <c r="K260" s="20"/>
      <c r="L260" s="20"/>
      <c r="M260" s="1"/>
      <c r="N260" s="1"/>
      <c r="O260" s="24"/>
      <c r="P260" s="24"/>
      <c r="Q260" s="13"/>
      <c r="R260" s="13"/>
      <c r="S260" s="13"/>
      <c r="T260" s="13"/>
      <c r="U260" s="13"/>
      <c r="V260" s="13"/>
      <c r="W260" s="13"/>
      <c r="X260" s="13"/>
      <c r="Y260" s="20"/>
      <c r="Z260" s="1"/>
      <c r="AA260" s="1"/>
    </row>
    <row r="261" spans="1:27" ht="12" customHeight="1" x14ac:dyDescent="0.2">
      <c r="A261" s="1"/>
      <c r="B261" s="24"/>
      <c r="C261" s="24"/>
      <c r="D261" s="13"/>
      <c r="E261" s="13"/>
      <c r="F261" s="13"/>
      <c r="G261" s="13"/>
      <c r="H261" s="13"/>
      <c r="I261" s="13"/>
      <c r="J261" s="13"/>
      <c r="K261" s="20"/>
      <c r="L261" s="20"/>
      <c r="M261" s="1"/>
      <c r="N261" s="1"/>
      <c r="O261" s="24"/>
      <c r="P261" s="24"/>
      <c r="Q261" s="13"/>
      <c r="R261" s="13"/>
      <c r="S261" s="13"/>
      <c r="T261" s="13"/>
      <c r="U261" s="13"/>
      <c r="V261" s="13"/>
      <c r="W261" s="13"/>
      <c r="X261" s="13"/>
      <c r="Y261" s="20"/>
      <c r="Z261" s="1"/>
      <c r="AA261" s="1"/>
    </row>
    <row r="262" spans="1:27" ht="12" customHeight="1" x14ac:dyDescent="0.2">
      <c r="A262" s="1"/>
      <c r="B262" s="24"/>
      <c r="C262" s="24"/>
      <c r="D262" s="13"/>
      <c r="E262" s="13"/>
      <c r="F262" s="13"/>
      <c r="G262" s="13"/>
      <c r="H262" s="13"/>
      <c r="I262" s="13"/>
      <c r="J262" s="13"/>
      <c r="K262" s="20"/>
      <c r="L262" s="20"/>
      <c r="M262" s="1"/>
      <c r="N262" s="1"/>
      <c r="O262" s="24"/>
      <c r="P262" s="24"/>
      <c r="Q262" s="13"/>
      <c r="R262" s="13"/>
      <c r="S262" s="13"/>
      <c r="T262" s="13"/>
      <c r="U262" s="13"/>
      <c r="V262" s="13"/>
      <c r="W262" s="13"/>
      <c r="X262" s="13"/>
      <c r="Y262" s="20"/>
      <c r="Z262" s="1"/>
      <c r="AA262" s="1"/>
    </row>
    <row r="263" spans="1:27" ht="12" customHeight="1" x14ac:dyDescent="0.2">
      <c r="A263" s="1"/>
      <c r="B263" s="24"/>
      <c r="C263" s="24"/>
      <c r="D263" s="13"/>
      <c r="E263" s="13"/>
      <c r="F263" s="13"/>
      <c r="G263" s="13"/>
      <c r="H263" s="13"/>
      <c r="I263" s="13"/>
      <c r="J263" s="13"/>
      <c r="K263" s="20"/>
      <c r="L263" s="20"/>
      <c r="M263" s="1"/>
      <c r="N263" s="1"/>
      <c r="O263" s="24"/>
      <c r="P263" s="24"/>
      <c r="Q263" s="13"/>
      <c r="R263" s="13"/>
      <c r="S263" s="13"/>
      <c r="T263" s="13"/>
      <c r="U263" s="13"/>
      <c r="V263" s="13"/>
      <c r="W263" s="13"/>
      <c r="X263" s="13"/>
      <c r="Y263" s="20"/>
      <c r="Z263" s="1"/>
      <c r="AA263" s="1"/>
    </row>
    <row r="264" spans="1:27" ht="12" customHeight="1" x14ac:dyDescent="0.2">
      <c r="A264" s="1"/>
      <c r="B264" s="24"/>
      <c r="C264" s="24"/>
      <c r="D264" s="13"/>
      <c r="E264" s="13"/>
      <c r="F264" s="13"/>
      <c r="G264" s="13"/>
      <c r="H264" s="13"/>
      <c r="I264" s="13"/>
      <c r="J264" s="13"/>
      <c r="K264" s="20"/>
      <c r="L264" s="20"/>
      <c r="M264" s="1"/>
      <c r="N264" s="1"/>
      <c r="O264" s="24"/>
      <c r="P264" s="24"/>
      <c r="Q264" s="13"/>
      <c r="R264" s="13"/>
      <c r="S264" s="13"/>
      <c r="T264" s="13"/>
      <c r="U264" s="13"/>
      <c r="V264" s="13"/>
      <c r="W264" s="13"/>
      <c r="X264" s="13"/>
      <c r="Y264" s="20"/>
      <c r="Z264" s="1"/>
      <c r="AA264" s="1"/>
    </row>
    <row r="265" spans="1:27" ht="12" customHeight="1" x14ac:dyDescent="0.2">
      <c r="A265" s="1"/>
      <c r="B265" s="24"/>
      <c r="C265" s="24"/>
      <c r="D265" s="13"/>
      <c r="E265" s="13"/>
      <c r="F265" s="13"/>
      <c r="G265" s="13"/>
      <c r="H265" s="13"/>
      <c r="I265" s="13"/>
      <c r="J265" s="13"/>
      <c r="K265" s="20"/>
      <c r="L265" s="20"/>
      <c r="M265" s="1"/>
      <c r="N265" s="1"/>
      <c r="O265" s="24"/>
      <c r="P265" s="24"/>
      <c r="Q265" s="13"/>
      <c r="R265" s="13"/>
      <c r="S265" s="13"/>
      <c r="T265" s="13"/>
      <c r="U265" s="13"/>
      <c r="V265" s="13"/>
      <c r="W265" s="13"/>
      <c r="X265" s="13"/>
      <c r="Y265" s="20"/>
      <c r="Z265" s="1"/>
      <c r="AA265" s="1"/>
    </row>
    <row r="266" spans="1:27" ht="12" customHeight="1" x14ac:dyDescent="0.2">
      <c r="A266" s="1"/>
      <c r="B266" s="24"/>
      <c r="C266" s="24"/>
      <c r="D266" s="13"/>
      <c r="E266" s="13"/>
      <c r="F266" s="13"/>
      <c r="G266" s="13"/>
      <c r="H266" s="13"/>
      <c r="I266" s="13"/>
      <c r="J266" s="13"/>
      <c r="K266" s="20"/>
      <c r="L266" s="20"/>
      <c r="M266" s="1"/>
      <c r="N266" s="1"/>
      <c r="O266" s="24"/>
      <c r="P266" s="24"/>
      <c r="Q266" s="13"/>
      <c r="R266" s="13"/>
      <c r="S266" s="13"/>
      <c r="T266" s="13"/>
      <c r="U266" s="13"/>
      <c r="V266" s="13"/>
      <c r="W266" s="13"/>
      <c r="X266" s="13"/>
      <c r="Y266" s="20"/>
      <c r="Z266" s="1"/>
      <c r="AA266" s="1"/>
    </row>
    <row r="267" spans="1:27" ht="12" customHeight="1" x14ac:dyDescent="0.2">
      <c r="A267" s="1"/>
      <c r="B267" s="24"/>
      <c r="C267" s="24"/>
      <c r="D267" s="13"/>
      <c r="E267" s="13"/>
      <c r="F267" s="13"/>
      <c r="G267" s="13"/>
      <c r="H267" s="13"/>
      <c r="I267" s="13"/>
      <c r="J267" s="13"/>
      <c r="K267" s="20"/>
      <c r="L267" s="20"/>
      <c r="M267" s="1"/>
      <c r="N267" s="1"/>
      <c r="O267" s="24"/>
      <c r="P267" s="24"/>
      <c r="Q267" s="13"/>
      <c r="R267" s="13"/>
      <c r="S267" s="13"/>
      <c r="T267" s="13"/>
      <c r="U267" s="13"/>
      <c r="V267" s="13"/>
      <c r="W267" s="13"/>
      <c r="X267" s="13"/>
      <c r="Y267" s="20"/>
      <c r="Z267" s="1"/>
      <c r="AA267" s="1"/>
    </row>
    <row r="268" spans="1:27" ht="12" customHeight="1" x14ac:dyDescent="0.2">
      <c r="A268" s="1"/>
      <c r="B268" s="24"/>
      <c r="C268" s="24"/>
      <c r="D268" s="13"/>
      <c r="E268" s="13"/>
      <c r="F268" s="13"/>
      <c r="G268" s="13"/>
      <c r="H268" s="13"/>
      <c r="I268" s="13"/>
      <c r="J268" s="13"/>
      <c r="K268" s="20"/>
      <c r="L268" s="20"/>
      <c r="M268" s="1"/>
      <c r="N268" s="1"/>
      <c r="O268" s="24"/>
      <c r="P268" s="24"/>
      <c r="Q268" s="13"/>
      <c r="R268" s="13"/>
      <c r="S268" s="13"/>
      <c r="T268" s="13"/>
      <c r="U268" s="13"/>
      <c r="V268" s="13"/>
      <c r="W268" s="13"/>
      <c r="X268" s="13"/>
      <c r="Y268" s="20"/>
      <c r="Z268" s="1"/>
      <c r="AA268" s="1"/>
    </row>
    <row r="269" spans="1:27" ht="12" customHeight="1" x14ac:dyDescent="0.2">
      <c r="A269" s="1"/>
      <c r="B269" s="24"/>
      <c r="C269" s="24"/>
      <c r="D269" s="13"/>
      <c r="E269" s="13"/>
      <c r="F269" s="13"/>
      <c r="G269" s="13"/>
      <c r="H269" s="13"/>
      <c r="I269" s="13"/>
      <c r="J269" s="13"/>
      <c r="K269" s="20"/>
      <c r="L269" s="20"/>
      <c r="M269" s="1"/>
      <c r="N269" s="1"/>
      <c r="O269" s="24"/>
      <c r="P269" s="24"/>
      <c r="Q269" s="13"/>
      <c r="R269" s="13"/>
      <c r="S269" s="13"/>
      <c r="T269" s="13"/>
      <c r="U269" s="13"/>
      <c r="V269" s="13"/>
      <c r="W269" s="13"/>
      <c r="X269" s="13"/>
      <c r="Y269" s="20"/>
      <c r="Z269" s="1"/>
      <c r="AA269" s="1"/>
    </row>
    <row r="270" spans="1:27" ht="12" customHeight="1" x14ac:dyDescent="0.2">
      <c r="A270" s="1"/>
      <c r="B270" s="24"/>
      <c r="C270" s="24"/>
      <c r="D270" s="13"/>
      <c r="E270" s="13"/>
      <c r="F270" s="13"/>
      <c r="G270" s="13"/>
      <c r="H270" s="13"/>
      <c r="I270" s="13"/>
      <c r="J270" s="13"/>
      <c r="K270" s="20"/>
      <c r="L270" s="20"/>
      <c r="M270" s="1"/>
      <c r="N270" s="1"/>
      <c r="O270" s="24"/>
      <c r="P270" s="24"/>
      <c r="Q270" s="13"/>
      <c r="R270" s="13"/>
      <c r="S270" s="13"/>
      <c r="T270" s="13"/>
      <c r="U270" s="13"/>
      <c r="V270" s="13"/>
      <c r="W270" s="13"/>
      <c r="X270" s="13"/>
      <c r="Y270" s="20"/>
      <c r="Z270" s="1"/>
      <c r="AA270" s="1"/>
    </row>
    <row r="271" spans="1:27" ht="12" customHeight="1" x14ac:dyDescent="0.2">
      <c r="A271" s="1"/>
      <c r="B271" s="24"/>
      <c r="C271" s="24"/>
      <c r="D271" s="13"/>
      <c r="E271" s="13"/>
      <c r="F271" s="13"/>
      <c r="G271" s="13"/>
      <c r="H271" s="13"/>
      <c r="I271" s="13"/>
      <c r="J271" s="13"/>
      <c r="K271" s="20"/>
      <c r="L271" s="20"/>
      <c r="M271" s="1"/>
      <c r="N271" s="1"/>
      <c r="O271" s="24"/>
      <c r="P271" s="24"/>
      <c r="Q271" s="13"/>
      <c r="R271" s="13"/>
      <c r="S271" s="13"/>
      <c r="T271" s="13"/>
      <c r="U271" s="13"/>
      <c r="V271" s="13"/>
      <c r="W271" s="13"/>
      <c r="X271" s="13"/>
      <c r="Y271" s="20"/>
      <c r="Z271" s="1"/>
      <c r="AA271" s="1"/>
    </row>
    <row r="272" spans="1:27" ht="12" customHeight="1" x14ac:dyDescent="0.2">
      <c r="A272" s="1"/>
      <c r="B272" s="24"/>
      <c r="C272" s="24"/>
      <c r="D272" s="13"/>
      <c r="E272" s="13"/>
      <c r="F272" s="13"/>
      <c r="G272" s="13"/>
      <c r="H272" s="13"/>
      <c r="I272" s="13"/>
      <c r="J272" s="13"/>
      <c r="K272" s="20"/>
      <c r="L272" s="20"/>
      <c r="M272" s="1"/>
      <c r="N272" s="1"/>
      <c r="O272" s="24"/>
      <c r="P272" s="24"/>
      <c r="Q272" s="13"/>
      <c r="R272" s="13"/>
      <c r="S272" s="13"/>
      <c r="T272" s="13"/>
      <c r="U272" s="13"/>
      <c r="V272" s="13"/>
      <c r="W272" s="13"/>
      <c r="X272" s="13"/>
      <c r="Y272" s="20"/>
      <c r="Z272" s="1"/>
      <c r="AA272" s="1"/>
    </row>
    <row r="273" spans="1:27" ht="12" customHeight="1" x14ac:dyDescent="0.2">
      <c r="A273" s="1"/>
      <c r="B273" s="24"/>
      <c r="C273" s="24"/>
      <c r="D273" s="13"/>
      <c r="E273" s="13"/>
      <c r="F273" s="13"/>
      <c r="G273" s="13"/>
      <c r="H273" s="13"/>
      <c r="I273" s="13"/>
      <c r="J273" s="13"/>
      <c r="K273" s="20"/>
      <c r="L273" s="20"/>
      <c r="M273" s="1"/>
      <c r="N273" s="1"/>
      <c r="O273" s="24"/>
      <c r="P273" s="24"/>
      <c r="Q273" s="13"/>
      <c r="R273" s="13"/>
      <c r="S273" s="13"/>
      <c r="T273" s="13"/>
      <c r="U273" s="13"/>
      <c r="V273" s="13"/>
      <c r="W273" s="13"/>
      <c r="X273" s="13"/>
      <c r="Y273" s="20"/>
      <c r="Z273" s="1"/>
      <c r="AA273" s="1"/>
    </row>
    <row r="274" spans="1:27" ht="12" customHeight="1" x14ac:dyDescent="0.2">
      <c r="A274" s="1"/>
      <c r="B274" s="24"/>
      <c r="C274" s="24"/>
      <c r="D274" s="13"/>
      <c r="E274" s="13"/>
      <c r="F274" s="13"/>
      <c r="G274" s="13"/>
      <c r="H274" s="13"/>
      <c r="I274" s="13"/>
      <c r="J274" s="13"/>
      <c r="K274" s="20"/>
      <c r="L274" s="20"/>
      <c r="M274" s="1"/>
      <c r="N274" s="1"/>
      <c r="O274" s="24"/>
      <c r="P274" s="24"/>
      <c r="Q274" s="13"/>
      <c r="R274" s="13"/>
      <c r="S274" s="13"/>
      <c r="T274" s="13"/>
      <c r="U274" s="13"/>
      <c r="V274" s="13"/>
      <c r="W274" s="13"/>
      <c r="X274" s="13"/>
      <c r="Y274" s="20"/>
      <c r="Z274" s="1"/>
      <c r="AA274" s="1"/>
    </row>
    <row r="275" spans="1:27" ht="12" customHeight="1" x14ac:dyDescent="0.2">
      <c r="A275" s="1"/>
      <c r="B275" s="24"/>
      <c r="C275" s="24"/>
      <c r="D275" s="13"/>
      <c r="E275" s="13"/>
      <c r="F275" s="13"/>
      <c r="G275" s="13"/>
      <c r="H275" s="13"/>
      <c r="I275" s="13"/>
      <c r="J275" s="13"/>
      <c r="K275" s="20"/>
      <c r="L275" s="20"/>
      <c r="M275" s="1"/>
      <c r="N275" s="1"/>
      <c r="O275" s="24"/>
      <c r="P275" s="24"/>
      <c r="Q275" s="13"/>
      <c r="R275" s="13"/>
      <c r="S275" s="13"/>
      <c r="T275" s="13"/>
      <c r="U275" s="13"/>
      <c r="V275" s="13"/>
      <c r="W275" s="13"/>
      <c r="X275" s="13"/>
      <c r="Y275" s="20"/>
      <c r="Z275" s="1"/>
      <c r="AA275" s="1"/>
    </row>
    <row r="276" spans="1:27" ht="12" customHeight="1" x14ac:dyDescent="0.2">
      <c r="A276" s="1"/>
      <c r="B276" s="24"/>
      <c r="C276" s="24"/>
      <c r="D276" s="13"/>
      <c r="E276" s="13"/>
      <c r="F276" s="13"/>
      <c r="G276" s="13"/>
      <c r="H276" s="13"/>
      <c r="I276" s="13"/>
      <c r="J276" s="13"/>
      <c r="K276" s="20"/>
      <c r="L276" s="20"/>
      <c r="M276" s="1"/>
      <c r="N276" s="1"/>
      <c r="O276" s="24"/>
      <c r="P276" s="24"/>
      <c r="Q276" s="13"/>
      <c r="R276" s="13"/>
      <c r="S276" s="13"/>
      <c r="T276" s="13"/>
      <c r="U276" s="13"/>
      <c r="V276" s="13"/>
      <c r="W276" s="13"/>
      <c r="X276" s="13"/>
      <c r="Y276" s="20"/>
      <c r="Z276" s="1"/>
      <c r="AA276" s="1"/>
    </row>
    <row r="277" spans="1:27" ht="12" customHeight="1" x14ac:dyDescent="0.2">
      <c r="A277" s="1"/>
      <c r="B277" s="24"/>
      <c r="C277" s="24"/>
      <c r="D277" s="13"/>
      <c r="E277" s="13"/>
      <c r="F277" s="13"/>
      <c r="G277" s="13"/>
      <c r="H277" s="13"/>
      <c r="I277" s="13"/>
      <c r="J277" s="13"/>
      <c r="K277" s="20"/>
      <c r="L277" s="20"/>
      <c r="M277" s="1"/>
      <c r="N277" s="1"/>
      <c r="O277" s="24"/>
      <c r="P277" s="24"/>
      <c r="Q277" s="13"/>
      <c r="R277" s="13"/>
      <c r="S277" s="13"/>
      <c r="T277" s="13"/>
      <c r="U277" s="13"/>
      <c r="V277" s="13"/>
      <c r="W277" s="13"/>
      <c r="X277" s="13"/>
      <c r="Y277" s="20"/>
      <c r="Z277" s="1"/>
      <c r="AA277" s="1"/>
    </row>
    <row r="278" spans="1:27" ht="12" customHeight="1" x14ac:dyDescent="0.2">
      <c r="A278" s="1"/>
      <c r="B278" s="24"/>
      <c r="C278" s="24"/>
      <c r="D278" s="13"/>
      <c r="E278" s="13"/>
      <c r="F278" s="13"/>
      <c r="G278" s="13"/>
      <c r="H278" s="13"/>
      <c r="I278" s="13"/>
      <c r="J278" s="13"/>
      <c r="K278" s="20"/>
      <c r="L278" s="20"/>
      <c r="M278" s="1"/>
      <c r="N278" s="1"/>
      <c r="O278" s="24"/>
      <c r="P278" s="24"/>
      <c r="Q278" s="13"/>
      <c r="R278" s="13"/>
      <c r="S278" s="13"/>
      <c r="T278" s="13"/>
      <c r="U278" s="13"/>
      <c r="V278" s="13"/>
      <c r="W278" s="13"/>
      <c r="X278" s="13"/>
      <c r="Y278" s="20"/>
      <c r="Z278" s="1"/>
      <c r="AA278" s="1"/>
    </row>
    <row r="279" spans="1:27" ht="12" customHeight="1" x14ac:dyDescent="0.2">
      <c r="A279" s="1"/>
      <c r="B279" s="24"/>
      <c r="C279" s="24"/>
      <c r="D279" s="13"/>
      <c r="E279" s="13"/>
      <c r="F279" s="13"/>
      <c r="G279" s="13"/>
      <c r="H279" s="13"/>
      <c r="I279" s="13"/>
      <c r="J279" s="13"/>
      <c r="K279" s="20"/>
      <c r="L279" s="20"/>
      <c r="M279" s="1"/>
      <c r="N279" s="1"/>
      <c r="O279" s="24"/>
      <c r="P279" s="24"/>
      <c r="Q279" s="13"/>
      <c r="R279" s="13"/>
      <c r="S279" s="13"/>
      <c r="T279" s="13"/>
      <c r="U279" s="13"/>
      <c r="V279" s="13"/>
      <c r="W279" s="13"/>
      <c r="X279" s="13"/>
      <c r="Y279" s="20"/>
      <c r="Z279" s="1"/>
      <c r="AA279" s="1"/>
    </row>
    <row r="280" spans="1:27" ht="12" customHeight="1" x14ac:dyDescent="0.2">
      <c r="A280" s="1"/>
      <c r="B280" s="24"/>
      <c r="C280" s="24"/>
      <c r="D280" s="13"/>
      <c r="E280" s="13"/>
      <c r="F280" s="13"/>
      <c r="G280" s="13"/>
      <c r="H280" s="13"/>
      <c r="I280" s="13"/>
      <c r="J280" s="13"/>
      <c r="K280" s="20"/>
      <c r="L280" s="20"/>
      <c r="M280" s="1"/>
      <c r="N280" s="1"/>
      <c r="O280" s="24"/>
      <c r="P280" s="24"/>
      <c r="Q280" s="13"/>
      <c r="R280" s="13"/>
      <c r="S280" s="13"/>
      <c r="T280" s="13"/>
      <c r="U280" s="13"/>
      <c r="V280" s="13"/>
      <c r="W280" s="13"/>
      <c r="X280" s="13"/>
      <c r="Y280" s="20"/>
      <c r="Z280" s="1"/>
      <c r="AA280" s="1"/>
    </row>
    <row r="281" spans="1:27" ht="12" customHeight="1" x14ac:dyDescent="0.2">
      <c r="A281" s="1"/>
      <c r="B281" s="24"/>
      <c r="C281" s="24"/>
      <c r="D281" s="13"/>
      <c r="E281" s="13"/>
      <c r="F281" s="13"/>
      <c r="G281" s="13"/>
      <c r="H281" s="13"/>
      <c r="I281" s="13"/>
      <c r="J281" s="13"/>
      <c r="K281" s="20"/>
      <c r="L281" s="20"/>
      <c r="M281" s="1"/>
      <c r="N281" s="1"/>
      <c r="O281" s="24"/>
      <c r="P281" s="24"/>
      <c r="Q281" s="13"/>
      <c r="R281" s="13"/>
      <c r="S281" s="13"/>
      <c r="T281" s="13"/>
      <c r="U281" s="13"/>
      <c r="V281" s="13"/>
      <c r="W281" s="13"/>
      <c r="X281" s="13"/>
      <c r="Y281" s="20"/>
      <c r="Z281" s="1"/>
      <c r="AA281" s="1"/>
    </row>
    <row r="282" spans="1:27" ht="12" customHeight="1" x14ac:dyDescent="0.2">
      <c r="A282" s="1"/>
      <c r="B282" s="24"/>
      <c r="C282" s="24"/>
      <c r="D282" s="13"/>
      <c r="E282" s="13"/>
      <c r="F282" s="13"/>
      <c r="G282" s="13"/>
      <c r="H282" s="13"/>
      <c r="I282" s="13"/>
      <c r="J282" s="13"/>
      <c r="K282" s="20"/>
      <c r="L282" s="20"/>
      <c r="M282" s="1"/>
      <c r="N282" s="1"/>
      <c r="O282" s="24"/>
      <c r="P282" s="24"/>
      <c r="Q282" s="13"/>
      <c r="R282" s="13"/>
      <c r="S282" s="13"/>
      <c r="T282" s="13"/>
      <c r="U282" s="13"/>
      <c r="V282" s="13"/>
      <c r="W282" s="13"/>
      <c r="X282" s="13"/>
      <c r="Y282" s="20"/>
      <c r="Z282" s="1"/>
      <c r="AA282" s="1"/>
    </row>
    <row r="283" spans="1:27" ht="12" customHeight="1" x14ac:dyDescent="0.2">
      <c r="A283" s="1"/>
      <c r="B283" s="24"/>
      <c r="C283" s="24"/>
      <c r="D283" s="13"/>
      <c r="E283" s="13"/>
      <c r="F283" s="13"/>
      <c r="G283" s="13"/>
      <c r="H283" s="13"/>
      <c r="I283" s="13"/>
      <c r="J283" s="13"/>
      <c r="K283" s="20"/>
      <c r="L283" s="20"/>
      <c r="M283" s="1"/>
      <c r="N283" s="1"/>
      <c r="O283" s="24"/>
      <c r="P283" s="24"/>
      <c r="Q283" s="13"/>
      <c r="R283" s="13"/>
      <c r="S283" s="13"/>
      <c r="T283" s="13"/>
      <c r="U283" s="13"/>
      <c r="V283" s="13"/>
      <c r="W283" s="13"/>
      <c r="X283" s="13"/>
      <c r="Y283" s="20"/>
      <c r="Z283" s="1"/>
      <c r="AA283" s="1"/>
    </row>
    <row r="284" spans="1:27" ht="12" customHeight="1" x14ac:dyDescent="0.2">
      <c r="A284" s="1"/>
      <c r="B284" s="24"/>
      <c r="C284" s="24"/>
      <c r="D284" s="13"/>
      <c r="E284" s="13"/>
      <c r="F284" s="13"/>
      <c r="G284" s="13"/>
      <c r="H284" s="13"/>
      <c r="I284" s="13"/>
      <c r="J284" s="13"/>
      <c r="K284" s="20"/>
      <c r="L284" s="20"/>
      <c r="M284" s="1"/>
      <c r="N284" s="1"/>
      <c r="O284" s="24"/>
      <c r="P284" s="24"/>
      <c r="Q284" s="13"/>
      <c r="R284" s="13"/>
      <c r="S284" s="13"/>
      <c r="T284" s="13"/>
      <c r="U284" s="13"/>
      <c r="V284" s="13"/>
      <c r="W284" s="13"/>
      <c r="X284" s="13"/>
      <c r="Y284" s="20"/>
      <c r="Z284" s="1"/>
      <c r="AA284" s="1"/>
    </row>
    <row r="285" spans="1:27" ht="12" customHeight="1" x14ac:dyDescent="0.2">
      <c r="A285" s="1"/>
      <c r="B285" s="24"/>
      <c r="C285" s="24"/>
      <c r="D285" s="13"/>
      <c r="E285" s="13"/>
      <c r="F285" s="13"/>
      <c r="G285" s="13"/>
      <c r="H285" s="13"/>
      <c r="I285" s="13"/>
      <c r="J285" s="13"/>
      <c r="K285" s="20"/>
      <c r="L285" s="20"/>
      <c r="M285" s="1"/>
      <c r="N285" s="1"/>
      <c r="O285" s="24"/>
      <c r="P285" s="24"/>
      <c r="Q285" s="13"/>
      <c r="R285" s="13"/>
      <c r="S285" s="13"/>
      <c r="T285" s="13"/>
      <c r="U285" s="13"/>
      <c r="V285" s="13"/>
      <c r="W285" s="13"/>
      <c r="X285" s="13"/>
      <c r="Y285" s="20"/>
      <c r="Z285" s="1"/>
      <c r="AA285" s="1"/>
    </row>
    <row r="286" spans="1:27" ht="12" customHeight="1" x14ac:dyDescent="0.2">
      <c r="A286" s="1"/>
      <c r="B286" s="24"/>
      <c r="C286" s="24"/>
      <c r="D286" s="13"/>
      <c r="E286" s="13"/>
      <c r="F286" s="13"/>
      <c r="G286" s="13"/>
      <c r="H286" s="13"/>
      <c r="I286" s="13"/>
      <c r="J286" s="13"/>
      <c r="K286" s="20"/>
      <c r="L286" s="20"/>
      <c r="M286" s="1"/>
      <c r="N286" s="1"/>
      <c r="O286" s="24"/>
      <c r="P286" s="24"/>
      <c r="Q286" s="13"/>
      <c r="R286" s="13"/>
      <c r="S286" s="13"/>
      <c r="T286" s="13"/>
      <c r="U286" s="13"/>
      <c r="V286" s="13"/>
      <c r="W286" s="13"/>
      <c r="X286" s="13"/>
      <c r="Y286" s="20"/>
      <c r="Z286" s="1"/>
      <c r="AA286" s="1"/>
    </row>
    <row r="287" spans="1:27" ht="12" customHeight="1" x14ac:dyDescent="0.2">
      <c r="A287" s="1"/>
      <c r="B287" s="24"/>
      <c r="C287" s="24"/>
      <c r="D287" s="13"/>
      <c r="E287" s="13"/>
      <c r="F287" s="13"/>
      <c r="G287" s="13"/>
      <c r="H287" s="13"/>
      <c r="I287" s="13"/>
      <c r="J287" s="13"/>
      <c r="K287" s="20"/>
      <c r="L287" s="20"/>
      <c r="M287" s="1"/>
      <c r="N287" s="1"/>
      <c r="O287" s="24"/>
      <c r="P287" s="24"/>
      <c r="Q287" s="13"/>
      <c r="R287" s="13"/>
      <c r="S287" s="13"/>
      <c r="T287" s="13"/>
      <c r="U287" s="13"/>
      <c r="V287" s="13"/>
      <c r="W287" s="13"/>
      <c r="X287" s="13"/>
      <c r="Y287" s="20"/>
      <c r="Z287" s="1"/>
      <c r="AA287" s="1"/>
    </row>
    <row r="288" spans="1:27" ht="12" customHeight="1" x14ac:dyDescent="0.2">
      <c r="A288" s="1"/>
      <c r="B288" s="24"/>
      <c r="C288" s="24"/>
      <c r="D288" s="13"/>
      <c r="E288" s="13"/>
      <c r="F288" s="13"/>
      <c r="G288" s="13"/>
      <c r="H288" s="13"/>
      <c r="I288" s="13"/>
      <c r="J288" s="13"/>
      <c r="K288" s="20"/>
      <c r="L288" s="20"/>
      <c r="M288" s="1"/>
      <c r="N288" s="1"/>
      <c r="O288" s="24"/>
      <c r="P288" s="24"/>
      <c r="Q288" s="13"/>
      <c r="R288" s="13"/>
      <c r="S288" s="13"/>
      <c r="T288" s="13"/>
      <c r="U288" s="13"/>
      <c r="V288" s="13"/>
      <c r="W288" s="13"/>
      <c r="X288" s="13"/>
      <c r="Y288" s="20"/>
      <c r="Z288" s="1"/>
      <c r="AA288" s="1"/>
    </row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</sheetData>
  <pageMargins left="0.7" right="0.7" top="0.75" bottom="0.75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7"/>
  <sheetViews>
    <sheetView workbookViewId="0">
      <selection activeCell="C18" sqref="C18"/>
    </sheetView>
  </sheetViews>
  <sheetFormatPr baseColWidth="10" defaultRowHeight="12.75" x14ac:dyDescent="0.2"/>
  <cols>
    <col min="1" max="1" width="5.5703125" customWidth="1"/>
    <col min="2" max="2" width="9.5703125" bestFit="1" customWidth="1"/>
    <col min="3" max="3" width="23.42578125" bestFit="1" customWidth="1"/>
    <col min="4" max="4" width="15.5703125" style="61" customWidth="1"/>
    <col min="5" max="5" width="8" customWidth="1"/>
    <col min="6" max="6" width="9.5703125" bestFit="1" customWidth="1"/>
    <col min="7" max="7" width="30.5703125" bestFit="1" customWidth="1"/>
    <col min="8" max="8" width="4.42578125" customWidth="1"/>
  </cols>
  <sheetData>
    <row r="3" spans="2:9" s="55" customFormat="1" ht="24" x14ac:dyDescent="0.2">
      <c r="B3" s="52" t="s">
        <v>45</v>
      </c>
      <c r="C3" s="53" t="s">
        <v>46</v>
      </c>
      <c r="D3" s="54" t="s">
        <v>47</v>
      </c>
      <c r="F3" s="52" t="s">
        <v>48</v>
      </c>
      <c r="G3" s="53" t="s">
        <v>49</v>
      </c>
    </row>
    <row r="4" spans="2:9" x14ac:dyDescent="0.2">
      <c r="B4" s="341">
        <v>1</v>
      </c>
      <c r="C4" s="57" t="s">
        <v>50</v>
      </c>
      <c r="D4" s="58" t="s">
        <v>51</v>
      </c>
      <c r="F4" s="56">
        <v>1</v>
      </c>
      <c r="G4" s="57" t="s">
        <v>52</v>
      </c>
      <c r="I4" t="s">
        <v>53</v>
      </c>
    </row>
    <row r="5" spans="2:9" x14ac:dyDescent="0.2">
      <c r="B5" s="341">
        <v>2</v>
      </c>
      <c r="C5" s="57" t="s">
        <v>54</v>
      </c>
      <c r="D5" s="58" t="s">
        <v>55</v>
      </c>
      <c r="F5" s="56">
        <v>2</v>
      </c>
      <c r="G5" s="57" t="s">
        <v>56</v>
      </c>
      <c r="I5" t="s">
        <v>57</v>
      </c>
    </row>
    <row r="6" spans="2:9" x14ac:dyDescent="0.2">
      <c r="B6" s="341">
        <v>6</v>
      </c>
      <c r="C6" s="57" t="s">
        <v>58</v>
      </c>
      <c r="D6" s="58"/>
      <c r="F6" s="56">
        <v>3</v>
      </c>
      <c r="G6" s="57" t="s">
        <v>59</v>
      </c>
      <c r="I6" t="s">
        <v>60</v>
      </c>
    </row>
    <row r="7" spans="2:9" x14ac:dyDescent="0.2">
      <c r="B7" s="341">
        <v>9</v>
      </c>
      <c r="C7" s="57" t="s">
        <v>61</v>
      </c>
      <c r="D7" s="58" t="s">
        <v>62</v>
      </c>
      <c r="F7" s="56">
        <v>4</v>
      </c>
      <c r="G7" s="57" t="s">
        <v>63</v>
      </c>
      <c r="I7" t="s">
        <v>64</v>
      </c>
    </row>
    <row r="8" spans="2:9" x14ac:dyDescent="0.2">
      <c r="B8" s="341">
        <v>12</v>
      </c>
      <c r="C8" s="57" t="s">
        <v>65</v>
      </c>
      <c r="D8" s="58" t="s">
        <v>66</v>
      </c>
      <c r="F8" s="56">
        <v>5</v>
      </c>
      <c r="G8" s="57" t="s">
        <v>67</v>
      </c>
      <c r="I8" t="s">
        <v>68</v>
      </c>
    </row>
    <row r="9" spans="2:9" x14ac:dyDescent="0.2">
      <c r="B9" s="341">
        <v>19</v>
      </c>
      <c r="C9" s="57" t="s">
        <v>69</v>
      </c>
      <c r="D9" s="58" t="s">
        <v>70</v>
      </c>
      <c r="F9" s="56">
        <v>6</v>
      </c>
      <c r="G9" s="57" t="s">
        <v>71</v>
      </c>
      <c r="I9" t="s">
        <v>72</v>
      </c>
    </row>
    <row r="10" spans="2:9" x14ac:dyDescent="0.2">
      <c r="B10" s="341">
        <v>23</v>
      </c>
      <c r="C10" s="57" t="s">
        <v>73</v>
      </c>
      <c r="D10" s="58" t="s">
        <v>74</v>
      </c>
      <c r="F10" s="56">
        <v>7</v>
      </c>
      <c r="G10" s="57" t="s">
        <v>75</v>
      </c>
      <c r="I10" t="s">
        <v>76</v>
      </c>
    </row>
    <row r="11" spans="2:9" x14ac:dyDescent="0.2">
      <c r="B11" s="341">
        <v>32</v>
      </c>
      <c r="C11" s="57" t="s">
        <v>77</v>
      </c>
      <c r="D11" s="58" t="s">
        <v>78</v>
      </c>
      <c r="F11" s="56">
        <v>8</v>
      </c>
      <c r="G11" s="57" t="s">
        <v>79</v>
      </c>
      <c r="I11" t="s">
        <v>80</v>
      </c>
    </row>
    <row r="12" spans="2:9" x14ac:dyDescent="0.2">
      <c r="B12" s="341">
        <v>51</v>
      </c>
      <c r="C12" s="57" t="s">
        <v>81</v>
      </c>
      <c r="D12" s="58" t="s">
        <v>82</v>
      </c>
      <c r="F12" s="56">
        <v>9</v>
      </c>
      <c r="G12" s="57" t="s">
        <v>83</v>
      </c>
      <c r="I12" t="s">
        <v>84</v>
      </c>
    </row>
    <row r="13" spans="2:9" x14ac:dyDescent="0.2">
      <c r="B13" s="341">
        <v>52</v>
      </c>
      <c r="C13" s="57" t="s">
        <v>85</v>
      </c>
      <c r="D13" s="58" t="s">
        <v>86</v>
      </c>
      <c r="F13" s="56">
        <v>10</v>
      </c>
      <c r="G13" s="57" t="s">
        <v>87</v>
      </c>
      <c r="I13" t="s">
        <v>88</v>
      </c>
    </row>
    <row r="14" spans="2:9" x14ac:dyDescent="0.2">
      <c r="B14" s="341">
        <v>7</v>
      </c>
      <c r="C14" s="57" t="s">
        <v>89</v>
      </c>
      <c r="D14" s="58"/>
      <c r="F14" s="56">
        <v>11</v>
      </c>
      <c r="G14" s="57" t="s">
        <v>90</v>
      </c>
      <c r="I14" t="s">
        <v>91</v>
      </c>
    </row>
    <row r="15" spans="2:9" x14ac:dyDescent="0.2">
      <c r="B15" s="341">
        <v>13</v>
      </c>
      <c r="C15" s="57" t="s">
        <v>92</v>
      </c>
      <c r="D15" s="58"/>
      <c r="F15" s="56">
        <v>12</v>
      </c>
      <c r="G15" s="59" t="s">
        <v>93</v>
      </c>
    </row>
    <row r="16" spans="2:9" x14ac:dyDescent="0.2">
      <c r="B16" s="341">
        <v>14</v>
      </c>
      <c r="C16" s="57" t="s">
        <v>94</v>
      </c>
      <c r="D16" s="58"/>
      <c r="F16" s="56">
        <v>13</v>
      </c>
      <c r="G16" s="59" t="s">
        <v>95</v>
      </c>
    </row>
    <row r="17" spans="2:7" x14ac:dyDescent="0.2">
      <c r="B17" s="341">
        <v>24</v>
      </c>
      <c r="C17" s="57" t="s">
        <v>96</v>
      </c>
      <c r="D17" s="58"/>
      <c r="F17" s="56">
        <v>14</v>
      </c>
      <c r="G17" s="59" t="s">
        <v>97</v>
      </c>
    </row>
    <row r="18" spans="2:7" x14ac:dyDescent="0.2">
      <c r="B18" s="341">
        <v>40</v>
      </c>
      <c r="C18" s="57" t="s">
        <v>98</v>
      </c>
      <c r="D18" s="60"/>
      <c r="F18" s="56"/>
      <c r="G18" s="57"/>
    </row>
    <row r="19" spans="2:7" x14ac:dyDescent="0.2">
      <c r="B19" s="341">
        <v>60</v>
      </c>
      <c r="C19" s="57" t="s">
        <v>99</v>
      </c>
      <c r="D19" s="60"/>
    </row>
    <row r="20" spans="2:7" x14ac:dyDescent="0.2">
      <c r="B20" s="341">
        <v>116</v>
      </c>
      <c r="C20" s="57" t="s">
        <v>100</v>
      </c>
      <c r="D20" s="60"/>
    </row>
    <row r="21" spans="2:7" x14ac:dyDescent="0.2">
      <c r="B21" s="341">
        <v>130</v>
      </c>
      <c r="C21" s="57" t="s">
        <v>101</v>
      </c>
      <c r="D21" s="60"/>
    </row>
    <row r="22" spans="2:7" x14ac:dyDescent="0.2">
      <c r="B22" s="342" t="s">
        <v>44</v>
      </c>
      <c r="C22" s="59" t="s">
        <v>102</v>
      </c>
      <c r="D22" s="58">
        <v>230887267</v>
      </c>
    </row>
    <row r="23" spans="2:7" x14ac:dyDescent="0.2">
      <c r="B23" s="341">
        <v>200</v>
      </c>
      <c r="C23" s="59" t="s">
        <v>103</v>
      </c>
      <c r="D23" s="58" t="s">
        <v>117</v>
      </c>
    </row>
    <row r="24" spans="2:7" x14ac:dyDescent="0.2">
      <c r="B24" s="341">
        <v>201</v>
      </c>
      <c r="C24" s="59" t="s">
        <v>104</v>
      </c>
      <c r="D24" s="58" t="s">
        <v>117</v>
      </c>
    </row>
    <row r="25" spans="2:7" x14ac:dyDescent="0.2">
      <c r="B25" s="341"/>
      <c r="C25" s="57"/>
      <c r="D25" s="60"/>
    </row>
    <row r="26" spans="2:7" x14ac:dyDescent="0.2">
      <c r="B26" s="341"/>
      <c r="C26" s="57"/>
      <c r="D26" s="60"/>
    </row>
    <row r="27" spans="2:7" x14ac:dyDescent="0.2">
      <c r="B27" s="341"/>
      <c r="C27" s="57"/>
      <c r="D27" s="6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1000"/>
  <sheetViews>
    <sheetView workbookViewId="0">
      <selection activeCell="B2" sqref="B2:B3"/>
    </sheetView>
  </sheetViews>
  <sheetFormatPr baseColWidth="10" defaultColWidth="14.42578125" defaultRowHeight="15" customHeight="1" x14ac:dyDescent="0.2"/>
  <cols>
    <col min="1" max="6" width="10.5703125" customWidth="1"/>
  </cols>
  <sheetData>
    <row r="1" spans="2:2" ht="12.75" customHeight="1" x14ac:dyDescent="0.2"/>
    <row r="2" spans="2:2" ht="12.75" customHeight="1" x14ac:dyDescent="0.2">
      <c r="B2" s="318" t="s">
        <v>121</v>
      </c>
    </row>
    <row r="3" spans="2:2" ht="12.75" customHeight="1" x14ac:dyDescent="0.2">
      <c r="B3" s="318" t="s">
        <v>122</v>
      </c>
    </row>
    <row r="4" spans="2:2" ht="12.75" customHeight="1" x14ac:dyDescent="0.2"/>
    <row r="5" spans="2:2" ht="12.75" customHeight="1" x14ac:dyDescent="0.2"/>
    <row r="6" spans="2:2" ht="12.75" customHeight="1" x14ac:dyDescent="0.2"/>
    <row r="7" spans="2:2" ht="12.75" customHeight="1" x14ac:dyDescent="0.2"/>
    <row r="8" spans="2:2" ht="12.75" customHeight="1" x14ac:dyDescent="0.2"/>
    <row r="9" spans="2:2" ht="12.75" customHeight="1" x14ac:dyDescent="0.2"/>
    <row r="10" spans="2:2" ht="12.75" customHeight="1" x14ac:dyDescent="0.2"/>
    <row r="11" spans="2:2" ht="12.75" customHeight="1" x14ac:dyDescent="0.2"/>
    <row r="12" spans="2:2" ht="12.75" customHeight="1" x14ac:dyDescent="0.2"/>
    <row r="13" spans="2:2" ht="12.75" customHeight="1" x14ac:dyDescent="0.2"/>
    <row r="14" spans="2:2" ht="12.75" customHeight="1" x14ac:dyDescent="0.2"/>
    <row r="15" spans="2:2" ht="12.75" customHeight="1" x14ac:dyDescent="0.2"/>
    <row r="16" spans="2: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VD982"/>
  <sheetViews>
    <sheetView workbookViewId="0"/>
  </sheetViews>
  <sheetFormatPr baseColWidth="10" defaultColWidth="14.42578125" defaultRowHeight="15" customHeight="1" x14ac:dyDescent="0.2"/>
  <cols>
    <col min="1" max="1" width="3" customWidth="1"/>
    <col min="2" max="2" width="12.140625" customWidth="1"/>
    <col min="3" max="3" width="8.85546875" customWidth="1"/>
    <col min="4" max="4" width="9.5703125" customWidth="1"/>
    <col min="5" max="5" width="8.42578125" customWidth="1"/>
    <col min="6" max="6" width="16.5703125" customWidth="1"/>
    <col min="7" max="7" width="11.5703125" customWidth="1"/>
    <col min="8" max="8" width="30.42578125" customWidth="1"/>
    <col min="9" max="9" width="12.5703125" customWidth="1"/>
    <col min="10" max="23" width="13.5703125" customWidth="1"/>
    <col min="24" max="25" width="15.42578125" bestFit="1" customWidth="1"/>
    <col min="26" max="26" width="4.42578125" customWidth="1"/>
    <col min="27" max="27" width="2.5703125" style="63" customWidth="1"/>
    <col min="28" max="28" width="14.85546875" bestFit="1" customWidth="1"/>
    <col min="29" max="29" width="15.42578125" bestFit="1" customWidth="1"/>
  </cols>
  <sheetData>
    <row r="1" spans="1:51 16085:16124" s="1" customFormat="1" ht="12.95" customHeight="1" x14ac:dyDescent="0.2">
      <c r="C1" s="65">
        <f>OPORTUNO!C1</f>
        <v>2026101</v>
      </c>
      <c r="D1" s="66"/>
      <c r="E1" s="66"/>
      <c r="F1" s="66"/>
      <c r="G1" s="66"/>
      <c r="H1" s="66"/>
      <c r="I1" s="66"/>
      <c r="J1" s="67">
        <f>J16+J20+J24+J28+J32+J36+J40+J44+J48+J52+J56+J60+J64+J68+J72</f>
        <v>1616</v>
      </c>
      <c r="K1" s="67">
        <f>K16+K20+K24+K28+K32+K36+K40+K44+K48+K52+K56+K60+K64+K68+K72</f>
        <v>322739090</v>
      </c>
      <c r="L1" s="67">
        <f t="shared" ref="L1:X1" si="0">L16+L20+L24+L28+L32+L36+L40+L44+L48+L52+L56+L60+L64+L68+L72</f>
        <v>3964</v>
      </c>
      <c r="M1" s="67">
        <f>M16+M20+M24+M28+M32+M36+M40+M44+M48+M52+M56+M60+M64+M68+M72</f>
        <v>839789795</v>
      </c>
      <c r="N1" s="67">
        <f t="shared" si="0"/>
        <v>1376</v>
      </c>
      <c r="O1" s="67">
        <f>O16+O20+O24+O28+O32+O36+O40+O44+O48+O52+O56+O60+O64+O68+O72</f>
        <v>417500887</v>
      </c>
      <c r="P1" s="67">
        <f t="shared" si="0"/>
        <v>2591</v>
      </c>
      <c r="Q1" s="67">
        <f>Q16+Q20+Q24+Q28+Q32+Q36+Q40+Q44+Q48+Q52+Q56+Q60+Q64+Q68+Q72</f>
        <v>481464262</v>
      </c>
      <c r="R1" s="67">
        <f t="shared" si="0"/>
        <v>1160</v>
      </c>
      <c r="S1" s="67">
        <f>S16+S20+S24+S28+S32+S36+S40+S44+S48+S52+S56+S60+S64+S68+S72</f>
        <v>168793421</v>
      </c>
      <c r="T1" s="67">
        <f t="shared" si="0"/>
        <v>10707</v>
      </c>
      <c r="U1" s="67">
        <f>U16+U20+U24+U28+U32+U36+U40+U44+U48+U52+U56+U60+U64+U68+U72</f>
        <v>2230287455</v>
      </c>
      <c r="V1" s="67">
        <f t="shared" si="0"/>
        <v>10707</v>
      </c>
      <c r="W1" s="67">
        <f>W16+W20+W24+W28+W32+W36+W40+W44+W48+W52+W56+W60+W64+W68+W72</f>
        <v>2230287455</v>
      </c>
      <c r="X1" s="67">
        <f t="shared" si="0"/>
        <v>0</v>
      </c>
      <c r="Y1" s="327">
        <f>Y16+Y20+Y24+Y28+Y32+Y36+Y40+Y44+Y48+Y52+Y56+Y60+Y64+Y68+Y72</f>
        <v>0</v>
      </c>
      <c r="AA1" s="69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</row>
    <row r="2" spans="1:51 16085:16124" s="1" customFormat="1" ht="12.95" customHeight="1" x14ac:dyDescent="0.2">
      <c r="C2" s="71">
        <f>OPORTUNO!C2</f>
        <v>2026102</v>
      </c>
      <c r="D2" s="72"/>
      <c r="E2" s="72"/>
      <c r="F2" s="72"/>
      <c r="G2" s="72"/>
      <c r="H2" s="72"/>
      <c r="I2" s="72"/>
      <c r="J2" s="73">
        <f>J76+J80+J84+J88+J92+J96+J100+J104+J108+J112+J116+J120+J124+J128+J132+J136</f>
        <v>666</v>
      </c>
      <c r="K2" s="73">
        <f t="shared" ref="K2:Y2" si="1">K76+K80+K84+K88+K92+K96+K100+K104+K108+K112+K116+K120+K124+K128+K132+K136</f>
        <v>186382057</v>
      </c>
      <c r="L2" s="73">
        <f t="shared" si="1"/>
        <v>1755</v>
      </c>
      <c r="M2" s="73">
        <f t="shared" si="1"/>
        <v>338362203</v>
      </c>
      <c r="N2" s="73">
        <f t="shared" si="1"/>
        <v>620</v>
      </c>
      <c r="O2" s="73">
        <f t="shared" si="1"/>
        <v>175516493</v>
      </c>
      <c r="P2" s="73">
        <f t="shared" si="1"/>
        <v>1098</v>
      </c>
      <c r="Q2" s="73">
        <f t="shared" si="1"/>
        <v>193541612</v>
      </c>
      <c r="R2" s="73">
        <f t="shared" si="1"/>
        <v>511</v>
      </c>
      <c r="S2" s="73">
        <f t="shared" si="1"/>
        <v>80286396</v>
      </c>
      <c r="T2" s="73">
        <f t="shared" si="1"/>
        <v>4650</v>
      </c>
      <c r="U2" s="73">
        <f>U76+U80+U84+U88+U92+U96+U100+U104+U108+U112+U116+U120+U124+U128+U132+U136</f>
        <v>974088761</v>
      </c>
      <c r="V2" s="73">
        <f t="shared" si="1"/>
        <v>4650</v>
      </c>
      <c r="W2" s="73">
        <f>W76+W80+W84+W88+W92+W96+W100+W104+W108+W112+W116+W120+W124+W128+W132+W136</f>
        <v>974088761</v>
      </c>
      <c r="X2" s="73">
        <f t="shared" si="1"/>
        <v>0</v>
      </c>
      <c r="Y2" s="328">
        <f t="shared" si="1"/>
        <v>0</v>
      </c>
      <c r="AA2" s="69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</row>
    <row r="3" spans="1:51 16085:16124" s="1" customFormat="1" ht="12.95" customHeight="1" thickBot="1" x14ac:dyDescent="0.25">
      <c r="C3" s="75">
        <f>OPORTUNO!C3</f>
        <v>202610</v>
      </c>
      <c r="D3" s="76"/>
      <c r="E3" s="76"/>
      <c r="F3" s="76"/>
      <c r="G3" s="76"/>
      <c r="H3" s="76"/>
      <c r="I3" s="76"/>
      <c r="J3" s="77">
        <f>SUM(J1:J2)</f>
        <v>2282</v>
      </c>
      <c r="K3" s="77">
        <f t="shared" ref="K3:X3" si="2">SUM(K1:K2)</f>
        <v>509121147</v>
      </c>
      <c r="L3" s="77">
        <f t="shared" si="2"/>
        <v>5719</v>
      </c>
      <c r="M3" s="77">
        <f t="shared" si="2"/>
        <v>1178151998</v>
      </c>
      <c r="N3" s="77">
        <f t="shared" si="2"/>
        <v>1996</v>
      </c>
      <c r="O3" s="77">
        <f t="shared" si="2"/>
        <v>593017380</v>
      </c>
      <c r="P3" s="77">
        <f t="shared" si="2"/>
        <v>3689</v>
      </c>
      <c r="Q3" s="77">
        <f t="shared" si="2"/>
        <v>675005874</v>
      </c>
      <c r="R3" s="77">
        <f t="shared" si="2"/>
        <v>1671</v>
      </c>
      <c r="S3" s="77">
        <f>SUM(S1:S2)</f>
        <v>249079817</v>
      </c>
      <c r="T3" s="77">
        <f t="shared" si="2"/>
        <v>15357</v>
      </c>
      <c r="U3" s="77">
        <f>SUM(U1:U2)</f>
        <v>3204376216</v>
      </c>
      <c r="V3" s="77">
        <f t="shared" si="2"/>
        <v>15357</v>
      </c>
      <c r="W3" s="77">
        <f>SUM(W1:W2)</f>
        <v>3204376216</v>
      </c>
      <c r="X3" s="77">
        <f t="shared" si="2"/>
        <v>0</v>
      </c>
      <c r="Y3" s="329">
        <f>SUM(Y1:Y2)</f>
        <v>0</v>
      </c>
      <c r="AA3" s="69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</row>
    <row r="4" spans="1:51 16085:16124" s="1" customFormat="1" ht="12.95" customHeight="1" thickBot="1" x14ac:dyDescent="0.25">
      <c r="D4" s="5"/>
      <c r="E4" s="79"/>
      <c r="G4" s="70"/>
      <c r="H4" s="70"/>
      <c r="AA4" s="69"/>
      <c r="WTQ4"/>
      <c r="WTR4"/>
    </row>
    <row r="5" spans="1:51 16085:16124" s="1" customFormat="1" ht="12.75" x14ac:dyDescent="0.2">
      <c r="B5" s="83"/>
      <c r="C5" s="84"/>
      <c r="D5" s="85"/>
      <c r="E5" s="86"/>
      <c r="F5" s="87" t="s">
        <v>0</v>
      </c>
      <c r="G5" s="88"/>
      <c r="H5" s="88"/>
      <c r="I5" s="87"/>
      <c r="J5" s="89" t="s">
        <v>0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258"/>
      <c r="AA5" s="69"/>
      <c r="WVC5"/>
      <c r="WVD5"/>
    </row>
    <row r="6" spans="1:51 16085:16124" s="1" customFormat="1" ht="15.75" x14ac:dyDescent="0.25">
      <c r="B6" s="90"/>
      <c r="C6" s="23"/>
      <c r="D6" s="91"/>
      <c r="E6" s="92"/>
      <c r="F6" s="13"/>
      <c r="G6" s="93"/>
      <c r="H6" s="14" t="s">
        <v>18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260"/>
      <c r="AA6" s="69"/>
      <c r="WVC6"/>
      <c r="WVD6"/>
    </row>
    <row r="7" spans="1:51 16085:16124" s="1" customFormat="1" ht="15.75" x14ac:dyDescent="0.25">
      <c r="B7" s="90"/>
      <c r="C7" s="23"/>
      <c r="D7" s="91"/>
      <c r="E7" s="92"/>
      <c r="F7" s="13"/>
      <c r="G7" s="93"/>
      <c r="H7" s="14" t="s">
        <v>19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260"/>
      <c r="AA7" s="69"/>
      <c r="WVC7"/>
      <c r="WVD7"/>
    </row>
    <row r="8" spans="1:51 16085:16124" s="1" customFormat="1" ht="15.75" x14ac:dyDescent="0.25">
      <c r="B8" s="90"/>
      <c r="C8" s="23"/>
      <c r="D8" s="91"/>
      <c r="E8" s="92"/>
      <c r="F8" s="13"/>
      <c r="G8" s="93"/>
      <c r="H8" s="94" t="s">
        <v>20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260"/>
      <c r="AA8" s="69"/>
      <c r="WVC8"/>
      <c r="WVD8"/>
    </row>
    <row r="9" spans="1:51 16085:16124" s="1" customFormat="1" ht="12.75" x14ac:dyDescent="0.2">
      <c r="B9" s="90"/>
      <c r="C9" s="23"/>
      <c r="D9" s="91"/>
      <c r="E9" s="95" t="s">
        <v>1</v>
      </c>
      <c r="F9" s="96"/>
      <c r="G9" s="97"/>
      <c r="H9" s="40" t="s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5"/>
      <c r="Y9" s="260"/>
      <c r="AA9" s="69"/>
      <c r="WVC9"/>
      <c r="WVD9"/>
    </row>
    <row r="10" spans="1:51 16085:16124" s="1" customFormat="1" ht="13.5" customHeight="1" x14ac:dyDescent="0.25">
      <c r="B10" s="90"/>
      <c r="C10" s="23"/>
      <c r="D10" s="91"/>
      <c r="E10" s="99"/>
      <c r="F10" s="13"/>
      <c r="G10" s="93"/>
      <c r="H10" s="100" t="str">
        <f>OPORTUNO!H10</f>
        <v>OCTUBRE_2026</v>
      </c>
      <c r="I10" s="93"/>
      <c r="J10" s="13"/>
      <c r="K10" s="13" t="s">
        <v>123</v>
      </c>
      <c r="L10" s="13"/>
      <c r="M10" s="93"/>
      <c r="N10" s="13"/>
      <c r="O10" s="93"/>
      <c r="P10" s="13"/>
      <c r="Q10" s="93"/>
      <c r="R10" s="13"/>
      <c r="S10" s="93"/>
      <c r="T10" s="93"/>
      <c r="U10" s="93"/>
      <c r="V10" s="93"/>
      <c r="W10" s="93"/>
      <c r="X10" s="13"/>
      <c r="Y10" s="330"/>
      <c r="AA10" s="69"/>
      <c r="WVC10"/>
      <c r="WVD10"/>
    </row>
    <row r="11" spans="1:51 16085:16124" s="1" customFormat="1" ht="13.5" customHeight="1" thickBot="1" x14ac:dyDescent="0.25">
      <c r="B11" s="101"/>
      <c r="C11" s="102"/>
      <c r="D11" s="103"/>
      <c r="E11" s="104"/>
      <c r="F11" s="105"/>
      <c r="G11" s="106"/>
      <c r="H11" s="106"/>
      <c r="I11" s="105"/>
      <c r="J11" s="105"/>
      <c r="K11" s="106"/>
      <c r="L11" s="105"/>
      <c r="M11" s="106"/>
      <c r="N11" s="105"/>
      <c r="O11" s="106"/>
      <c r="P11" s="105"/>
      <c r="Q11" s="106"/>
      <c r="R11" s="105"/>
      <c r="S11" s="106"/>
      <c r="T11" s="106"/>
      <c r="U11" s="106"/>
      <c r="V11" s="106"/>
      <c r="W11" s="106"/>
      <c r="X11" s="105"/>
      <c r="Y11" s="331"/>
      <c r="AA11" s="69"/>
      <c r="WVC11"/>
      <c r="WVD11"/>
    </row>
    <row r="12" spans="1:51 16085:16124" s="1" customFormat="1" ht="41.25" customHeight="1" thickBot="1" x14ac:dyDescent="0.25">
      <c r="B12" s="80" t="s">
        <v>14</v>
      </c>
      <c r="C12" s="47" t="s">
        <v>2</v>
      </c>
      <c r="D12" s="47" t="s">
        <v>22</v>
      </c>
      <c r="E12" s="47" t="s">
        <v>23</v>
      </c>
      <c r="F12" s="47" t="s">
        <v>24</v>
      </c>
      <c r="G12" s="47" t="s">
        <v>25</v>
      </c>
      <c r="H12" s="47" t="s">
        <v>26</v>
      </c>
      <c r="I12" s="47" t="s">
        <v>27</v>
      </c>
      <c r="J12" s="51" t="s">
        <v>28</v>
      </c>
      <c r="K12" s="51" t="s">
        <v>29</v>
      </c>
      <c r="L12" s="51" t="s">
        <v>30</v>
      </c>
      <c r="M12" s="51" t="s">
        <v>31</v>
      </c>
      <c r="N12" s="81" t="s">
        <v>32</v>
      </c>
      <c r="O12" s="82" t="s">
        <v>33</v>
      </c>
      <c r="P12" s="81" t="s">
        <v>34</v>
      </c>
      <c r="Q12" s="82" t="s">
        <v>35</v>
      </c>
      <c r="R12" s="81" t="s">
        <v>36</v>
      </c>
      <c r="S12" s="82" t="s">
        <v>37</v>
      </c>
      <c r="T12" s="48" t="s">
        <v>38</v>
      </c>
      <c r="U12" s="48" t="s">
        <v>39</v>
      </c>
      <c r="V12" s="170" t="s">
        <v>40</v>
      </c>
      <c r="W12" s="171" t="s">
        <v>41</v>
      </c>
      <c r="X12" s="51" t="s">
        <v>42</v>
      </c>
      <c r="Y12" s="332" t="s">
        <v>43</v>
      </c>
      <c r="AA12" s="69"/>
      <c r="WVC12"/>
      <c r="WVD12"/>
    </row>
    <row r="13" spans="1:51 16085:16124" ht="12" customHeight="1" x14ac:dyDescent="0.2">
      <c r="A13" s="1"/>
      <c r="B13" s="240">
        <f>OPORTUNO!B13</f>
        <v>46300</v>
      </c>
      <c r="C13" s="123">
        <f>OPORTUNO!C13</f>
        <v>2026101</v>
      </c>
      <c r="D13" s="123">
        <f>OPORTUNO!D13</f>
        <v>1</v>
      </c>
      <c r="E13" s="124" t="str">
        <f>OPORTUNO!E13</f>
        <v>23D</v>
      </c>
      <c r="F13" s="125" t="str">
        <f>OPORTUNO!F13</f>
        <v>Occidente - Directa</v>
      </c>
      <c r="G13" s="126">
        <f>OPORTUNO!G13</f>
        <v>12</v>
      </c>
      <c r="H13" s="127" t="str">
        <f>OPORTUNO!H13</f>
        <v>H23 Directa - CNB - Baloto - Éxito</v>
      </c>
      <c r="I13" s="128">
        <f>OPORTUNO!I13</f>
        <v>230887267</v>
      </c>
      <c r="J13" s="10">
        <f>OPORTUNO!J13</f>
        <v>11</v>
      </c>
      <c r="K13" s="10">
        <f>OPORTUNO!K13</f>
        <v>3953890</v>
      </c>
      <c r="L13" s="10">
        <f>OPORTUNO!L13</f>
        <v>75</v>
      </c>
      <c r="M13" s="10">
        <f>OPORTUNO!M13</f>
        <v>11970170</v>
      </c>
      <c r="N13" s="10">
        <f>OPORTUNO!N13</f>
        <v>14</v>
      </c>
      <c r="O13" s="10">
        <f>OPORTUNO!O13</f>
        <v>1288530</v>
      </c>
      <c r="P13" s="10">
        <f>OPORTUNO!P13</f>
        <v>13</v>
      </c>
      <c r="Q13" s="10">
        <f>OPORTUNO!Q13</f>
        <v>2480650</v>
      </c>
      <c r="R13" s="10">
        <f>OPORTUNO!R13</f>
        <v>10</v>
      </c>
      <c r="S13" s="10">
        <f>OPORTUNO!S13</f>
        <v>710910</v>
      </c>
      <c r="T13" s="247">
        <f>OPORTUNO!T13</f>
        <v>123</v>
      </c>
      <c r="U13" s="247">
        <f>OPORTUNO!U13</f>
        <v>20404150</v>
      </c>
      <c r="V13" s="247">
        <f>OPORTUNO!V13</f>
        <v>123</v>
      </c>
      <c r="W13" s="247">
        <f>OPORTUNO!W13</f>
        <v>20404150</v>
      </c>
      <c r="X13" s="247">
        <f>OPORTUNO!X13</f>
        <v>0</v>
      </c>
      <c r="Y13" s="248">
        <f>OPORTUNO!Y13</f>
        <v>0</v>
      </c>
      <c r="Z13" s="1"/>
      <c r="AA13" s="69"/>
    </row>
    <row r="14" spans="1:51 16085:16124" ht="12" customHeight="1" x14ac:dyDescent="0.2">
      <c r="A14" s="1"/>
      <c r="B14" s="241">
        <f>OPORTUNO!B14</f>
        <v>46300</v>
      </c>
      <c r="C14" s="107">
        <f>OPORTUNO!C14</f>
        <v>2026101</v>
      </c>
      <c r="D14" s="107">
        <f>OPORTUNO!D14</f>
        <v>1</v>
      </c>
      <c r="E14" s="108" t="str">
        <f>OPORTUNO!E14</f>
        <v>23D</v>
      </c>
      <c r="F14" s="109" t="str">
        <f>OPORTUNO!F14</f>
        <v>Occidente - Directa</v>
      </c>
      <c r="G14" s="110">
        <f>OPORTUNO!G14</f>
        <v>13</v>
      </c>
      <c r="H14" s="111" t="str">
        <f>OPORTUNO!H14</f>
        <v>T23 Directa - Transferencias</v>
      </c>
      <c r="I14" s="112">
        <f>OPORTUNO!I14</f>
        <v>230887267</v>
      </c>
      <c r="J14" s="9">
        <f>OPORTUNO!J14</f>
        <v>35</v>
      </c>
      <c r="K14" s="9">
        <f>OPORTUNO!K14</f>
        <v>6392753</v>
      </c>
      <c r="L14" s="9">
        <f>OPORTUNO!L14</f>
        <v>73</v>
      </c>
      <c r="M14" s="9">
        <f>OPORTUNO!M14</f>
        <v>19815370</v>
      </c>
      <c r="N14" s="9">
        <f>OPORTUNO!N14</f>
        <v>36</v>
      </c>
      <c r="O14" s="9">
        <f>OPORTUNO!O14</f>
        <v>10066390</v>
      </c>
      <c r="P14" s="9">
        <f>OPORTUNO!P14</f>
        <v>43</v>
      </c>
      <c r="Q14" s="9">
        <f>OPORTUNO!Q14</f>
        <v>11485210</v>
      </c>
      <c r="R14" s="9">
        <f>OPORTUNO!R14</f>
        <v>39</v>
      </c>
      <c r="S14" s="9">
        <f>OPORTUNO!S14</f>
        <v>19272594</v>
      </c>
      <c r="T14" s="249">
        <f>OPORTUNO!T14</f>
        <v>226</v>
      </c>
      <c r="U14" s="249">
        <f>OPORTUNO!U14</f>
        <v>67032317</v>
      </c>
      <c r="V14" s="249">
        <f>OPORTUNO!V14</f>
        <v>226</v>
      </c>
      <c r="W14" s="249">
        <f>OPORTUNO!W14</f>
        <v>67032317</v>
      </c>
      <c r="X14" s="249">
        <f>OPORTUNO!X14</f>
        <v>0</v>
      </c>
      <c r="Y14" s="250">
        <f>OPORTUNO!Y14</f>
        <v>0</v>
      </c>
      <c r="Z14" s="1"/>
      <c r="AA14" s="69"/>
    </row>
    <row r="15" spans="1:51 16085:16124" ht="12" customHeight="1" thickBot="1" x14ac:dyDescent="0.25">
      <c r="A15" s="1"/>
      <c r="B15" s="242">
        <f>OPORTUNO!B15</f>
        <v>46300</v>
      </c>
      <c r="C15" s="113">
        <f>OPORTUNO!C15</f>
        <v>2026101</v>
      </c>
      <c r="D15" s="113">
        <f>OPORTUNO!D15</f>
        <v>1</v>
      </c>
      <c r="E15" s="114" t="str">
        <f>OPORTUNO!E15</f>
        <v>23D</v>
      </c>
      <c r="F15" s="115" t="str">
        <f>OPORTUNO!F15</f>
        <v>Occidente - Directa</v>
      </c>
      <c r="G15" s="116">
        <f>OPORTUNO!G15</f>
        <v>14</v>
      </c>
      <c r="H15" s="117" t="str">
        <f>OPORTUNO!H15</f>
        <v>O23 Directa - Oficinas</v>
      </c>
      <c r="I15" s="118">
        <f>OPORTUNO!I15</f>
        <v>230887267</v>
      </c>
      <c r="J15" s="119">
        <f>OPORTUNO!J15</f>
        <v>24</v>
      </c>
      <c r="K15" s="119">
        <f>OPORTUNO!K15</f>
        <v>1502171</v>
      </c>
      <c r="L15" s="119">
        <f>OPORTUNO!L15</f>
        <v>81</v>
      </c>
      <c r="M15" s="119">
        <f>OPORTUNO!M15</f>
        <v>15968206</v>
      </c>
      <c r="N15" s="119">
        <f>OPORTUNO!N15</f>
        <v>8</v>
      </c>
      <c r="O15" s="119">
        <f>OPORTUNO!O15</f>
        <v>4333838</v>
      </c>
      <c r="P15" s="119">
        <f>OPORTUNO!P15</f>
        <v>81</v>
      </c>
      <c r="Q15" s="119">
        <f>OPORTUNO!Q15</f>
        <v>19278432</v>
      </c>
      <c r="R15" s="119">
        <f>OPORTUNO!R15</f>
        <v>20</v>
      </c>
      <c r="S15" s="119">
        <f>OPORTUNO!S15</f>
        <v>2196485</v>
      </c>
      <c r="T15" s="251">
        <f>OPORTUNO!T15</f>
        <v>214</v>
      </c>
      <c r="U15" s="251">
        <f>OPORTUNO!U15</f>
        <v>43279132</v>
      </c>
      <c r="V15" s="251">
        <f>OPORTUNO!V15</f>
        <v>214</v>
      </c>
      <c r="W15" s="251">
        <f>OPORTUNO!W15</f>
        <v>43279132</v>
      </c>
      <c r="X15" s="249">
        <f>OPORTUNO!X15</f>
        <v>0</v>
      </c>
      <c r="Y15" s="252">
        <f>OPORTUNO!Y15</f>
        <v>0</v>
      </c>
      <c r="Z15" s="1"/>
      <c r="AA15" s="69"/>
    </row>
    <row r="16" spans="1:51 16085:16124" s="45" customFormat="1" ht="12" customHeight="1" thickBot="1" x14ac:dyDescent="0.25">
      <c r="A16" s="3"/>
      <c r="B16" s="129" t="s">
        <v>0</v>
      </c>
      <c r="C16" s="130">
        <f>OPORTUNO!C16</f>
        <v>2026101</v>
      </c>
      <c r="D16" s="131"/>
      <c r="E16" s="121"/>
      <c r="F16" s="122" t="str">
        <f>OPORTUNO!F16</f>
        <v>TOTAL</v>
      </c>
      <c r="G16" s="122">
        <f>OPORTUNO!G16</f>
        <v>0</v>
      </c>
      <c r="H16" s="122">
        <f>OPORTUNO!H16</f>
        <v>0</v>
      </c>
      <c r="I16" s="122">
        <f>OPORTUNO!I16</f>
        <v>0</v>
      </c>
      <c r="J16" s="122">
        <f>OPORTUNO!J16</f>
        <v>70</v>
      </c>
      <c r="K16" s="122">
        <f>OPORTUNO!K16</f>
        <v>11848814</v>
      </c>
      <c r="L16" s="122">
        <f>OPORTUNO!L16</f>
        <v>229</v>
      </c>
      <c r="M16" s="122">
        <f>OPORTUNO!M16</f>
        <v>47753746</v>
      </c>
      <c r="N16" s="122">
        <f>OPORTUNO!N16</f>
        <v>58</v>
      </c>
      <c r="O16" s="122">
        <f>OPORTUNO!O16</f>
        <v>15688758</v>
      </c>
      <c r="P16" s="122">
        <f>OPORTUNO!P16</f>
        <v>137</v>
      </c>
      <c r="Q16" s="122">
        <f>OPORTUNO!Q16</f>
        <v>33244292</v>
      </c>
      <c r="R16" s="122">
        <f>OPORTUNO!R16</f>
        <v>69</v>
      </c>
      <c r="S16" s="122">
        <f>OPORTUNO!S16</f>
        <v>22179989</v>
      </c>
      <c r="T16" s="122">
        <f>OPORTUNO!T16</f>
        <v>563</v>
      </c>
      <c r="U16" s="122">
        <f>OPORTUNO!U16</f>
        <v>130715599</v>
      </c>
      <c r="V16" s="122">
        <f>OPORTUNO!V16</f>
        <v>563</v>
      </c>
      <c r="W16" s="122">
        <f>OPORTUNO!W16</f>
        <v>130715599</v>
      </c>
      <c r="X16" s="122">
        <f>OPORTUNO!X16</f>
        <v>0</v>
      </c>
      <c r="Y16" s="253">
        <f>OPORTUNO!Y16</f>
        <v>0</v>
      </c>
      <c r="Z16" s="3"/>
      <c r="AA16" s="69"/>
    </row>
    <row r="17" spans="1:27" ht="12" customHeight="1" x14ac:dyDescent="0.2">
      <c r="A17" s="1"/>
      <c r="B17" s="240">
        <f>OPORTUNO!B17</f>
        <v>46300</v>
      </c>
      <c r="C17" s="123">
        <f>OPORTUNO!C17</f>
        <v>2026101</v>
      </c>
      <c r="D17" s="123">
        <f>OPORTUNO!D17</f>
        <v>2</v>
      </c>
      <c r="E17" s="124" t="str">
        <f>OPORTUNO!E17</f>
        <v>23D</v>
      </c>
      <c r="F17" s="125" t="str">
        <f>OPORTUNO!F17</f>
        <v>Occidente - Directa</v>
      </c>
      <c r="G17" s="126">
        <f>OPORTUNO!G17</f>
        <v>12</v>
      </c>
      <c r="H17" s="127" t="str">
        <f>OPORTUNO!H17</f>
        <v>H23 Directa - CNB - Baloto - Éxito</v>
      </c>
      <c r="I17" s="128">
        <f>OPORTUNO!I17</f>
        <v>230887267</v>
      </c>
      <c r="J17" s="10">
        <f>OPORTUNO!J17</f>
        <v>11</v>
      </c>
      <c r="K17" s="10">
        <f>OPORTUNO!K17</f>
        <v>1587980</v>
      </c>
      <c r="L17" s="10">
        <f>OPORTUNO!L17</f>
        <v>70</v>
      </c>
      <c r="M17" s="10">
        <f>OPORTUNO!M17</f>
        <v>10987880</v>
      </c>
      <c r="N17" s="10">
        <f>OPORTUNO!N17</f>
        <v>11</v>
      </c>
      <c r="O17" s="10">
        <f>OPORTUNO!O17</f>
        <v>1187530</v>
      </c>
      <c r="P17" s="10">
        <f>OPORTUNO!P17</f>
        <v>17</v>
      </c>
      <c r="Q17" s="10">
        <f>OPORTUNO!Q17</f>
        <v>3853870</v>
      </c>
      <c r="R17" s="10">
        <f>OPORTUNO!R17</f>
        <v>14</v>
      </c>
      <c r="S17" s="10">
        <f>OPORTUNO!S17</f>
        <v>942900</v>
      </c>
      <c r="T17" s="247">
        <f>OPORTUNO!T17</f>
        <v>123</v>
      </c>
      <c r="U17" s="247">
        <f>OPORTUNO!U17</f>
        <v>18560160</v>
      </c>
      <c r="V17" s="247">
        <f>OPORTUNO!V17</f>
        <v>123</v>
      </c>
      <c r="W17" s="247">
        <f>OPORTUNO!W17</f>
        <v>18560160</v>
      </c>
      <c r="X17" s="247">
        <f>OPORTUNO!X17</f>
        <v>0</v>
      </c>
      <c r="Y17" s="248">
        <f>OPORTUNO!Y17</f>
        <v>0</v>
      </c>
      <c r="Z17" s="1"/>
      <c r="AA17" s="69"/>
    </row>
    <row r="18" spans="1:27" ht="12" customHeight="1" x14ac:dyDescent="0.2">
      <c r="A18" s="1"/>
      <c r="B18" s="241">
        <f>OPORTUNO!B18</f>
        <v>46300</v>
      </c>
      <c r="C18" s="107">
        <f>OPORTUNO!C18</f>
        <v>2026101</v>
      </c>
      <c r="D18" s="107">
        <f>OPORTUNO!D18</f>
        <v>2</v>
      </c>
      <c r="E18" s="108" t="str">
        <f>OPORTUNO!E18</f>
        <v>23D</v>
      </c>
      <c r="F18" s="109" t="str">
        <f>OPORTUNO!F18</f>
        <v>Occidente - Directa</v>
      </c>
      <c r="G18" s="110">
        <f>OPORTUNO!G18</f>
        <v>13</v>
      </c>
      <c r="H18" s="111" t="str">
        <f>OPORTUNO!H18</f>
        <v>T23 Directa - Transferencias</v>
      </c>
      <c r="I18" s="112">
        <f>OPORTUNO!I18</f>
        <v>230887267</v>
      </c>
      <c r="J18" s="9">
        <f>OPORTUNO!J18</f>
        <v>32</v>
      </c>
      <c r="K18" s="9">
        <f>OPORTUNO!K18</f>
        <v>4838300</v>
      </c>
      <c r="L18" s="9">
        <f>OPORTUNO!L18</f>
        <v>44</v>
      </c>
      <c r="M18" s="9">
        <f>OPORTUNO!M18</f>
        <v>58249109</v>
      </c>
      <c r="N18" s="9">
        <f>OPORTUNO!N18</f>
        <v>37</v>
      </c>
      <c r="O18" s="9">
        <f>OPORTUNO!O18</f>
        <v>13439540</v>
      </c>
      <c r="P18" s="9">
        <f>OPORTUNO!P18</f>
        <v>30</v>
      </c>
      <c r="Q18" s="9">
        <f>OPORTUNO!Q18</f>
        <v>5646770</v>
      </c>
      <c r="R18" s="9">
        <f>OPORTUNO!R18</f>
        <v>24</v>
      </c>
      <c r="S18" s="9">
        <f>OPORTUNO!S18</f>
        <v>5007810</v>
      </c>
      <c r="T18" s="249">
        <f>OPORTUNO!T18</f>
        <v>167</v>
      </c>
      <c r="U18" s="249">
        <f>OPORTUNO!U18</f>
        <v>87181529</v>
      </c>
      <c r="V18" s="249">
        <f>OPORTUNO!V18</f>
        <v>167</v>
      </c>
      <c r="W18" s="249">
        <f>OPORTUNO!W18</f>
        <v>87181529</v>
      </c>
      <c r="X18" s="249">
        <f>OPORTUNO!X18</f>
        <v>0</v>
      </c>
      <c r="Y18" s="250">
        <f>OPORTUNO!Y18</f>
        <v>0</v>
      </c>
      <c r="Z18" s="1"/>
      <c r="AA18" s="69"/>
    </row>
    <row r="19" spans="1:27" ht="12" customHeight="1" thickBot="1" x14ac:dyDescent="0.25">
      <c r="A19" s="1"/>
      <c r="B19" s="242">
        <f>OPORTUNO!B19</f>
        <v>46300</v>
      </c>
      <c r="C19" s="113">
        <f>OPORTUNO!C19</f>
        <v>2026101</v>
      </c>
      <c r="D19" s="113">
        <f>OPORTUNO!D19</f>
        <v>2</v>
      </c>
      <c r="E19" s="114" t="str">
        <f>OPORTUNO!E19</f>
        <v>23D</v>
      </c>
      <c r="F19" s="115" t="str">
        <f>OPORTUNO!F19</f>
        <v>Occidente - Directa</v>
      </c>
      <c r="G19" s="116">
        <f>OPORTUNO!G19</f>
        <v>14</v>
      </c>
      <c r="H19" s="117" t="str">
        <f>OPORTUNO!H19</f>
        <v>O23 Directa - Oficinas</v>
      </c>
      <c r="I19" s="118">
        <f>OPORTUNO!I19</f>
        <v>230887267</v>
      </c>
      <c r="J19" s="119">
        <f>OPORTUNO!J19</f>
        <v>13</v>
      </c>
      <c r="K19" s="119">
        <f>OPORTUNO!K19</f>
        <v>2352244</v>
      </c>
      <c r="L19" s="119">
        <f>OPORTUNO!L19</f>
        <v>92</v>
      </c>
      <c r="M19" s="119">
        <f>OPORTUNO!M19</f>
        <v>21980755</v>
      </c>
      <c r="N19" s="119">
        <f>OPORTUNO!N19</f>
        <v>4</v>
      </c>
      <c r="O19" s="119">
        <f>OPORTUNO!O19</f>
        <v>514146</v>
      </c>
      <c r="P19" s="119">
        <f>OPORTUNO!P19</f>
        <v>67</v>
      </c>
      <c r="Q19" s="119">
        <f>OPORTUNO!Q19</f>
        <v>21244114</v>
      </c>
      <c r="R19" s="119">
        <f>OPORTUNO!R19</f>
        <v>17</v>
      </c>
      <c r="S19" s="119">
        <f>OPORTUNO!S19</f>
        <v>2057874</v>
      </c>
      <c r="T19" s="251">
        <f>OPORTUNO!T19</f>
        <v>193</v>
      </c>
      <c r="U19" s="251">
        <f>OPORTUNO!U19</f>
        <v>48149133</v>
      </c>
      <c r="V19" s="251">
        <f>OPORTUNO!V19</f>
        <v>193</v>
      </c>
      <c r="W19" s="251">
        <f>OPORTUNO!W19</f>
        <v>48149133</v>
      </c>
      <c r="X19" s="251">
        <f>OPORTUNO!X19</f>
        <v>0</v>
      </c>
      <c r="Y19" s="252">
        <f>OPORTUNO!Y19</f>
        <v>0</v>
      </c>
      <c r="Z19" s="1"/>
      <c r="AA19" s="69"/>
    </row>
    <row r="20" spans="1:27" s="45" customFormat="1" ht="12" customHeight="1" thickBot="1" x14ac:dyDescent="0.25">
      <c r="A20" s="3"/>
      <c r="B20" s="129" t="s">
        <v>0</v>
      </c>
      <c r="C20" s="130">
        <f>OPORTUNO!C20</f>
        <v>2026101</v>
      </c>
      <c r="D20" s="131"/>
      <c r="E20" s="121"/>
      <c r="F20" s="122" t="str">
        <f>OPORTUNO!F20</f>
        <v>TOTAL</v>
      </c>
      <c r="G20" s="122">
        <f>OPORTUNO!G20</f>
        <v>0</v>
      </c>
      <c r="H20" s="122">
        <f>OPORTUNO!H20</f>
        <v>0</v>
      </c>
      <c r="I20" s="122">
        <f>OPORTUNO!I20</f>
        <v>0</v>
      </c>
      <c r="J20" s="122">
        <f>OPORTUNO!J20</f>
        <v>56</v>
      </c>
      <c r="K20" s="122">
        <f>OPORTUNO!K20</f>
        <v>8778524</v>
      </c>
      <c r="L20" s="122">
        <f>OPORTUNO!L20</f>
        <v>206</v>
      </c>
      <c r="M20" s="122">
        <f>OPORTUNO!M20</f>
        <v>91217744</v>
      </c>
      <c r="N20" s="122">
        <f>OPORTUNO!N20</f>
        <v>52</v>
      </c>
      <c r="O20" s="122">
        <f>OPORTUNO!O20</f>
        <v>15141216</v>
      </c>
      <c r="P20" s="122">
        <f>OPORTUNO!P20</f>
        <v>114</v>
      </c>
      <c r="Q20" s="122">
        <f>OPORTUNO!Q20</f>
        <v>30744754</v>
      </c>
      <c r="R20" s="122">
        <f>OPORTUNO!R20</f>
        <v>55</v>
      </c>
      <c r="S20" s="122">
        <f>OPORTUNO!S20</f>
        <v>8008584</v>
      </c>
      <c r="T20" s="122">
        <f>OPORTUNO!T20</f>
        <v>483</v>
      </c>
      <c r="U20" s="122">
        <f>OPORTUNO!U20</f>
        <v>153890822</v>
      </c>
      <c r="V20" s="122">
        <f>OPORTUNO!V20</f>
        <v>483</v>
      </c>
      <c r="W20" s="122">
        <f>OPORTUNO!W20</f>
        <v>153890822</v>
      </c>
      <c r="X20" s="122">
        <f>OPORTUNO!X20</f>
        <v>0</v>
      </c>
      <c r="Y20" s="253">
        <f>OPORTUNO!Y20</f>
        <v>0</v>
      </c>
      <c r="Z20" s="3"/>
      <c r="AA20" s="69"/>
    </row>
    <row r="21" spans="1:27" ht="12" customHeight="1" x14ac:dyDescent="0.2">
      <c r="A21" s="1"/>
      <c r="B21" s="240">
        <f>OPORTUNO!B21</f>
        <v>46300</v>
      </c>
      <c r="C21" s="123">
        <f>OPORTUNO!C21</f>
        <v>2026101</v>
      </c>
      <c r="D21" s="123">
        <f>OPORTUNO!D21</f>
        <v>3</v>
      </c>
      <c r="E21" s="124" t="str">
        <f>OPORTUNO!E21</f>
        <v>23D</v>
      </c>
      <c r="F21" s="125" t="str">
        <f>OPORTUNO!F21</f>
        <v>Occidente - Directa</v>
      </c>
      <c r="G21" s="126">
        <f>OPORTUNO!G21</f>
        <v>12</v>
      </c>
      <c r="H21" s="127" t="str">
        <f>OPORTUNO!H21</f>
        <v>H23 Directa - CNB - Baloto - Éxito</v>
      </c>
      <c r="I21" s="128">
        <f>OPORTUNO!I21</f>
        <v>230887267</v>
      </c>
      <c r="J21" s="10">
        <f>OPORTUNO!J21</f>
        <v>2</v>
      </c>
      <c r="K21" s="10">
        <f>OPORTUNO!K21</f>
        <v>64240</v>
      </c>
      <c r="L21" s="10">
        <f>OPORTUNO!L21</f>
        <v>28</v>
      </c>
      <c r="M21" s="10">
        <f>OPORTUNO!M21</f>
        <v>3565580</v>
      </c>
      <c r="N21" s="10">
        <f>OPORTUNO!N21</f>
        <v>1</v>
      </c>
      <c r="O21" s="10">
        <f>OPORTUNO!O21</f>
        <v>450</v>
      </c>
      <c r="P21" s="10">
        <f>OPORTUNO!P21</f>
        <v>4</v>
      </c>
      <c r="Q21" s="10">
        <f>OPORTUNO!Q21</f>
        <v>717380</v>
      </c>
      <c r="R21" s="10">
        <f>OPORTUNO!R21</f>
        <v>4</v>
      </c>
      <c r="S21" s="10">
        <f>OPORTUNO!S21</f>
        <v>196690</v>
      </c>
      <c r="T21" s="247">
        <f>OPORTUNO!T21</f>
        <v>39</v>
      </c>
      <c r="U21" s="247">
        <f>OPORTUNO!U21</f>
        <v>4544340</v>
      </c>
      <c r="V21" s="247">
        <f>OPORTUNO!V21</f>
        <v>39</v>
      </c>
      <c r="W21" s="247">
        <f>OPORTUNO!W21</f>
        <v>4544340</v>
      </c>
      <c r="X21" s="247">
        <f>OPORTUNO!X21</f>
        <v>0</v>
      </c>
      <c r="Y21" s="248">
        <f>OPORTUNO!Y21</f>
        <v>0</v>
      </c>
      <c r="Z21" s="1"/>
      <c r="AA21" s="69"/>
    </row>
    <row r="22" spans="1:27" ht="12" customHeight="1" x14ac:dyDescent="0.2">
      <c r="A22" s="1"/>
      <c r="B22" s="241">
        <f>OPORTUNO!B22</f>
        <v>46300</v>
      </c>
      <c r="C22" s="107">
        <f>OPORTUNO!C22</f>
        <v>2026101</v>
      </c>
      <c r="D22" s="107">
        <f>OPORTUNO!D22</f>
        <v>3</v>
      </c>
      <c r="E22" s="108" t="str">
        <f>OPORTUNO!E22</f>
        <v>23D</v>
      </c>
      <c r="F22" s="109" t="str">
        <f>OPORTUNO!F22</f>
        <v>Occidente - Directa</v>
      </c>
      <c r="G22" s="110">
        <f>OPORTUNO!G22</f>
        <v>13</v>
      </c>
      <c r="H22" s="111" t="str">
        <f>OPORTUNO!H22</f>
        <v>T23 Directa - Transferencias</v>
      </c>
      <c r="I22" s="112">
        <f>OPORTUNO!I22</f>
        <v>230887267</v>
      </c>
      <c r="J22" s="9">
        <f>OPORTUNO!J22</f>
        <v>0</v>
      </c>
      <c r="K22" s="9">
        <f>OPORTUNO!K22</f>
        <v>0</v>
      </c>
      <c r="L22" s="9">
        <f>OPORTUNO!L22</f>
        <v>0</v>
      </c>
      <c r="M22" s="9">
        <f>OPORTUNO!M22</f>
        <v>0</v>
      </c>
      <c r="N22" s="9">
        <f>OPORTUNO!N22</f>
        <v>0</v>
      </c>
      <c r="O22" s="9">
        <f>OPORTUNO!O22</f>
        <v>0</v>
      </c>
      <c r="P22" s="9">
        <f>OPORTUNO!P22</f>
        <v>0</v>
      </c>
      <c r="Q22" s="9">
        <f>OPORTUNO!Q22</f>
        <v>0</v>
      </c>
      <c r="R22" s="9">
        <f>OPORTUNO!R22</f>
        <v>0</v>
      </c>
      <c r="S22" s="9">
        <f>OPORTUNO!S22</f>
        <v>0</v>
      </c>
      <c r="T22" s="249">
        <f>OPORTUNO!T22</f>
        <v>0</v>
      </c>
      <c r="U22" s="249">
        <f>OPORTUNO!U22</f>
        <v>0</v>
      </c>
      <c r="V22" s="249">
        <f>OPORTUNO!V22</f>
        <v>0</v>
      </c>
      <c r="W22" s="249">
        <f>OPORTUNO!W22</f>
        <v>0</v>
      </c>
      <c r="X22" s="249">
        <f>OPORTUNO!X22</f>
        <v>0</v>
      </c>
      <c r="Y22" s="250">
        <f>OPORTUNO!Y22</f>
        <v>0</v>
      </c>
      <c r="Z22" s="1"/>
      <c r="AA22" s="69"/>
    </row>
    <row r="23" spans="1:27" ht="12" customHeight="1" thickBot="1" x14ac:dyDescent="0.25">
      <c r="A23" s="1"/>
      <c r="B23" s="242">
        <f>OPORTUNO!B23</f>
        <v>46300</v>
      </c>
      <c r="C23" s="113">
        <f>OPORTUNO!C23</f>
        <v>2026101</v>
      </c>
      <c r="D23" s="113">
        <f>OPORTUNO!D23</f>
        <v>3</v>
      </c>
      <c r="E23" s="114" t="str">
        <f>OPORTUNO!E23</f>
        <v>23D</v>
      </c>
      <c r="F23" s="115" t="str">
        <f>OPORTUNO!F23</f>
        <v>Occidente - Directa</v>
      </c>
      <c r="G23" s="116">
        <f>OPORTUNO!G23</f>
        <v>14</v>
      </c>
      <c r="H23" s="117" t="str">
        <f>OPORTUNO!H23</f>
        <v>O23 Directa - Oficinas</v>
      </c>
      <c r="I23" s="118">
        <f>OPORTUNO!I23</f>
        <v>230887267</v>
      </c>
      <c r="J23" s="119">
        <f>OPORTUNO!J23</f>
        <v>0</v>
      </c>
      <c r="K23" s="119">
        <f>OPORTUNO!K23</f>
        <v>0</v>
      </c>
      <c r="L23" s="119">
        <f>OPORTUNO!L23</f>
        <v>0</v>
      </c>
      <c r="M23" s="119">
        <f>OPORTUNO!M23</f>
        <v>0</v>
      </c>
      <c r="N23" s="119">
        <f>OPORTUNO!N23</f>
        <v>0</v>
      </c>
      <c r="O23" s="119">
        <f>OPORTUNO!O23</f>
        <v>0</v>
      </c>
      <c r="P23" s="119">
        <f>OPORTUNO!P23</f>
        <v>0</v>
      </c>
      <c r="Q23" s="119">
        <f>OPORTUNO!Q23</f>
        <v>0</v>
      </c>
      <c r="R23" s="119">
        <f>OPORTUNO!R23</f>
        <v>0</v>
      </c>
      <c r="S23" s="119">
        <f>OPORTUNO!S23</f>
        <v>0</v>
      </c>
      <c r="T23" s="251">
        <f>OPORTUNO!T23</f>
        <v>0</v>
      </c>
      <c r="U23" s="251">
        <f>OPORTUNO!U23</f>
        <v>0</v>
      </c>
      <c r="V23" s="251">
        <f>OPORTUNO!V23</f>
        <v>0</v>
      </c>
      <c r="W23" s="251">
        <f>OPORTUNO!W23</f>
        <v>0</v>
      </c>
      <c r="X23" s="251">
        <f>OPORTUNO!X23</f>
        <v>0</v>
      </c>
      <c r="Y23" s="252">
        <f>OPORTUNO!Y23</f>
        <v>0</v>
      </c>
      <c r="Z23" s="1"/>
      <c r="AA23" s="69"/>
    </row>
    <row r="24" spans="1:27" s="45" customFormat="1" ht="12" customHeight="1" thickBot="1" x14ac:dyDescent="0.25">
      <c r="A24" s="3"/>
      <c r="B24" s="129" t="s">
        <v>0</v>
      </c>
      <c r="C24" s="130">
        <f>OPORTUNO!C24</f>
        <v>2026101</v>
      </c>
      <c r="D24" s="131"/>
      <c r="E24" s="121"/>
      <c r="F24" s="122" t="str">
        <f>OPORTUNO!F24</f>
        <v>TOTAL</v>
      </c>
      <c r="G24" s="122">
        <f>OPORTUNO!G24</f>
        <v>0</v>
      </c>
      <c r="H24" s="122">
        <f>OPORTUNO!H24</f>
        <v>0</v>
      </c>
      <c r="I24" s="122">
        <f>OPORTUNO!I24</f>
        <v>0</v>
      </c>
      <c r="J24" s="122">
        <f>OPORTUNO!J24</f>
        <v>2</v>
      </c>
      <c r="K24" s="122">
        <f>OPORTUNO!K24</f>
        <v>64240</v>
      </c>
      <c r="L24" s="122">
        <f>OPORTUNO!L24</f>
        <v>28</v>
      </c>
      <c r="M24" s="122">
        <f>OPORTUNO!M24</f>
        <v>3565580</v>
      </c>
      <c r="N24" s="122">
        <f>OPORTUNO!N24</f>
        <v>1</v>
      </c>
      <c r="O24" s="122">
        <f>OPORTUNO!O24</f>
        <v>450</v>
      </c>
      <c r="P24" s="122">
        <f>OPORTUNO!P24</f>
        <v>4</v>
      </c>
      <c r="Q24" s="122">
        <f>OPORTUNO!Q24</f>
        <v>717380</v>
      </c>
      <c r="R24" s="122">
        <f>OPORTUNO!R24</f>
        <v>4</v>
      </c>
      <c r="S24" s="122">
        <f>OPORTUNO!S24</f>
        <v>196690</v>
      </c>
      <c r="T24" s="122">
        <f>OPORTUNO!T24</f>
        <v>39</v>
      </c>
      <c r="U24" s="122">
        <f>OPORTUNO!U24</f>
        <v>4544340</v>
      </c>
      <c r="V24" s="122">
        <f>OPORTUNO!V24</f>
        <v>39</v>
      </c>
      <c r="W24" s="122">
        <f>OPORTUNO!W24</f>
        <v>4544340</v>
      </c>
      <c r="X24" s="122">
        <f>OPORTUNO!X24</f>
        <v>0</v>
      </c>
      <c r="Y24" s="253">
        <f>OPORTUNO!Y24</f>
        <v>0</v>
      </c>
      <c r="Z24" s="3"/>
      <c r="AA24" s="69"/>
    </row>
    <row r="25" spans="1:27" ht="12" customHeight="1" x14ac:dyDescent="0.2">
      <c r="A25" s="1"/>
      <c r="B25" s="240">
        <f>OPORTUNO!B25</f>
        <v>46300</v>
      </c>
      <c r="C25" s="123">
        <f>OPORTUNO!C25</f>
        <v>2026101</v>
      </c>
      <c r="D25" s="123">
        <f>OPORTUNO!D25</f>
        <v>4</v>
      </c>
      <c r="E25" s="124" t="str">
        <f>OPORTUNO!E25</f>
        <v>23D</v>
      </c>
      <c r="F25" s="125" t="str">
        <f>OPORTUNO!F25</f>
        <v>Occidente - Directa</v>
      </c>
      <c r="G25" s="126">
        <f>OPORTUNO!G25</f>
        <v>12</v>
      </c>
      <c r="H25" s="127" t="str">
        <f>OPORTUNO!H25</f>
        <v>H23 Directa - CNB - Baloto - Éxito</v>
      </c>
      <c r="I25" s="128">
        <f>OPORTUNO!I25</f>
        <v>230887267</v>
      </c>
      <c r="J25" s="10">
        <f>OPORTUNO!J25</f>
        <v>0</v>
      </c>
      <c r="K25" s="10">
        <f>OPORTUNO!K25</f>
        <v>0</v>
      </c>
      <c r="L25" s="10">
        <f>OPORTUNO!L25</f>
        <v>10</v>
      </c>
      <c r="M25" s="10">
        <f>OPORTUNO!M25</f>
        <v>1370460</v>
      </c>
      <c r="N25" s="10">
        <f>OPORTUNO!N25</f>
        <v>0</v>
      </c>
      <c r="O25" s="10">
        <f>OPORTUNO!O25</f>
        <v>0</v>
      </c>
      <c r="P25" s="10">
        <f>OPORTUNO!P25</f>
        <v>1</v>
      </c>
      <c r="Q25" s="10">
        <f>OPORTUNO!Q25</f>
        <v>44440</v>
      </c>
      <c r="R25" s="10">
        <f>OPORTUNO!R25</f>
        <v>2</v>
      </c>
      <c r="S25" s="10">
        <f>OPORTUNO!S25</f>
        <v>91520</v>
      </c>
      <c r="T25" s="247">
        <f>OPORTUNO!T25</f>
        <v>13</v>
      </c>
      <c r="U25" s="247">
        <f>OPORTUNO!U25</f>
        <v>1506420</v>
      </c>
      <c r="V25" s="247">
        <f>OPORTUNO!V25</f>
        <v>13</v>
      </c>
      <c r="W25" s="247">
        <f>OPORTUNO!W25</f>
        <v>1506420</v>
      </c>
      <c r="X25" s="247">
        <f>OPORTUNO!X25</f>
        <v>0</v>
      </c>
      <c r="Y25" s="248">
        <f>OPORTUNO!Y25</f>
        <v>0</v>
      </c>
      <c r="Z25" s="1"/>
      <c r="AA25" s="69"/>
    </row>
    <row r="26" spans="1:27" ht="12" customHeight="1" x14ac:dyDescent="0.2">
      <c r="A26" s="1"/>
      <c r="B26" s="241">
        <f>OPORTUNO!B26</f>
        <v>46300</v>
      </c>
      <c r="C26" s="107">
        <f>OPORTUNO!C26</f>
        <v>2026101</v>
      </c>
      <c r="D26" s="107">
        <f>OPORTUNO!D26</f>
        <v>4</v>
      </c>
      <c r="E26" s="108" t="str">
        <f>OPORTUNO!E26</f>
        <v>23D</v>
      </c>
      <c r="F26" s="109" t="str">
        <f>OPORTUNO!F26</f>
        <v>Occidente - Directa</v>
      </c>
      <c r="G26" s="110">
        <f>OPORTUNO!G26</f>
        <v>13</v>
      </c>
      <c r="H26" s="111" t="str">
        <f>OPORTUNO!H26</f>
        <v>T23 Directa - Transferencias</v>
      </c>
      <c r="I26" s="112">
        <f>OPORTUNO!I26</f>
        <v>230887267</v>
      </c>
      <c r="J26" s="9">
        <f>OPORTUNO!J26</f>
        <v>0</v>
      </c>
      <c r="K26" s="9">
        <f>OPORTUNO!K26</f>
        <v>0</v>
      </c>
      <c r="L26" s="9">
        <f>OPORTUNO!L26</f>
        <v>0</v>
      </c>
      <c r="M26" s="9">
        <f>OPORTUNO!M26</f>
        <v>0</v>
      </c>
      <c r="N26" s="9">
        <f>OPORTUNO!N26</f>
        <v>0</v>
      </c>
      <c r="O26" s="9">
        <f>OPORTUNO!O26</f>
        <v>0</v>
      </c>
      <c r="P26" s="9">
        <f>OPORTUNO!P26</f>
        <v>0</v>
      </c>
      <c r="Q26" s="9">
        <f>OPORTUNO!Q26</f>
        <v>0</v>
      </c>
      <c r="R26" s="9">
        <f>OPORTUNO!R26</f>
        <v>0</v>
      </c>
      <c r="S26" s="9">
        <f>OPORTUNO!S26</f>
        <v>0</v>
      </c>
      <c r="T26" s="249">
        <f>OPORTUNO!T26</f>
        <v>0</v>
      </c>
      <c r="U26" s="249">
        <f>OPORTUNO!U26</f>
        <v>0</v>
      </c>
      <c r="V26" s="249">
        <f>OPORTUNO!V26</f>
        <v>0</v>
      </c>
      <c r="W26" s="249">
        <f>OPORTUNO!W26</f>
        <v>0</v>
      </c>
      <c r="X26" s="249">
        <f>OPORTUNO!X26</f>
        <v>0</v>
      </c>
      <c r="Y26" s="250">
        <f>OPORTUNO!Y26</f>
        <v>0</v>
      </c>
      <c r="Z26" s="1"/>
      <c r="AA26" s="69"/>
    </row>
    <row r="27" spans="1:27" ht="12" customHeight="1" thickBot="1" x14ac:dyDescent="0.25">
      <c r="A27" s="1"/>
      <c r="B27" s="242">
        <f>OPORTUNO!B27</f>
        <v>46300</v>
      </c>
      <c r="C27" s="113">
        <f>OPORTUNO!C27</f>
        <v>2026101</v>
      </c>
      <c r="D27" s="113">
        <f>OPORTUNO!D27</f>
        <v>4</v>
      </c>
      <c r="E27" s="114" t="str">
        <f>OPORTUNO!E27</f>
        <v>23D</v>
      </c>
      <c r="F27" s="115" t="str">
        <f>OPORTUNO!F27</f>
        <v>Occidente - Directa</v>
      </c>
      <c r="G27" s="116">
        <f>OPORTUNO!G27</f>
        <v>14</v>
      </c>
      <c r="H27" s="117" t="str">
        <f>OPORTUNO!H27</f>
        <v>O23 Directa - Oficinas</v>
      </c>
      <c r="I27" s="118">
        <f>OPORTUNO!I27</f>
        <v>230887267</v>
      </c>
      <c r="J27" s="119">
        <f>OPORTUNO!J27</f>
        <v>0</v>
      </c>
      <c r="K27" s="119">
        <f>OPORTUNO!K27</f>
        <v>0</v>
      </c>
      <c r="L27" s="119">
        <f>OPORTUNO!L27</f>
        <v>0</v>
      </c>
      <c r="M27" s="119">
        <f>OPORTUNO!M27</f>
        <v>0</v>
      </c>
      <c r="N27" s="119">
        <f>OPORTUNO!N27</f>
        <v>0</v>
      </c>
      <c r="O27" s="119">
        <f>OPORTUNO!O27</f>
        <v>0</v>
      </c>
      <c r="P27" s="119">
        <f>OPORTUNO!P27</f>
        <v>0</v>
      </c>
      <c r="Q27" s="119">
        <f>OPORTUNO!Q27</f>
        <v>0</v>
      </c>
      <c r="R27" s="119">
        <f>OPORTUNO!R27</f>
        <v>0</v>
      </c>
      <c r="S27" s="119">
        <f>OPORTUNO!S27</f>
        <v>0</v>
      </c>
      <c r="T27" s="251">
        <f>OPORTUNO!T27</f>
        <v>0</v>
      </c>
      <c r="U27" s="251">
        <f>OPORTUNO!U27</f>
        <v>0</v>
      </c>
      <c r="V27" s="251">
        <f>OPORTUNO!V27</f>
        <v>0</v>
      </c>
      <c r="W27" s="251">
        <f>OPORTUNO!W27</f>
        <v>0</v>
      </c>
      <c r="X27" s="251">
        <f>OPORTUNO!X27</f>
        <v>0</v>
      </c>
      <c r="Y27" s="252">
        <f>OPORTUNO!Y27</f>
        <v>0</v>
      </c>
      <c r="Z27" s="1"/>
      <c r="AA27" s="69"/>
    </row>
    <row r="28" spans="1:27" s="45" customFormat="1" ht="12" customHeight="1" thickBot="1" x14ac:dyDescent="0.25">
      <c r="A28" s="3"/>
      <c r="B28" s="129" t="s">
        <v>0</v>
      </c>
      <c r="C28" s="130">
        <f>OPORTUNO!C28</f>
        <v>2026101</v>
      </c>
      <c r="D28" s="131"/>
      <c r="E28" s="121"/>
      <c r="F28" s="122" t="str">
        <f>OPORTUNO!F28</f>
        <v>TOTAL</v>
      </c>
      <c r="G28" s="122">
        <f>OPORTUNO!G28</f>
        <v>0</v>
      </c>
      <c r="H28" s="122">
        <f>OPORTUNO!H28</f>
        <v>0</v>
      </c>
      <c r="I28" s="122">
        <f>OPORTUNO!I28</f>
        <v>0</v>
      </c>
      <c r="J28" s="122">
        <f>OPORTUNO!J28</f>
        <v>0</v>
      </c>
      <c r="K28" s="122">
        <f>OPORTUNO!K28</f>
        <v>0</v>
      </c>
      <c r="L28" s="122">
        <f>OPORTUNO!L28</f>
        <v>10</v>
      </c>
      <c r="M28" s="122">
        <f>OPORTUNO!M28</f>
        <v>1370460</v>
      </c>
      <c r="N28" s="122">
        <f>OPORTUNO!N28</f>
        <v>0</v>
      </c>
      <c r="O28" s="122">
        <f>OPORTUNO!O28</f>
        <v>0</v>
      </c>
      <c r="P28" s="122">
        <f>OPORTUNO!P28</f>
        <v>1</v>
      </c>
      <c r="Q28" s="122">
        <f>OPORTUNO!Q28</f>
        <v>44440</v>
      </c>
      <c r="R28" s="122">
        <f>OPORTUNO!R28</f>
        <v>2</v>
      </c>
      <c r="S28" s="122">
        <f>OPORTUNO!S28</f>
        <v>91520</v>
      </c>
      <c r="T28" s="122">
        <f>OPORTUNO!T28</f>
        <v>13</v>
      </c>
      <c r="U28" s="122">
        <f>OPORTUNO!U28</f>
        <v>1506420</v>
      </c>
      <c r="V28" s="122">
        <f>OPORTUNO!V28</f>
        <v>13</v>
      </c>
      <c r="W28" s="122">
        <f>OPORTUNO!W28</f>
        <v>1506420</v>
      </c>
      <c r="X28" s="122">
        <f>OPORTUNO!X28</f>
        <v>0</v>
      </c>
      <c r="Y28" s="253">
        <f>OPORTUNO!Y28</f>
        <v>0</v>
      </c>
      <c r="Z28" s="3"/>
      <c r="AA28" s="69"/>
    </row>
    <row r="29" spans="1:27" ht="12" customHeight="1" thickBot="1" x14ac:dyDescent="0.25">
      <c r="A29" s="1"/>
      <c r="B29" s="240">
        <f>OPORTUNO!B29</f>
        <v>46301</v>
      </c>
      <c r="C29" s="123">
        <f>OPORTUNO!C29</f>
        <v>2026101</v>
      </c>
      <c r="D29" s="123">
        <f>OPORTUNO!D29</f>
        <v>5</v>
      </c>
      <c r="E29" s="124" t="str">
        <f>OPORTUNO!E29</f>
        <v>23D</v>
      </c>
      <c r="F29" s="125" t="str">
        <f>OPORTUNO!F29</f>
        <v>Occidente - Directa</v>
      </c>
      <c r="G29" s="126">
        <f>OPORTUNO!G29</f>
        <v>12</v>
      </c>
      <c r="H29" s="127" t="str">
        <f>OPORTUNO!H29</f>
        <v>H23 Directa - CNB - Baloto - Éxito</v>
      </c>
      <c r="I29" s="128">
        <f>OPORTUNO!I29</f>
        <v>230887267</v>
      </c>
      <c r="J29" s="10">
        <f>OPORTUNO!J29</f>
        <v>17</v>
      </c>
      <c r="K29" s="10">
        <f>OPORTUNO!K29</f>
        <v>1014150</v>
      </c>
      <c r="L29" s="10">
        <f>OPORTUNO!L29</f>
        <v>79</v>
      </c>
      <c r="M29" s="10">
        <f>OPORTUNO!M29</f>
        <v>10791500</v>
      </c>
      <c r="N29" s="10">
        <f>OPORTUNO!N29</f>
        <v>17</v>
      </c>
      <c r="O29" s="10">
        <f>OPORTUNO!O29</f>
        <v>1491490</v>
      </c>
      <c r="P29" s="10">
        <f>OPORTUNO!P29</f>
        <v>35</v>
      </c>
      <c r="Q29" s="10">
        <f>OPORTUNO!Q29</f>
        <v>4096710</v>
      </c>
      <c r="R29" s="10">
        <f>OPORTUNO!R29</f>
        <v>13</v>
      </c>
      <c r="S29" s="10">
        <f>OPORTUNO!S29</f>
        <v>1473610</v>
      </c>
      <c r="T29" s="321">
        <f>OPORTUNO!T29</f>
        <v>161</v>
      </c>
      <c r="U29" s="247">
        <f>OPORTUNO!U29</f>
        <v>18867460</v>
      </c>
      <c r="V29" s="321">
        <f>OPORTUNO!V29</f>
        <v>161</v>
      </c>
      <c r="W29" s="247">
        <f>OPORTUNO!W29</f>
        <v>18867460</v>
      </c>
      <c r="X29" s="247">
        <f>OPORTUNO!X29</f>
        <v>0</v>
      </c>
      <c r="Y29" s="248">
        <f>OPORTUNO!Y29</f>
        <v>0</v>
      </c>
      <c r="Z29" s="1"/>
      <c r="AA29" s="69"/>
    </row>
    <row r="30" spans="1:27" ht="12" customHeight="1" x14ac:dyDescent="0.2">
      <c r="A30" s="1"/>
      <c r="B30" s="241">
        <f>OPORTUNO!B30</f>
        <v>46301</v>
      </c>
      <c r="C30" s="107">
        <f>OPORTUNO!C30</f>
        <v>2026101</v>
      </c>
      <c r="D30" s="107">
        <f>OPORTUNO!D30</f>
        <v>5</v>
      </c>
      <c r="E30" s="108" t="str">
        <f>OPORTUNO!E30</f>
        <v>23D</v>
      </c>
      <c r="F30" s="109" t="str">
        <f>OPORTUNO!F30</f>
        <v>Occidente - Directa</v>
      </c>
      <c r="G30" s="110">
        <f>OPORTUNO!G30</f>
        <v>13</v>
      </c>
      <c r="H30" s="111" t="str">
        <f>OPORTUNO!H30</f>
        <v>T23 Directa - Transferencias</v>
      </c>
      <c r="I30" s="112">
        <f>OPORTUNO!I30</f>
        <v>230887267</v>
      </c>
      <c r="J30" s="9">
        <f>OPORTUNO!J30</f>
        <v>105</v>
      </c>
      <c r="K30" s="9">
        <f>OPORTUNO!K30</f>
        <v>27406420</v>
      </c>
      <c r="L30" s="9">
        <f>OPORTUNO!L30</f>
        <v>219</v>
      </c>
      <c r="M30" s="9">
        <f>OPORTUNO!M30</f>
        <v>29416530</v>
      </c>
      <c r="N30" s="9">
        <f>OPORTUNO!N30</f>
        <v>84</v>
      </c>
      <c r="O30" s="9">
        <f>OPORTUNO!O30</f>
        <v>20670650</v>
      </c>
      <c r="P30" s="9">
        <f>OPORTUNO!P30</f>
        <v>118</v>
      </c>
      <c r="Q30" s="9">
        <f>OPORTUNO!Q30</f>
        <v>17504465</v>
      </c>
      <c r="R30" s="9">
        <f>OPORTUNO!R30</f>
        <v>57</v>
      </c>
      <c r="S30" s="9">
        <f>OPORTUNO!S30</f>
        <v>4789577</v>
      </c>
      <c r="T30" s="249">
        <f>OPORTUNO!T30</f>
        <v>583</v>
      </c>
      <c r="U30" s="249">
        <f>OPORTUNO!U30</f>
        <v>99787642</v>
      </c>
      <c r="V30" s="249">
        <f>OPORTUNO!V30</f>
        <v>583</v>
      </c>
      <c r="W30" s="249">
        <f>OPORTUNO!W30</f>
        <v>99787642</v>
      </c>
      <c r="X30" s="247">
        <f>OPORTUNO!X30</f>
        <v>0</v>
      </c>
      <c r="Y30" s="250">
        <f>OPORTUNO!Y30</f>
        <v>0</v>
      </c>
      <c r="Z30" s="1"/>
      <c r="AA30" s="69"/>
    </row>
    <row r="31" spans="1:27" ht="12" customHeight="1" thickBot="1" x14ac:dyDescent="0.25">
      <c r="A31" s="1"/>
      <c r="B31" s="242">
        <f>OPORTUNO!B31</f>
        <v>46301</v>
      </c>
      <c r="C31" s="113">
        <f>OPORTUNO!C31</f>
        <v>2026101</v>
      </c>
      <c r="D31" s="113">
        <f>OPORTUNO!D31</f>
        <v>5</v>
      </c>
      <c r="E31" s="114" t="str">
        <f>OPORTUNO!E31</f>
        <v>23D</v>
      </c>
      <c r="F31" s="115" t="str">
        <f>OPORTUNO!F31</f>
        <v>Occidente - Directa</v>
      </c>
      <c r="G31" s="116">
        <f>OPORTUNO!G31</f>
        <v>14</v>
      </c>
      <c r="H31" s="117" t="str">
        <f>OPORTUNO!H31</f>
        <v>O23 Directa - Oficinas</v>
      </c>
      <c r="I31" s="118">
        <f>OPORTUNO!I31</f>
        <v>230887267</v>
      </c>
      <c r="J31" s="119">
        <f>OPORTUNO!J31</f>
        <v>33</v>
      </c>
      <c r="K31" s="119">
        <f>OPORTUNO!K31</f>
        <v>1556364</v>
      </c>
      <c r="L31" s="119">
        <f>OPORTUNO!L31</f>
        <v>86</v>
      </c>
      <c r="M31" s="119">
        <f>OPORTUNO!M31</f>
        <v>15092480</v>
      </c>
      <c r="N31" s="119">
        <f>OPORTUNO!N31</f>
        <v>10</v>
      </c>
      <c r="O31" s="119">
        <f>OPORTUNO!O31</f>
        <v>3121121</v>
      </c>
      <c r="P31" s="119">
        <f>OPORTUNO!P31</f>
        <v>93</v>
      </c>
      <c r="Q31" s="119">
        <f>OPORTUNO!Q31</f>
        <v>16103935</v>
      </c>
      <c r="R31" s="119">
        <f>OPORTUNO!R31</f>
        <v>13</v>
      </c>
      <c r="S31" s="119">
        <f>OPORTUNO!S31</f>
        <v>1933478</v>
      </c>
      <c r="T31" s="251">
        <f>OPORTUNO!T31</f>
        <v>235</v>
      </c>
      <c r="U31" s="251">
        <f>OPORTUNO!U31</f>
        <v>37807378</v>
      </c>
      <c r="V31" s="251">
        <f>OPORTUNO!V31</f>
        <v>235</v>
      </c>
      <c r="W31" s="251">
        <f>OPORTUNO!W31</f>
        <v>37807378</v>
      </c>
      <c r="X31" s="249">
        <f>OPORTUNO!X31</f>
        <v>0</v>
      </c>
      <c r="Y31" s="252">
        <f>OPORTUNO!Y31</f>
        <v>0</v>
      </c>
      <c r="Z31" s="1"/>
      <c r="AA31" s="69"/>
    </row>
    <row r="32" spans="1:27" s="45" customFormat="1" ht="12" customHeight="1" thickBot="1" x14ac:dyDescent="0.25">
      <c r="A32" s="3"/>
      <c r="B32" s="129" t="s">
        <v>0</v>
      </c>
      <c r="C32" s="130">
        <f>OPORTUNO!C32</f>
        <v>2026101</v>
      </c>
      <c r="D32" s="131"/>
      <c r="E32" s="121"/>
      <c r="F32" s="122" t="str">
        <f>OPORTUNO!F32</f>
        <v>TOTAL</v>
      </c>
      <c r="G32" s="122">
        <f>OPORTUNO!G32</f>
        <v>0</v>
      </c>
      <c r="H32" s="122">
        <f>OPORTUNO!H32</f>
        <v>0</v>
      </c>
      <c r="I32" s="122">
        <f>OPORTUNO!I32</f>
        <v>0</v>
      </c>
      <c r="J32" s="122">
        <f>OPORTUNO!J32</f>
        <v>155</v>
      </c>
      <c r="K32" s="122">
        <f>OPORTUNO!K32</f>
        <v>29976934</v>
      </c>
      <c r="L32" s="122">
        <f>OPORTUNO!L32</f>
        <v>384</v>
      </c>
      <c r="M32" s="122">
        <f>OPORTUNO!M32</f>
        <v>55300510</v>
      </c>
      <c r="N32" s="122">
        <f>OPORTUNO!N32</f>
        <v>111</v>
      </c>
      <c r="O32" s="122">
        <f>OPORTUNO!O32</f>
        <v>25283261</v>
      </c>
      <c r="P32" s="122">
        <f>OPORTUNO!P32</f>
        <v>246</v>
      </c>
      <c r="Q32" s="122">
        <f>OPORTUNO!Q32</f>
        <v>37705110</v>
      </c>
      <c r="R32" s="122">
        <f>OPORTUNO!R32</f>
        <v>83</v>
      </c>
      <c r="S32" s="122">
        <f>OPORTUNO!S32</f>
        <v>8196665</v>
      </c>
      <c r="T32" s="122">
        <f>OPORTUNO!T32</f>
        <v>979</v>
      </c>
      <c r="U32" s="122">
        <f>OPORTUNO!U32</f>
        <v>156462480</v>
      </c>
      <c r="V32" s="122">
        <f>OPORTUNO!V32</f>
        <v>979</v>
      </c>
      <c r="W32" s="122">
        <f>OPORTUNO!W32</f>
        <v>156462480</v>
      </c>
      <c r="X32" s="122">
        <f>OPORTUNO!X32</f>
        <v>0</v>
      </c>
      <c r="Y32" s="253">
        <f>OPORTUNO!Y32</f>
        <v>0</v>
      </c>
      <c r="Z32" s="3"/>
      <c r="AA32" s="69"/>
    </row>
    <row r="33" spans="1:27" ht="12" customHeight="1" thickBot="1" x14ac:dyDescent="0.25">
      <c r="A33" s="1"/>
      <c r="B33" s="240">
        <f>OPORTUNO!B33</f>
        <v>46302</v>
      </c>
      <c r="C33" s="123">
        <f>OPORTUNO!C33</f>
        <v>2026101</v>
      </c>
      <c r="D33" s="123">
        <f>OPORTUNO!D33</f>
        <v>6</v>
      </c>
      <c r="E33" s="124" t="str">
        <f>OPORTUNO!E33</f>
        <v>23D</v>
      </c>
      <c r="F33" s="125" t="str">
        <f>OPORTUNO!F33</f>
        <v>Occidente - Directa</v>
      </c>
      <c r="G33" s="126">
        <f>OPORTUNO!G33</f>
        <v>12</v>
      </c>
      <c r="H33" s="127" t="str">
        <f>OPORTUNO!H33</f>
        <v>H23 Directa - CNB - Baloto - Éxito</v>
      </c>
      <c r="I33" s="128">
        <f>OPORTUNO!I33</f>
        <v>230887267</v>
      </c>
      <c r="J33" s="10">
        <f>OPORTUNO!J33</f>
        <v>13</v>
      </c>
      <c r="K33" s="10">
        <f>OPORTUNO!K33</f>
        <v>705990</v>
      </c>
      <c r="L33" s="10">
        <f>OPORTUNO!L33</f>
        <v>93</v>
      </c>
      <c r="M33" s="10">
        <f>OPORTUNO!M33</f>
        <v>11166610</v>
      </c>
      <c r="N33" s="10">
        <f>OPORTUNO!N33</f>
        <v>3</v>
      </c>
      <c r="O33" s="10">
        <f>OPORTUNO!O33</f>
        <v>184060</v>
      </c>
      <c r="P33" s="10">
        <f>OPORTUNO!P33</f>
        <v>53</v>
      </c>
      <c r="Q33" s="10">
        <f>OPORTUNO!Q33</f>
        <v>5784650</v>
      </c>
      <c r="R33" s="10">
        <f>OPORTUNO!R33</f>
        <v>21</v>
      </c>
      <c r="S33" s="10">
        <f>OPORTUNO!S33</f>
        <v>1697180</v>
      </c>
      <c r="T33" s="247">
        <f>OPORTUNO!T33</f>
        <v>183</v>
      </c>
      <c r="U33" s="247">
        <f>OPORTUNO!U33</f>
        <v>19538490</v>
      </c>
      <c r="V33" s="247">
        <f>OPORTUNO!V33</f>
        <v>183</v>
      </c>
      <c r="W33" s="247">
        <f>OPORTUNO!W33</f>
        <v>19538490</v>
      </c>
      <c r="X33" s="247">
        <f>OPORTUNO!X33</f>
        <v>0</v>
      </c>
      <c r="Y33" s="248">
        <f>OPORTUNO!Y33</f>
        <v>0</v>
      </c>
      <c r="Z33" s="1"/>
      <c r="AA33" s="69"/>
    </row>
    <row r="34" spans="1:27" ht="12" customHeight="1" x14ac:dyDescent="0.2">
      <c r="A34" s="1"/>
      <c r="B34" s="241">
        <f>OPORTUNO!B34</f>
        <v>46302</v>
      </c>
      <c r="C34" s="107">
        <f>OPORTUNO!C34</f>
        <v>2026101</v>
      </c>
      <c r="D34" s="107">
        <f>OPORTUNO!D34</f>
        <v>6</v>
      </c>
      <c r="E34" s="108" t="str">
        <f>OPORTUNO!E34</f>
        <v>23D</v>
      </c>
      <c r="F34" s="109" t="str">
        <f>OPORTUNO!F34</f>
        <v>Occidente - Directa</v>
      </c>
      <c r="G34" s="110">
        <f>OPORTUNO!G34</f>
        <v>13</v>
      </c>
      <c r="H34" s="111" t="str">
        <f>OPORTUNO!H34</f>
        <v>T23 Directa - Transferencias</v>
      </c>
      <c r="I34" s="112">
        <f>OPORTUNO!I34</f>
        <v>230887267</v>
      </c>
      <c r="J34" s="9">
        <f>OPORTUNO!J34</f>
        <v>38</v>
      </c>
      <c r="K34" s="9">
        <f>OPORTUNO!K34</f>
        <v>14648564</v>
      </c>
      <c r="L34" s="9">
        <f>OPORTUNO!L34</f>
        <v>106</v>
      </c>
      <c r="M34" s="9">
        <f>OPORTUNO!M34</f>
        <v>43670936</v>
      </c>
      <c r="N34" s="9">
        <f>OPORTUNO!N34</f>
        <v>52</v>
      </c>
      <c r="O34" s="9">
        <f>OPORTUNO!O34</f>
        <v>33596550</v>
      </c>
      <c r="P34" s="9">
        <f>OPORTUNO!P34</f>
        <v>63</v>
      </c>
      <c r="Q34" s="9">
        <f>OPORTUNO!Q34</f>
        <v>6847060</v>
      </c>
      <c r="R34" s="9">
        <f>OPORTUNO!R34</f>
        <v>25</v>
      </c>
      <c r="S34" s="9">
        <f>OPORTUNO!S34</f>
        <v>4426770</v>
      </c>
      <c r="T34" s="249">
        <f>OPORTUNO!T34</f>
        <v>284</v>
      </c>
      <c r="U34" s="249">
        <f>OPORTUNO!U34</f>
        <v>103189880</v>
      </c>
      <c r="V34" s="249">
        <f>OPORTUNO!V34</f>
        <v>284</v>
      </c>
      <c r="W34" s="249">
        <f>OPORTUNO!W34</f>
        <v>103189880</v>
      </c>
      <c r="X34" s="247">
        <f>OPORTUNO!X34</f>
        <v>0</v>
      </c>
      <c r="Y34" s="250">
        <f>OPORTUNO!Y34</f>
        <v>0</v>
      </c>
      <c r="Z34" s="1"/>
      <c r="AA34" s="69"/>
    </row>
    <row r="35" spans="1:27" ht="12" customHeight="1" thickBot="1" x14ac:dyDescent="0.25">
      <c r="A35" s="1"/>
      <c r="B35" s="242">
        <f>OPORTUNO!B35</f>
        <v>46302</v>
      </c>
      <c r="C35" s="113">
        <f>OPORTUNO!C35</f>
        <v>2026101</v>
      </c>
      <c r="D35" s="113">
        <f>OPORTUNO!D35</f>
        <v>6</v>
      </c>
      <c r="E35" s="114" t="str">
        <f>OPORTUNO!E35</f>
        <v>23D</v>
      </c>
      <c r="F35" s="115" t="str">
        <f>OPORTUNO!F35</f>
        <v>Occidente - Directa</v>
      </c>
      <c r="G35" s="116">
        <f>OPORTUNO!G35</f>
        <v>14</v>
      </c>
      <c r="H35" s="117" t="str">
        <f>OPORTUNO!H35</f>
        <v>O23 Directa - Oficinas</v>
      </c>
      <c r="I35" s="118">
        <f>OPORTUNO!I35</f>
        <v>230887267</v>
      </c>
      <c r="J35" s="119">
        <f>OPORTUNO!J35</f>
        <v>107</v>
      </c>
      <c r="K35" s="119">
        <f>OPORTUNO!K35</f>
        <v>13139374</v>
      </c>
      <c r="L35" s="119">
        <f>OPORTUNO!L35</f>
        <v>92</v>
      </c>
      <c r="M35" s="119">
        <f>OPORTUNO!M35</f>
        <v>18961450</v>
      </c>
      <c r="N35" s="119">
        <f>OPORTUNO!N35</f>
        <v>22</v>
      </c>
      <c r="O35" s="119">
        <f>OPORTUNO!O35</f>
        <v>6080728</v>
      </c>
      <c r="P35" s="119">
        <f>OPORTUNO!P35</f>
        <v>97</v>
      </c>
      <c r="Q35" s="119">
        <f>OPORTUNO!Q35</f>
        <v>43569768</v>
      </c>
      <c r="R35" s="119">
        <f>OPORTUNO!R35</f>
        <v>48</v>
      </c>
      <c r="S35" s="119">
        <f>OPORTUNO!S35</f>
        <v>2644290</v>
      </c>
      <c r="T35" s="251">
        <f>OPORTUNO!T35</f>
        <v>366</v>
      </c>
      <c r="U35" s="251">
        <f>OPORTUNO!U35</f>
        <v>84395610</v>
      </c>
      <c r="V35" s="251">
        <f>OPORTUNO!V35</f>
        <v>366</v>
      </c>
      <c r="W35" s="251">
        <f>OPORTUNO!W35</f>
        <v>84395610</v>
      </c>
      <c r="X35" s="249">
        <f>OPORTUNO!X35</f>
        <v>0</v>
      </c>
      <c r="Y35" s="252">
        <f>OPORTUNO!Y35</f>
        <v>0</v>
      </c>
      <c r="Z35" s="1"/>
      <c r="AA35" s="69"/>
    </row>
    <row r="36" spans="1:27" s="45" customFormat="1" ht="12" customHeight="1" thickBot="1" x14ac:dyDescent="0.25">
      <c r="A36" s="3"/>
      <c r="B36" s="129" t="s">
        <v>0</v>
      </c>
      <c r="C36" s="130">
        <f>OPORTUNO!C36</f>
        <v>2026101</v>
      </c>
      <c r="D36" s="131"/>
      <c r="E36" s="121"/>
      <c r="F36" s="122" t="str">
        <f>OPORTUNO!F36</f>
        <v>TOTAL</v>
      </c>
      <c r="G36" s="122">
        <f>OPORTUNO!G36</f>
        <v>0</v>
      </c>
      <c r="H36" s="122">
        <f>OPORTUNO!H36</f>
        <v>0</v>
      </c>
      <c r="I36" s="122">
        <f>OPORTUNO!I36</f>
        <v>0</v>
      </c>
      <c r="J36" s="122">
        <f>OPORTUNO!J36</f>
        <v>158</v>
      </c>
      <c r="K36" s="122">
        <f>OPORTUNO!K36</f>
        <v>28493928</v>
      </c>
      <c r="L36" s="122">
        <f>OPORTUNO!L36</f>
        <v>291</v>
      </c>
      <c r="M36" s="122">
        <f>OPORTUNO!M36</f>
        <v>73798996</v>
      </c>
      <c r="N36" s="122">
        <f>OPORTUNO!N36</f>
        <v>77</v>
      </c>
      <c r="O36" s="122">
        <f>OPORTUNO!O36</f>
        <v>39861338</v>
      </c>
      <c r="P36" s="122">
        <f>OPORTUNO!P36</f>
        <v>213</v>
      </c>
      <c r="Q36" s="122">
        <f>OPORTUNO!Q36</f>
        <v>56201478</v>
      </c>
      <c r="R36" s="122">
        <f>OPORTUNO!R36</f>
        <v>94</v>
      </c>
      <c r="S36" s="122">
        <f>OPORTUNO!S36</f>
        <v>8768240</v>
      </c>
      <c r="T36" s="122">
        <f>OPORTUNO!T36</f>
        <v>833</v>
      </c>
      <c r="U36" s="122">
        <f>OPORTUNO!U36</f>
        <v>207123980</v>
      </c>
      <c r="V36" s="122">
        <f>OPORTUNO!V36</f>
        <v>833</v>
      </c>
      <c r="W36" s="122">
        <f>OPORTUNO!W36</f>
        <v>207123980</v>
      </c>
      <c r="X36" s="122">
        <f>OPORTUNO!X36</f>
        <v>0</v>
      </c>
      <c r="Y36" s="253">
        <f>OPORTUNO!Y36</f>
        <v>0</v>
      </c>
      <c r="Z36" s="3"/>
      <c r="AA36" s="69"/>
    </row>
    <row r="37" spans="1:27" ht="12" customHeight="1" thickBot="1" x14ac:dyDescent="0.25">
      <c r="A37" s="1"/>
      <c r="B37" s="240">
        <f>OPORTUNO!B37</f>
        <v>46303</v>
      </c>
      <c r="C37" s="123">
        <f>OPORTUNO!C37</f>
        <v>2026101</v>
      </c>
      <c r="D37" s="123">
        <f>OPORTUNO!D37</f>
        <v>7</v>
      </c>
      <c r="E37" s="124" t="str">
        <f>OPORTUNO!E37</f>
        <v>23D</v>
      </c>
      <c r="F37" s="125" t="str">
        <f>OPORTUNO!F37</f>
        <v>Occidente - Directa</v>
      </c>
      <c r="G37" s="126">
        <f>OPORTUNO!G37</f>
        <v>12</v>
      </c>
      <c r="H37" s="127" t="str">
        <f>OPORTUNO!H37</f>
        <v>H23 Directa - CNB - Baloto - Éxito</v>
      </c>
      <c r="I37" s="128">
        <f>OPORTUNO!I37</f>
        <v>230887267</v>
      </c>
      <c r="J37" s="10">
        <f>OPORTUNO!J37</f>
        <v>53</v>
      </c>
      <c r="K37" s="10">
        <f>OPORTUNO!K37</f>
        <v>19997810</v>
      </c>
      <c r="L37" s="10">
        <f>OPORTUNO!L37</f>
        <v>105</v>
      </c>
      <c r="M37" s="10">
        <f>OPORTUNO!M37</f>
        <v>8998250</v>
      </c>
      <c r="N37" s="10">
        <f>OPORTUNO!N37</f>
        <v>32</v>
      </c>
      <c r="O37" s="10">
        <f>OPORTUNO!O37</f>
        <v>2458970</v>
      </c>
      <c r="P37" s="10">
        <f>OPORTUNO!P37</f>
        <v>64</v>
      </c>
      <c r="Q37" s="10">
        <f>OPORTUNO!Q37</f>
        <v>6759070</v>
      </c>
      <c r="R37" s="10">
        <f>OPORTUNO!R37</f>
        <v>43</v>
      </c>
      <c r="S37" s="10">
        <f>OPORTUNO!S37</f>
        <v>3124160</v>
      </c>
      <c r="T37" s="247">
        <f>OPORTUNO!T37</f>
        <v>297</v>
      </c>
      <c r="U37" s="247">
        <f>OPORTUNO!U37</f>
        <v>41338260</v>
      </c>
      <c r="V37" s="247">
        <f>OPORTUNO!V37</f>
        <v>297</v>
      </c>
      <c r="W37" s="247">
        <f>OPORTUNO!W37</f>
        <v>41338260</v>
      </c>
      <c r="X37" s="247">
        <f>OPORTUNO!X37</f>
        <v>0</v>
      </c>
      <c r="Y37" s="248">
        <f>OPORTUNO!Y37</f>
        <v>0</v>
      </c>
      <c r="Z37" s="1"/>
      <c r="AA37" s="69"/>
    </row>
    <row r="38" spans="1:27" ht="12" customHeight="1" thickBot="1" x14ac:dyDescent="0.25">
      <c r="A38" s="1"/>
      <c r="B38" s="240">
        <f>OPORTUNO!B38</f>
        <v>46303</v>
      </c>
      <c r="C38" s="107">
        <f>OPORTUNO!C38</f>
        <v>2026101</v>
      </c>
      <c r="D38" s="107">
        <f>OPORTUNO!D38</f>
        <v>7</v>
      </c>
      <c r="E38" s="108" t="str">
        <f>OPORTUNO!E38</f>
        <v>23D</v>
      </c>
      <c r="F38" s="109" t="str">
        <f>OPORTUNO!F38</f>
        <v>Occidente - Directa</v>
      </c>
      <c r="G38" s="110">
        <f>OPORTUNO!G38</f>
        <v>13</v>
      </c>
      <c r="H38" s="111" t="str">
        <f>OPORTUNO!H38</f>
        <v>T23 Directa - Transferencias</v>
      </c>
      <c r="I38" s="112">
        <f>OPORTUNO!I38</f>
        <v>230887267</v>
      </c>
      <c r="J38" s="9">
        <f>OPORTUNO!J38</f>
        <v>71</v>
      </c>
      <c r="K38" s="9">
        <f>OPORTUNO!K38</f>
        <v>14981357</v>
      </c>
      <c r="L38" s="9">
        <f>OPORTUNO!L38</f>
        <v>121</v>
      </c>
      <c r="M38" s="9">
        <f>OPORTUNO!M38</f>
        <v>23705490</v>
      </c>
      <c r="N38" s="9">
        <f>OPORTUNO!N38</f>
        <v>57</v>
      </c>
      <c r="O38" s="9">
        <f>OPORTUNO!O38</f>
        <v>17686390</v>
      </c>
      <c r="P38" s="9">
        <f>OPORTUNO!P38</f>
        <v>106</v>
      </c>
      <c r="Q38" s="9">
        <f>OPORTUNO!Q38</f>
        <v>14153712</v>
      </c>
      <c r="R38" s="9">
        <f>OPORTUNO!R38</f>
        <v>60</v>
      </c>
      <c r="S38" s="9">
        <f>OPORTUNO!S38</f>
        <v>20855420</v>
      </c>
      <c r="T38" s="249">
        <f>OPORTUNO!T38</f>
        <v>415</v>
      </c>
      <c r="U38" s="249">
        <f>OPORTUNO!U38</f>
        <v>91382369</v>
      </c>
      <c r="V38" s="249">
        <f>OPORTUNO!V38</f>
        <v>415</v>
      </c>
      <c r="W38" s="249">
        <f>OPORTUNO!W38</f>
        <v>91382369</v>
      </c>
      <c r="X38" s="249">
        <f>OPORTUNO!X38</f>
        <v>0</v>
      </c>
      <c r="Y38" s="250">
        <f>OPORTUNO!Y38</f>
        <v>0</v>
      </c>
      <c r="Z38" s="1"/>
      <c r="AA38" s="69"/>
    </row>
    <row r="39" spans="1:27" ht="12" customHeight="1" thickBot="1" x14ac:dyDescent="0.25">
      <c r="A39" s="1"/>
      <c r="B39" s="240">
        <f>OPORTUNO!B39</f>
        <v>46303</v>
      </c>
      <c r="C39" s="113">
        <f>OPORTUNO!C39</f>
        <v>2026101</v>
      </c>
      <c r="D39" s="113">
        <f>OPORTUNO!D39</f>
        <v>7</v>
      </c>
      <c r="E39" s="114" t="str">
        <f>OPORTUNO!E39</f>
        <v>23D</v>
      </c>
      <c r="F39" s="115" t="str">
        <f>OPORTUNO!F39</f>
        <v>Occidente - Directa</v>
      </c>
      <c r="G39" s="116">
        <f>OPORTUNO!G39</f>
        <v>14</v>
      </c>
      <c r="H39" s="117" t="str">
        <f>OPORTUNO!H39</f>
        <v>O23 Directa - Oficinas</v>
      </c>
      <c r="I39" s="118">
        <f>OPORTUNO!I39</f>
        <v>230887267</v>
      </c>
      <c r="J39" s="119">
        <f>OPORTUNO!J39</f>
        <v>42</v>
      </c>
      <c r="K39" s="119">
        <f>OPORTUNO!K39</f>
        <v>5108016</v>
      </c>
      <c r="L39" s="119">
        <f>OPORTUNO!L39</f>
        <v>69</v>
      </c>
      <c r="M39" s="119">
        <f>OPORTUNO!M39</f>
        <v>10988692</v>
      </c>
      <c r="N39" s="119">
        <f>OPORTUNO!N39</f>
        <v>7</v>
      </c>
      <c r="O39" s="119">
        <f>OPORTUNO!O39</f>
        <v>506917</v>
      </c>
      <c r="P39" s="119">
        <f>OPORTUNO!P39</f>
        <v>80</v>
      </c>
      <c r="Q39" s="119">
        <f>OPORTUNO!Q39</f>
        <v>11442563</v>
      </c>
      <c r="R39" s="119">
        <f>OPORTUNO!R39</f>
        <v>13</v>
      </c>
      <c r="S39" s="119">
        <f>OPORTUNO!S39</f>
        <v>541672</v>
      </c>
      <c r="T39" s="251">
        <f>OPORTUNO!T39</f>
        <v>211</v>
      </c>
      <c r="U39" s="251">
        <f>OPORTUNO!U39</f>
        <v>28587860</v>
      </c>
      <c r="V39" s="251">
        <f>OPORTUNO!V39</f>
        <v>211</v>
      </c>
      <c r="W39" s="251">
        <f>OPORTUNO!W39</f>
        <v>28587860</v>
      </c>
      <c r="X39" s="249">
        <f>OPORTUNO!X39</f>
        <v>0</v>
      </c>
      <c r="Y39" s="252">
        <f>OPORTUNO!Y39</f>
        <v>0</v>
      </c>
      <c r="Z39" s="1"/>
      <c r="AA39" s="69"/>
    </row>
    <row r="40" spans="1:27" s="45" customFormat="1" ht="12" customHeight="1" thickBot="1" x14ac:dyDescent="0.25">
      <c r="A40" s="3"/>
      <c r="B40" s="129" t="s">
        <v>0</v>
      </c>
      <c r="C40" s="130">
        <f>OPORTUNO!C40</f>
        <v>2026101</v>
      </c>
      <c r="D40" s="131"/>
      <c r="E40" s="121"/>
      <c r="F40" s="122" t="str">
        <f>OPORTUNO!F40</f>
        <v>TOTAL</v>
      </c>
      <c r="G40" s="122">
        <f>OPORTUNO!G40</f>
        <v>0</v>
      </c>
      <c r="H40" s="122">
        <f>OPORTUNO!H40</f>
        <v>0</v>
      </c>
      <c r="I40" s="122">
        <f>OPORTUNO!I40</f>
        <v>0</v>
      </c>
      <c r="J40" s="122">
        <f>OPORTUNO!J40</f>
        <v>166</v>
      </c>
      <c r="K40" s="122">
        <f>OPORTUNO!K40</f>
        <v>40087183</v>
      </c>
      <c r="L40" s="122">
        <f>OPORTUNO!L40</f>
        <v>295</v>
      </c>
      <c r="M40" s="122">
        <f>OPORTUNO!M40</f>
        <v>43692432</v>
      </c>
      <c r="N40" s="122">
        <f>OPORTUNO!N40</f>
        <v>96</v>
      </c>
      <c r="O40" s="122">
        <f>OPORTUNO!O40</f>
        <v>20652277</v>
      </c>
      <c r="P40" s="122">
        <f>OPORTUNO!P40</f>
        <v>250</v>
      </c>
      <c r="Q40" s="122">
        <f>OPORTUNO!Q40</f>
        <v>32355345</v>
      </c>
      <c r="R40" s="122">
        <f>OPORTUNO!R40</f>
        <v>116</v>
      </c>
      <c r="S40" s="122">
        <f>OPORTUNO!S40</f>
        <v>24521252</v>
      </c>
      <c r="T40" s="122">
        <f>OPORTUNO!T40</f>
        <v>923</v>
      </c>
      <c r="U40" s="122">
        <f>OPORTUNO!U40</f>
        <v>161308489</v>
      </c>
      <c r="V40" s="122">
        <f>OPORTUNO!V40</f>
        <v>923</v>
      </c>
      <c r="W40" s="122">
        <f>OPORTUNO!W40</f>
        <v>161308489</v>
      </c>
      <c r="X40" s="122">
        <f>OPORTUNO!X40</f>
        <v>0</v>
      </c>
      <c r="Y40" s="253">
        <f>OPORTUNO!Y40</f>
        <v>0</v>
      </c>
      <c r="Z40" s="3"/>
      <c r="AA40" s="69"/>
    </row>
    <row r="41" spans="1:27" ht="12" customHeight="1" x14ac:dyDescent="0.2">
      <c r="A41" s="1"/>
      <c r="B41" s="240">
        <f>OPORTUNO!B41</f>
        <v>46304</v>
      </c>
      <c r="C41" s="123">
        <f>OPORTUNO!C41</f>
        <v>2026101</v>
      </c>
      <c r="D41" s="123">
        <f>OPORTUNO!D41</f>
        <v>8</v>
      </c>
      <c r="E41" s="124" t="str">
        <f>OPORTUNO!E41</f>
        <v>23D</v>
      </c>
      <c r="F41" s="125" t="str">
        <f>OPORTUNO!F41</f>
        <v>Occidente - Directa</v>
      </c>
      <c r="G41" s="126">
        <f>OPORTUNO!G41</f>
        <v>12</v>
      </c>
      <c r="H41" s="127" t="str">
        <f>OPORTUNO!H41</f>
        <v>H23 Directa - CNB - Baloto - Éxito</v>
      </c>
      <c r="I41" s="128">
        <f>OPORTUNO!I41</f>
        <v>230887267</v>
      </c>
      <c r="J41" s="10">
        <f>OPORTUNO!J41</f>
        <v>23</v>
      </c>
      <c r="K41" s="10">
        <f>OPORTUNO!K41</f>
        <v>3170540</v>
      </c>
      <c r="L41" s="10">
        <f>OPORTUNO!L41</f>
        <v>129</v>
      </c>
      <c r="M41" s="10">
        <f>OPORTUNO!M41</f>
        <v>9364430</v>
      </c>
      <c r="N41" s="10">
        <f>OPORTUNO!N41</f>
        <v>38</v>
      </c>
      <c r="O41" s="10">
        <f>OPORTUNO!O41</f>
        <v>3076550</v>
      </c>
      <c r="P41" s="10">
        <f>OPORTUNO!P41</f>
        <v>75</v>
      </c>
      <c r="Q41" s="10">
        <f>OPORTUNO!Q41</f>
        <v>11616710</v>
      </c>
      <c r="R41" s="10">
        <f>OPORTUNO!R41</f>
        <v>18</v>
      </c>
      <c r="S41" s="10">
        <f>OPORTUNO!S41</f>
        <v>855810</v>
      </c>
      <c r="T41" s="247">
        <f>OPORTUNO!T41</f>
        <v>283</v>
      </c>
      <c r="U41" s="247">
        <f>OPORTUNO!U41</f>
        <v>28084040</v>
      </c>
      <c r="V41" s="247">
        <f>OPORTUNO!V41</f>
        <v>283</v>
      </c>
      <c r="W41" s="247">
        <f>OPORTUNO!W41</f>
        <v>28084040</v>
      </c>
      <c r="X41" s="249">
        <f>OPORTUNO!X41</f>
        <v>0</v>
      </c>
      <c r="Y41" s="250">
        <f>OPORTUNO!Y41</f>
        <v>0</v>
      </c>
      <c r="Z41" s="1"/>
      <c r="AA41" s="69"/>
    </row>
    <row r="42" spans="1:27" ht="12" customHeight="1" x14ac:dyDescent="0.2">
      <c r="A42" s="1"/>
      <c r="B42" s="241">
        <f>OPORTUNO!B42</f>
        <v>46304</v>
      </c>
      <c r="C42" s="107">
        <f>OPORTUNO!C42</f>
        <v>2026101</v>
      </c>
      <c r="D42" s="107">
        <f>OPORTUNO!D42</f>
        <v>8</v>
      </c>
      <c r="E42" s="108" t="str">
        <f>OPORTUNO!E42</f>
        <v>23D</v>
      </c>
      <c r="F42" s="109" t="str">
        <f>OPORTUNO!F42</f>
        <v>Occidente - Directa</v>
      </c>
      <c r="G42" s="110">
        <f>OPORTUNO!G42</f>
        <v>13</v>
      </c>
      <c r="H42" s="111" t="str">
        <f>OPORTUNO!H42</f>
        <v>T23 Directa - Transferencias</v>
      </c>
      <c r="I42" s="112">
        <f>OPORTUNO!I42</f>
        <v>230887267</v>
      </c>
      <c r="J42" s="9">
        <f>OPORTUNO!J42</f>
        <v>118</v>
      </c>
      <c r="K42" s="9">
        <f>OPORTUNO!K42</f>
        <v>18183590</v>
      </c>
      <c r="L42" s="9">
        <f>OPORTUNO!L42</f>
        <v>134</v>
      </c>
      <c r="M42" s="9">
        <f>OPORTUNO!M42</f>
        <v>82261700</v>
      </c>
      <c r="N42" s="9">
        <f>OPORTUNO!N42</f>
        <v>87</v>
      </c>
      <c r="O42" s="9">
        <f>OPORTUNO!O42</f>
        <v>32474400</v>
      </c>
      <c r="P42" s="9">
        <f>OPORTUNO!P42</f>
        <v>103</v>
      </c>
      <c r="Q42" s="9">
        <f>OPORTUNO!Q42</f>
        <v>9743420</v>
      </c>
      <c r="R42" s="9">
        <f>OPORTUNO!R42</f>
        <v>56</v>
      </c>
      <c r="S42" s="9">
        <f>OPORTUNO!S42</f>
        <v>4230510</v>
      </c>
      <c r="T42" s="249">
        <f>OPORTUNO!T42</f>
        <v>498</v>
      </c>
      <c r="U42" s="249">
        <f>OPORTUNO!U42</f>
        <v>146893620</v>
      </c>
      <c r="V42" s="249">
        <f>OPORTUNO!V42</f>
        <v>498</v>
      </c>
      <c r="W42" s="249">
        <f>OPORTUNO!W42</f>
        <v>146893620</v>
      </c>
      <c r="X42" s="249">
        <f>OPORTUNO!X42</f>
        <v>0</v>
      </c>
      <c r="Y42" s="250">
        <f>OPORTUNO!Y42</f>
        <v>0</v>
      </c>
      <c r="Z42" s="1"/>
      <c r="AA42" s="69"/>
    </row>
    <row r="43" spans="1:27" ht="12" customHeight="1" thickBot="1" x14ac:dyDescent="0.25">
      <c r="A43" s="1"/>
      <c r="B43" s="241">
        <f>OPORTUNO!B43</f>
        <v>46304</v>
      </c>
      <c r="C43" s="113">
        <f>OPORTUNO!C43</f>
        <v>2026101</v>
      </c>
      <c r="D43" s="113">
        <f>OPORTUNO!D43</f>
        <v>8</v>
      </c>
      <c r="E43" s="114" t="str">
        <f>OPORTUNO!E43</f>
        <v>23D</v>
      </c>
      <c r="F43" s="115" t="str">
        <f>OPORTUNO!F43</f>
        <v>Occidente - Directa</v>
      </c>
      <c r="G43" s="116">
        <f>OPORTUNO!G43</f>
        <v>14</v>
      </c>
      <c r="H43" s="117" t="str">
        <f>OPORTUNO!H43</f>
        <v>O23 Directa - Oficinas</v>
      </c>
      <c r="I43" s="118">
        <f>OPORTUNO!I43</f>
        <v>230887267</v>
      </c>
      <c r="J43" s="119">
        <f>OPORTUNO!J43</f>
        <v>21</v>
      </c>
      <c r="K43" s="119">
        <f>OPORTUNO!K43</f>
        <v>1973651</v>
      </c>
      <c r="L43" s="119">
        <f>OPORTUNO!L43</f>
        <v>61</v>
      </c>
      <c r="M43" s="119">
        <f>OPORTUNO!M43</f>
        <v>15763078</v>
      </c>
      <c r="N43" s="119">
        <f>OPORTUNO!N43</f>
        <v>5</v>
      </c>
      <c r="O43" s="119">
        <f>OPORTUNO!O43</f>
        <v>517360</v>
      </c>
      <c r="P43" s="119">
        <f>OPORTUNO!P43</f>
        <v>50</v>
      </c>
      <c r="Q43" s="119">
        <f>OPORTUNO!Q43</f>
        <v>6560147</v>
      </c>
      <c r="R43" s="119">
        <f>OPORTUNO!R43</f>
        <v>17</v>
      </c>
      <c r="S43" s="119">
        <f>OPORTUNO!S43</f>
        <v>693148</v>
      </c>
      <c r="T43" s="251">
        <f>OPORTUNO!T43</f>
        <v>154</v>
      </c>
      <c r="U43" s="251">
        <f>OPORTUNO!U43</f>
        <v>25507384</v>
      </c>
      <c r="V43" s="251">
        <f>OPORTUNO!V43</f>
        <v>154</v>
      </c>
      <c r="W43" s="251">
        <f>OPORTUNO!W43</f>
        <v>25507384</v>
      </c>
      <c r="X43" s="317">
        <f>OPORTUNO!X43</f>
        <v>0</v>
      </c>
      <c r="Y43" s="252">
        <f>OPORTUNO!Y43</f>
        <v>0</v>
      </c>
      <c r="Z43" s="1"/>
      <c r="AA43" s="69"/>
    </row>
    <row r="44" spans="1:27" s="45" customFormat="1" ht="12" customHeight="1" thickBot="1" x14ac:dyDescent="0.25">
      <c r="A44" s="3"/>
      <c r="B44" s="129" t="s">
        <v>0</v>
      </c>
      <c r="C44" s="130">
        <f>OPORTUNO!C44</f>
        <v>2026101</v>
      </c>
      <c r="D44" s="131"/>
      <c r="E44" s="121"/>
      <c r="F44" s="122" t="str">
        <f>OPORTUNO!F44</f>
        <v>TOTAL</v>
      </c>
      <c r="G44" s="122">
        <f>OPORTUNO!G44</f>
        <v>0</v>
      </c>
      <c r="H44" s="122">
        <f>OPORTUNO!H44</f>
        <v>0</v>
      </c>
      <c r="I44" s="122">
        <f>OPORTUNO!I44</f>
        <v>0</v>
      </c>
      <c r="J44" s="122">
        <f>OPORTUNO!J44</f>
        <v>162</v>
      </c>
      <c r="K44" s="122">
        <f>OPORTUNO!K44</f>
        <v>23327781</v>
      </c>
      <c r="L44" s="122">
        <f>OPORTUNO!L44</f>
        <v>324</v>
      </c>
      <c r="M44" s="122">
        <f>OPORTUNO!M44</f>
        <v>107389208</v>
      </c>
      <c r="N44" s="122">
        <f>OPORTUNO!N44</f>
        <v>130</v>
      </c>
      <c r="O44" s="122">
        <f>OPORTUNO!O44</f>
        <v>36068310</v>
      </c>
      <c r="P44" s="122">
        <f>OPORTUNO!P44</f>
        <v>228</v>
      </c>
      <c r="Q44" s="122">
        <f>OPORTUNO!Q44</f>
        <v>27920277</v>
      </c>
      <c r="R44" s="122">
        <f>OPORTUNO!R44</f>
        <v>91</v>
      </c>
      <c r="S44" s="122">
        <f>OPORTUNO!S44</f>
        <v>5779468</v>
      </c>
      <c r="T44" s="122">
        <f>OPORTUNO!T44</f>
        <v>935</v>
      </c>
      <c r="U44" s="122">
        <f>OPORTUNO!U44</f>
        <v>200485044</v>
      </c>
      <c r="V44" s="122">
        <f>OPORTUNO!V44</f>
        <v>935</v>
      </c>
      <c r="W44" s="122">
        <f>OPORTUNO!W44</f>
        <v>200485044</v>
      </c>
      <c r="X44" s="122">
        <f>OPORTUNO!X44</f>
        <v>0</v>
      </c>
      <c r="Y44" s="253">
        <f>OPORTUNO!Y44</f>
        <v>0</v>
      </c>
      <c r="Z44" s="3"/>
      <c r="AA44" s="69"/>
    </row>
    <row r="45" spans="1:27" ht="12" customHeight="1" x14ac:dyDescent="0.2">
      <c r="A45" s="1"/>
      <c r="B45" s="240">
        <f>OPORTUNO!B45</f>
        <v>46308</v>
      </c>
      <c r="C45" s="123">
        <f>OPORTUNO!C45</f>
        <v>2026101</v>
      </c>
      <c r="D45" s="123">
        <f>OPORTUNO!D45</f>
        <v>9</v>
      </c>
      <c r="E45" s="124" t="str">
        <f>OPORTUNO!E45</f>
        <v>23D</v>
      </c>
      <c r="F45" s="125" t="str">
        <f>OPORTUNO!F45</f>
        <v>Occidente - Directa</v>
      </c>
      <c r="G45" s="126">
        <f>OPORTUNO!G45</f>
        <v>12</v>
      </c>
      <c r="H45" s="127" t="str">
        <f>OPORTUNO!H45</f>
        <v>H23 Directa - CNB - Baloto - Éxito</v>
      </c>
      <c r="I45" s="128">
        <f>OPORTUNO!I45</f>
        <v>230887267</v>
      </c>
      <c r="J45" s="10">
        <f>OPORTUNO!J45</f>
        <v>20</v>
      </c>
      <c r="K45" s="10">
        <f>OPORTUNO!K45</f>
        <v>1194110</v>
      </c>
      <c r="L45" s="10">
        <f>OPORTUNO!L45</f>
        <v>163</v>
      </c>
      <c r="M45" s="10">
        <f>OPORTUNO!M45</f>
        <v>18515830</v>
      </c>
      <c r="N45" s="10">
        <f>OPORTUNO!N45</f>
        <v>51</v>
      </c>
      <c r="O45" s="10">
        <f>OPORTUNO!O45</f>
        <v>3619130</v>
      </c>
      <c r="P45" s="10">
        <f>OPORTUNO!P45</f>
        <v>64</v>
      </c>
      <c r="Q45" s="10">
        <f>OPORTUNO!Q45</f>
        <v>7583720</v>
      </c>
      <c r="R45" s="10">
        <f>OPORTUNO!R45</f>
        <v>19</v>
      </c>
      <c r="S45" s="10">
        <f>OPORTUNO!S45</f>
        <v>2648400</v>
      </c>
      <c r="T45" s="247">
        <f>OPORTUNO!T45</f>
        <v>317</v>
      </c>
      <c r="U45" s="247">
        <f>OPORTUNO!U45</f>
        <v>33561190</v>
      </c>
      <c r="V45" s="247">
        <f>OPORTUNO!V45</f>
        <v>317</v>
      </c>
      <c r="W45" s="247">
        <f>OPORTUNO!W45</f>
        <v>33561190</v>
      </c>
      <c r="X45" s="247">
        <f>OPORTUNO!X45</f>
        <v>0</v>
      </c>
      <c r="Y45" s="248">
        <f>OPORTUNO!Y45</f>
        <v>0</v>
      </c>
      <c r="Z45" s="1"/>
      <c r="AA45" s="69"/>
    </row>
    <row r="46" spans="1:27" ht="12" customHeight="1" x14ac:dyDescent="0.2">
      <c r="A46" s="1"/>
      <c r="B46" s="241">
        <f>OPORTUNO!B46</f>
        <v>46308</v>
      </c>
      <c r="C46" s="107">
        <f>OPORTUNO!C46</f>
        <v>2026101</v>
      </c>
      <c r="D46" s="107">
        <f>OPORTUNO!D46</f>
        <v>9</v>
      </c>
      <c r="E46" s="108" t="str">
        <f>OPORTUNO!E46</f>
        <v>23D</v>
      </c>
      <c r="F46" s="109" t="str">
        <f>OPORTUNO!F46</f>
        <v>Occidente - Directa</v>
      </c>
      <c r="G46" s="110">
        <f>OPORTUNO!G46</f>
        <v>13</v>
      </c>
      <c r="H46" s="111" t="str">
        <f>OPORTUNO!H46</f>
        <v>T23 Directa - Transferencias</v>
      </c>
      <c r="I46" s="112">
        <f>OPORTUNO!I46</f>
        <v>230887267</v>
      </c>
      <c r="J46" s="9">
        <f>OPORTUNO!J46</f>
        <v>83</v>
      </c>
      <c r="K46" s="9">
        <f>OPORTUNO!K46</f>
        <v>32526250</v>
      </c>
      <c r="L46" s="9">
        <f>OPORTUNO!L46</f>
        <v>125</v>
      </c>
      <c r="M46" s="9">
        <f>OPORTUNO!M46</f>
        <v>18727720</v>
      </c>
      <c r="N46" s="9">
        <f>OPORTUNO!N46</f>
        <v>89</v>
      </c>
      <c r="O46" s="9">
        <f>OPORTUNO!O46</f>
        <v>38253450</v>
      </c>
      <c r="P46" s="9">
        <f>OPORTUNO!P46</f>
        <v>96</v>
      </c>
      <c r="Q46" s="9">
        <f>OPORTUNO!Q46</f>
        <v>16682410</v>
      </c>
      <c r="R46" s="9">
        <f>OPORTUNO!R46</f>
        <v>42</v>
      </c>
      <c r="S46" s="9">
        <f>OPORTUNO!S46</f>
        <v>23757670</v>
      </c>
      <c r="T46" s="249">
        <f>OPORTUNO!T46</f>
        <v>435</v>
      </c>
      <c r="U46" s="249">
        <f>OPORTUNO!U46</f>
        <v>129947500</v>
      </c>
      <c r="V46" s="249">
        <f>OPORTUNO!V46</f>
        <v>435</v>
      </c>
      <c r="W46" s="249">
        <f>OPORTUNO!W46</f>
        <v>129947500</v>
      </c>
      <c r="X46" s="249">
        <f>OPORTUNO!X46</f>
        <v>0</v>
      </c>
      <c r="Y46" s="250">
        <f>OPORTUNO!Y46</f>
        <v>0</v>
      </c>
      <c r="Z46" s="1"/>
      <c r="AA46" s="69"/>
    </row>
    <row r="47" spans="1:27" ht="12" customHeight="1" thickBot="1" x14ac:dyDescent="0.25">
      <c r="A47" s="1"/>
      <c r="B47" s="242">
        <f>OPORTUNO!B47</f>
        <v>46308</v>
      </c>
      <c r="C47" s="113">
        <f>OPORTUNO!C47</f>
        <v>2026101</v>
      </c>
      <c r="D47" s="113">
        <f>OPORTUNO!D47</f>
        <v>9</v>
      </c>
      <c r="E47" s="114" t="str">
        <f>OPORTUNO!E47</f>
        <v>23D</v>
      </c>
      <c r="F47" s="115" t="str">
        <f>OPORTUNO!F47</f>
        <v>Occidente - Directa</v>
      </c>
      <c r="G47" s="116">
        <f>OPORTUNO!G47</f>
        <v>14</v>
      </c>
      <c r="H47" s="117" t="str">
        <f>OPORTUNO!H47</f>
        <v>O23 Directa - Oficinas</v>
      </c>
      <c r="I47" s="118">
        <f>OPORTUNO!I47</f>
        <v>230887267</v>
      </c>
      <c r="J47" s="119">
        <f>OPORTUNO!J47</f>
        <v>30</v>
      </c>
      <c r="K47" s="119">
        <f>OPORTUNO!K47</f>
        <v>2533842</v>
      </c>
      <c r="L47" s="119">
        <f>OPORTUNO!L47</f>
        <v>66</v>
      </c>
      <c r="M47" s="119">
        <f>OPORTUNO!M47</f>
        <v>15762628</v>
      </c>
      <c r="N47" s="119">
        <f>OPORTUNO!N47</f>
        <v>9</v>
      </c>
      <c r="O47" s="119">
        <f>OPORTUNO!O47</f>
        <v>4215896</v>
      </c>
      <c r="P47" s="119">
        <f>OPORTUNO!P47</f>
        <v>58</v>
      </c>
      <c r="Q47" s="119">
        <f>OPORTUNO!Q47</f>
        <v>7149216</v>
      </c>
      <c r="R47" s="119">
        <f>OPORTUNO!R47</f>
        <v>26</v>
      </c>
      <c r="S47" s="119">
        <f>OPORTUNO!S47</f>
        <v>1416757</v>
      </c>
      <c r="T47" s="251">
        <f>OPORTUNO!T47</f>
        <v>189</v>
      </c>
      <c r="U47" s="251">
        <f>OPORTUNO!U47</f>
        <v>31078339</v>
      </c>
      <c r="V47" s="251">
        <f>OPORTUNO!V47</f>
        <v>189</v>
      </c>
      <c r="W47" s="251">
        <f>OPORTUNO!W47</f>
        <v>31078339</v>
      </c>
      <c r="X47" s="251">
        <f>OPORTUNO!X47</f>
        <v>0</v>
      </c>
      <c r="Y47" s="252">
        <f>OPORTUNO!Y47</f>
        <v>0</v>
      </c>
      <c r="Z47" s="1"/>
      <c r="AA47" s="69"/>
    </row>
    <row r="48" spans="1:27" s="45" customFormat="1" ht="12" customHeight="1" thickBot="1" x14ac:dyDescent="0.25">
      <c r="A48" s="3"/>
      <c r="B48" s="129" t="s">
        <v>0</v>
      </c>
      <c r="C48" s="130">
        <f>OPORTUNO!C48</f>
        <v>2026101</v>
      </c>
      <c r="D48" s="131"/>
      <c r="E48" s="121"/>
      <c r="F48" s="122" t="str">
        <f>OPORTUNO!F48</f>
        <v>TOTAL</v>
      </c>
      <c r="G48" s="122">
        <f>OPORTUNO!G48</f>
        <v>0</v>
      </c>
      <c r="H48" s="122">
        <f>OPORTUNO!H48</f>
        <v>0</v>
      </c>
      <c r="I48" s="122">
        <f>OPORTUNO!I48</f>
        <v>0</v>
      </c>
      <c r="J48" s="122">
        <f>OPORTUNO!J48</f>
        <v>133</v>
      </c>
      <c r="K48" s="122">
        <f>OPORTUNO!K48</f>
        <v>36254202</v>
      </c>
      <c r="L48" s="122">
        <f>OPORTUNO!L48</f>
        <v>354</v>
      </c>
      <c r="M48" s="122">
        <f>OPORTUNO!M48</f>
        <v>53006178</v>
      </c>
      <c r="N48" s="122">
        <f>OPORTUNO!N48</f>
        <v>149</v>
      </c>
      <c r="O48" s="122">
        <f>OPORTUNO!O48</f>
        <v>46088476</v>
      </c>
      <c r="P48" s="122">
        <f>OPORTUNO!P48</f>
        <v>218</v>
      </c>
      <c r="Q48" s="122">
        <f>OPORTUNO!Q48</f>
        <v>31415346</v>
      </c>
      <c r="R48" s="122">
        <f>OPORTUNO!R48</f>
        <v>87</v>
      </c>
      <c r="S48" s="122">
        <f>OPORTUNO!S48</f>
        <v>27822827</v>
      </c>
      <c r="T48" s="122">
        <f>OPORTUNO!T48</f>
        <v>941</v>
      </c>
      <c r="U48" s="122">
        <f>OPORTUNO!U48</f>
        <v>194587029</v>
      </c>
      <c r="V48" s="122">
        <f>OPORTUNO!V48</f>
        <v>941</v>
      </c>
      <c r="W48" s="122">
        <f>OPORTUNO!W48</f>
        <v>194587029</v>
      </c>
      <c r="X48" s="122">
        <f>OPORTUNO!X48</f>
        <v>0</v>
      </c>
      <c r="Y48" s="253">
        <f>OPORTUNO!Y48</f>
        <v>0</v>
      </c>
      <c r="Z48" s="3"/>
      <c r="AA48" s="69"/>
    </row>
    <row r="49" spans="1:27" ht="12" customHeight="1" x14ac:dyDescent="0.2">
      <c r="A49" s="1"/>
      <c r="B49" s="240">
        <f>OPORTUNO!B49</f>
        <v>46308</v>
      </c>
      <c r="C49" s="123">
        <f>OPORTUNO!C49</f>
        <v>2026101</v>
      </c>
      <c r="D49" s="123">
        <f>OPORTUNO!D49</f>
        <v>10</v>
      </c>
      <c r="E49" s="124" t="str">
        <f>OPORTUNO!E49</f>
        <v>23D</v>
      </c>
      <c r="F49" s="125" t="str">
        <f>OPORTUNO!F49</f>
        <v>Occidente - Directa</v>
      </c>
      <c r="G49" s="126">
        <f>OPORTUNO!G49</f>
        <v>12</v>
      </c>
      <c r="H49" s="127" t="str">
        <f>OPORTUNO!H49</f>
        <v>H23 Directa - CNB - Baloto - Éxito</v>
      </c>
      <c r="I49" s="128">
        <f>OPORTUNO!I49</f>
        <v>230887267</v>
      </c>
      <c r="J49" s="10">
        <f>OPORTUNO!J49</f>
        <v>1</v>
      </c>
      <c r="K49" s="10">
        <f>OPORTUNO!K49</f>
        <v>24310</v>
      </c>
      <c r="L49" s="10">
        <f>OPORTUNO!L49</f>
        <v>63</v>
      </c>
      <c r="M49" s="10">
        <f>OPORTUNO!M49</f>
        <v>5003190</v>
      </c>
      <c r="N49" s="10">
        <f>OPORTUNO!N49</f>
        <v>7</v>
      </c>
      <c r="O49" s="10">
        <f>OPORTUNO!O49</f>
        <v>367900</v>
      </c>
      <c r="P49" s="10">
        <f>OPORTUNO!P49</f>
        <v>30</v>
      </c>
      <c r="Q49" s="10">
        <f>OPORTUNO!Q49</f>
        <v>2253430</v>
      </c>
      <c r="R49" s="10">
        <f>OPORTUNO!R49</f>
        <v>8</v>
      </c>
      <c r="S49" s="10">
        <f>OPORTUNO!S49</f>
        <v>457970</v>
      </c>
      <c r="T49" s="247">
        <f>OPORTUNO!T49</f>
        <v>109</v>
      </c>
      <c r="U49" s="247">
        <f>OPORTUNO!U49</f>
        <v>8106800</v>
      </c>
      <c r="V49" s="247">
        <f>OPORTUNO!V49</f>
        <v>109</v>
      </c>
      <c r="W49" s="247">
        <f>OPORTUNO!W49</f>
        <v>8106800</v>
      </c>
      <c r="X49" s="247">
        <f>OPORTUNO!X49</f>
        <v>0</v>
      </c>
      <c r="Y49" s="248">
        <f>OPORTUNO!Y49</f>
        <v>0</v>
      </c>
      <c r="Z49" s="1"/>
      <c r="AA49" s="69"/>
    </row>
    <row r="50" spans="1:27" ht="12" customHeight="1" x14ac:dyDescent="0.2">
      <c r="A50" s="1"/>
      <c r="B50" s="241">
        <f>OPORTUNO!B50</f>
        <v>46308</v>
      </c>
      <c r="C50" s="107">
        <f>OPORTUNO!C50</f>
        <v>2026101</v>
      </c>
      <c r="D50" s="107">
        <f>OPORTUNO!D50</f>
        <v>10</v>
      </c>
      <c r="E50" s="108" t="str">
        <f>OPORTUNO!E50</f>
        <v>23D</v>
      </c>
      <c r="F50" s="109" t="str">
        <f>OPORTUNO!F50</f>
        <v>Occidente - Directa</v>
      </c>
      <c r="G50" s="110">
        <f>OPORTUNO!G50</f>
        <v>13</v>
      </c>
      <c r="H50" s="111" t="str">
        <f>OPORTUNO!H50</f>
        <v>T23 Directa - Transferencias</v>
      </c>
      <c r="I50" s="112">
        <f>OPORTUNO!I50</f>
        <v>230887267</v>
      </c>
      <c r="J50" s="9">
        <f>OPORTUNO!J50</f>
        <v>0</v>
      </c>
      <c r="K50" s="9">
        <f>OPORTUNO!K50</f>
        <v>0</v>
      </c>
      <c r="L50" s="9">
        <f>OPORTUNO!L50</f>
        <v>0</v>
      </c>
      <c r="M50" s="9">
        <f>OPORTUNO!M50</f>
        <v>0</v>
      </c>
      <c r="N50" s="9">
        <f>OPORTUNO!N50</f>
        <v>0</v>
      </c>
      <c r="O50" s="9">
        <f>OPORTUNO!O50</f>
        <v>0</v>
      </c>
      <c r="P50" s="9">
        <f>OPORTUNO!P50</f>
        <v>0</v>
      </c>
      <c r="Q50" s="9">
        <f>OPORTUNO!Q50</f>
        <v>0</v>
      </c>
      <c r="R50" s="9">
        <f>OPORTUNO!R50</f>
        <v>0</v>
      </c>
      <c r="S50" s="9">
        <f>OPORTUNO!S50</f>
        <v>0</v>
      </c>
      <c r="T50" s="249">
        <f>OPORTUNO!T50</f>
        <v>0</v>
      </c>
      <c r="U50" s="249">
        <f>OPORTUNO!U50</f>
        <v>0</v>
      </c>
      <c r="V50" s="249">
        <f>OPORTUNO!V50</f>
        <v>0</v>
      </c>
      <c r="W50" s="249">
        <f>OPORTUNO!W50</f>
        <v>0</v>
      </c>
      <c r="X50" s="249">
        <f>OPORTUNO!X50</f>
        <v>0</v>
      </c>
      <c r="Y50" s="250">
        <f>OPORTUNO!Y50</f>
        <v>0</v>
      </c>
      <c r="Z50" s="1"/>
      <c r="AA50" s="69"/>
    </row>
    <row r="51" spans="1:27" ht="12" customHeight="1" thickBot="1" x14ac:dyDescent="0.25">
      <c r="A51" s="1"/>
      <c r="B51" s="242">
        <f>OPORTUNO!B51</f>
        <v>46308</v>
      </c>
      <c r="C51" s="113">
        <f>OPORTUNO!C51</f>
        <v>2026101</v>
      </c>
      <c r="D51" s="113">
        <f>OPORTUNO!D51</f>
        <v>10</v>
      </c>
      <c r="E51" s="114" t="str">
        <f>OPORTUNO!E51</f>
        <v>23D</v>
      </c>
      <c r="F51" s="115" t="str">
        <f>OPORTUNO!F51</f>
        <v>Occidente - Directa</v>
      </c>
      <c r="G51" s="116">
        <f>OPORTUNO!G51</f>
        <v>14</v>
      </c>
      <c r="H51" s="117" t="str">
        <f>OPORTUNO!H51</f>
        <v>O23 Directa - Oficinas</v>
      </c>
      <c r="I51" s="118">
        <f>OPORTUNO!I51</f>
        <v>230887267</v>
      </c>
      <c r="J51" s="119">
        <f>OPORTUNO!J51</f>
        <v>0</v>
      </c>
      <c r="K51" s="119">
        <f>OPORTUNO!K51</f>
        <v>0</v>
      </c>
      <c r="L51" s="119">
        <f>OPORTUNO!L51</f>
        <v>0</v>
      </c>
      <c r="M51" s="119">
        <f>OPORTUNO!M51</f>
        <v>0</v>
      </c>
      <c r="N51" s="119">
        <f>OPORTUNO!N51</f>
        <v>0</v>
      </c>
      <c r="O51" s="119">
        <f>OPORTUNO!O51</f>
        <v>0</v>
      </c>
      <c r="P51" s="119">
        <f>OPORTUNO!P51</f>
        <v>0</v>
      </c>
      <c r="Q51" s="119">
        <f>OPORTUNO!Q51</f>
        <v>0</v>
      </c>
      <c r="R51" s="119">
        <f>OPORTUNO!R51</f>
        <v>0</v>
      </c>
      <c r="S51" s="119">
        <f>OPORTUNO!S51</f>
        <v>0</v>
      </c>
      <c r="T51" s="251">
        <f>OPORTUNO!T51</f>
        <v>0</v>
      </c>
      <c r="U51" s="251">
        <f>OPORTUNO!U51</f>
        <v>0</v>
      </c>
      <c r="V51" s="251">
        <f>OPORTUNO!V51</f>
        <v>0</v>
      </c>
      <c r="W51" s="251">
        <f>OPORTUNO!W51</f>
        <v>0</v>
      </c>
      <c r="X51" s="251">
        <f>OPORTUNO!X51</f>
        <v>0</v>
      </c>
      <c r="Y51" s="252">
        <f>OPORTUNO!Y51</f>
        <v>0</v>
      </c>
      <c r="Z51" s="1"/>
      <c r="AA51" s="69"/>
    </row>
    <row r="52" spans="1:27" s="45" customFormat="1" ht="12" customHeight="1" thickBot="1" x14ac:dyDescent="0.25">
      <c r="A52" s="3"/>
      <c r="B52" s="129" t="s">
        <v>0</v>
      </c>
      <c r="C52" s="130">
        <f>OPORTUNO!C52</f>
        <v>2026101</v>
      </c>
      <c r="D52" s="131"/>
      <c r="E52" s="121"/>
      <c r="F52" s="122" t="str">
        <f>OPORTUNO!F52</f>
        <v>TOTAL</v>
      </c>
      <c r="G52" s="122">
        <f>OPORTUNO!G52</f>
        <v>0</v>
      </c>
      <c r="H52" s="122">
        <f>OPORTUNO!H52</f>
        <v>0</v>
      </c>
      <c r="I52" s="122">
        <f>OPORTUNO!I52</f>
        <v>0</v>
      </c>
      <c r="J52" s="122">
        <f>OPORTUNO!J52</f>
        <v>1</v>
      </c>
      <c r="K52" s="122">
        <f>OPORTUNO!K52</f>
        <v>24310</v>
      </c>
      <c r="L52" s="122">
        <f>OPORTUNO!L52</f>
        <v>63</v>
      </c>
      <c r="M52" s="122">
        <f>OPORTUNO!M52</f>
        <v>5003190</v>
      </c>
      <c r="N52" s="122">
        <f>OPORTUNO!N52</f>
        <v>7</v>
      </c>
      <c r="O52" s="122">
        <f>OPORTUNO!O52</f>
        <v>367900</v>
      </c>
      <c r="P52" s="122">
        <f>OPORTUNO!P52</f>
        <v>30</v>
      </c>
      <c r="Q52" s="122">
        <f>OPORTUNO!Q52</f>
        <v>2253430</v>
      </c>
      <c r="R52" s="122">
        <f>OPORTUNO!R52</f>
        <v>8</v>
      </c>
      <c r="S52" s="122">
        <f>OPORTUNO!S52</f>
        <v>457970</v>
      </c>
      <c r="T52" s="122">
        <f>OPORTUNO!T52</f>
        <v>109</v>
      </c>
      <c r="U52" s="122">
        <f>OPORTUNO!U52</f>
        <v>8106800</v>
      </c>
      <c r="V52" s="122">
        <f>OPORTUNO!V52</f>
        <v>109</v>
      </c>
      <c r="W52" s="122">
        <f>OPORTUNO!W52</f>
        <v>8106800</v>
      </c>
      <c r="X52" s="122">
        <f>OPORTUNO!X52</f>
        <v>0</v>
      </c>
      <c r="Y52" s="253">
        <f>OPORTUNO!Y52</f>
        <v>0</v>
      </c>
      <c r="Z52" s="3"/>
      <c r="AA52" s="69"/>
    </row>
    <row r="53" spans="1:27" ht="12" customHeight="1" x14ac:dyDescent="0.2">
      <c r="A53" s="1"/>
      <c r="B53" s="240">
        <f>OPORTUNO!B53</f>
        <v>46308</v>
      </c>
      <c r="C53" s="123">
        <f>OPORTUNO!C53</f>
        <v>2026101</v>
      </c>
      <c r="D53" s="123">
        <f>OPORTUNO!D53</f>
        <v>11</v>
      </c>
      <c r="E53" s="124" t="str">
        <f>OPORTUNO!E53</f>
        <v>23D</v>
      </c>
      <c r="F53" s="125" t="str">
        <f>OPORTUNO!F53</f>
        <v>Occidente - Directa</v>
      </c>
      <c r="G53" s="126">
        <f>OPORTUNO!G53</f>
        <v>12</v>
      </c>
      <c r="H53" s="127" t="str">
        <f>OPORTUNO!H53</f>
        <v>H23 Directa - CNB - Baloto - Éxito</v>
      </c>
      <c r="I53" s="128">
        <f>OPORTUNO!I53</f>
        <v>230887267</v>
      </c>
      <c r="J53" s="10">
        <f>OPORTUNO!J53</f>
        <v>3</v>
      </c>
      <c r="K53" s="10">
        <f>OPORTUNO!K53</f>
        <v>164700</v>
      </c>
      <c r="L53" s="10">
        <f>OPORTUNO!L53</f>
        <v>12</v>
      </c>
      <c r="M53" s="10">
        <f>OPORTUNO!M53</f>
        <v>543680</v>
      </c>
      <c r="N53" s="10">
        <f>OPORTUNO!N53</f>
        <v>3</v>
      </c>
      <c r="O53" s="10">
        <f>OPORTUNO!O53</f>
        <v>115670</v>
      </c>
      <c r="P53" s="10">
        <f>OPORTUNO!P53</f>
        <v>2</v>
      </c>
      <c r="Q53" s="10">
        <f>OPORTUNO!Q53</f>
        <v>84250</v>
      </c>
      <c r="R53" s="10">
        <f>OPORTUNO!R53</f>
        <v>2</v>
      </c>
      <c r="S53" s="10">
        <f>OPORTUNO!S53</f>
        <v>79030</v>
      </c>
      <c r="T53" s="247">
        <f>OPORTUNO!T53</f>
        <v>22</v>
      </c>
      <c r="U53" s="247">
        <f>OPORTUNO!U53</f>
        <v>987330</v>
      </c>
      <c r="V53" s="247">
        <f>OPORTUNO!V53</f>
        <v>22</v>
      </c>
      <c r="W53" s="247">
        <f>OPORTUNO!W53</f>
        <v>987330</v>
      </c>
      <c r="X53" s="247">
        <f>OPORTUNO!X53</f>
        <v>0</v>
      </c>
      <c r="Y53" s="248">
        <f>OPORTUNO!Y53</f>
        <v>0</v>
      </c>
      <c r="Z53" s="1"/>
      <c r="AA53" s="69"/>
    </row>
    <row r="54" spans="1:27" ht="12" customHeight="1" x14ac:dyDescent="0.2">
      <c r="A54" s="1"/>
      <c r="B54" s="241">
        <f>OPORTUNO!B54</f>
        <v>46308</v>
      </c>
      <c r="C54" s="107">
        <f>OPORTUNO!C54</f>
        <v>2026101</v>
      </c>
      <c r="D54" s="107">
        <f>OPORTUNO!D54</f>
        <v>11</v>
      </c>
      <c r="E54" s="108" t="str">
        <f>OPORTUNO!E54</f>
        <v>23D</v>
      </c>
      <c r="F54" s="109" t="str">
        <f>OPORTUNO!F54</f>
        <v>Occidente - Directa</v>
      </c>
      <c r="G54" s="110">
        <f>OPORTUNO!G54</f>
        <v>13</v>
      </c>
      <c r="H54" s="111" t="str">
        <f>OPORTUNO!H54</f>
        <v>T23 Directa - Transferencias</v>
      </c>
      <c r="I54" s="112">
        <f>OPORTUNO!I54</f>
        <v>230887267</v>
      </c>
      <c r="J54" s="9">
        <f>OPORTUNO!J54</f>
        <v>0</v>
      </c>
      <c r="K54" s="9">
        <f>OPORTUNO!K54</f>
        <v>0</v>
      </c>
      <c r="L54" s="9">
        <f>OPORTUNO!L54</f>
        <v>0</v>
      </c>
      <c r="M54" s="9">
        <f>OPORTUNO!M54</f>
        <v>0</v>
      </c>
      <c r="N54" s="9">
        <f>OPORTUNO!N54</f>
        <v>0</v>
      </c>
      <c r="O54" s="9">
        <f>OPORTUNO!O54</f>
        <v>0</v>
      </c>
      <c r="P54" s="9">
        <f>OPORTUNO!P54</f>
        <v>0</v>
      </c>
      <c r="Q54" s="9">
        <f>OPORTUNO!Q54</f>
        <v>0</v>
      </c>
      <c r="R54" s="9">
        <f>OPORTUNO!R54</f>
        <v>0</v>
      </c>
      <c r="S54" s="9">
        <f>OPORTUNO!S54</f>
        <v>0</v>
      </c>
      <c r="T54" s="249">
        <f>OPORTUNO!T54</f>
        <v>0</v>
      </c>
      <c r="U54" s="249">
        <f>OPORTUNO!U54</f>
        <v>0</v>
      </c>
      <c r="V54" s="249">
        <f>OPORTUNO!V54</f>
        <v>0</v>
      </c>
      <c r="W54" s="249">
        <f>OPORTUNO!W54</f>
        <v>0</v>
      </c>
      <c r="X54" s="249">
        <f>OPORTUNO!X54</f>
        <v>0</v>
      </c>
      <c r="Y54" s="250">
        <f>OPORTUNO!Y54</f>
        <v>0</v>
      </c>
      <c r="Z54" s="1"/>
      <c r="AA54" s="69"/>
    </row>
    <row r="55" spans="1:27" ht="12" customHeight="1" thickBot="1" x14ac:dyDescent="0.25">
      <c r="A55" s="1"/>
      <c r="B55" s="242">
        <f>OPORTUNO!B55</f>
        <v>46308</v>
      </c>
      <c r="C55" s="113">
        <f>OPORTUNO!C55</f>
        <v>2026101</v>
      </c>
      <c r="D55" s="113">
        <f>OPORTUNO!D55</f>
        <v>11</v>
      </c>
      <c r="E55" s="114" t="str">
        <f>OPORTUNO!E55</f>
        <v>23D</v>
      </c>
      <c r="F55" s="115" t="str">
        <f>OPORTUNO!F55</f>
        <v>Occidente - Directa</v>
      </c>
      <c r="G55" s="116">
        <f>OPORTUNO!G55</f>
        <v>14</v>
      </c>
      <c r="H55" s="117" t="str">
        <f>OPORTUNO!H55</f>
        <v>O23 Directa - Oficinas</v>
      </c>
      <c r="I55" s="118">
        <f>OPORTUNO!I55</f>
        <v>230887267</v>
      </c>
      <c r="J55" s="119">
        <f>OPORTUNO!J55</f>
        <v>0</v>
      </c>
      <c r="K55" s="119">
        <f>OPORTUNO!K55</f>
        <v>0</v>
      </c>
      <c r="L55" s="119">
        <f>OPORTUNO!L55</f>
        <v>0</v>
      </c>
      <c r="M55" s="119">
        <f>OPORTUNO!M55</f>
        <v>0</v>
      </c>
      <c r="N55" s="119">
        <f>OPORTUNO!N55</f>
        <v>0</v>
      </c>
      <c r="O55" s="119">
        <f>OPORTUNO!O55</f>
        <v>0</v>
      </c>
      <c r="P55" s="119">
        <f>OPORTUNO!P55</f>
        <v>0</v>
      </c>
      <c r="Q55" s="119">
        <f>OPORTUNO!Q55</f>
        <v>0</v>
      </c>
      <c r="R55" s="119">
        <f>OPORTUNO!R55</f>
        <v>0</v>
      </c>
      <c r="S55" s="119">
        <f>OPORTUNO!S55</f>
        <v>0</v>
      </c>
      <c r="T55" s="251">
        <f>OPORTUNO!T55</f>
        <v>0</v>
      </c>
      <c r="U55" s="251">
        <f>OPORTUNO!U55</f>
        <v>0</v>
      </c>
      <c r="V55" s="251">
        <f>OPORTUNO!V55</f>
        <v>0</v>
      </c>
      <c r="W55" s="251">
        <f>OPORTUNO!W55</f>
        <v>0</v>
      </c>
      <c r="X55" s="251">
        <f>OPORTUNO!X55</f>
        <v>0</v>
      </c>
      <c r="Y55" s="252">
        <f>OPORTUNO!Y55</f>
        <v>0</v>
      </c>
      <c r="Z55" s="1"/>
      <c r="AA55" s="69"/>
    </row>
    <row r="56" spans="1:27" s="45" customFormat="1" ht="12" customHeight="1" thickBot="1" x14ac:dyDescent="0.25">
      <c r="A56" s="3"/>
      <c r="B56" s="129" t="s">
        <v>0</v>
      </c>
      <c r="C56" s="130">
        <f>OPORTUNO!C56</f>
        <v>2026101</v>
      </c>
      <c r="D56" s="131"/>
      <c r="E56" s="121"/>
      <c r="F56" s="122" t="str">
        <f>OPORTUNO!F56</f>
        <v>TOTAL</v>
      </c>
      <c r="G56" s="122">
        <f>OPORTUNO!G56</f>
        <v>0</v>
      </c>
      <c r="H56" s="122">
        <f>OPORTUNO!H56</f>
        <v>0</v>
      </c>
      <c r="I56" s="122">
        <f>OPORTUNO!I56</f>
        <v>0</v>
      </c>
      <c r="J56" s="122">
        <f>OPORTUNO!J56</f>
        <v>3</v>
      </c>
      <c r="K56" s="122">
        <f>OPORTUNO!K56</f>
        <v>164700</v>
      </c>
      <c r="L56" s="122">
        <f>OPORTUNO!L56</f>
        <v>12</v>
      </c>
      <c r="M56" s="122">
        <f>OPORTUNO!M56</f>
        <v>543680</v>
      </c>
      <c r="N56" s="122">
        <f>OPORTUNO!N56</f>
        <v>3</v>
      </c>
      <c r="O56" s="122">
        <f>OPORTUNO!O56</f>
        <v>115670</v>
      </c>
      <c r="P56" s="122">
        <f>OPORTUNO!P56</f>
        <v>2</v>
      </c>
      <c r="Q56" s="122">
        <f>OPORTUNO!Q56</f>
        <v>84250</v>
      </c>
      <c r="R56" s="122">
        <f>OPORTUNO!R56</f>
        <v>2</v>
      </c>
      <c r="S56" s="122">
        <f>OPORTUNO!S56</f>
        <v>79030</v>
      </c>
      <c r="T56" s="122">
        <f>OPORTUNO!T56</f>
        <v>22</v>
      </c>
      <c r="U56" s="122">
        <f>OPORTUNO!U56</f>
        <v>987330</v>
      </c>
      <c r="V56" s="122">
        <f>OPORTUNO!V56</f>
        <v>22</v>
      </c>
      <c r="W56" s="122">
        <f>OPORTUNO!W56</f>
        <v>987330</v>
      </c>
      <c r="X56" s="122">
        <f>OPORTUNO!X56</f>
        <v>0</v>
      </c>
      <c r="Y56" s="253">
        <f>OPORTUNO!Y56</f>
        <v>0</v>
      </c>
      <c r="Z56" s="3"/>
      <c r="AA56" s="69"/>
    </row>
    <row r="57" spans="1:27" ht="12" customHeight="1" thickBot="1" x14ac:dyDescent="0.25">
      <c r="A57" s="1"/>
      <c r="B57" s="240">
        <f>OPORTUNO!B57</f>
        <v>46308</v>
      </c>
      <c r="C57" s="123">
        <f>OPORTUNO!C57</f>
        <v>2026101</v>
      </c>
      <c r="D57" s="123">
        <f>OPORTUNO!D57</f>
        <v>12</v>
      </c>
      <c r="E57" s="124" t="str">
        <f>OPORTUNO!E57</f>
        <v>23D</v>
      </c>
      <c r="F57" s="125" t="str">
        <f>OPORTUNO!F57</f>
        <v>Occidente - Directa</v>
      </c>
      <c r="G57" s="126">
        <f>OPORTUNO!G57</f>
        <v>12</v>
      </c>
      <c r="H57" s="127" t="str">
        <f>OPORTUNO!H57</f>
        <v>H23 Directa - CNB - Baloto - Éxito</v>
      </c>
      <c r="I57" s="128">
        <f>OPORTUNO!I57</f>
        <v>230887267</v>
      </c>
      <c r="J57" s="10">
        <f>OPORTUNO!J57</f>
        <v>0</v>
      </c>
      <c r="K57" s="10">
        <f>OPORTUNO!K57</f>
        <v>0</v>
      </c>
      <c r="L57" s="10">
        <f>OPORTUNO!L57</f>
        <v>26</v>
      </c>
      <c r="M57" s="10">
        <f>OPORTUNO!M57</f>
        <v>1185600</v>
      </c>
      <c r="N57" s="10">
        <f>OPORTUNO!N57</f>
        <v>3</v>
      </c>
      <c r="O57" s="10">
        <f>OPORTUNO!O57</f>
        <v>115840</v>
      </c>
      <c r="P57" s="10">
        <f>OPORTUNO!P57</f>
        <v>4</v>
      </c>
      <c r="Q57" s="10">
        <f>OPORTUNO!Q57</f>
        <v>1180020</v>
      </c>
      <c r="R57" s="10">
        <f>OPORTUNO!R57</f>
        <v>1</v>
      </c>
      <c r="S57" s="10">
        <f>OPORTUNO!S57</f>
        <v>44380</v>
      </c>
      <c r="T57" s="247">
        <f>OPORTUNO!T57</f>
        <v>34</v>
      </c>
      <c r="U57" s="247">
        <f>OPORTUNO!U57</f>
        <v>2525840</v>
      </c>
      <c r="V57" s="247">
        <f>OPORTUNO!V57</f>
        <v>34</v>
      </c>
      <c r="W57" s="247">
        <f>OPORTUNO!W57</f>
        <v>2525840</v>
      </c>
      <c r="X57" s="247">
        <f>OPORTUNO!X57</f>
        <v>0</v>
      </c>
      <c r="Y57" s="248">
        <f>OPORTUNO!Y57</f>
        <v>0</v>
      </c>
      <c r="Z57" s="1"/>
      <c r="AA57" s="69"/>
    </row>
    <row r="58" spans="1:27" ht="12" customHeight="1" thickBot="1" x14ac:dyDescent="0.25">
      <c r="A58" s="1"/>
      <c r="B58" s="240">
        <f>OPORTUNO!B58</f>
        <v>46308</v>
      </c>
      <c r="C58" s="107">
        <f>OPORTUNO!C58</f>
        <v>2026101</v>
      </c>
      <c r="D58" s="107">
        <f>OPORTUNO!D58</f>
        <v>12</v>
      </c>
      <c r="E58" s="108" t="str">
        <f>OPORTUNO!E58</f>
        <v>23D</v>
      </c>
      <c r="F58" s="109" t="str">
        <f>OPORTUNO!F58</f>
        <v>Occidente - Directa</v>
      </c>
      <c r="G58" s="110">
        <f>OPORTUNO!G58</f>
        <v>13</v>
      </c>
      <c r="H58" s="111" t="str">
        <f>OPORTUNO!H58</f>
        <v>T23 Directa - Transferencias</v>
      </c>
      <c r="I58" s="112">
        <f>OPORTUNO!I58</f>
        <v>230887267</v>
      </c>
      <c r="J58" s="9">
        <f>OPORTUNO!J58</f>
        <v>0</v>
      </c>
      <c r="K58" s="9">
        <f>OPORTUNO!K58</f>
        <v>0</v>
      </c>
      <c r="L58" s="9">
        <f>OPORTUNO!L58</f>
        <v>0</v>
      </c>
      <c r="M58" s="9">
        <f>OPORTUNO!M58</f>
        <v>0</v>
      </c>
      <c r="N58" s="9">
        <f>OPORTUNO!N58</f>
        <v>0</v>
      </c>
      <c r="O58" s="9">
        <f>OPORTUNO!O58</f>
        <v>0</v>
      </c>
      <c r="P58" s="9">
        <f>OPORTUNO!P58</f>
        <v>0</v>
      </c>
      <c r="Q58" s="9">
        <f>OPORTUNO!Q58</f>
        <v>0</v>
      </c>
      <c r="R58" s="9">
        <f>OPORTUNO!R58</f>
        <v>0</v>
      </c>
      <c r="S58" s="9">
        <f>OPORTUNO!S58</f>
        <v>0</v>
      </c>
      <c r="T58" s="249">
        <f>OPORTUNO!T58</f>
        <v>0</v>
      </c>
      <c r="U58" s="249">
        <f>OPORTUNO!U58</f>
        <v>0</v>
      </c>
      <c r="V58" s="249">
        <f>OPORTUNO!V58</f>
        <v>0</v>
      </c>
      <c r="W58" s="249">
        <f>OPORTUNO!W58</f>
        <v>0</v>
      </c>
      <c r="X58" s="249">
        <f>OPORTUNO!X58</f>
        <v>0</v>
      </c>
      <c r="Y58" s="250">
        <f>OPORTUNO!Y58</f>
        <v>0</v>
      </c>
      <c r="Z58" s="1"/>
      <c r="AA58" s="69"/>
    </row>
    <row r="59" spans="1:27" ht="12" customHeight="1" thickBot="1" x14ac:dyDescent="0.25">
      <c r="A59" s="1"/>
      <c r="B59" s="240">
        <f>OPORTUNO!B59</f>
        <v>46308</v>
      </c>
      <c r="C59" s="113">
        <f>OPORTUNO!C59</f>
        <v>2026101</v>
      </c>
      <c r="D59" s="113">
        <f>OPORTUNO!D59</f>
        <v>12</v>
      </c>
      <c r="E59" s="114" t="str">
        <f>OPORTUNO!E59</f>
        <v>23D</v>
      </c>
      <c r="F59" s="115" t="str">
        <f>OPORTUNO!F59</f>
        <v>Occidente - Directa</v>
      </c>
      <c r="G59" s="116">
        <f>OPORTUNO!G59</f>
        <v>14</v>
      </c>
      <c r="H59" s="117" t="str">
        <f>OPORTUNO!H59</f>
        <v>O23 Directa - Oficinas</v>
      </c>
      <c r="I59" s="118">
        <f>OPORTUNO!I59</f>
        <v>230887267</v>
      </c>
      <c r="J59" s="119">
        <f>OPORTUNO!J59</f>
        <v>0</v>
      </c>
      <c r="K59" s="119">
        <f>OPORTUNO!K59</f>
        <v>0</v>
      </c>
      <c r="L59" s="119">
        <f>OPORTUNO!L59</f>
        <v>0</v>
      </c>
      <c r="M59" s="119">
        <f>OPORTUNO!M59</f>
        <v>0</v>
      </c>
      <c r="N59" s="119">
        <f>OPORTUNO!N59</f>
        <v>0</v>
      </c>
      <c r="O59" s="119">
        <f>OPORTUNO!O59</f>
        <v>0</v>
      </c>
      <c r="P59" s="119">
        <f>OPORTUNO!P59</f>
        <v>0</v>
      </c>
      <c r="Q59" s="119">
        <f>OPORTUNO!Q59</f>
        <v>0</v>
      </c>
      <c r="R59" s="119">
        <f>OPORTUNO!R59</f>
        <v>0</v>
      </c>
      <c r="S59" s="119">
        <f>OPORTUNO!S59</f>
        <v>0</v>
      </c>
      <c r="T59" s="251">
        <f>OPORTUNO!T59</f>
        <v>0</v>
      </c>
      <c r="U59" s="251">
        <f>OPORTUNO!U59</f>
        <v>0</v>
      </c>
      <c r="V59" s="251">
        <f>OPORTUNO!V59</f>
        <v>0</v>
      </c>
      <c r="W59" s="251">
        <f>OPORTUNO!W59</f>
        <v>0</v>
      </c>
      <c r="X59" s="249">
        <f>OPORTUNO!X59</f>
        <v>0</v>
      </c>
      <c r="Y59" s="252">
        <f>OPORTUNO!Y59</f>
        <v>0</v>
      </c>
      <c r="Z59" s="1"/>
      <c r="AA59" s="69"/>
    </row>
    <row r="60" spans="1:27" s="45" customFormat="1" ht="12" customHeight="1" thickBot="1" x14ac:dyDescent="0.25">
      <c r="A60" s="3"/>
      <c r="B60" s="129" t="s">
        <v>0</v>
      </c>
      <c r="C60" s="130">
        <f>OPORTUNO!C60</f>
        <v>2026101</v>
      </c>
      <c r="D60" s="131"/>
      <c r="E60" s="121"/>
      <c r="F60" s="122" t="str">
        <f>OPORTUNO!F60</f>
        <v>TOTAL</v>
      </c>
      <c r="G60" s="122">
        <f>OPORTUNO!G60</f>
        <v>0</v>
      </c>
      <c r="H60" s="122">
        <f>OPORTUNO!H60</f>
        <v>0</v>
      </c>
      <c r="I60" s="122">
        <f>OPORTUNO!I60</f>
        <v>0</v>
      </c>
      <c r="J60" s="122">
        <f>OPORTUNO!J60</f>
        <v>0</v>
      </c>
      <c r="K60" s="122">
        <f>OPORTUNO!K60</f>
        <v>0</v>
      </c>
      <c r="L60" s="122">
        <f>OPORTUNO!L60</f>
        <v>26</v>
      </c>
      <c r="M60" s="122">
        <f>OPORTUNO!M60</f>
        <v>1185600</v>
      </c>
      <c r="N60" s="122">
        <f>OPORTUNO!N60</f>
        <v>3</v>
      </c>
      <c r="O60" s="122">
        <f>OPORTUNO!O60</f>
        <v>115840</v>
      </c>
      <c r="P60" s="122">
        <f>OPORTUNO!P60</f>
        <v>4</v>
      </c>
      <c r="Q60" s="122">
        <f>OPORTUNO!Q60</f>
        <v>1180020</v>
      </c>
      <c r="R60" s="122">
        <f>OPORTUNO!R60</f>
        <v>1</v>
      </c>
      <c r="S60" s="122">
        <f>OPORTUNO!S60</f>
        <v>44380</v>
      </c>
      <c r="T60" s="122">
        <f>OPORTUNO!T60</f>
        <v>34</v>
      </c>
      <c r="U60" s="122">
        <f>OPORTUNO!U60</f>
        <v>2525840</v>
      </c>
      <c r="V60" s="122">
        <f>OPORTUNO!V60</f>
        <v>34</v>
      </c>
      <c r="W60" s="122">
        <f>OPORTUNO!W60</f>
        <v>2525840</v>
      </c>
      <c r="X60" s="122">
        <f>OPORTUNO!X60</f>
        <v>0</v>
      </c>
      <c r="Y60" s="253">
        <f>OPORTUNO!Y60</f>
        <v>0</v>
      </c>
      <c r="Z60" s="3"/>
      <c r="AA60" s="69"/>
    </row>
    <row r="61" spans="1:27" ht="12" customHeight="1" x14ac:dyDescent="0.2">
      <c r="A61" s="1"/>
      <c r="B61" s="240">
        <f>OPORTUNO!B61</f>
        <v>46309</v>
      </c>
      <c r="C61" s="123">
        <f>OPORTUNO!C61</f>
        <v>2026101</v>
      </c>
      <c r="D61" s="123">
        <f>OPORTUNO!D61</f>
        <v>13</v>
      </c>
      <c r="E61" s="124" t="str">
        <f>OPORTUNO!E61</f>
        <v>23D</v>
      </c>
      <c r="F61" s="125" t="str">
        <f>OPORTUNO!F61</f>
        <v>Occidente - Directa</v>
      </c>
      <c r="G61" s="126">
        <f>OPORTUNO!G61</f>
        <v>12</v>
      </c>
      <c r="H61" s="127" t="str">
        <f>OPORTUNO!H61</f>
        <v>H23 Directa - CNB - Baloto - Éxito</v>
      </c>
      <c r="I61" s="128">
        <f>OPORTUNO!I61</f>
        <v>230887267</v>
      </c>
      <c r="J61" s="10">
        <f>OPORTUNO!J61</f>
        <v>41</v>
      </c>
      <c r="K61" s="10">
        <f>OPORTUNO!K61</f>
        <v>3174650</v>
      </c>
      <c r="L61" s="10">
        <f>OPORTUNO!L61</f>
        <v>275</v>
      </c>
      <c r="M61" s="10">
        <f>OPORTUNO!M61</f>
        <v>19192410</v>
      </c>
      <c r="N61" s="10">
        <f>OPORTUNO!N61</f>
        <v>70</v>
      </c>
      <c r="O61" s="10">
        <f>OPORTUNO!O61</f>
        <v>3441550</v>
      </c>
      <c r="P61" s="10">
        <f>OPORTUNO!P61</f>
        <v>111</v>
      </c>
      <c r="Q61" s="10">
        <f>OPORTUNO!Q61</f>
        <v>10552310</v>
      </c>
      <c r="R61" s="10">
        <f>OPORTUNO!R61</f>
        <v>52</v>
      </c>
      <c r="S61" s="10">
        <f>OPORTUNO!S61</f>
        <v>2853750</v>
      </c>
      <c r="T61" s="247">
        <f>OPORTUNO!T61</f>
        <v>549</v>
      </c>
      <c r="U61" s="247">
        <f>OPORTUNO!U61</f>
        <v>39214670</v>
      </c>
      <c r="V61" s="247">
        <f>OPORTUNO!V61</f>
        <v>549</v>
      </c>
      <c r="W61" s="247">
        <f>OPORTUNO!W61</f>
        <v>39214670</v>
      </c>
      <c r="X61" s="249">
        <f>OPORTUNO!X61</f>
        <v>0</v>
      </c>
      <c r="Y61" s="250">
        <f>OPORTUNO!Y61</f>
        <v>0</v>
      </c>
      <c r="Z61" s="1"/>
      <c r="AA61" s="69"/>
    </row>
    <row r="62" spans="1:27" ht="12" customHeight="1" x14ac:dyDescent="0.2">
      <c r="A62" s="1"/>
      <c r="B62" s="241">
        <f>OPORTUNO!B62</f>
        <v>46309</v>
      </c>
      <c r="C62" s="107">
        <f>OPORTUNO!C62</f>
        <v>2026101</v>
      </c>
      <c r="D62" s="107">
        <f>OPORTUNO!D62</f>
        <v>13</v>
      </c>
      <c r="E62" s="108" t="str">
        <f>OPORTUNO!E62</f>
        <v>23D</v>
      </c>
      <c r="F62" s="109" t="str">
        <f>OPORTUNO!F62</f>
        <v>Occidente - Directa</v>
      </c>
      <c r="G62" s="110">
        <f>OPORTUNO!G62</f>
        <v>13</v>
      </c>
      <c r="H62" s="111" t="str">
        <f>OPORTUNO!H62</f>
        <v>T23 Directa - Transferencias</v>
      </c>
      <c r="I62" s="112">
        <f>OPORTUNO!I62</f>
        <v>230887267</v>
      </c>
      <c r="J62" s="9">
        <f>OPORTUNO!J62</f>
        <v>206</v>
      </c>
      <c r="K62" s="9">
        <f>OPORTUNO!K62</f>
        <v>59713070</v>
      </c>
      <c r="L62" s="9">
        <f>OPORTUNO!L62</f>
        <v>366</v>
      </c>
      <c r="M62" s="9">
        <f>OPORTUNO!M62</f>
        <v>130982120</v>
      </c>
      <c r="N62" s="9">
        <f>OPORTUNO!N62</f>
        <v>232</v>
      </c>
      <c r="O62" s="9">
        <f>OPORTUNO!O62</f>
        <v>88058570</v>
      </c>
      <c r="P62" s="9">
        <f>OPORTUNO!P62</f>
        <v>246</v>
      </c>
      <c r="Q62" s="9">
        <f>OPORTUNO!Q62</f>
        <v>104629240</v>
      </c>
      <c r="R62" s="9">
        <f>OPORTUNO!R62</f>
        <v>134</v>
      </c>
      <c r="S62" s="9">
        <f>OPORTUNO!S62</f>
        <v>22208540</v>
      </c>
      <c r="T62" s="249">
        <f>OPORTUNO!T62</f>
        <v>1184</v>
      </c>
      <c r="U62" s="249">
        <f>OPORTUNO!U62</f>
        <v>405591540</v>
      </c>
      <c r="V62" s="249">
        <f>OPORTUNO!V62</f>
        <v>1184</v>
      </c>
      <c r="W62" s="249">
        <f>OPORTUNO!W62</f>
        <v>405591540</v>
      </c>
      <c r="X62" s="249">
        <f>OPORTUNO!X62</f>
        <v>0</v>
      </c>
      <c r="Y62" s="250">
        <f>OPORTUNO!Y62</f>
        <v>0</v>
      </c>
      <c r="Z62" s="1"/>
      <c r="AA62" s="69"/>
    </row>
    <row r="63" spans="1:27" ht="12" customHeight="1" thickBot="1" x14ac:dyDescent="0.25">
      <c r="A63" s="1"/>
      <c r="B63" s="242">
        <f>OPORTUNO!B63</f>
        <v>46309</v>
      </c>
      <c r="C63" s="113">
        <f>OPORTUNO!C63</f>
        <v>2026101</v>
      </c>
      <c r="D63" s="113">
        <f>OPORTUNO!D63</f>
        <v>13</v>
      </c>
      <c r="E63" s="114" t="str">
        <f>OPORTUNO!E63</f>
        <v>23D</v>
      </c>
      <c r="F63" s="115" t="str">
        <f>OPORTUNO!F63</f>
        <v>Occidente - Directa</v>
      </c>
      <c r="G63" s="116">
        <f>OPORTUNO!G63</f>
        <v>14</v>
      </c>
      <c r="H63" s="117" t="str">
        <f>OPORTUNO!H63</f>
        <v>O23 Directa - Oficinas</v>
      </c>
      <c r="I63" s="118">
        <f>OPORTUNO!I63</f>
        <v>230887267</v>
      </c>
      <c r="J63" s="119">
        <f>OPORTUNO!J63</f>
        <v>49</v>
      </c>
      <c r="K63" s="119">
        <f>OPORTUNO!K63</f>
        <v>7371107</v>
      </c>
      <c r="L63" s="119">
        <f>OPORTUNO!L63</f>
        <v>82</v>
      </c>
      <c r="M63" s="119">
        <f>OPORTUNO!M63</f>
        <v>16278263</v>
      </c>
      <c r="N63" s="119">
        <f>OPORTUNO!N63</f>
        <v>15</v>
      </c>
      <c r="O63" s="119">
        <f>OPORTUNO!O63</f>
        <v>15006440</v>
      </c>
      <c r="P63" s="119">
        <f>OPORTUNO!P63</f>
        <v>85</v>
      </c>
      <c r="Q63" s="119">
        <f>OPORTUNO!Q63</f>
        <v>30560298</v>
      </c>
      <c r="R63" s="119">
        <f>OPORTUNO!R63</f>
        <v>36</v>
      </c>
      <c r="S63" s="119">
        <f>OPORTUNO!S63</f>
        <v>1729087</v>
      </c>
      <c r="T63" s="251">
        <f>OPORTUNO!T63</f>
        <v>267</v>
      </c>
      <c r="U63" s="251">
        <f>OPORTUNO!U63</f>
        <v>70945195</v>
      </c>
      <c r="V63" s="251">
        <f>OPORTUNO!V63</f>
        <v>267</v>
      </c>
      <c r="W63" s="251">
        <f>OPORTUNO!W63</f>
        <v>70945195</v>
      </c>
      <c r="X63" s="249">
        <f>OPORTUNO!X63</f>
        <v>0</v>
      </c>
      <c r="Y63" s="250">
        <f>OPORTUNO!Y63</f>
        <v>0</v>
      </c>
      <c r="Z63" s="1"/>
      <c r="AA63" s="69"/>
    </row>
    <row r="64" spans="1:27" s="45" customFormat="1" ht="12" customHeight="1" thickBot="1" x14ac:dyDescent="0.25">
      <c r="A64" s="3"/>
      <c r="B64" s="129" t="s">
        <v>0</v>
      </c>
      <c r="C64" s="130">
        <f>OPORTUNO!C64</f>
        <v>2026101</v>
      </c>
      <c r="D64" s="131"/>
      <c r="E64" s="121"/>
      <c r="F64" s="122" t="str">
        <f>OPORTUNO!F64</f>
        <v>TOTAL</v>
      </c>
      <c r="G64" s="122">
        <f>OPORTUNO!G64</f>
        <v>0</v>
      </c>
      <c r="H64" s="122">
        <f>OPORTUNO!H64</f>
        <v>0</v>
      </c>
      <c r="I64" s="122">
        <f>OPORTUNO!I64</f>
        <v>0</v>
      </c>
      <c r="J64" s="122">
        <f>OPORTUNO!J64</f>
        <v>296</v>
      </c>
      <c r="K64" s="122">
        <f>OPORTUNO!K64</f>
        <v>70258827</v>
      </c>
      <c r="L64" s="122">
        <f>OPORTUNO!L64</f>
        <v>723</v>
      </c>
      <c r="M64" s="122">
        <f>OPORTUNO!M64</f>
        <v>166452793</v>
      </c>
      <c r="N64" s="122">
        <f>OPORTUNO!N64</f>
        <v>317</v>
      </c>
      <c r="O64" s="122">
        <f>OPORTUNO!O64</f>
        <v>106506560</v>
      </c>
      <c r="P64" s="122">
        <f>OPORTUNO!P64</f>
        <v>442</v>
      </c>
      <c r="Q64" s="122">
        <f>OPORTUNO!Q64</f>
        <v>145741848</v>
      </c>
      <c r="R64" s="122">
        <f>OPORTUNO!R64</f>
        <v>222</v>
      </c>
      <c r="S64" s="122">
        <f>OPORTUNO!S64</f>
        <v>26791377</v>
      </c>
      <c r="T64" s="122">
        <f>OPORTUNO!T64</f>
        <v>2000</v>
      </c>
      <c r="U64" s="122">
        <f>OPORTUNO!U64</f>
        <v>515751405</v>
      </c>
      <c r="V64" s="122">
        <f>OPORTUNO!V64</f>
        <v>2000</v>
      </c>
      <c r="W64" s="122">
        <f>OPORTUNO!W64</f>
        <v>515751405</v>
      </c>
      <c r="X64" s="122">
        <f>OPORTUNO!X64</f>
        <v>0</v>
      </c>
      <c r="Y64" s="253">
        <f>OPORTUNO!Y64</f>
        <v>0</v>
      </c>
      <c r="Z64" s="3"/>
      <c r="AA64" s="69"/>
    </row>
    <row r="65" spans="1:27" ht="12" customHeight="1" x14ac:dyDescent="0.2">
      <c r="A65" s="1"/>
      <c r="B65" s="240">
        <f>OPORTUNO!B65</f>
        <v>46310</v>
      </c>
      <c r="C65" s="123">
        <f>OPORTUNO!C65</f>
        <v>2026101</v>
      </c>
      <c r="D65" s="123">
        <f>OPORTUNO!D65</f>
        <v>14</v>
      </c>
      <c r="E65" s="124" t="str">
        <f>OPORTUNO!E65</f>
        <v>23D</v>
      </c>
      <c r="F65" s="125" t="str">
        <f>OPORTUNO!F65</f>
        <v>Occidente - Directa</v>
      </c>
      <c r="G65" s="126">
        <f>OPORTUNO!G65</f>
        <v>12</v>
      </c>
      <c r="H65" s="127" t="str">
        <f>OPORTUNO!H65</f>
        <v>H23 Directa - CNB - Baloto - Éxito</v>
      </c>
      <c r="I65" s="128">
        <f>OPORTUNO!I65</f>
        <v>230887267</v>
      </c>
      <c r="J65" s="10">
        <f>OPORTUNO!J65</f>
        <v>40</v>
      </c>
      <c r="K65" s="10">
        <f>OPORTUNO!K65</f>
        <v>4520220</v>
      </c>
      <c r="L65" s="10">
        <f>OPORTUNO!L65</f>
        <v>233</v>
      </c>
      <c r="M65" s="10">
        <f>OPORTUNO!M65</f>
        <v>20060270</v>
      </c>
      <c r="N65" s="10">
        <f>OPORTUNO!N65</f>
        <v>56</v>
      </c>
      <c r="O65" s="10">
        <f>OPORTUNO!O65</f>
        <v>9047700</v>
      </c>
      <c r="P65" s="10">
        <f>OPORTUNO!P65</f>
        <v>129</v>
      </c>
      <c r="Q65" s="10">
        <f>OPORTUNO!Q65</f>
        <v>11737020</v>
      </c>
      <c r="R65" s="10">
        <f>OPORTUNO!R65</f>
        <v>48</v>
      </c>
      <c r="S65" s="10">
        <f>OPORTUNO!S65</f>
        <v>2472520</v>
      </c>
      <c r="T65" s="247">
        <f>OPORTUNO!T65</f>
        <v>506</v>
      </c>
      <c r="U65" s="247">
        <f>OPORTUNO!U65</f>
        <v>47837730</v>
      </c>
      <c r="V65" s="247">
        <f>OPORTUNO!V65</f>
        <v>506</v>
      </c>
      <c r="W65" s="247">
        <f>OPORTUNO!W65</f>
        <v>47837730</v>
      </c>
      <c r="X65" s="247">
        <f>OPORTUNO!X65</f>
        <v>0</v>
      </c>
      <c r="Y65" s="248">
        <f>OPORTUNO!Y65</f>
        <v>0</v>
      </c>
      <c r="Z65" s="1"/>
      <c r="AA65" s="69"/>
    </row>
    <row r="66" spans="1:27" ht="12" customHeight="1" x14ac:dyDescent="0.2">
      <c r="A66" s="1"/>
      <c r="B66" s="241">
        <f>OPORTUNO!B66</f>
        <v>46310</v>
      </c>
      <c r="C66" s="107">
        <f>OPORTUNO!C66</f>
        <v>2026101</v>
      </c>
      <c r="D66" s="107">
        <f>OPORTUNO!D66</f>
        <v>14</v>
      </c>
      <c r="E66" s="108" t="str">
        <f>OPORTUNO!E66</f>
        <v>23D</v>
      </c>
      <c r="F66" s="109" t="str">
        <f>OPORTUNO!F66</f>
        <v>Occidente - Directa</v>
      </c>
      <c r="G66" s="110">
        <f>OPORTUNO!G66</f>
        <v>13</v>
      </c>
      <c r="H66" s="111" t="str">
        <f>OPORTUNO!H66</f>
        <v>T23 Directa - Transferencias</v>
      </c>
      <c r="I66" s="112">
        <f>OPORTUNO!I66</f>
        <v>230887267</v>
      </c>
      <c r="J66" s="9">
        <f>OPORTUNO!J66</f>
        <v>142</v>
      </c>
      <c r="K66" s="9">
        <f>OPORTUNO!K66</f>
        <v>27360790</v>
      </c>
      <c r="L66" s="9">
        <f>OPORTUNO!L66</f>
        <v>177</v>
      </c>
      <c r="M66" s="9">
        <f>OPORTUNO!M66</f>
        <v>81005339</v>
      </c>
      <c r="N66" s="9">
        <f>OPORTUNO!N66</f>
        <v>92</v>
      </c>
      <c r="O66" s="9">
        <f>OPORTUNO!O66</f>
        <v>44703280</v>
      </c>
      <c r="P66" s="9">
        <f>OPORTUNO!P66</f>
        <v>147</v>
      </c>
      <c r="Q66" s="9">
        <f>OPORTUNO!Q66</f>
        <v>20792250</v>
      </c>
      <c r="R66" s="9">
        <f>OPORTUNO!R66</f>
        <v>63</v>
      </c>
      <c r="S66" s="9">
        <f>OPORTUNO!S66</f>
        <v>6406370</v>
      </c>
      <c r="T66" s="249">
        <f>OPORTUNO!T66</f>
        <v>621</v>
      </c>
      <c r="U66" s="249">
        <f>OPORTUNO!U66</f>
        <v>180268029</v>
      </c>
      <c r="V66" s="249">
        <f>OPORTUNO!V66</f>
        <v>621</v>
      </c>
      <c r="W66" s="249">
        <f>OPORTUNO!W66</f>
        <v>180268029</v>
      </c>
      <c r="X66" s="249">
        <f>OPORTUNO!X66</f>
        <v>0</v>
      </c>
      <c r="Y66" s="250">
        <f>OPORTUNO!Y66</f>
        <v>0</v>
      </c>
      <c r="Z66" s="1"/>
      <c r="AA66" s="69"/>
    </row>
    <row r="67" spans="1:27" ht="12" customHeight="1" thickBot="1" x14ac:dyDescent="0.25">
      <c r="A67" s="1"/>
      <c r="B67" s="242">
        <f>OPORTUNO!B67</f>
        <v>46310</v>
      </c>
      <c r="C67" s="113">
        <f>OPORTUNO!C67</f>
        <v>2026101</v>
      </c>
      <c r="D67" s="113">
        <f>OPORTUNO!D67</f>
        <v>14</v>
      </c>
      <c r="E67" s="114" t="str">
        <f>OPORTUNO!E67</f>
        <v>23D</v>
      </c>
      <c r="F67" s="115" t="str">
        <f>OPORTUNO!F67</f>
        <v>Occidente - Directa</v>
      </c>
      <c r="G67" s="116">
        <f>OPORTUNO!G67</f>
        <v>14</v>
      </c>
      <c r="H67" s="117" t="str">
        <f>OPORTUNO!H67</f>
        <v>O23 Directa - Oficinas</v>
      </c>
      <c r="I67" s="118">
        <f>OPORTUNO!I67</f>
        <v>230887267</v>
      </c>
      <c r="J67" s="119">
        <f>OPORTUNO!J67</f>
        <v>50</v>
      </c>
      <c r="K67" s="119">
        <f>OPORTUNO!K67</f>
        <v>2844683</v>
      </c>
      <c r="L67" s="119">
        <f>OPORTUNO!L67</f>
        <v>62</v>
      </c>
      <c r="M67" s="119">
        <f>OPORTUNO!M67</f>
        <v>12123532</v>
      </c>
      <c r="N67" s="119">
        <f>OPORTUNO!N67</f>
        <v>19</v>
      </c>
      <c r="O67" s="119">
        <f>OPORTUNO!O67</f>
        <v>4785508</v>
      </c>
      <c r="P67" s="119">
        <f>OPORTUNO!P67</f>
        <v>85</v>
      </c>
      <c r="Q67" s="119">
        <f>OPORTUNO!Q67</f>
        <v>6535692</v>
      </c>
      <c r="R67" s="119">
        <f>OPORTUNO!R67</f>
        <v>32</v>
      </c>
      <c r="S67" s="119">
        <f>OPORTUNO!S67</f>
        <v>1902919</v>
      </c>
      <c r="T67" s="251">
        <f>OPORTUNO!T67</f>
        <v>248</v>
      </c>
      <c r="U67" s="251">
        <f>OPORTUNO!U67</f>
        <v>28192334</v>
      </c>
      <c r="V67" s="251">
        <f>OPORTUNO!V67</f>
        <v>248</v>
      </c>
      <c r="W67" s="251">
        <f>OPORTUNO!W67</f>
        <v>28192334</v>
      </c>
      <c r="X67" s="251">
        <f>OPORTUNO!X67</f>
        <v>0</v>
      </c>
      <c r="Y67" s="252">
        <f>OPORTUNO!Y67</f>
        <v>0</v>
      </c>
      <c r="Z67" s="1"/>
      <c r="AA67" s="69"/>
    </row>
    <row r="68" spans="1:27" s="45" customFormat="1" ht="12" customHeight="1" thickBot="1" x14ac:dyDescent="0.25">
      <c r="A68" s="3"/>
      <c r="B68" s="129" t="s">
        <v>0</v>
      </c>
      <c r="C68" s="130">
        <f>OPORTUNO!C68</f>
        <v>2026101</v>
      </c>
      <c r="D68" s="131"/>
      <c r="E68" s="121"/>
      <c r="F68" s="122" t="str">
        <f>OPORTUNO!F68</f>
        <v>TOTAL</v>
      </c>
      <c r="G68" s="122">
        <f>OPORTUNO!G68</f>
        <v>0</v>
      </c>
      <c r="H68" s="122">
        <f>OPORTUNO!H68</f>
        <v>0</v>
      </c>
      <c r="I68" s="122">
        <f>OPORTUNO!I68</f>
        <v>0</v>
      </c>
      <c r="J68" s="122">
        <f>OPORTUNO!J68</f>
        <v>232</v>
      </c>
      <c r="K68" s="122">
        <f>OPORTUNO!K68</f>
        <v>34725693</v>
      </c>
      <c r="L68" s="122">
        <f>OPORTUNO!L68</f>
        <v>472</v>
      </c>
      <c r="M68" s="122">
        <f>OPORTUNO!M68</f>
        <v>113189141</v>
      </c>
      <c r="N68" s="122">
        <f>OPORTUNO!N68</f>
        <v>167</v>
      </c>
      <c r="O68" s="122">
        <f>OPORTUNO!O68</f>
        <v>58536488</v>
      </c>
      <c r="P68" s="122">
        <f>OPORTUNO!P68</f>
        <v>361</v>
      </c>
      <c r="Q68" s="122">
        <f>OPORTUNO!Q68</f>
        <v>39064962</v>
      </c>
      <c r="R68" s="122">
        <f>OPORTUNO!R68</f>
        <v>143</v>
      </c>
      <c r="S68" s="122">
        <f>OPORTUNO!S68</f>
        <v>10781809</v>
      </c>
      <c r="T68" s="122">
        <f>OPORTUNO!T68</f>
        <v>1375</v>
      </c>
      <c r="U68" s="122">
        <f>OPORTUNO!U68</f>
        <v>256298093</v>
      </c>
      <c r="V68" s="122">
        <f>OPORTUNO!V68</f>
        <v>1375</v>
      </c>
      <c r="W68" s="122">
        <f>OPORTUNO!W68</f>
        <v>256298093</v>
      </c>
      <c r="X68" s="122">
        <f>OPORTUNO!X68</f>
        <v>0</v>
      </c>
      <c r="Y68" s="253">
        <f>OPORTUNO!Y68</f>
        <v>0</v>
      </c>
      <c r="Z68" s="3"/>
      <c r="AA68" s="69"/>
    </row>
    <row r="69" spans="1:27" ht="12" customHeight="1" x14ac:dyDescent="0.2">
      <c r="A69" s="1"/>
      <c r="B69" s="240">
        <f>OPORTUNO!B69</f>
        <v>46311</v>
      </c>
      <c r="C69" s="123">
        <f>OPORTUNO!C69</f>
        <v>2026101</v>
      </c>
      <c r="D69" s="123">
        <f>OPORTUNO!D69</f>
        <v>15</v>
      </c>
      <c r="E69" s="124" t="str">
        <f>OPORTUNO!E69</f>
        <v>23D</v>
      </c>
      <c r="F69" s="125" t="str">
        <f>OPORTUNO!F69</f>
        <v>Occidente - Directa</v>
      </c>
      <c r="G69" s="126">
        <f>OPORTUNO!G69</f>
        <v>12</v>
      </c>
      <c r="H69" s="127" t="str">
        <f>OPORTUNO!H69</f>
        <v>H23 Directa - CNB - Baloto - Éxito</v>
      </c>
      <c r="I69" s="128">
        <f>OPORTUNO!I69</f>
        <v>230887267</v>
      </c>
      <c r="J69" s="10">
        <f>OPORTUNO!J69</f>
        <v>31</v>
      </c>
      <c r="K69" s="10">
        <f>OPORTUNO!K69</f>
        <v>2936140</v>
      </c>
      <c r="L69" s="10">
        <f>OPORTUNO!L69</f>
        <v>258</v>
      </c>
      <c r="M69" s="10">
        <f>OPORTUNO!M69</f>
        <v>21932460</v>
      </c>
      <c r="N69" s="10">
        <f>OPORTUNO!N69</f>
        <v>77</v>
      </c>
      <c r="O69" s="10">
        <f>OPORTUNO!O69</f>
        <v>5075770</v>
      </c>
      <c r="P69" s="10">
        <f>OPORTUNO!P69</f>
        <v>150</v>
      </c>
      <c r="Q69" s="10">
        <f>OPORTUNO!Q69</f>
        <v>15195940</v>
      </c>
      <c r="R69" s="10">
        <f>OPORTUNO!R69</f>
        <v>45</v>
      </c>
      <c r="S69" s="10">
        <f>OPORTUNO!S69</f>
        <v>2055540</v>
      </c>
      <c r="T69" s="247">
        <f>OPORTUNO!T69</f>
        <v>561</v>
      </c>
      <c r="U69" s="247">
        <f>OPORTUNO!U69</f>
        <v>47195850</v>
      </c>
      <c r="V69" s="247">
        <f>OPORTUNO!V69</f>
        <v>561</v>
      </c>
      <c r="W69" s="247">
        <f>OPORTUNO!W69</f>
        <v>47195850</v>
      </c>
      <c r="X69" s="247">
        <f>OPORTUNO!X69</f>
        <v>0</v>
      </c>
      <c r="Y69" s="248">
        <f>OPORTUNO!Y69</f>
        <v>0</v>
      </c>
      <c r="Z69" s="1"/>
      <c r="AA69" s="69"/>
    </row>
    <row r="70" spans="1:27" ht="12" customHeight="1" x14ac:dyDescent="0.2">
      <c r="A70" s="1"/>
      <c r="B70" s="241">
        <f>OPORTUNO!B70</f>
        <v>46311</v>
      </c>
      <c r="C70" s="107">
        <f>OPORTUNO!C70</f>
        <v>2026101</v>
      </c>
      <c r="D70" s="107">
        <f>OPORTUNO!D70</f>
        <v>15</v>
      </c>
      <c r="E70" s="108" t="str">
        <f>OPORTUNO!E70</f>
        <v>23D</v>
      </c>
      <c r="F70" s="109" t="str">
        <f>OPORTUNO!F70</f>
        <v>Occidente - Directa</v>
      </c>
      <c r="G70" s="110">
        <f>OPORTUNO!G70</f>
        <v>13</v>
      </c>
      <c r="H70" s="111" t="str">
        <f>OPORTUNO!H70</f>
        <v>T23 Directa - Transferencias</v>
      </c>
      <c r="I70" s="112">
        <f>OPORTUNO!I70</f>
        <v>230887267</v>
      </c>
      <c r="J70" s="9">
        <f>OPORTUNO!J70</f>
        <v>111</v>
      </c>
      <c r="K70" s="9">
        <f>OPORTUNO!K70</f>
        <v>33022020</v>
      </c>
      <c r="L70" s="9">
        <f>OPORTUNO!L70</f>
        <v>189</v>
      </c>
      <c r="M70" s="9">
        <f>OPORTUNO!M70</f>
        <v>41578800</v>
      </c>
      <c r="N70" s="9">
        <f>OPORTUNO!N70</f>
        <v>107</v>
      </c>
      <c r="O70" s="9">
        <f>OPORTUNO!O70</f>
        <v>46022483</v>
      </c>
      <c r="P70" s="9">
        <f>OPORTUNO!P70</f>
        <v>113</v>
      </c>
      <c r="Q70" s="9">
        <f>OPORTUNO!Q70</f>
        <v>17251719</v>
      </c>
      <c r="R70" s="9">
        <f>OPORTUNO!R70</f>
        <v>95</v>
      </c>
      <c r="S70" s="9">
        <f>OPORTUNO!S70</f>
        <v>18694330</v>
      </c>
      <c r="T70" s="249">
        <f>OPORTUNO!T70</f>
        <v>615</v>
      </c>
      <c r="U70" s="249">
        <f>OPORTUNO!U70</f>
        <v>156569352</v>
      </c>
      <c r="V70" s="249">
        <f>OPORTUNO!V70</f>
        <v>615</v>
      </c>
      <c r="W70" s="249">
        <f>OPORTUNO!W70</f>
        <v>156569352</v>
      </c>
      <c r="X70" s="249">
        <f>OPORTUNO!X70</f>
        <v>0</v>
      </c>
      <c r="Y70" s="250">
        <f>OPORTUNO!Y70</f>
        <v>0</v>
      </c>
      <c r="Z70" s="1"/>
      <c r="AA70" s="69"/>
    </row>
    <row r="71" spans="1:27" ht="12" customHeight="1" thickBot="1" x14ac:dyDescent="0.25">
      <c r="A71" s="1"/>
      <c r="B71" s="242">
        <f>OPORTUNO!B71</f>
        <v>46311</v>
      </c>
      <c r="C71" s="113">
        <f>OPORTUNO!C71</f>
        <v>2026101</v>
      </c>
      <c r="D71" s="113">
        <f>OPORTUNO!D71</f>
        <v>15</v>
      </c>
      <c r="E71" s="114" t="str">
        <f>OPORTUNO!E71</f>
        <v>23D</v>
      </c>
      <c r="F71" s="115" t="str">
        <f>OPORTUNO!F71</f>
        <v>Occidente - Directa</v>
      </c>
      <c r="G71" s="116">
        <f>OPORTUNO!G71</f>
        <v>14</v>
      </c>
      <c r="H71" s="117" t="str">
        <f>OPORTUNO!H71</f>
        <v>O23 Directa - Oficinas</v>
      </c>
      <c r="I71" s="118">
        <f>OPORTUNO!I71</f>
        <v>230887267</v>
      </c>
      <c r="J71" s="119">
        <f>OPORTUNO!J71</f>
        <v>40</v>
      </c>
      <c r="K71" s="119">
        <f>OPORTUNO!K71</f>
        <v>2775794</v>
      </c>
      <c r="L71" s="119">
        <f>OPORTUNO!L71</f>
        <v>100</v>
      </c>
      <c r="M71" s="119">
        <f>OPORTUNO!M71</f>
        <v>12809277</v>
      </c>
      <c r="N71" s="119">
        <f>OPORTUNO!N71</f>
        <v>21</v>
      </c>
      <c r="O71" s="119">
        <f>OPORTUNO!O71</f>
        <v>1976090</v>
      </c>
      <c r="P71" s="119">
        <f>OPORTUNO!P71</f>
        <v>78</v>
      </c>
      <c r="Q71" s="119">
        <f>OPORTUNO!Q71</f>
        <v>10343671</v>
      </c>
      <c r="R71" s="119">
        <f>OPORTUNO!R71</f>
        <v>43</v>
      </c>
      <c r="S71" s="119">
        <f>OPORTUNO!S71</f>
        <v>4323750</v>
      </c>
      <c r="T71" s="251">
        <f>OPORTUNO!T71</f>
        <v>282</v>
      </c>
      <c r="U71" s="251">
        <f>OPORTUNO!U71</f>
        <v>32228582</v>
      </c>
      <c r="V71" s="251">
        <f>OPORTUNO!V71</f>
        <v>282</v>
      </c>
      <c r="W71" s="251">
        <f>OPORTUNO!W71</f>
        <v>32228582</v>
      </c>
      <c r="X71" s="251">
        <f>OPORTUNO!X71</f>
        <v>0</v>
      </c>
      <c r="Y71" s="252">
        <f>OPORTUNO!Y71</f>
        <v>0</v>
      </c>
      <c r="Z71" s="1"/>
      <c r="AA71" s="69"/>
    </row>
    <row r="72" spans="1:27" s="45" customFormat="1" ht="12" customHeight="1" thickBot="1" x14ac:dyDescent="0.25">
      <c r="A72" s="3"/>
      <c r="B72" s="129" t="s">
        <v>0</v>
      </c>
      <c r="C72" s="130">
        <f>OPORTUNO!C72</f>
        <v>2026101</v>
      </c>
      <c r="D72" s="131"/>
      <c r="E72" s="121"/>
      <c r="F72" s="122" t="str">
        <f>OPORTUNO!F72</f>
        <v>TOTAL</v>
      </c>
      <c r="G72" s="122">
        <f>OPORTUNO!G72</f>
        <v>0</v>
      </c>
      <c r="H72" s="122">
        <f>OPORTUNO!H72</f>
        <v>0</v>
      </c>
      <c r="I72" s="122">
        <f>OPORTUNO!I72</f>
        <v>0</v>
      </c>
      <c r="J72" s="122">
        <f>OPORTUNO!J72</f>
        <v>182</v>
      </c>
      <c r="K72" s="122">
        <f>OPORTUNO!K72</f>
        <v>38733954</v>
      </c>
      <c r="L72" s="122">
        <f>OPORTUNO!L72</f>
        <v>547</v>
      </c>
      <c r="M72" s="122">
        <f>OPORTUNO!M72</f>
        <v>76320537</v>
      </c>
      <c r="N72" s="122">
        <f>OPORTUNO!N72</f>
        <v>205</v>
      </c>
      <c r="O72" s="122">
        <f>OPORTUNO!O72</f>
        <v>53074343</v>
      </c>
      <c r="P72" s="122">
        <f>OPORTUNO!P72</f>
        <v>341</v>
      </c>
      <c r="Q72" s="122">
        <f>OPORTUNO!Q72</f>
        <v>42791330</v>
      </c>
      <c r="R72" s="122">
        <f>OPORTUNO!R72</f>
        <v>183</v>
      </c>
      <c r="S72" s="122">
        <f>OPORTUNO!S72</f>
        <v>25073620</v>
      </c>
      <c r="T72" s="122">
        <f>OPORTUNO!T72</f>
        <v>1458</v>
      </c>
      <c r="U72" s="122">
        <f>OPORTUNO!U72</f>
        <v>235993784</v>
      </c>
      <c r="V72" s="122">
        <f>OPORTUNO!V72</f>
        <v>1458</v>
      </c>
      <c r="W72" s="122">
        <f>OPORTUNO!W72</f>
        <v>235993784</v>
      </c>
      <c r="X72" s="122">
        <f>OPORTUNO!X72</f>
        <v>0</v>
      </c>
      <c r="Y72" s="253">
        <f>OPORTUNO!Y72</f>
        <v>0</v>
      </c>
      <c r="Z72" s="3"/>
      <c r="AA72" s="69"/>
    </row>
    <row r="73" spans="1:27" ht="12" customHeight="1" thickBot="1" x14ac:dyDescent="0.25">
      <c r="A73" s="1"/>
      <c r="B73" s="240">
        <f>OPORTUNO!B73</f>
        <v>46314</v>
      </c>
      <c r="C73" s="132">
        <f>OPORTUNO!C73</f>
        <v>2026102</v>
      </c>
      <c r="D73" s="123">
        <f>OPORTUNO!D73</f>
        <v>16</v>
      </c>
      <c r="E73" s="124" t="str">
        <f>OPORTUNO!E73</f>
        <v>23D</v>
      </c>
      <c r="F73" s="125" t="str">
        <f>OPORTUNO!F73</f>
        <v>Occidente - Directa</v>
      </c>
      <c r="G73" s="126">
        <f>OPORTUNO!G73</f>
        <v>12</v>
      </c>
      <c r="H73" s="127" t="str">
        <f>OPORTUNO!H73</f>
        <v>H23 Directa - CNB - Baloto - Éxito</v>
      </c>
      <c r="I73" s="128">
        <f>OPORTUNO!I73</f>
        <v>230887267</v>
      </c>
      <c r="J73" s="10">
        <f>OPORTUNO!J73</f>
        <v>58</v>
      </c>
      <c r="K73" s="10">
        <f>OPORTUNO!K73</f>
        <v>3979770</v>
      </c>
      <c r="L73" s="10">
        <f>OPORTUNO!L73</f>
        <v>262</v>
      </c>
      <c r="M73" s="10">
        <f>OPORTUNO!M73</f>
        <v>25866960</v>
      </c>
      <c r="N73" s="10">
        <f>OPORTUNO!N73</f>
        <v>61</v>
      </c>
      <c r="O73" s="10">
        <f>OPORTUNO!O73</f>
        <v>5895900</v>
      </c>
      <c r="P73" s="10">
        <f>OPORTUNO!P73</f>
        <v>147</v>
      </c>
      <c r="Q73" s="10">
        <f>OPORTUNO!Q73</f>
        <v>18050270</v>
      </c>
      <c r="R73" s="10">
        <f>OPORTUNO!R73</f>
        <v>69</v>
      </c>
      <c r="S73" s="10">
        <f>OPORTUNO!S73</f>
        <v>4368960</v>
      </c>
      <c r="T73" s="247">
        <f>OPORTUNO!T73</f>
        <v>597</v>
      </c>
      <c r="U73" s="247">
        <f>OPORTUNO!U73</f>
        <v>58161860</v>
      </c>
      <c r="V73" s="247">
        <f>OPORTUNO!V73</f>
        <v>597</v>
      </c>
      <c r="W73" s="247">
        <f>OPORTUNO!W73</f>
        <v>58161860</v>
      </c>
      <c r="X73" s="247">
        <f>OPORTUNO!X73</f>
        <v>0</v>
      </c>
      <c r="Y73" s="248">
        <f>OPORTUNO!Y73</f>
        <v>0</v>
      </c>
      <c r="Z73" s="1"/>
      <c r="AA73" s="69"/>
    </row>
    <row r="74" spans="1:27" ht="12" customHeight="1" thickBot="1" x14ac:dyDescent="0.25">
      <c r="A74" s="1"/>
      <c r="B74" s="240">
        <f>OPORTUNO!B74</f>
        <v>46314</v>
      </c>
      <c r="C74" s="133">
        <f>OPORTUNO!C74</f>
        <v>2026102</v>
      </c>
      <c r="D74" s="107">
        <f>OPORTUNO!D74</f>
        <v>16</v>
      </c>
      <c r="E74" s="108" t="str">
        <f>OPORTUNO!E74</f>
        <v>23D</v>
      </c>
      <c r="F74" s="109" t="str">
        <f>OPORTUNO!F74</f>
        <v>Occidente - Directa</v>
      </c>
      <c r="G74" s="110">
        <f>OPORTUNO!G74</f>
        <v>13</v>
      </c>
      <c r="H74" s="111" t="str">
        <f>OPORTUNO!H74</f>
        <v>T23 Directa - Transferencias</v>
      </c>
      <c r="I74" s="112">
        <f>OPORTUNO!I74</f>
        <v>230887267</v>
      </c>
      <c r="J74" s="9">
        <f>OPORTUNO!J74</f>
        <v>205</v>
      </c>
      <c r="K74" s="9">
        <f>OPORTUNO!K74</f>
        <v>74589030</v>
      </c>
      <c r="L74" s="9">
        <f>OPORTUNO!L74</f>
        <v>205</v>
      </c>
      <c r="M74" s="9">
        <f>OPORTUNO!M74</f>
        <v>78454460</v>
      </c>
      <c r="N74" s="9">
        <f>OPORTUNO!N74</f>
        <v>149</v>
      </c>
      <c r="O74" s="9">
        <f>OPORTUNO!O74</f>
        <v>51631797</v>
      </c>
      <c r="P74" s="9">
        <f>OPORTUNO!P74</f>
        <v>161</v>
      </c>
      <c r="Q74" s="9">
        <f>OPORTUNO!Q74</f>
        <v>44700929</v>
      </c>
      <c r="R74" s="9">
        <f>OPORTUNO!R74</f>
        <v>102</v>
      </c>
      <c r="S74" s="9">
        <f>OPORTUNO!S74</f>
        <v>24409810</v>
      </c>
      <c r="T74" s="249">
        <f>OPORTUNO!T74</f>
        <v>822</v>
      </c>
      <c r="U74" s="249">
        <f>OPORTUNO!U74</f>
        <v>273786026</v>
      </c>
      <c r="V74" s="249">
        <f>OPORTUNO!V74</f>
        <v>822</v>
      </c>
      <c r="W74" s="249">
        <f>OPORTUNO!W74</f>
        <v>273786026</v>
      </c>
      <c r="X74" s="249">
        <f>OPORTUNO!X74</f>
        <v>0</v>
      </c>
      <c r="Y74" s="250">
        <f>OPORTUNO!Y74</f>
        <v>0</v>
      </c>
      <c r="Z74" s="1"/>
      <c r="AA74" s="69"/>
    </row>
    <row r="75" spans="1:27" ht="12" customHeight="1" thickBot="1" x14ac:dyDescent="0.25">
      <c r="A75" s="1"/>
      <c r="B75" s="240">
        <f>OPORTUNO!B75</f>
        <v>46314</v>
      </c>
      <c r="C75" s="134">
        <f>OPORTUNO!C75</f>
        <v>2026102</v>
      </c>
      <c r="D75" s="113">
        <f>OPORTUNO!D75</f>
        <v>16</v>
      </c>
      <c r="E75" s="114" t="str">
        <f>OPORTUNO!E75</f>
        <v>23D</v>
      </c>
      <c r="F75" s="115" t="str">
        <f>OPORTUNO!F75</f>
        <v>Occidente - Directa</v>
      </c>
      <c r="G75" s="116">
        <f>OPORTUNO!G75</f>
        <v>14</v>
      </c>
      <c r="H75" s="117" t="str">
        <f>OPORTUNO!H75</f>
        <v>O23 Directa - Oficinas</v>
      </c>
      <c r="I75" s="118">
        <f>OPORTUNO!I75</f>
        <v>230887267</v>
      </c>
      <c r="J75" s="119">
        <f>OPORTUNO!J75</f>
        <v>50</v>
      </c>
      <c r="K75" s="119">
        <f>OPORTUNO!K75</f>
        <v>5857169</v>
      </c>
      <c r="L75" s="119">
        <f>OPORTUNO!L75</f>
        <v>102</v>
      </c>
      <c r="M75" s="119">
        <f>OPORTUNO!M75</f>
        <v>43692734</v>
      </c>
      <c r="N75" s="119">
        <f>OPORTUNO!N75</f>
        <v>41</v>
      </c>
      <c r="O75" s="119">
        <f>OPORTUNO!O75</f>
        <v>49816397</v>
      </c>
      <c r="P75" s="119">
        <f>OPORTUNO!P75</f>
        <v>111</v>
      </c>
      <c r="Q75" s="119">
        <f>OPORTUNO!Q75</f>
        <v>32697484</v>
      </c>
      <c r="R75" s="119">
        <f>OPORTUNO!R75</f>
        <v>24</v>
      </c>
      <c r="S75" s="119">
        <f>OPORTUNO!S75</f>
        <v>2884579</v>
      </c>
      <c r="T75" s="251">
        <f>OPORTUNO!T75</f>
        <v>328</v>
      </c>
      <c r="U75" s="251">
        <f>OPORTUNO!U75</f>
        <v>134948363</v>
      </c>
      <c r="V75" s="251">
        <f>OPORTUNO!V75</f>
        <v>328</v>
      </c>
      <c r="W75" s="251">
        <f>OPORTUNO!W75</f>
        <v>134948363</v>
      </c>
      <c r="X75" s="251">
        <f>OPORTUNO!X75</f>
        <v>0</v>
      </c>
      <c r="Y75" s="252">
        <f>OPORTUNO!Y75</f>
        <v>0</v>
      </c>
      <c r="Z75" s="1"/>
      <c r="AA75" s="69"/>
    </row>
    <row r="76" spans="1:27" s="45" customFormat="1" ht="12" customHeight="1" thickBot="1" x14ac:dyDescent="0.25">
      <c r="A76" s="3"/>
      <c r="B76" s="129" t="s">
        <v>0</v>
      </c>
      <c r="C76" s="131">
        <f>OPORTUNO!C76</f>
        <v>2026102</v>
      </c>
      <c r="D76" s="131"/>
      <c r="E76" s="121"/>
      <c r="F76" s="122" t="str">
        <f>OPORTUNO!F76</f>
        <v>TOTAL</v>
      </c>
      <c r="G76" s="122">
        <f>OPORTUNO!G76</f>
        <v>0</v>
      </c>
      <c r="H76" s="122">
        <f>OPORTUNO!H76</f>
        <v>0</v>
      </c>
      <c r="I76" s="122">
        <f>OPORTUNO!I76</f>
        <v>0</v>
      </c>
      <c r="J76" s="122">
        <f>OPORTUNO!J76</f>
        <v>313</v>
      </c>
      <c r="K76" s="122">
        <f>OPORTUNO!K76</f>
        <v>84425969</v>
      </c>
      <c r="L76" s="122">
        <f>OPORTUNO!L76</f>
        <v>569</v>
      </c>
      <c r="M76" s="122">
        <f>OPORTUNO!M76</f>
        <v>148014154</v>
      </c>
      <c r="N76" s="122">
        <f>OPORTUNO!N76</f>
        <v>251</v>
      </c>
      <c r="O76" s="122">
        <f>OPORTUNO!O76</f>
        <v>107344094</v>
      </c>
      <c r="P76" s="122">
        <f>OPORTUNO!P76</f>
        <v>419</v>
      </c>
      <c r="Q76" s="122">
        <f>OPORTUNO!Q76</f>
        <v>95448683</v>
      </c>
      <c r="R76" s="122">
        <f>OPORTUNO!R76</f>
        <v>195</v>
      </c>
      <c r="S76" s="122">
        <f>OPORTUNO!S76</f>
        <v>31663349</v>
      </c>
      <c r="T76" s="122">
        <f>OPORTUNO!T76</f>
        <v>1747</v>
      </c>
      <c r="U76" s="122">
        <f>OPORTUNO!U76</f>
        <v>466896249</v>
      </c>
      <c r="V76" s="122">
        <f>OPORTUNO!V76</f>
        <v>1747</v>
      </c>
      <c r="W76" s="122">
        <f>OPORTUNO!W76</f>
        <v>466896249</v>
      </c>
      <c r="X76" s="122">
        <f>OPORTUNO!X76</f>
        <v>0</v>
      </c>
      <c r="Y76" s="253">
        <f>OPORTUNO!Y76</f>
        <v>0</v>
      </c>
      <c r="Z76" s="3"/>
      <c r="AA76" s="69"/>
    </row>
    <row r="77" spans="1:27" ht="12" customHeight="1" x14ac:dyDescent="0.2">
      <c r="A77" s="1"/>
      <c r="B77" s="240">
        <f>OPORTUNO!B77</f>
        <v>46314</v>
      </c>
      <c r="C77" s="132">
        <f>OPORTUNO!C77</f>
        <v>2026102</v>
      </c>
      <c r="D77" s="123">
        <f>OPORTUNO!D77</f>
        <v>17</v>
      </c>
      <c r="E77" s="124" t="str">
        <f>OPORTUNO!E77</f>
        <v>23D</v>
      </c>
      <c r="F77" s="125" t="str">
        <f>OPORTUNO!F77</f>
        <v>Occidente - Directa</v>
      </c>
      <c r="G77" s="126">
        <f>OPORTUNO!G77</f>
        <v>12</v>
      </c>
      <c r="H77" s="127" t="str">
        <f>OPORTUNO!H77</f>
        <v>H23 Directa - CNB - Baloto - Éxito</v>
      </c>
      <c r="I77" s="128">
        <f>OPORTUNO!I77</f>
        <v>230887267</v>
      </c>
      <c r="J77" s="10">
        <f>OPORTUNO!J77</f>
        <v>8</v>
      </c>
      <c r="K77" s="10">
        <f>OPORTUNO!K77</f>
        <v>357780</v>
      </c>
      <c r="L77" s="10">
        <f>OPORTUNO!L77</f>
        <v>140</v>
      </c>
      <c r="M77" s="10">
        <f>OPORTUNO!M77</f>
        <v>11225970</v>
      </c>
      <c r="N77" s="10">
        <f>OPORTUNO!N77</f>
        <v>18</v>
      </c>
      <c r="O77" s="10">
        <f>OPORTUNO!O77</f>
        <v>1038960</v>
      </c>
      <c r="P77" s="10">
        <f>OPORTUNO!P77</f>
        <v>48</v>
      </c>
      <c r="Q77" s="10">
        <f>OPORTUNO!Q77</f>
        <v>5600570</v>
      </c>
      <c r="R77" s="10">
        <f>OPORTUNO!R77</f>
        <v>6</v>
      </c>
      <c r="S77" s="10">
        <f>OPORTUNO!S77</f>
        <v>208360</v>
      </c>
      <c r="T77" s="247">
        <f>OPORTUNO!T77</f>
        <v>220</v>
      </c>
      <c r="U77" s="247">
        <f>OPORTUNO!U77</f>
        <v>18431640</v>
      </c>
      <c r="V77" s="247">
        <f>OPORTUNO!V77</f>
        <v>220</v>
      </c>
      <c r="W77" s="247">
        <f>OPORTUNO!W77</f>
        <v>18431640</v>
      </c>
      <c r="X77" s="247">
        <f>OPORTUNO!X77</f>
        <v>0</v>
      </c>
      <c r="Y77" s="248">
        <f>OPORTUNO!Y77</f>
        <v>0</v>
      </c>
      <c r="Z77" s="1"/>
      <c r="AA77" s="69"/>
    </row>
    <row r="78" spans="1:27" ht="12" customHeight="1" x14ac:dyDescent="0.2">
      <c r="A78" s="1"/>
      <c r="B78" s="241">
        <f>OPORTUNO!B78</f>
        <v>46314</v>
      </c>
      <c r="C78" s="133">
        <f>OPORTUNO!C78</f>
        <v>2026102</v>
      </c>
      <c r="D78" s="107">
        <f>OPORTUNO!D78</f>
        <v>17</v>
      </c>
      <c r="E78" s="108" t="str">
        <f>OPORTUNO!E78</f>
        <v>23D</v>
      </c>
      <c r="F78" s="109" t="str">
        <f>OPORTUNO!F78</f>
        <v>Occidente - Directa</v>
      </c>
      <c r="G78" s="110">
        <f>OPORTUNO!G78</f>
        <v>13</v>
      </c>
      <c r="H78" s="111" t="str">
        <f>OPORTUNO!H78</f>
        <v>T23 Directa - Transferencias</v>
      </c>
      <c r="I78" s="112">
        <f>OPORTUNO!I78</f>
        <v>230887267</v>
      </c>
      <c r="J78" s="9">
        <f>OPORTUNO!J78</f>
        <v>0</v>
      </c>
      <c r="K78" s="9">
        <f>OPORTUNO!K78</f>
        <v>0</v>
      </c>
      <c r="L78" s="9">
        <f>OPORTUNO!L78</f>
        <v>0</v>
      </c>
      <c r="M78" s="9">
        <f>OPORTUNO!M78</f>
        <v>0</v>
      </c>
      <c r="N78" s="9">
        <f>OPORTUNO!N78</f>
        <v>0</v>
      </c>
      <c r="O78" s="9">
        <f>OPORTUNO!O78</f>
        <v>0</v>
      </c>
      <c r="P78" s="9">
        <f>OPORTUNO!P78</f>
        <v>0</v>
      </c>
      <c r="Q78" s="9">
        <f>OPORTUNO!Q78</f>
        <v>0</v>
      </c>
      <c r="R78" s="9">
        <f>OPORTUNO!R78</f>
        <v>0</v>
      </c>
      <c r="S78" s="9">
        <f>OPORTUNO!S78</f>
        <v>0</v>
      </c>
      <c r="T78" s="249">
        <f>OPORTUNO!T78</f>
        <v>0</v>
      </c>
      <c r="U78" s="249">
        <f>OPORTUNO!U78</f>
        <v>0</v>
      </c>
      <c r="V78" s="249">
        <f>OPORTUNO!V78</f>
        <v>0</v>
      </c>
      <c r="W78" s="249">
        <f>OPORTUNO!W78</f>
        <v>0</v>
      </c>
      <c r="X78" s="249">
        <f>OPORTUNO!X78</f>
        <v>0</v>
      </c>
      <c r="Y78" s="250">
        <f>OPORTUNO!Y78</f>
        <v>0</v>
      </c>
      <c r="Z78" s="1"/>
      <c r="AA78" s="69"/>
    </row>
    <row r="79" spans="1:27" ht="12" customHeight="1" thickBot="1" x14ac:dyDescent="0.25">
      <c r="A79" s="1"/>
      <c r="B79" s="242">
        <f>OPORTUNO!B79</f>
        <v>46314</v>
      </c>
      <c r="C79" s="134">
        <f>OPORTUNO!C79</f>
        <v>2026102</v>
      </c>
      <c r="D79" s="113">
        <f>OPORTUNO!D79</f>
        <v>17</v>
      </c>
      <c r="E79" s="114" t="str">
        <f>OPORTUNO!E79</f>
        <v>23D</v>
      </c>
      <c r="F79" s="115" t="str">
        <f>OPORTUNO!F79</f>
        <v>Occidente - Directa</v>
      </c>
      <c r="G79" s="116">
        <f>OPORTUNO!G79</f>
        <v>14</v>
      </c>
      <c r="H79" s="117" t="str">
        <f>OPORTUNO!H79</f>
        <v>O23 Directa - Oficinas</v>
      </c>
      <c r="I79" s="118">
        <f>OPORTUNO!I79</f>
        <v>230887267</v>
      </c>
      <c r="J79" s="119">
        <f>OPORTUNO!J79</f>
        <v>0</v>
      </c>
      <c r="K79" s="119">
        <f>OPORTUNO!K79</f>
        <v>0</v>
      </c>
      <c r="L79" s="119">
        <f>OPORTUNO!L79</f>
        <v>0</v>
      </c>
      <c r="M79" s="119">
        <f>OPORTUNO!M79</f>
        <v>0</v>
      </c>
      <c r="N79" s="119">
        <f>OPORTUNO!N79</f>
        <v>0</v>
      </c>
      <c r="O79" s="119">
        <f>OPORTUNO!O79</f>
        <v>0</v>
      </c>
      <c r="P79" s="119">
        <f>OPORTUNO!P79</f>
        <v>0</v>
      </c>
      <c r="Q79" s="119">
        <f>OPORTUNO!Q79</f>
        <v>0</v>
      </c>
      <c r="R79" s="119">
        <f>OPORTUNO!R79</f>
        <v>0</v>
      </c>
      <c r="S79" s="119">
        <f>OPORTUNO!S79</f>
        <v>0</v>
      </c>
      <c r="T79" s="251">
        <f>OPORTUNO!T79</f>
        <v>0</v>
      </c>
      <c r="U79" s="251">
        <f>OPORTUNO!U79</f>
        <v>0</v>
      </c>
      <c r="V79" s="251">
        <f>OPORTUNO!V79</f>
        <v>0</v>
      </c>
      <c r="W79" s="251">
        <f>OPORTUNO!W79</f>
        <v>0</v>
      </c>
      <c r="X79" s="251">
        <f>OPORTUNO!X79</f>
        <v>0</v>
      </c>
      <c r="Y79" s="252">
        <f>OPORTUNO!Y79</f>
        <v>0</v>
      </c>
      <c r="Z79" s="1"/>
      <c r="AA79" s="69"/>
    </row>
    <row r="80" spans="1:27" s="45" customFormat="1" ht="12" customHeight="1" thickBot="1" x14ac:dyDescent="0.25">
      <c r="A80" s="3"/>
      <c r="B80" s="129" t="s">
        <v>0</v>
      </c>
      <c r="C80" s="131">
        <f>OPORTUNO!C80</f>
        <v>2026102</v>
      </c>
      <c r="D80" s="131"/>
      <c r="E80" s="121"/>
      <c r="F80" s="122" t="str">
        <f>OPORTUNO!F80</f>
        <v>TOTAL</v>
      </c>
      <c r="G80" s="122">
        <f>OPORTUNO!G80</f>
        <v>0</v>
      </c>
      <c r="H80" s="122">
        <f>OPORTUNO!H80</f>
        <v>0</v>
      </c>
      <c r="I80" s="122">
        <f>OPORTUNO!I80</f>
        <v>0</v>
      </c>
      <c r="J80" s="122">
        <f>OPORTUNO!J80</f>
        <v>8</v>
      </c>
      <c r="K80" s="122">
        <f>OPORTUNO!K80</f>
        <v>357780</v>
      </c>
      <c r="L80" s="122">
        <f>OPORTUNO!L80</f>
        <v>140</v>
      </c>
      <c r="M80" s="122">
        <f>OPORTUNO!M80</f>
        <v>11225970</v>
      </c>
      <c r="N80" s="122">
        <f>OPORTUNO!N80</f>
        <v>18</v>
      </c>
      <c r="O80" s="122">
        <f>OPORTUNO!O80</f>
        <v>1038960</v>
      </c>
      <c r="P80" s="122">
        <f>OPORTUNO!P80</f>
        <v>48</v>
      </c>
      <c r="Q80" s="122">
        <f>OPORTUNO!Q80</f>
        <v>5600570</v>
      </c>
      <c r="R80" s="122">
        <f>OPORTUNO!R80</f>
        <v>6</v>
      </c>
      <c r="S80" s="122">
        <f>OPORTUNO!S80</f>
        <v>208360</v>
      </c>
      <c r="T80" s="122">
        <f>OPORTUNO!T80</f>
        <v>220</v>
      </c>
      <c r="U80" s="122">
        <f>OPORTUNO!U80</f>
        <v>18431640</v>
      </c>
      <c r="V80" s="122">
        <f>OPORTUNO!V80</f>
        <v>220</v>
      </c>
      <c r="W80" s="122">
        <f>OPORTUNO!W80</f>
        <v>18431640</v>
      </c>
      <c r="X80" s="122">
        <f>OPORTUNO!X80</f>
        <v>0</v>
      </c>
      <c r="Y80" s="253">
        <f>OPORTUNO!Y80</f>
        <v>0</v>
      </c>
      <c r="Z80" s="3"/>
      <c r="AA80" s="69"/>
    </row>
    <row r="81" spans="1:27" ht="12" customHeight="1" x14ac:dyDescent="0.2">
      <c r="A81" s="1"/>
      <c r="B81" s="240">
        <f>OPORTUNO!B81</f>
        <v>46314</v>
      </c>
      <c r="C81" s="132">
        <f>OPORTUNO!C81</f>
        <v>2026102</v>
      </c>
      <c r="D81" s="123">
        <f>OPORTUNO!D81</f>
        <v>18</v>
      </c>
      <c r="E81" s="124" t="str">
        <f>OPORTUNO!E81</f>
        <v>23D</v>
      </c>
      <c r="F81" s="125" t="str">
        <f>OPORTUNO!F81</f>
        <v>Occidente - Directa</v>
      </c>
      <c r="G81" s="126">
        <f>OPORTUNO!G81</f>
        <v>12</v>
      </c>
      <c r="H81" s="127" t="str">
        <f>OPORTUNO!H81</f>
        <v>H23 Directa - CNB - Baloto - Éxito</v>
      </c>
      <c r="I81" s="128">
        <f>OPORTUNO!I81</f>
        <v>230887267</v>
      </c>
      <c r="J81" s="10">
        <f>OPORTUNO!J81</f>
        <v>2</v>
      </c>
      <c r="K81" s="10">
        <f>OPORTUNO!K81</f>
        <v>71560</v>
      </c>
      <c r="L81" s="10">
        <f>OPORTUNO!L81</f>
        <v>32</v>
      </c>
      <c r="M81" s="10">
        <f>OPORTUNO!M81</f>
        <v>2008780</v>
      </c>
      <c r="N81" s="10">
        <f>OPORTUNO!N81</f>
        <v>5</v>
      </c>
      <c r="O81" s="10">
        <f>OPORTUNO!O81</f>
        <v>190520</v>
      </c>
      <c r="P81" s="10">
        <f>OPORTUNO!P81</f>
        <v>15</v>
      </c>
      <c r="Q81" s="10">
        <f>OPORTUNO!Q81</f>
        <v>1252680</v>
      </c>
      <c r="R81" s="10">
        <f>OPORTUNO!R81</f>
        <v>5</v>
      </c>
      <c r="S81" s="10">
        <f>OPORTUNO!S81</f>
        <v>188350</v>
      </c>
      <c r="T81" s="247">
        <f>OPORTUNO!T81</f>
        <v>59</v>
      </c>
      <c r="U81" s="247">
        <f>OPORTUNO!U81</f>
        <v>3711890</v>
      </c>
      <c r="V81" s="247">
        <f>OPORTUNO!V81</f>
        <v>59</v>
      </c>
      <c r="W81" s="247">
        <f>OPORTUNO!W81</f>
        <v>3711890</v>
      </c>
      <c r="X81" s="247">
        <f>OPORTUNO!X81</f>
        <v>0</v>
      </c>
      <c r="Y81" s="248">
        <f>OPORTUNO!Y81</f>
        <v>0</v>
      </c>
      <c r="Z81" s="1"/>
      <c r="AA81" s="69"/>
    </row>
    <row r="82" spans="1:27" ht="12" customHeight="1" x14ac:dyDescent="0.2">
      <c r="A82" s="1"/>
      <c r="B82" s="241">
        <f>OPORTUNO!B82</f>
        <v>46314</v>
      </c>
      <c r="C82" s="133">
        <f>OPORTUNO!C82</f>
        <v>2026102</v>
      </c>
      <c r="D82" s="107">
        <f>OPORTUNO!D82</f>
        <v>18</v>
      </c>
      <c r="E82" s="108" t="str">
        <f>OPORTUNO!E82</f>
        <v>23D</v>
      </c>
      <c r="F82" s="109" t="str">
        <f>OPORTUNO!F82</f>
        <v>Occidente - Directa</v>
      </c>
      <c r="G82" s="110">
        <f>OPORTUNO!G82</f>
        <v>13</v>
      </c>
      <c r="H82" s="111" t="str">
        <f>OPORTUNO!H82</f>
        <v>T23 Directa - Transferencias</v>
      </c>
      <c r="I82" s="112">
        <f>OPORTUNO!I82</f>
        <v>230887267</v>
      </c>
      <c r="J82" s="9">
        <f>OPORTUNO!J82</f>
        <v>0</v>
      </c>
      <c r="K82" s="9">
        <f>OPORTUNO!K82</f>
        <v>0</v>
      </c>
      <c r="L82" s="9">
        <f>OPORTUNO!L82</f>
        <v>0</v>
      </c>
      <c r="M82" s="9">
        <f>OPORTUNO!M82</f>
        <v>0</v>
      </c>
      <c r="N82" s="9">
        <f>OPORTUNO!N82</f>
        <v>0</v>
      </c>
      <c r="O82" s="9">
        <f>OPORTUNO!O82</f>
        <v>0</v>
      </c>
      <c r="P82" s="9">
        <f>OPORTUNO!P82</f>
        <v>0</v>
      </c>
      <c r="Q82" s="9">
        <f>OPORTUNO!Q82</f>
        <v>0</v>
      </c>
      <c r="R82" s="9">
        <f>OPORTUNO!R82</f>
        <v>0</v>
      </c>
      <c r="S82" s="9">
        <f>OPORTUNO!S82</f>
        <v>0</v>
      </c>
      <c r="T82" s="249">
        <f>OPORTUNO!T82</f>
        <v>0</v>
      </c>
      <c r="U82" s="249">
        <f>OPORTUNO!U82</f>
        <v>0</v>
      </c>
      <c r="V82" s="249">
        <f>OPORTUNO!V82</f>
        <v>0</v>
      </c>
      <c r="W82" s="249">
        <f>OPORTUNO!W82</f>
        <v>0</v>
      </c>
      <c r="X82" s="249">
        <f>OPORTUNO!X82</f>
        <v>0</v>
      </c>
      <c r="Y82" s="250">
        <f>OPORTUNO!Y82</f>
        <v>0</v>
      </c>
      <c r="Z82" s="1"/>
      <c r="AA82" s="69"/>
    </row>
    <row r="83" spans="1:27" ht="12" customHeight="1" thickBot="1" x14ac:dyDescent="0.25">
      <c r="A83" s="1"/>
      <c r="B83" s="242">
        <f>OPORTUNO!B83</f>
        <v>46314</v>
      </c>
      <c r="C83" s="134">
        <f>OPORTUNO!C83</f>
        <v>2026102</v>
      </c>
      <c r="D83" s="113">
        <f>OPORTUNO!D83</f>
        <v>18</v>
      </c>
      <c r="E83" s="114" t="str">
        <f>OPORTUNO!E83</f>
        <v>23D</v>
      </c>
      <c r="F83" s="115" t="str">
        <f>OPORTUNO!F83</f>
        <v>Occidente - Directa</v>
      </c>
      <c r="G83" s="116">
        <f>OPORTUNO!G83</f>
        <v>14</v>
      </c>
      <c r="H83" s="117" t="str">
        <f>OPORTUNO!H83</f>
        <v>O23 Directa - Oficinas</v>
      </c>
      <c r="I83" s="118">
        <f>OPORTUNO!I83</f>
        <v>230887267</v>
      </c>
      <c r="J83" s="119">
        <f>OPORTUNO!J83</f>
        <v>0</v>
      </c>
      <c r="K83" s="119">
        <f>OPORTUNO!K83</f>
        <v>0</v>
      </c>
      <c r="L83" s="119">
        <f>OPORTUNO!L83</f>
        <v>0</v>
      </c>
      <c r="M83" s="119">
        <f>OPORTUNO!M83</f>
        <v>0</v>
      </c>
      <c r="N83" s="119">
        <f>OPORTUNO!N83</f>
        <v>0</v>
      </c>
      <c r="O83" s="119">
        <f>OPORTUNO!O83</f>
        <v>0</v>
      </c>
      <c r="P83" s="119">
        <f>OPORTUNO!P83</f>
        <v>0</v>
      </c>
      <c r="Q83" s="119">
        <f>OPORTUNO!Q83</f>
        <v>0</v>
      </c>
      <c r="R83" s="119">
        <f>OPORTUNO!R83</f>
        <v>0</v>
      </c>
      <c r="S83" s="119">
        <f>OPORTUNO!S83</f>
        <v>0</v>
      </c>
      <c r="T83" s="251">
        <f>OPORTUNO!T83</f>
        <v>0</v>
      </c>
      <c r="U83" s="251">
        <f>OPORTUNO!U83</f>
        <v>0</v>
      </c>
      <c r="V83" s="251">
        <f>OPORTUNO!V83</f>
        <v>0</v>
      </c>
      <c r="W83" s="251">
        <f>OPORTUNO!W83</f>
        <v>0</v>
      </c>
      <c r="X83" s="251">
        <f>OPORTUNO!X83</f>
        <v>0</v>
      </c>
      <c r="Y83" s="252">
        <f>OPORTUNO!Y83</f>
        <v>0</v>
      </c>
      <c r="Z83" s="1"/>
      <c r="AA83" s="69"/>
    </row>
    <row r="84" spans="1:27" s="45" customFormat="1" ht="12" customHeight="1" thickBot="1" x14ac:dyDescent="0.25">
      <c r="A84" s="3"/>
      <c r="B84" s="129" t="s">
        <v>0</v>
      </c>
      <c r="C84" s="131">
        <f>OPORTUNO!C84</f>
        <v>2026102</v>
      </c>
      <c r="D84" s="131"/>
      <c r="E84" s="121"/>
      <c r="F84" s="122" t="str">
        <f>OPORTUNO!F84</f>
        <v>TOTAL</v>
      </c>
      <c r="G84" s="122">
        <f>OPORTUNO!G84</f>
        <v>0</v>
      </c>
      <c r="H84" s="122">
        <f>OPORTUNO!H84</f>
        <v>0</v>
      </c>
      <c r="I84" s="122">
        <f>OPORTUNO!I84</f>
        <v>0</v>
      </c>
      <c r="J84" s="122">
        <f>OPORTUNO!J84</f>
        <v>2</v>
      </c>
      <c r="K84" s="122">
        <f>OPORTUNO!K84</f>
        <v>71560</v>
      </c>
      <c r="L84" s="122">
        <f>OPORTUNO!L84</f>
        <v>32</v>
      </c>
      <c r="M84" s="122">
        <f>OPORTUNO!M84</f>
        <v>2008780</v>
      </c>
      <c r="N84" s="122">
        <f>OPORTUNO!N84</f>
        <v>5</v>
      </c>
      <c r="O84" s="122">
        <f>OPORTUNO!O84</f>
        <v>190520</v>
      </c>
      <c r="P84" s="122">
        <f>OPORTUNO!P84</f>
        <v>15</v>
      </c>
      <c r="Q84" s="122">
        <f>OPORTUNO!Q84</f>
        <v>1252680</v>
      </c>
      <c r="R84" s="122">
        <f>OPORTUNO!R84</f>
        <v>5</v>
      </c>
      <c r="S84" s="122">
        <f>OPORTUNO!S84</f>
        <v>188350</v>
      </c>
      <c r="T84" s="122">
        <f>OPORTUNO!T84</f>
        <v>59</v>
      </c>
      <c r="U84" s="122">
        <f>OPORTUNO!U84</f>
        <v>3711890</v>
      </c>
      <c r="V84" s="122">
        <f>OPORTUNO!V84</f>
        <v>59</v>
      </c>
      <c r="W84" s="122">
        <f>OPORTUNO!W84</f>
        <v>3711890</v>
      </c>
      <c r="X84" s="122">
        <f>OPORTUNO!X84</f>
        <v>0</v>
      </c>
      <c r="Y84" s="253">
        <f>OPORTUNO!Y84</f>
        <v>0</v>
      </c>
      <c r="Z84" s="3"/>
      <c r="AA84" s="69"/>
    </row>
    <row r="85" spans="1:27" ht="12" customHeight="1" x14ac:dyDescent="0.2">
      <c r="A85" s="1"/>
      <c r="B85" s="240">
        <f>OPORTUNO!B85</f>
        <v>46315</v>
      </c>
      <c r="C85" s="132">
        <f>OPORTUNO!C85</f>
        <v>2026102</v>
      </c>
      <c r="D85" s="123">
        <f>OPORTUNO!D85</f>
        <v>19</v>
      </c>
      <c r="E85" s="124" t="str">
        <f>OPORTUNO!E85</f>
        <v>23D</v>
      </c>
      <c r="F85" s="125" t="str">
        <f>OPORTUNO!F85</f>
        <v>Occidente - Directa</v>
      </c>
      <c r="G85" s="126">
        <f>OPORTUNO!G85</f>
        <v>12</v>
      </c>
      <c r="H85" s="127" t="str">
        <f>OPORTUNO!H85</f>
        <v>H23 Directa - CNB - Baloto - Éxito</v>
      </c>
      <c r="I85" s="128">
        <f>OPORTUNO!I85</f>
        <v>230887267</v>
      </c>
      <c r="J85" s="10">
        <f>OPORTUNO!J85</f>
        <v>67</v>
      </c>
      <c r="K85" s="10">
        <f>OPORTUNO!K85</f>
        <v>4533680</v>
      </c>
      <c r="L85" s="119">
        <f>OPORTUNO!L85</f>
        <v>436</v>
      </c>
      <c r="M85" s="119">
        <f>OPORTUNO!M85</f>
        <v>47466860</v>
      </c>
      <c r="N85" s="10">
        <f>OPORTUNO!N85</f>
        <v>94</v>
      </c>
      <c r="O85" s="10">
        <f>OPORTUNO!O85</f>
        <v>6875450</v>
      </c>
      <c r="P85" s="10">
        <f>OPORTUNO!P85</f>
        <v>216</v>
      </c>
      <c r="Q85" s="10">
        <f>OPORTUNO!Q85</f>
        <v>27033930</v>
      </c>
      <c r="R85" s="10">
        <f>OPORTUNO!R85</f>
        <v>46</v>
      </c>
      <c r="S85" s="10">
        <f>OPORTUNO!S85</f>
        <v>2273770</v>
      </c>
      <c r="T85" s="247">
        <f>OPORTUNO!T85</f>
        <v>859</v>
      </c>
      <c r="U85" s="247">
        <f>OPORTUNO!U85</f>
        <v>88183690</v>
      </c>
      <c r="V85" s="247">
        <f>OPORTUNO!V85</f>
        <v>859</v>
      </c>
      <c r="W85" s="247">
        <f>OPORTUNO!W85</f>
        <v>88183690</v>
      </c>
      <c r="X85" s="247">
        <f>OPORTUNO!X85</f>
        <v>0</v>
      </c>
      <c r="Y85" s="248">
        <f>OPORTUNO!Y85</f>
        <v>0</v>
      </c>
      <c r="Z85" s="1"/>
      <c r="AA85" s="69"/>
    </row>
    <row r="86" spans="1:27" ht="12" customHeight="1" x14ac:dyDescent="0.2">
      <c r="A86" s="1"/>
      <c r="B86" s="241">
        <f>OPORTUNO!B86</f>
        <v>46315</v>
      </c>
      <c r="C86" s="133">
        <f>OPORTUNO!C86</f>
        <v>2026102</v>
      </c>
      <c r="D86" s="107">
        <f>OPORTUNO!D86</f>
        <v>19</v>
      </c>
      <c r="E86" s="108" t="str">
        <f>OPORTUNO!E86</f>
        <v>23D</v>
      </c>
      <c r="F86" s="109" t="str">
        <f>OPORTUNO!F86</f>
        <v>Occidente - Directa</v>
      </c>
      <c r="G86" s="110">
        <f>OPORTUNO!G86</f>
        <v>13</v>
      </c>
      <c r="H86" s="111" t="str">
        <f>OPORTUNO!H86</f>
        <v>T23 Directa - Transferencias</v>
      </c>
      <c r="I86" s="112">
        <f>OPORTUNO!I86</f>
        <v>230887267</v>
      </c>
      <c r="J86" s="9">
        <f>OPORTUNO!J86</f>
        <v>188</v>
      </c>
      <c r="K86" s="9">
        <f>OPORTUNO!K86</f>
        <v>51038260</v>
      </c>
      <c r="L86" s="9">
        <f>OPORTUNO!L86</f>
        <v>451</v>
      </c>
      <c r="M86" s="9">
        <f>OPORTUNO!M86</f>
        <v>65580570</v>
      </c>
      <c r="N86" s="9">
        <f>OPORTUNO!N86</f>
        <v>232</v>
      </c>
      <c r="O86" s="9">
        <f>OPORTUNO!O86</f>
        <v>52639260</v>
      </c>
      <c r="P86" s="9">
        <f>OPORTUNO!P86</f>
        <v>274</v>
      </c>
      <c r="Q86" s="9">
        <f>OPORTUNO!Q86</f>
        <v>44004440</v>
      </c>
      <c r="R86" s="9">
        <f>OPORTUNO!R86</f>
        <v>173</v>
      </c>
      <c r="S86" s="9">
        <f>OPORTUNO!S86</f>
        <v>30531016</v>
      </c>
      <c r="T86" s="249">
        <f>OPORTUNO!T86</f>
        <v>1318</v>
      </c>
      <c r="U86" s="249">
        <f>OPORTUNO!U86</f>
        <v>243793546</v>
      </c>
      <c r="V86" s="249">
        <f>OPORTUNO!V86</f>
        <v>1318</v>
      </c>
      <c r="W86" s="249">
        <f>OPORTUNO!W86</f>
        <v>243793546</v>
      </c>
      <c r="X86" s="249">
        <f>OPORTUNO!X86</f>
        <v>0</v>
      </c>
      <c r="Y86" s="250">
        <f>OPORTUNO!Y86</f>
        <v>0</v>
      </c>
      <c r="Z86" s="1"/>
      <c r="AA86" s="69"/>
    </row>
    <row r="87" spans="1:27" ht="12" customHeight="1" thickBot="1" x14ac:dyDescent="0.25">
      <c r="A87" s="1"/>
      <c r="B87" s="242">
        <f>OPORTUNO!B87</f>
        <v>46315</v>
      </c>
      <c r="C87" s="134">
        <f>OPORTUNO!C87</f>
        <v>2026102</v>
      </c>
      <c r="D87" s="113">
        <f>OPORTUNO!D87</f>
        <v>19</v>
      </c>
      <c r="E87" s="114" t="str">
        <f>OPORTUNO!E87</f>
        <v>23D</v>
      </c>
      <c r="F87" s="115" t="str">
        <f>OPORTUNO!F87</f>
        <v>Occidente - Directa</v>
      </c>
      <c r="G87" s="116">
        <f>OPORTUNO!G87</f>
        <v>14</v>
      </c>
      <c r="H87" s="117" t="str">
        <f>OPORTUNO!H87</f>
        <v>O23 Directa - Oficinas</v>
      </c>
      <c r="I87" s="118">
        <f>OPORTUNO!I87</f>
        <v>230887267</v>
      </c>
      <c r="J87" s="119">
        <f>OPORTUNO!J87</f>
        <v>88</v>
      </c>
      <c r="K87" s="119">
        <f>OPORTUNO!K87</f>
        <v>45954808</v>
      </c>
      <c r="L87" s="119">
        <f>OPORTUNO!L87</f>
        <v>127</v>
      </c>
      <c r="M87" s="119">
        <f>OPORTUNO!M87</f>
        <v>64065869</v>
      </c>
      <c r="N87" s="119">
        <f>OPORTUNO!N87</f>
        <v>20</v>
      </c>
      <c r="O87" s="119">
        <f>OPORTUNO!O87</f>
        <v>7428209</v>
      </c>
      <c r="P87" s="119">
        <f>OPORTUNO!P87</f>
        <v>126</v>
      </c>
      <c r="Q87" s="119">
        <f>OPORTUNO!Q87</f>
        <v>20201309</v>
      </c>
      <c r="R87" s="119">
        <f>OPORTUNO!R87</f>
        <v>86</v>
      </c>
      <c r="S87" s="119">
        <f>OPORTUNO!S87</f>
        <v>15421551</v>
      </c>
      <c r="T87" s="251">
        <f>OPORTUNO!T87</f>
        <v>447</v>
      </c>
      <c r="U87" s="251">
        <f>OPORTUNO!U87</f>
        <v>153071746</v>
      </c>
      <c r="V87" s="251">
        <f>OPORTUNO!V87</f>
        <v>447</v>
      </c>
      <c r="W87" s="251">
        <f>OPORTUNO!W87</f>
        <v>153071746</v>
      </c>
      <c r="X87" s="251">
        <f>OPORTUNO!X87</f>
        <v>0</v>
      </c>
      <c r="Y87" s="252">
        <f>OPORTUNO!Y87</f>
        <v>0</v>
      </c>
      <c r="Z87" s="1"/>
      <c r="AA87" s="69"/>
    </row>
    <row r="88" spans="1:27" s="45" customFormat="1" ht="12" customHeight="1" thickBot="1" x14ac:dyDescent="0.25">
      <c r="A88" s="3"/>
      <c r="B88" s="129" t="s">
        <v>0</v>
      </c>
      <c r="C88" s="131">
        <f>OPORTUNO!C88</f>
        <v>2026102</v>
      </c>
      <c r="D88" s="131"/>
      <c r="E88" s="121"/>
      <c r="F88" s="122" t="str">
        <f>OPORTUNO!F88</f>
        <v>TOTAL</v>
      </c>
      <c r="G88" s="122">
        <f>OPORTUNO!G88</f>
        <v>0</v>
      </c>
      <c r="H88" s="122">
        <f>OPORTUNO!H88</f>
        <v>0</v>
      </c>
      <c r="I88" s="122">
        <f>OPORTUNO!I88</f>
        <v>0</v>
      </c>
      <c r="J88" s="122">
        <f>OPORTUNO!J88</f>
        <v>343</v>
      </c>
      <c r="K88" s="122">
        <f>OPORTUNO!K88</f>
        <v>101526748</v>
      </c>
      <c r="L88" s="122">
        <f>OPORTUNO!L88</f>
        <v>1014</v>
      </c>
      <c r="M88" s="122">
        <f>OPORTUNO!M88</f>
        <v>177113299</v>
      </c>
      <c r="N88" s="122">
        <f>OPORTUNO!N88</f>
        <v>346</v>
      </c>
      <c r="O88" s="122">
        <f>OPORTUNO!O88</f>
        <v>66942919</v>
      </c>
      <c r="P88" s="122">
        <f>OPORTUNO!P88</f>
        <v>616</v>
      </c>
      <c r="Q88" s="122">
        <f>OPORTUNO!Q88</f>
        <v>91239679</v>
      </c>
      <c r="R88" s="122">
        <f>OPORTUNO!R88</f>
        <v>305</v>
      </c>
      <c r="S88" s="122">
        <f>OPORTUNO!S88</f>
        <v>48226337</v>
      </c>
      <c r="T88" s="122">
        <f>OPORTUNO!T88</f>
        <v>2624</v>
      </c>
      <c r="U88" s="122">
        <f>OPORTUNO!U88</f>
        <v>485048982</v>
      </c>
      <c r="V88" s="122">
        <f>OPORTUNO!V88</f>
        <v>2624</v>
      </c>
      <c r="W88" s="122">
        <f>OPORTUNO!W88</f>
        <v>485048982</v>
      </c>
      <c r="X88" s="122">
        <f>OPORTUNO!X88</f>
        <v>0</v>
      </c>
      <c r="Y88" s="253">
        <f>OPORTUNO!Y88</f>
        <v>0</v>
      </c>
      <c r="Z88" s="3"/>
      <c r="AA88" s="69"/>
    </row>
    <row r="89" spans="1:27" ht="12" customHeight="1" x14ac:dyDescent="0.2">
      <c r="A89" s="1"/>
      <c r="B89" s="240">
        <f>OPORTUNO!B89</f>
        <v>0</v>
      </c>
      <c r="C89" s="132">
        <f>OPORTUNO!C89</f>
        <v>2026102</v>
      </c>
      <c r="D89" s="123">
        <f>OPORTUNO!D89</f>
        <v>20</v>
      </c>
      <c r="E89" s="124" t="str">
        <f>OPORTUNO!E89</f>
        <v>23D</v>
      </c>
      <c r="F89" s="125" t="str">
        <f>OPORTUNO!F89</f>
        <v>Occidente - Directa</v>
      </c>
      <c r="G89" s="126">
        <f>OPORTUNO!G89</f>
        <v>12</v>
      </c>
      <c r="H89" s="127" t="str">
        <f>OPORTUNO!H89</f>
        <v>H23 Directa - CNB - Baloto - Éxito</v>
      </c>
      <c r="I89" s="128">
        <f>OPORTUNO!I89</f>
        <v>230887267</v>
      </c>
      <c r="J89" s="10">
        <f>OPORTUNO!J89</f>
        <v>0</v>
      </c>
      <c r="K89" s="10">
        <f>OPORTUNO!K89</f>
        <v>0</v>
      </c>
      <c r="L89" s="10">
        <f>OPORTUNO!L89</f>
        <v>0</v>
      </c>
      <c r="M89" s="10">
        <f>OPORTUNO!M89</f>
        <v>0</v>
      </c>
      <c r="N89" s="10">
        <f>OPORTUNO!N89</f>
        <v>0</v>
      </c>
      <c r="O89" s="10">
        <f>OPORTUNO!O89</f>
        <v>0</v>
      </c>
      <c r="P89" s="10">
        <f>OPORTUNO!P89</f>
        <v>0</v>
      </c>
      <c r="Q89" s="10">
        <f>OPORTUNO!Q89</f>
        <v>0</v>
      </c>
      <c r="R89" s="10">
        <f>OPORTUNO!R89</f>
        <v>0</v>
      </c>
      <c r="S89" s="10">
        <f>OPORTUNO!S89</f>
        <v>0</v>
      </c>
      <c r="T89" s="247">
        <f>OPORTUNO!T89</f>
        <v>0</v>
      </c>
      <c r="U89" s="247">
        <f>OPORTUNO!U89</f>
        <v>0</v>
      </c>
      <c r="V89" s="247">
        <f>OPORTUNO!V89</f>
        <v>0</v>
      </c>
      <c r="W89" s="247">
        <f>OPORTUNO!W89</f>
        <v>0</v>
      </c>
      <c r="X89" s="247">
        <f>OPORTUNO!X89</f>
        <v>0</v>
      </c>
      <c r="Y89" s="248">
        <f>OPORTUNO!Y89</f>
        <v>0</v>
      </c>
      <c r="Z89" s="1"/>
      <c r="AA89" s="69"/>
    </row>
    <row r="90" spans="1:27" ht="12" customHeight="1" x14ac:dyDescent="0.2">
      <c r="A90" s="1"/>
      <c r="B90" s="241">
        <f>OPORTUNO!B90</f>
        <v>0</v>
      </c>
      <c r="C90" s="133">
        <f>OPORTUNO!C90</f>
        <v>2026102</v>
      </c>
      <c r="D90" s="107">
        <f>OPORTUNO!D90</f>
        <v>20</v>
      </c>
      <c r="E90" s="108" t="str">
        <f>OPORTUNO!E90</f>
        <v>23D</v>
      </c>
      <c r="F90" s="109" t="str">
        <f>OPORTUNO!F90</f>
        <v>Occidente - Directa</v>
      </c>
      <c r="G90" s="110">
        <f>OPORTUNO!G90</f>
        <v>13</v>
      </c>
      <c r="H90" s="111" t="str">
        <f>OPORTUNO!H90</f>
        <v>T23 Directa - Transferencias</v>
      </c>
      <c r="I90" s="112">
        <f>OPORTUNO!I90</f>
        <v>230887267</v>
      </c>
      <c r="J90" s="9">
        <f>OPORTUNO!J90</f>
        <v>0</v>
      </c>
      <c r="K90" s="9">
        <f>OPORTUNO!K90</f>
        <v>0</v>
      </c>
      <c r="L90" s="9">
        <f>OPORTUNO!L90</f>
        <v>0</v>
      </c>
      <c r="M90" s="9">
        <f>OPORTUNO!M90</f>
        <v>0</v>
      </c>
      <c r="N90" s="9">
        <f>OPORTUNO!N90</f>
        <v>0</v>
      </c>
      <c r="O90" s="9">
        <f>OPORTUNO!O90</f>
        <v>0</v>
      </c>
      <c r="P90" s="9">
        <f>OPORTUNO!P90</f>
        <v>0</v>
      </c>
      <c r="Q90" s="9">
        <f>OPORTUNO!Q90</f>
        <v>0</v>
      </c>
      <c r="R90" s="9">
        <f>OPORTUNO!R90</f>
        <v>0</v>
      </c>
      <c r="S90" s="9">
        <f>OPORTUNO!S90</f>
        <v>0</v>
      </c>
      <c r="T90" s="249">
        <f>OPORTUNO!T90</f>
        <v>0</v>
      </c>
      <c r="U90" s="249">
        <f>OPORTUNO!U90</f>
        <v>0</v>
      </c>
      <c r="V90" s="249">
        <f>OPORTUNO!V90</f>
        <v>0</v>
      </c>
      <c r="W90" s="249">
        <f>OPORTUNO!W90</f>
        <v>0</v>
      </c>
      <c r="X90" s="249">
        <f>OPORTUNO!X90</f>
        <v>0</v>
      </c>
      <c r="Y90" s="250">
        <f>OPORTUNO!Y90</f>
        <v>0</v>
      </c>
      <c r="Z90" s="1"/>
      <c r="AA90" s="69"/>
    </row>
    <row r="91" spans="1:27" ht="12" customHeight="1" thickBot="1" x14ac:dyDescent="0.25">
      <c r="A91" s="1"/>
      <c r="B91" s="242">
        <f>OPORTUNO!B91</f>
        <v>0</v>
      </c>
      <c r="C91" s="134">
        <f>OPORTUNO!C91</f>
        <v>2026102</v>
      </c>
      <c r="D91" s="113">
        <f>OPORTUNO!D91</f>
        <v>20</v>
      </c>
      <c r="E91" s="114" t="str">
        <f>OPORTUNO!E91</f>
        <v>23D</v>
      </c>
      <c r="F91" s="115" t="str">
        <f>OPORTUNO!F91</f>
        <v>Occidente - Directa</v>
      </c>
      <c r="G91" s="116">
        <f>OPORTUNO!G91</f>
        <v>14</v>
      </c>
      <c r="H91" s="117" t="str">
        <f>OPORTUNO!H91</f>
        <v>O23 Directa - Oficinas</v>
      </c>
      <c r="I91" s="118">
        <f>OPORTUNO!I91</f>
        <v>230887267</v>
      </c>
      <c r="J91" s="119">
        <f>OPORTUNO!J91</f>
        <v>0</v>
      </c>
      <c r="K91" s="119">
        <f>OPORTUNO!K91</f>
        <v>0</v>
      </c>
      <c r="L91" s="119">
        <f>OPORTUNO!L91</f>
        <v>0</v>
      </c>
      <c r="M91" s="119">
        <f>OPORTUNO!M91</f>
        <v>0</v>
      </c>
      <c r="N91" s="119">
        <f>OPORTUNO!N91</f>
        <v>0</v>
      </c>
      <c r="O91" s="119">
        <f>OPORTUNO!O91</f>
        <v>0</v>
      </c>
      <c r="P91" s="119">
        <f>OPORTUNO!P91</f>
        <v>0</v>
      </c>
      <c r="Q91" s="119">
        <f>OPORTUNO!Q91</f>
        <v>0</v>
      </c>
      <c r="R91" s="119">
        <f>OPORTUNO!R91</f>
        <v>0</v>
      </c>
      <c r="S91" s="119">
        <f>OPORTUNO!S91</f>
        <v>0</v>
      </c>
      <c r="T91" s="120">
        <f>OPORTUNO!T91</f>
        <v>0</v>
      </c>
      <c r="U91" s="120">
        <f>OPORTUNO!U91</f>
        <v>0</v>
      </c>
      <c r="V91" s="120">
        <f>OPORTUNO!V91</f>
        <v>0</v>
      </c>
      <c r="W91" s="120">
        <f>OPORTUNO!W91</f>
        <v>0</v>
      </c>
      <c r="X91" s="120">
        <f>OPORTUNO!X91</f>
        <v>0</v>
      </c>
      <c r="Y91" s="252">
        <f>OPORTUNO!Y91</f>
        <v>0</v>
      </c>
      <c r="Z91" s="1"/>
      <c r="AA91" s="69"/>
    </row>
    <row r="92" spans="1:27" s="45" customFormat="1" ht="12" customHeight="1" thickBot="1" x14ac:dyDescent="0.25">
      <c r="A92" s="3"/>
      <c r="B92" s="129" t="s">
        <v>0</v>
      </c>
      <c r="C92" s="131">
        <f>OPORTUNO!C92</f>
        <v>2026102</v>
      </c>
      <c r="D92" s="131"/>
      <c r="E92" s="121"/>
      <c r="F92" s="122" t="str">
        <f>OPORTUNO!F92</f>
        <v>TOTAL</v>
      </c>
      <c r="G92" s="122">
        <f>OPORTUNO!G92</f>
        <v>0</v>
      </c>
      <c r="H92" s="122">
        <f>OPORTUNO!H92</f>
        <v>0</v>
      </c>
      <c r="I92" s="122">
        <f>OPORTUNO!I92</f>
        <v>0</v>
      </c>
      <c r="J92" s="122">
        <f>OPORTUNO!J92</f>
        <v>0</v>
      </c>
      <c r="K92" s="122">
        <f>OPORTUNO!K92</f>
        <v>0</v>
      </c>
      <c r="L92" s="122">
        <f>OPORTUNO!L92</f>
        <v>0</v>
      </c>
      <c r="M92" s="122">
        <f>OPORTUNO!M92</f>
        <v>0</v>
      </c>
      <c r="N92" s="122">
        <f>OPORTUNO!N92</f>
        <v>0</v>
      </c>
      <c r="O92" s="122">
        <f>OPORTUNO!O92</f>
        <v>0</v>
      </c>
      <c r="P92" s="122">
        <f>OPORTUNO!P92</f>
        <v>0</v>
      </c>
      <c r="Q92" s="122">
        <f>OPORTUNO!Q92</f>
        <v>0</v>
      </c>
      <c r="R92" s="122">
        <f>OPORTUNO!R92</f>
        <v>0</v>
      </c>
      <c r="S92" s="122">
        <f>OPORTUNO!S92</f>
        <v>0</v>
      </c>
      <c r="T92" s="122">
        <f>OPORTUNO!T92</f>
        <v>0</v>
      </c>
      <c r="U92" s="122">
        <f>OPORTUNO!U92</f>
        <v>0</v>
      </c>
      <c r="V92" s="122">
        <f>OPORTUNO!V92</f>
        <v>0</v>
      </c>
      <c r="W92" s="122">
        <f>OPORTUNO!W92</f>
        <v>0</v>
      </c>
      <c r="X92" s="122">
        <f>OPORTUNO!X92</f>
        <v>0</v>
      </c>
      <c r="Y92" s="253">
        <f>OPORTUNO!Y92</f>
        <v>0</v>
      </c>
      <c r="Z92" s="3"/>
      <c r="AA92" s="69"/>
    </row>
    <row r="93" spans="1:27" ht="12" customHeight="1" x14ac:dyDescent="0.2">
      <c r="A93" s="1"/>
      <c r="B93" s="240">
        <f>OPORTUNO!B93</f>
        <v>0</v>
      </c>
      <c r="C93" s="132">
        <f>OPORTUNO!C93</f>
        <v>2026102</v>
      </c>
      <c r="D93" s="123">
        <f>OPORTUNO!D93</f>
        <v>21</v>
      </c>
      <c r="E93" s="124" t="str">
        <f>OPORTUNO!E93</f>
        <v>23D</v>
      </c>
      <c r="F93" s="125" t="str">
        <f>OPORTUNO!F93</f>
        <v>Occidente - Directa</v>
      </c>
      <c r="G93" s="126">
        <f>OPORTUNO!G93</f>
        <v>12</v>
      </c>
      <c r="H93" s="127" t="str">
        <f>OPORTUNO!H93</f>
        <v>H23 Directa - CNB - Baloto - Éxito</v>
      </c>
      <c r="I93" s="128">
        <f>OPORTUNO!I93</f>
        <v>230887267</v>
      </c>
      <c r="J93" s="10">
        <f>OPORTUNO!J93</f>
        <v>0</v>
      </c>
      <c r="K93" s="10">
        <f>OPORTUNO!K93</f>
        <v>0</v>
      </c>
      <c r="L93" s="10">
        <f>OPORTUNO!L93</f>
        <v>0</v>
      </c>
      <c r="M93" s="10">
        <f>OPORTUNO!M93</f>
        <v>0</v>
      </c>
      <c r="N93" s="10">
        <f>OPORTUNO!N93</f>
        <v>0</v>
      </c>
      <c r="O93" s="10">
        <f>OPORTUNO!O93</f>
        <v>0</v>
      </c>
      <c r="P93" s="10">
        <f>OPORTUNO!P93</f>
        <v>0</v>
      </c>
      <c r="Q93" s="10">
        <f>OPORTUNO!Q93</f>
        <v>0</v>
      </c>
      <c r="R93" s="10">
        <f>OPORTUNO!R93</f>
        <v>0</v>
      </c>
      <c r="S93" s="10">
        <f>OPORTUNO!S93</f>
        <v>0</v>
      </c>
      <c r="T93" s="247">
        <f>OPORTUNO!T93</f>
        <v>0</v>
      </c>
      <c r="U93" s="247">
        <f>OPORTUNO!U93</f>
        <v>0</v>
      </c>
      <c r="V93" s="247">
        <f>OPORTUNO!V93</f>
        <v>0</v>
      </c>
      <c r="W93" s="247">
        <f>OPORTUNO!W93</f>
        <v>0</v>
      </c>
      <c r="X93" s="62">
        <f>OPORTUNO!X93</f>
        <v>0</v>
      </c>
      <c r="Y93" s="248">
        <f>OPORTUNO!Y93</f>
        <v>0</v>
      </c>
      <c r="Z93" s="1"/>
      <c r="AA93" s="69"/>
    </row>
    <row r="94" spans="1:27" ht="12" customHeight="1" x14ac:dyDescent="0.2">
      <c r="A94" s="1"/>
      <c r="B94" s="241">
        <f>OPORTUNO!B94</f>
        <v>0</v>
      </c>
      <c r="C94" s="133">
        <f>OPORTUNO!C94</f>
        <v>2026102</v>
      </c>
      <c r="D94" s="107">
        <f>OPORTUNO!D94</f>
        <v>21</v>
      </c>
      <c r="E94" s="108" t="str">
        <f>OPORTUNO!E94</f>
        <v>23D</v>
      </c>
      <c r="F94" s="109" t="str">
        <f>OPORTUNO!F94</f>
        <v>Occidente - Directa</v>
      </c>
      <c r="G94" s="110">
        <f>OPORTUNO!G94</f>
        <v>13</v>
      </c>
      <c r="H94" s="111" t="str">
        <f>OPORTUNO!H94</f>
        <v>T23 Directa - Transferencias</v>
      </c>
      <c r="I94" s="112">
        <f>OPORTUNO!I94</f>
        <v>230887267</v>
      </c>
      <c r="J94" s="9">
        <f>OPORTUNO!J94</f>
        <v>0</v>
      </c>
      <c r="K94" s="9">
        <f>OPORTUNO!K94</f>
        <v>0</v>
      </c>
      <c r="L94" s="9">
        <f>OPORTUNO!L94</f>
        <v>0</v>
      </c>
      <c r="M94" s="9">
        <f>OPORTUNO!M94</f>
        <v>0</v>
      </c>
      <c r="N94" s="9">
        <f>OPORTUNO!N94</f>
        <v>0</v>
      </c>
      <c r="O94" s="9">
        <f>OPORTUNO!O94</f>
        <v>0</v>
      </c>
      <c r="P94" s="9">
        <f>OPORTUNO!P94</f>
        <v>0</v>
      </c>
      <c r="Q94" s="9">
        <f>OPORTUNO!Q94</f>
        <v>0</v>
      </c>
      <c r="R94" s="9">
        <f>OPORTUNO!R94</f>
        <v>0</v>
      </c>
      <c r="S94" s="9">
        <f>OPORTUNO!S94</f>
        <v>0</v>
      </c>
      <c r="T94" s="46">
        <f>OPORTUNO!T94</f>
        <v>0</v>
      </c>
      <c r="U94" s="46">
        <f>OPORTUNO!U94</f>
        <v>0</v>
      </c>
      <c r="V94" s="46">
        <f>OPORTUNO!V94</f>
        <v>0</v>
      </c>
      <c r="W94" s="46">
        <f>OPORTUNO!W94</f>
        <v>0</v>
      </c>
      <c r="X94" s="46">
        <f>OPORTUNO!X94</f>
        <v>0</v>
      </c>
      <c r="Y94" s="250">
        <f>OPORTUNO!Y94</f>
        <v>0</v>
      </c>
      <c r="Z94" s="1"/>
      <c r="AA94" s="69"/>
    </row>
    <row r="95" spans="1:27" ht="12" customHeight="1" thickBot="1" x14ac:dyDescent="0.25">
      <c r="A95" s="1"/>
      <c r="B95" s="242">
        <f>OPORTUNO!B95</f>
        <v>0</v>
      </c>
      <c r="C95" s="134">
        <f>OPORTUNO!C95</f>
        <v>2026102</v>
      </c>
      <c r="D95" s="113">
        <f>OPORTUNO!D95</f>
        <v>21</v>
      </c>
      <c r="E95" s="114" t="str">
        <f>OPORTUNO!E95</f>
        <v>23D</v>
      </c>
      <c r="F95" s="115" t="str">
        <f>OPORTUNO!F95</f>
        <v>Occidente - Directa</v>
      </c>
      <c r="G95" s="116">
        <f>OPORTUNO!G95</f>
        <v>14</v>
      </c>
      <c r="H95" s="117" t="str">
        <f>OPORTUNO!H95</f>
        <v>O23 Directa - Oficinas</v>
      </c>
      <c r="I95" s="118">
        <f>OPORTUNO!I95</f>
        <v>230887267</v>
      </c>
      <c r="J95" s="119">
        <f>OPORTUNO!J95</f>
        <v>0</v>
      </c>
      <c r="K95" s="119">
        <f>OPORTUNO!K95</f>
        <v>0</v>
      </c>
      <c r="L95" s="119">
        <f>OPORTUNO!L95</f>
        <v>0</v>
      </c>
      <c r="M95" s="119">
        <f>OPORTUNO!M95</f>
        <v>0</v>
      </c>
      <c r="N95" s="119">
        <f>OPORTUNO!N95</f>
        <v>0</v>
      </c>
      <c r="O95" s="119">
        <f>OPORTUNO!O95</f>
        <v>0</v>
      </c>
      <c r="P95" s="119">
        <f>OPORTUNO!P95</f>
        <v>0</v>
      </c>
      <c r="Q95" s="119">
        <f>OPORTUNO!Q95</f>
        <v>0</v>
      </c>
      <c r="R95" s="119">
        <f>OPORTUNO!R95</f>
        <v>0</v>
      </c>
      <c r="S95" s="119">
        <f>OPORTUNO!S95</f>
        <v>0</v>
      </c>
      <c r="T95" s="120">
        <f>OPORTUNO!T95</f>
        <v>0</v>
      </c>
      <c r="U95" s="120">
        <f>OPORTUNO!U95</f>
        <v>0</v>
      </c>
      <c r="V95" s="120">
        <f>OPORTUNO!V95</f>
        <v>0</v>
      </c>
      <c r="W95" s="120">
        <f>OPORTUNO!W95</f>
        <v>0</v>
      </c>
      <c r="X95" s="120">
        <f>OPORTUNO!X95</f>
        <v>0</v>
      </c>
      <c r="Y95" s="252">
        <f>OPORTUNO!Y95</f>
        <v>0</v>
      </c>
      <c r="Z95" s="1"/>
      <c r="AA95" s="69"/>
    </row>
    <row r="96" spans="1:27" s="45" customFormat="1" ht="12" customHeight="1" thickBot="1" x14ac:dyDescent="0.25">
      <c r="A96" s="3"/>
      <c r="B96" s="129" t="s">
        <v>0</v>
      </c>
      <c r="C96" s="131">
        <f>OPORTUNO!C96</f>
        <v>2026102</v>
      </c>
      <c r="D96" s="131"/>
      <c r="E96" s="121"/>
      <c r="F96" s="122" t="str">
        <f>OPORTUNO!F96</f>
        <v>TOTAL</v>
      </c>
      <c r="G96" s="122">
        <f>OPORTUNO!G96</f>
        <v>0</v>
      </c>
      <c r="H96" s="122">
        <f>OPORTUNO!H96</f>
        <v>0</v>
      </c>
      <c r="I96" s="122">
        <f>OPORTUNO!I96</f>
        <v>0</v>
      </c>
      <c r="J96" s="122">
        <f>OPORTUNO!J96</f>
        <v>0</v>
      </c>
      <c r="K96" s="122">
        <f>OPORTUNO!K96</f>
        <v>0</v>
      </c>
      <c r="L96" s="122">
        <f>OPORTUNO!L96</f>
        <v>0</v>
      </c>
      <c r="M96" s="122">
        <f>OPORTUNO!M96</f>
        <v>0</v>
      </c>
      <c r="N96" s="122">
        <f>OPORTUNO!N96</f>
        <v>0</v>
      </c>
      <c r="O96" s="122">
        <f>OPORTUNO!O96</f>
        <v>0</v>
      </c>
      <c r="P96" s="122">
        <f>OPORTUNO!P96</f>
        <v>0</v>
      </c>
      <c r="Q96" s="122">
        <f>OPORTUNO!Q96</f>
        <v>0</v>
      </c>
      <c r="R96" s="122">
        <f>OPORTUNO!R96</f>
        <v>0</v>
      </c>
      <c r="S96" s="122">
        <f>OPORTUNO!S96</f>
        <v>0</v>
      </c>
      <c r="T96" s="122">
        <f>OPORTUNO!T96</f>
        <v>0</v>
      </c>
      <c r="U96" s="122">
        <f>OPORTUNO!U96</f>
        <v>0</v>
      </c>
      <c r="V96" s="122">
        <f>OPORTUNO!V96</f>
        <v>0</v>
      </c>
      <c r="W96" s="122">
        <f>OPORTUNO!W96</f>
        <v>0</v>
      </c>
      <c r="X96" s="122">
        <f>OPORTUNO!X96</f>
        <v>0</v>
      </c>
      <c r="Y96" s="253">
        <f>OPORTUNO!Y96</f>
        <v>0</v>
      </c>
      <c r="Z96" s="3"/>
      <c r="AA96" s="69"/>
    </row>
    <row r="97" spans="1:27" ht="12" customHeight="1" x14ac:dyDescent="0.2">
      <c r="A97" s="1"/>
      <c r="B97" s="240">
        <f>OPORTUNO!B97</f>
        <v>0</v>
      </c>
      <c r="C97" s="132">
        <f>OPORTUNO!C97</f>
        <v>2026102</v>
      </c>
      <c r="D97" s="123">
        <f>OPORTUNO!D97</f>
        <v>22</v>
      </c>
      <c r="E97" s="124" t="str">
        <f>OPORTUNO!E97</f>
        <v>23D</v>
      </c>
      <c r="F97" s="125" t="str">
        <f>OPORTUNO!F97</f>
        <v>Occidente - Directa</v>
      </c>
      <c r="G97" s="126">
        <f>OPORTUNO!G97</f>
        <v>12</v>
      </c>
      <c r="H97" s="127" t="str">
        <f>OPORTUNO!H97</f>
        <v>H23 Directa - CNB - Baloto - Éxito</v>
      </c>
      <c r="I97" s="128">
        <f>OPORTUNO!I97</f>
        <v>230887267</v>
      </c>
      <c r="J97" s="10">
        <f>OPORTUNO!J97</f>
        <v>0</v>
      </c>
      <c r="K97" s="10">
        <f>OPORTUNO!K97</f>
        <v>0</v>
      </c>
      <c r="L97" s="10">
        <f>OPORTUNO!L97</f>
        <v>0</v>
      </c>
      <c r="M97" s="10">
        <f>OPORTUNO!M97</f>
        <v>0</v>
      </c>
      <c r="N97" s="10">
        <f>OPORTUNO!N97</f>
        <v>0</v>
      </c>
      <c r="O97" s="10">
        <f>OPORTUNO!O97</f>
        <v>0</v>
      </c>
      <c r="P97" s="10">
        <f>OPORTUNO!P97</f>
        <v>0</v>
      </c>
      <c r="Q97" s="10">
        <f>OPORTUNO!Q97</f>
        <v>0</v>
      </c>
      <c r="R97" s="10">
        <f>OPORTUNO!R97</f>
        <v>0</v>
      </c>
      <c r="S97" s="10">
        <f>OPORTUNO!S97</f>
        <v>0</v>
      </c>
      <c r="T97" s="62">
        <f>OPORTUNO!T97</f>
        <v>0</v>
      </c>
      <c r="U97" s="62">
        <f>OPORTUNO!U97</f>
        <v>0</v>
      </c>
      <c r="V97" s="62">
        <f>OPORTUNO!V97</f>
        <v>0</v>
      </c>
      <c r="W97" s="62">
        <f>OPORTUNO!W97</f>
        <v>0</v>
      </c>
      <c r="X97" s="62">
        <f>OPORTUNO!X97</f>
        <v>0</v>
      </c>
      <c r="Y97" s="248">
        <f>OPORTUNO!Y97</f>
        <v>0</v>
      </c>
      <c r="Z97" s="1"/>
      <c r="AA97" s="69"/>
    </row>
    <row r="98" spans="1:27" ht="12" customHeight="1" x14ac:dyDescent="0.2">
      <c r="A98" s="1"/>
      <c r="B98" s="241">
        <f>OPORTUNO!B98</f>
        <v>0</v>
      </c>
      <c r="C98" s="133">
        <f>OPORTUNO!C98</f>
        <v>2026102</v>
      </c>
      <c r="D98" s="107">
        <f>OPORTUNO!D98</f>
        <v>22</v>
      </c>
      <c r="E98" s="108" t="str">
        <f>OPORTUNO!E98</f>
        <v>23D</v>
      </c>
      <c r="F98" s="109" t="str">
        <f>OPORTUNO!F98</f>
        <v>Occidente - Directa</v>
      </c>
      <c r="G98" s="110">
        <f>OPORTUNO!G98</f>
        <v>13</v>
      </c>
      <c r="H98" s="111" t="str">
        <f>OPORTUNO!H98</f>
        <v>T23 Directa - Transferencias</v>
      </c>
      <c r="I98" s="112">
        <f>OPORTUNO!I98</f>
        <v>230887267</v>
      </c>
      <c r="J98" s="9">
        <f>OPORTUNO!J98</f>
        <v>0</v>
      </c>
      <c r="K98" s="9">
        <f>OPORTUNO!K98</f>
        <v>0</v>
      </c>
      <c r="L98" s="9">
        <f>OPORTUNO!L98</f>
        <v>0</v>
      </c>
      <c r="M98" s="9">
        <f>OPORTUNO!M98</f>
        <v>0</v>
      </c>
      <c r="N98" s="9">
        <f>OPORTUNO!N98</f>
        <v>0</v>
      </c>
      <c r="O98" s="9">
        <f>OPORTUNO!O98</f>
        <v>0</v>
      </c>
      <c r="P98" s="9">
        <f>OPORTUNO!P98</f>
        <v>0</v>
      </c>
      <c r="Q98" s="9">
        <f>OPORTUNO!Q98</f>
        <v>0</v>
      </c>
      <c r="R98" s="9">
        <f>OPORTUNO!R98</f>
        <v>0</v>
      </c>
      <c r="S98" s="9">
        <f>OPORTUNO!S98</f>
        <v>0</v>
      </c>
      <c r="T98" s="46">
        <f>OPORTUNO!T98</f>
        <v>0</v>
      </c>
      <c r="U98" s="46">
        <f>OPORTUNO!U98</f>
        <v>0</v>
      </c>
      <c r="V98" s="46">
        <f>OPORTUNO!V98</f>
        <v>0</v>
      </c>
      <c r="W98" s="46">
        <f>OPORTUNO!W98</f>
        <v>0</v>
      </c>
      <c r="X98" s="46">
        <f>OPORTUNO!X98</f>
        <v>0</v>
      </c>
      <c r="Y98" s="250">
        <f>OPORTUNO!Y98</f>
        <v>0</v>
      </c>
      <c r="Z98" s="1"/>
      <c r="AA98" s="69"/>
    </row>
    <row r="99" spans="1:27" ht="12" customHeight="1" thickBot="1" x14ac:dyDescent="0.25">
      <c r="A99" s="1"/>
      <c r="B99" s="242">
        <f>OPORTUNO!B99</f>
        <v>0</v>
      </c>
      <c r="C99" s="134">
        <f>OPORTUNO!C99</f>
        <v>2026102</v>
      </c>
      <c r="D99" s="113">
        <f>OPORTUNO!D99</f>
        <v>22</v>
      </c>
      <c r="E99" s="114" t="str">
        <f>OPORTUNO!E99</f>
        <v>23D</v>
      </c>
      <c r="F99" s="115" t="str">
        <f>OPORTUNO!F99</f>
        <v>Occidente - Directa</v>
      </c>
      <c r="G99" s="116">
        <f>OPORTUNO!G99</f>
        <v>14</v>
      </c>
      <c r="H99" s="117" t="str">
        <f>OPORTUNO!H99</f>
        <v>O23 Directa - Oficinas</v>
      </c>
      <c r="I99" s="118">
        <f>OPORTUNO!I99</f>
        <v>230887267</v>
      </c>
      <c r="J99" s="119">
        <f>OPORTUNO!J99</f>
        <v>0</v>
      </c>
      <c r="K99" s="119">
        <f>OPORTUNO!K99</f>
        <v>0</v>
      </c>
      <c r="L99" s="119">
        <f>OPORTUNO!L99</f>
        <v>0</v>
      </c>
      <c r="M99" s="119">
        <f>OPORTUNO!M99</f>
        <v>0</v>
      </c>
      <c r="N99" s="119">
        <f>OPORTUNO!N99</f>
        <v>0</v>
      </c>
      <c r="O99" s="119">
        <f>OPORTUNO!O99</f>
        <v>0</v>
      </c>
      <c r="P99" s="119">
        <f>OPORTUNO!P99</f>
        <v>0</v>
      </c>
      <c r="Q99" s="119">
        <f>OPORTUNO!Q99</f>
        <v>0</v>
      </c>
      <c r="R99" s="119">
        <f>OPORTUNO!R99</f>
        <v>0</v>
      </c>
      <c r="S99" s="119">
        <f>OPORTUNO!S99</f>
        <v>0</v>
      </c>
      <c r="T99" s="120">
        <f>OPORTUNO!T99</f>
        <v>0</v>
      </c>
      <c r="U99" s="120">
        <f>OPORTUNO!U99</f>
        <v>0</v>
      </c>
      <c r="V99" s="120">
        <f>OPORTUNO!V99</f>
        <v>0</v>
      </c>
      <c r="W99" s="120">
        <f>OPORTUNO!W99</f>
        <v>0</v>
      </c>
      <c r="X99" s="120">
        <f>OPORTUNO!X99</f>
        <v>0</v>
      </c>
      <c r="Y99" s="252">
        <f>OPORTUNO!Y99</f>
        <v>0</v>
      </c>
      <c r="Z99" s="1"/>
      <c r="AA99" s="69"/>
    </row>
    <row r="100" spans="1:27" s="45" customFormat="1" ht="12" customHeight="1" thickBot="1" x14ac:dyDescent="0.25">
      <c r="A100" s="3"/>
      <c r="B100" s="129" t="s">
        <v>0</v>
      </c>
      <c r="C100" s="131">
        <f>OPORTUNO!C100</f>
        <v>2026102</v>
      </c>
      <c r="D100" s="131"/>
      <c r="E100" s="121"/>
      <c r="F100" s="122" t="str">
        <f>OPORTUNO!F100</f>
        <v>TOTAL</v>
      </c>
      <c r="G100" s="122">
        <f>OPORTUNO!G100</f>
        <v>0</v>
      </c>
      <c r="H100" s="122">
        <f>OPORTUNO!H100</f>
        <v>0</v>
      </c>
      <c r="I100" s="122">
        <f>OPORTUNO!I100</f>
        <v>0</v>
      </c>
      <c r="J100" s="122">
        <f>OPORTUNO!J100</f>
        <v>0</v>
      </c>
      <c r="K100" s="122">
        <f>OPORTUNO!K100</f>
        <v>0</v>
      </c>
      <c r="L100" s="122">
        <f>OPORTUNO!L100</f>
        <v>0</v>
      </c>
      <c r="M100" s="122">
        <f>OPORTUNO!M100</f>
        <v>0</v>
      </c>
      <c r="N100" s="122">
        <f>OPORTUNO!N100</f>
        <v>0</v>
      </c>
      <c r="O100" s="122">
        <f>OPORTUNO!O100</f>
        <v>0</v>
      </c>
      <c r="P100" s="122">
        <f>OPORTUNO!P100</f>
        <v>0</v>
      </c>
      <c r="Q100" s="122">
        <f>OPORTUNO!Q100</f>
        <v>0</v>
      </c>
      <c r="R100" s="122">
        <f>OPORTUNO!R100</f>
        <v>0</v>
      </c>
      <c r="S100" s="122">
        <f>OPORTUNO!S100</f>
        <v>0</v>
      </c>
      <c r="T100" s="122">
        <f>OPORTUNO!T100</f>
        <v>0</v>
      </c>
      <c r="U100" s="122">
        <f>OPORTUNO!U100</f>
        <v>0</v>
      </c>
      <c r="V100" s="122">
        <f>OPORTUNO!V100</f>
        <v>0</v>
      </c>
      <c r="W100" s="122">
        <f>OPORTUNO!W100</f>
        <v>0</v>
      </c>
      <c r="X100" s="122">
        <f>OPORTUNO!X100</f>
        <v>0</v>
      </c>
      <c r="Y100" s="253">
        <f>OPORTUNO!Y100</f>
        <v>0</v>
      </c>
      <c r="Z100" s="3"/>
      <c r="AA100" s="69"/>
    </row>
    <row r="101" spans="1:27" ht="12" customHeight="1" x14ac:dyDescent="0.2">
      <c r="A101" s="1"/>
      <c r="B101" s="240">
        <f>OPORTUNO!B101</f>
        <v>0</v>
      </c>
      <c r="C101" s="132">
        <f>OPORTUNO!C101</f>
        <v>2026102</v>
      </c>
      <c r="D101" s="123">
        <f>OPORTUNO!D101</f>
        <v>23</v>
      </c>
      <c r="E101" s="124" t="str">
        <f>OPORTUNO!E101</f>
        <v>23D</v>
      </c>
      <c r="F101" s="125" t="str">
        <f>OPORTUNO!F101</f>
        <v>Occidente - Directa</v>
      </c>
      <c r="G101" s="126">
        <f>OPORTUNO!G101</f>
        <v>12</v>
      </c>
      <c r="H101" s="127" t="str">
        <f>OPORTUNO!H101</f>
        <v>H23 Directa - CNB - Baloto - Éxito</v>
      </c>
      <c r="I101" s="128">
        <f>OPORTUNO!I101</f>
        <v>230887267</v>
      </c>
      <c r="J101" s="10">
        <f>OPORTUNO!J101</f>
        <v>0</v>
      </c>
      <c r="K101" s="10">
        <f>OPORTUNO!K101</f>
        <v>0</v>
      </c>
      <c r="L101" s="10">
        <f>OPORTUNO!L101</f>
        <v>0</v>
      </c>
      <c r="M101" s="10">
        <f>OPORTUNO!M101</f>
        <v>0</v>
      </c>
      <c r="N101" s="10">
        <f>OPORTUNO!N101</f>
        <v>0</v>
      </c>
      <c r="O101" s="10">
        <f>OPORTUNO!O101</f>
        <v>0</v>
      </c>
      <c r="P101" s="10">
        <f>OPORTUNO!P101</f>
        <v>0</v>
      </c>
      <c r="Q101" s="10">
        <f>OPORTUNO!Q101</f>
        <v>0</v>
      </c>
      <c r="R101" s="10">
        <f>OPORTUNO!R101</f>
        <v>0</v>
      </c>
      <c r="S101" s="10">
        <f>OPORTUNO!S101</f>
        <v>0</v>
      </c>
      <c r="T101" s="62">
        <f>OPORTUNO!T101</f>
        <v>0</v>
      </c>
      <c r="U101" s="62">
        <f>OPORTUNO!U101</f>
        <v>0</v>
      </c>
      <c r="V101" s="62">
        <f>OPORTUNO!V101</f>
        <v>0</v>
      </c>
      <c r="W101" s="62">
        <f>OPORTUNO!W101</f>
        <v>0</v>
      </c>
      <c r="X101" s="62">
        <f>OPORTUNO!X101</f>
        <v>0</v>
      </c>
      <c r="Y101" s="248">
        <f>OPORTUNO!Y101</f>
        <v>0</v>
      </c>
      <c r="Z101" s="1"/>
      <c r="AA101" s="69"/>
    </row>
    <row r="102" spans="1:27" ht="12" customHeight="1" x14ac:dyDescent="0.2">
      <c r="A102" s="1"/>
      <c r="B102" s="241">
        <f>OPORTUNO!B102</f>
        <v>0</v>
      </c>
      <c r="C102" s="133">
        <f>OPORTUNO!C102</f>
        <v>2026102</v>
      </c>
      <c r="D102" s="107">
        <f>OPORTUNO!D102</f>
        <v>23</v>
      </c>
      <c r="E102" s="108" t="str">
        <f>OPORTUNO!E102</f>
        <v>23D</v>
      </c>
      <c r="F102" s="109" t="str">
        <f>OPORTUNO!F102</f>
        <v>Occidente - Directa</v>
      </c>
      <c r="G102" s="110">
        <f>OPORTUNO!G102</f>
        <v>13</v>
      </c>
      <c r="H102" s="111" t="str">
        <f>OPORTUNO!H102</f>
        <v>T23 Directa - Transferencias</v>
      </c>
      <c r="I102" s="112">
        <f>OPORTUNO!I102</f>
        <v>230887267</v>
      </c>
      <c r="J102" s="9">
        <f>OPORTUNO!J102</f>
        <v>0</v>
      </c>
      <c r="K102" s="9">
        <f>OPORTUNO!K102</f>
        <v>0</v>
      </c>
      <c r="L102" s="9">
        <f>OPORTUNO!L102</f>
        <v>0</v>
      </c>
      <c r="M102" s="9">
        <f>OPORTUNO!M102</f>
        <v>0</v>
      </c>
      <c r="N102" s="9">
        <f>OPORTUNO!N102</f>
        <v>0</v>
      </c>
      <c r="O102" s="9">
        <f>OPORTUNO!O102</f>
        <v>0</v>
      </c>
      <c r="P102" s="9">
        <f>OPORTUNO!P102</f>
        <v>0</v>
      </c>
      <c r="Q102" s="9">
        <f>OPORTUNO!Q102</f>
        <v>0</v>
      </c>
      <c r="R102" s="9">
        <f>OPORTUNO!R102</f>
        <v>0</v>
      </c>
      <c r="S102" s="9">
        <f>OPORTUNO!S102</f>
        <v>0</v>
      </c>
      <c r="T102" s="46">
        <f>OPORTUNO!T102</f>
        <v>0</v>
      </c>
      <c r="U102" s="46">
        <f>OPORTUNO!U102</f>
        <v>0</v>
      </c>
      <c r="V102" s="46">
        <f>OPORTUNO!V102</f>
        <v>0</v>
      </c>
      <c r="W102" s="46">
        <f>OPORTUNO!W102</f>
        <v>0</v>
      </c>
      <c r="X102" s="46">
        <f>OPORTUNO!X102</f>
        <v>0</v>
      </c>
      <c r="Y102" s="250">
        <f>OPORTUNO!Y102</f>
        <v>0</v>
      </c>
      <c r="Z102" s="1"/>
      <c r="AA102" s="69"/>
    </row>
    <row r="103" spans="1:27" ht="12" customHeight="1" thickBot="1" x14ac:dyDescent="0.25">
      <c r="A103" s="1"/>
      <c r="B103" s="242">
        <f>OPORTUNO!B103</f>
        <v>0</v>
      </c>
      <c r="C103" s="134">
        <f>OPORTUNO!C103</f>
        <v>2026102</v>
      </c>
      <c r="D103" s="113">
        <f>OPORTUNO!D103</f>
        <v>23</v>
      </c>
      <c r="E103" s="114" t="str">
        <f>OPORTUNO!E103</f>
        <v>23D</v>
      </c>
      <c r="F103" s="115" t="str">
        <f>OPORTUNO!F103</f>
        <v>Occidente - Directa</v>
      </c>
      <c r="G103" s="116">
        <f>OPORTUNO!G103</f>
        <v>14</v>
      </c>
      <c r="H103" s="117" t="str">
        <f>OPORTUNO!H103</f>
        <v>O23 Directa - Oficinas</v>
      </c>
      <c r="I103" s="118">
        <f>OPORTUNO!I103</f>
        <v>230887267</v>
      </c>
      <c r="J103" s="119">
        <f>OPORTUNO!J103</f>
        <v>0</v>
      </c>
      <c r="K103" s="119">
        <f>OPORTUNO!K103</f>
        <v>0</v>
      </c>
      <c r="L103" s="119">
        <f>OPORTUNO!L103</f>
        <v>0</v>
      </c>
      <c r="M103" s="119">
        <f>OPORTUNO!M103</f>
        <v>0</v>
      </c>
      <c r="N103" s="119">
        <f>OPORTUNO!N103</f>
        <v>0</v>
      </c>
      <c r="O103" s="119">
        <f>OPORTUNO!O103</f>
        <v>0</v>
      </c>
      <c r="P103" s="119">
        <f>OPORTUNO!P103</f>
        <v>0</v>
      </c>
      <c r="Q103" s="119">
        <f>OPORTUNO!Q103</f>
        <v>0</v>
      </c>
      <c r="R103" s="119">
        <f>OPORTUNO!R103</f>
        <v>0</v>
      </c>
      <c r="S103" s="119">
        <f>OPORTUNO!S103</f>
        <v>0</v>
      </c>
      <c r="T103" s="120">
        <f>OPORTUNO!T103</f>
        <v>0</v>
      </c>
      <c r="U103" s="120">
        <f>OPORTUNO!U103</f>
        <v>0</v>
      </c>
      <c r="V103" s="120">
        <f>OPORTUNO!V103</f>
        <v>0</v>
      </c>
      <c r="W103" s="120">
        <f>OPORTUNO!W103</f>
        <v>0</v>
      </c>
      <c r="X103" s="120">
        <f>OPORTUNO!X103</f>
        <v>0</v>
      </c>
      <c r="Y103" s="252">
        <f>OPORTUNO!Y103</f>
        <v>0</v>
      </c>
      <c r="Z103" s="1"/>
      <c r="AA103" s="69"/>
    </row>
    <row r="104" spans="1:27" s="45" customFormat="1" ht="12" customHeight="1" thickBot="1" x14ac:dyDescent="0.25">
      <c r="A104" s="3"/>
      <c r="B104" s="129" t="s">
        <v>0</v>
      </c>
      <c r="C104" s="131">
        <f>OPORTUNO!C104</f>
        <v>2026102</v>
      </c>
      <c r="D104" s="131"/>
      <c r="E104" s="121"/>
      <c r="F104" s="122" t="str">
        <f>OPORTUNO!F104</f>
        <v>TOTAL</v>
      </c>
      <c r="G104" s="122">
        <f>OPORTUNO!G104</f>
        <v>0</v>
      </c>
      <c r="H104" s="122">
        <f>OPORTUNO!H104</f>
        <v>0</v>
      </c>
      <c r="I104" s="122">
        <f>OPORTUNO!I104</f>
        <v>0</v>
      </c>
      <c r="J104" s="122">
        <f>OPORTUNO!J104</f>
        <v>0</v>
      </c>
      <c r="K104" s="122">
        <f>OPORTUNO!K104</f>
        <v>0</v>
      </c>
      <c r="L104" s="122">
        <f>OPORTUNO!L104</f>
        <v>0</v>
      </c>
      <c r="M104" s="122">
        <f>OPORTUNO!M104</f>
        <v>0</v>
      </c>
      <c r="N104" s="122">
        <f>OPORTUNO!N104</f>
        <v>0</v>
      </c>
      <c r="O104" s="122">
        <f>OPORTUNO!O104</f>
        <v>0</v>
      </c>
      <c r="P104" s="122">
        <f>OPORTUNO!P104</f>
        <v>0</v>
      </c>
      <c r="Q104" s="122">
        <f>OPORTUNO!Q104</f>
        <v>0</v>
      </c>
      <c r="R104" s="122">
        <f>OPORTUNO!R104</f>
        <v>0</v>
      </c>
      <c r="S104" s="122">
        <f>OPORTUNO!S104</f>
        <v>0</v>
      </c>
      <c r="T104" s="122">
        <f>OPORTUNO!T104</f>
        <v>0</v>
      </c>
      <c r="U104" s="122">
        <f>OPORTUNO!U104</f>
        <v>0</v>
      </c>
      <c r="V104" s="122">
        <f>OPORTUNO!V104</f>
        <v>0</v>
      </c>
      <c r="W104" s="122">
        <f>OPORTUNO!W104</f>
        <v>0</v>
      </c>
      <c r="X104" s="122">
        <f>OPORTUNO!X104</f>
        <v>0</v>
      </c>
      <c r="Y104" s="253">
        <f>OPORTUNO!Y104</f>
        <v>0</v>
      </c>
      <c r="Z104" s="3"/>
      <c r="AA104" s="69"/>
    </row>
    <row r="105" spans="1:27" ht="12" customHeight="1" x14ac:dyDescent="0.2">
      <c r="A105" s="1"/>
      <c r="B105" s="240">
        <f>OPORTUNO!B105</f>
        <v>0</v>
      </c>
      <c r="C105" s="132">
        <f>OPORTUNO!C105</f>
        <v>2026102</v>
      </c>
      <c r="D105" s="123">
        <f>OPORTUNO!D105</f>
        <v>24</v>
      </c>
      <c r="E105" s="124" t="str">
        <f>OPORTUNO!E105</f>
        <v>23D</v>
      </c>
      <c r="F105" s="125" t="str">
        <f>OPORTUNO!F105</f>
        <v>Occidente - Directa</v>
      </c>
      <c r="G105" s="126">
        <f>OPORTUNO!G105</f>
        <v>12</v>
      </c>
      <c r="H105" s="127" t="str">
        <f>OPORTUNO!H105</f>
        <v>H23 Directa - CNB - Baloto - Éxito</v>
      </c>
      <c r="I105" s="128">
        <f>OPORTUNO!I105</f>
        <v>230887267</v>
      </c>
      <c r="J105" s="10">
        <f>OPORTUNO!J105</f>
        <v>0</v>
      </c>
      <c r="K105" s="10">
        <f>OPORTUNO!K105</f>
        <v>0</v>
      </c>
      <c r="L105" s="10">
        <f>OPORTUNO!L105</f>
        <v>0</v>
      </c>
      <c r="M105" s="10">
        <f>OPORTUNO!M105</f>
        <v>0</v>
      </c>
      <c r="N105" s="10">
        <f>OPORTUNO!N105</f>
        <v>0</v>
      </c>
      <c r="O105" s="10">
        <f>OPORTUNO!O105</f>
        <v>0</v>
      </c>
      <c r="P105" s="10">
        <f>OPORTUNO!P105</f>
        <v>0</v>
      </c>
      <c r="Q105" s="10">
        <f>OPORTUNO!Q105</f>
        <v>0</v>
      </c>
      <c r="R105" s="10">
        <f>OPORTUNO!R105</f>
        <v>0</v>
      </c>
      <c r="S105" s="10">
        <f>OPORTUNO!S105</f>
        <v>0</v>
      </c>
      <c r="T105" s="62">
        <f>OPORTUNO!T105</f>
        <v>0</v>
      </c>
      <c r="U105" s="62">
        <f>OPORTUNO!U105</f>
        <v>0</v>
      </c>
      <c r="V105" s="62">
        <f>OPORTUNO!V105</f>
        <v>0</v>
      </c>
      <c r="W105" s="62">
        <f>OPORTUNO!W105</f>
        <v>0</v>
      </c>
      <c r="X105" s="62">
        <f>OPORTUNO!X105</f>
        <v>0</v>
      </c>
      <c r="Y105" s="248">
        <f>OPORTUNO!Y105</f>
        <v>0</v>
      </c>
      <c r="Z105" s="1"/>
      <c r="AA105" s="69"/>
    </row>
    <row r="106" spans="1:27" ht="12" customHeight="1" x14ac:dyDescent="0.2">
      <c r="A106" s="1"/>
      <c r="B106" s="241">
        <f>OPORTUNO!B106</f>
        <v>0</v>
      </c>
      <c r="C106" s="133">
        <f>OPORTUNO!C106</f>
        <v>2026102</v>
      </c>
      <c r="D106" s="107">
        <f>OPORTUNO!D106</f>
        <v>24</v>
      </c>
      <c r="E106" s="108" t="str">
        <f>OPORTUNO!E106</f>
        <v>23D</v>
      </c>
      <c r="F106" s="109" t="str">
        <f>OPORTUNO!F106</f>
        <v>Occidente - Directa</v>
      </c>
      <c r="G106" s="110">
        <f>OPORTUNO!G106</f>
        <v>13</v>
      </c>
      <c r="H106" s="111" t="str">
        <f>OPORTUNO!H106</f>
        <v>T23 Directa - Transferencias</v>
      </c>
      <c r="I106" s="112">
        <f>OPORTUNO!I106</f>
        <v>230887267</v>
      </c>
      <c r="J106" s="9">
        <f>OPORTUNO!J106</f>
        <v>0</v>
      </c>
      <c r="K106" s="9">
        <f>OPORTUNO!K106</f>
        <v>0</v>
      </c>
      <c r="L106" s="9">
        <f>OPORTUNO!L106</f>
        <v>0</v>
      </c>
      <c r="M106" s="9">
        <f>OPORTUNO!M106</f>
        <v>0</v>
      </c>
      <c r="N106" s="9">
        <f>OPORTUNO!N106</f>
        <v>0</v>
      </c>
      <c r="O106" s="9">
        <f>OPORTUNO!O106</f>
        <v>0</v>
      </c>
      <c r="P106" s="9">
        <f>OPORTUNO!P106</f>
        <v>0</v>
      </c>
      <c r="Q106" s="9">
        <f>OPORTUNO!Q106</f>
        <v>0</v>
      </c>
      <c r="R106" s="9">
        <f>OPORTUNO!R106</f>
        <v>0</v>
      </c>
      <c r="S106" s="9">
        <f>OPORTUNO!S106</f>
        <v>0</v>
      </c>
      <c r="T106" s="46">
        <f>OPORTUNO!T106</f>
        <v>0</v>
      </c>
      <c r="U106" s="46">
        <f>OPORTUNO!U106</f>
        <v>0</v>
      </c>
      <c r="V106" s="46">
        <f>OPORTUNO!V106</f>
        <v>0</v>
      </c>
      <c r="W106" s="46">
        <f>OPORTUNO!W106</f>
        <v>0</v>
      </c>
      <c r="X106" s="46">
        <f>OPORTUNO!X106</f>
        <v>0</v>
      </c>
      <c r="Y106" s="250">
        <f>OPORTUNO!Y106</f>
        <v>0</v>
      </c>
      <c r="Z106" s="1"/>
      <c r="AA106" s="69"/>
    </row>
    <row r="107" spans="1:27" ht="12" customHeight="1" thickBot="1" x14ac:dyDescent="0.25">
      <c r="A107" s="1"/>
      <c r="B107" s="241">
        <f>OPORTUNO!B107</f>
        <v>0</v>
      </c>
      <c r="C107" s="134">
        <f>OPORTUNO!C107</f>
        <v>2026102</v>
      </c>
      <c r="D107" s="113">
        <f>OPORTUNO!D107</f>
        <v>24</v>
      </c>
      <c r="E107" s="114" t="str">
        <f>OPORTUNO!E107</f>
        <v>23D</v>
      </c>
      <c r="F107" s="115" t="str">
        <f>OPORTUNO!F107</f>
        <v>Occidente - Directa</v>
      </c>
      <c r="G107" s="116">
        <f>OPORTUNO!G107</f>
        <v>14</v>
      </c>
      <c r="H107" s="117" t="str">
        <f>OPORTUNO!H107</f>
        <v>O23 Directa - Oficinas</v>
      </c>
      <c r="I107" s="118">
        <f>OPORTUNO!I107</f>
        <v>230887267</v>
      </c>
      <c r="J107" s="119">
        <f>OPORTUNO!J107</f>
        <v>0</v>
      </c>
      <c r="K107" s="119">
        <f>OPORTUNO!K107</f>
        <v>0</v>
      </c>
      <c r="L107" s="119">
        <f>OPORTUNO!L107</f>
        <v>0</v>
      </c>
      <c r="M107" s="119">
        <f>OPORTUNO!M107</f>
        <v>0</v>
      </c>
      <c r="N107" s="119">
        <f>OPORTUNO!N107</f>
        <v>0</v>
      </c>
      <c r="O107" s="119">
        <f>OPORTUNO!O107</f>
        <v>0</v>
      </c>
      <c r="P107" s="119">
        <f>OPORTUNO!P107</f>
        <v>0</v>
      </c>
      <c r="Q107" s="119">
        <f>OPORTUNO!Q107</f>
        <v>0</v>
      </c>
      <c r="R107" s="119">
        <f>OPORTUNO!R107</f>
        <v>0</v>
      </c>
      <c r="S107" s="119">
        <f>OPORTUNO!S107</f>
        <v>0</v>
      </c>
      <c r="T107" s="120">
        <f>OPORTUNO!T107</f>
        <v>0</v>
      </c>
      <c r="U107" s="120">
        <f>OPORTUNO!U107</f>
        <v>0</v>
      </c>
      <c r="V107" s="120">
        <f>OPORTUNO!V107</f>
        <v>0</v>
      </c>
      <c r="W107" s="120">
        <f>OPORTUNO!W107</f>
        <v>0</v>
      </c>
      <c r="X107" s="120">
        <f>OPORTUNO!X107</f>
        <v>0</v>
      </c>
      <c r="Y107" s="252">
        <f>OPORTUNO!Y107</f>
        <v>0</v>
      </c>
      <c r="Z107" s="1"/>
      <c r="AA107" s="69"/>
    </row>
    <row r="108" spans="1:27" s="45" customFormat="1" ht="12" customHeight="1" thickBot="1" x14ac:dyDescent="0.25">
      <c r="A108" s="3"/>
      <c r="B108" s="129" t="s">
        <v>0</v>
      </c>
      <c r="C108" s="131">
        <f>OPORTUNO!C108</f>
        <v>2026102</v>
      </c>
      <c r="D108" s="131"/>
      <c r="E108" s="121"/>
      <c r="F108" s="122" t="str">
        <f>OPORTUNO!F108</f>
        <v>TOTAL</v>
      </c>
      <c r="G108" s="122">
        <f>OPORTUNO!G108</f>
        <v>0</v>
      </c>
      <c r="H108" s="122">
        <f>OPORTUNO!H108</f>
        <v>0</v>
      </c>
      <c r="I108" s="122">
        <f>OPORTUNO!I108</f>
        <v>0</v>
      </c>
      <c r="J108" s="122">
        <f>OPORTUNO!J108</f>
        <v>0</v>
      </c>
      <c r="K108" s="122">
        <f>OPORTUNO!K108</f>
        <v>0</v>
      </c>
      <c r="L108" s="122">
        <f>OPORTUNO!L108</f>
        <v>0</v>
      </c>
      <c r="M108" s="122">
        <f>OPORTUNO!M108</f>
        <v>0</v>
      </c>
      <c r="N108" s="122">
        <f>OPORTUNO!N108</f>
        <v>0</v>
      </c>
      <c r="O108" s="122">
        <f>OPORTUNO!O108</f>
        <v>0</v>
      </c>
      <c r="P108" s="122">
        <f>OPORTUNO!P108</f>
        <v>0</v>
      </c>
      <c r="Q108" s="122">
        <f>OPORTUNO!Q108</f>
        <v>0</v>
      </c>
      <c r="R108" s="122">
        <f>OPORTUNO!R108</f>
        <v>0</v>
      </c>
      <c r="S108" s="122">
        <f>OPORTUNO!S108</f>
        <v>0</v>
      </c>
      <c r="T108" s="122">
        <f>OPORTUNO!T108</f>
        <v>0</v>
      </c>
      <c r="U108" s="122">
        <f>OPORTUNO!U108</f>
        <v>0</v>
      </c>
      <c r="V108" s="122">
        <f>OPORTUNO!V108</f>
        <v>0</v>
      </c>
      <c r="W108" s="122">
        <f>OPORTUNO!W108</f>
        <v>0</v>
      </c>
      <c r="X108" s="122">
        <f>OPORTUNO!X108</f>
        <v>0</v>
      </c>
      <c r="Y108" s="253">
        <f>OPORTUNO!Y108</f>
        <v>0</v>
      </c>
      <c r="Z108" s="3"/>
      <c r="AA108" s="69"/>
    </row>
    <row r="109" spans="1:27" ht="12" customHeight="1" x14ac:dyDescent="0.2">
      <c r="A109" s="1"/>
      <c r="B109" s="240">
        <f>OPORTUNO!B109</f>
        <v>0</v>
      </c>
      <c r="C109" s="132">
        <f>OPORTUNO!C109</f>
        <v>2026102</v>
      </c>
      <c r="D109" s="123">
        <f>OPORTUNO!D109</f>
        <v>25</v>
      </c>
      <c r="E109" s="124" t="str">
        <f>OPORTUNO!E109</f>
        <v>23D</v>
      </c>
      <c r="F109" s="125" t="str">
        <f>OPORTUNO!F109</f>
        <v>Occidente - Directa</v>
      </c>
      <c r="G109" s="126">
        <f>OPORTUNO!G109</f>
        <v>12</v>
      </c>
      <c r="H109" s="127" t="str">
        <f>OPORTUNO!H109</f>
        <v>H23 Directa - CNB - Baloto - Éxito</v>
      </c>
      <c r="I109" s="128">
        <f>OPORTUNO!I109</f>
        <v>230887267</v>
      </c>
      <c r="J109" s="10">
        <f>OPORTUNO!J109</f>
        <v>0</v>
      </c>
      <c r="K109" s="10">
        <f>OPORTUNO!K109</f>
        <v>0</v>
      </c>
      <c r="L109" s="10">
        <f>OPORTUNO!L109</f>
        <v>0</v>
      </c>
      <c r="M109" s="10">
        <f>OPORTUNO!M109</f>
        <v>0</v>
      </c>
      <c r="N109" s="10">
        <f>OPORTUNO!N109</f>
        <v>0</v>
      </c>
      <c r="O109" s="10">
        <f>OPORTUNO!O109</f>
        <v>0</v>
      </c>
      <c r="P109" s="10">
        <f>OPORTUNO!P109</f>
        <v>0</v>
      </c>
      <c r="Q109" s="10">
        <f>OPORTUNO!Q109</f>
        <v>0</v>
      </c>
      <c r="R109" s="10">
        <f>OPORTUNO!R109</f>
        <v>0</v>
      </c>
      <c r="S109" s="10">
        <f>OPORTUNO!S109</f>
        <v>0</v>
      </c>
      <c r="T109" s="62">
        <f>OPORTUNO!T109</f>
        <v>0</v>
      </c>
      <c r="U109" s="62">
        <f>OPORTUNO!U109</f>
        <v>0</v>
      </c>
      <c r="V109" s="62">
        <f>OPORTUNO!V109</f>
        <v>0</v>
      </c>
      <c r="W109" s="62">
        <f>OPORTUNO!W109</f>
        <v>0</v>
      </c>
      <c r="X109" s="62">
        <f>OPORTUNO!X109</f>
        <v>0</v>
      </c>
      <c r="Y109" s="248">
        <f>OPORTUNO!Y109</f>
        <v>0</v>
      </c>
      <c r="Z109" s="1"/>
      <c r="AA109" s="69"/>
    </row>
    <row r="110" spans="1:27" ht="12" customHeight="1" x14ac:dyDescent="0.2">
      <c r="A110" s="1"/>
      <c r="B110" s="241">
        <f>OPORTUNO!B110</f>
        <v>0</v>
      </c>
      <c r="C110" s="133">
        <f>OPORTUNO!C110</f>
        <v>2026102</v>
      </c>
      <c r="D110" s="107">
        <f>OPORTUNO!D110</f>
        <v>25</v>
      </c>
      <c r="E110" s="108" t="str">
        <f>OPORTUNO!E110</f>
        <v>23D</v>
      </c>
      <c r="F110" s="109" t="str">
        <f>OPORTUNO!F110</f>
        <v>Occidente - Directa</v>
      </c>
      <c r="G110" s="110">
        <f>OPORTUNO!G110</f>
        <v>13</v>
      </c>
      <c r="H110" s="111" t="str">
        <f>OPORTUNO!H110</f>
        <v>T23 Directa - Transferencias</v>
      </c>
      <c r="I110" s="112">
        <f>OPORTUNO!I110</f>
        <v>230887267</v>
      </c>
      <c r="J110" s="9">
        <f>OPORTUNO!J110</f>
        <v>0</v>
      </c>
      <c r="K110" s="9">
        <f>OPORTUNO!K110</f>
        <v>0</v>
      </c>
      <c r="L110" s="9">
        <f>OPORTUNO!L110</f>
        <v>0</v>
      </c>
      <c r="M110" s="9">
        <f>OPORTUNO!M110</f>
        <v>0</v>
      </c>
      <c r="N110" s="9">
        <f>OPORTUNO!N110</f>
        <v>0</v>
      </c>
      <c r="O110" s="9">
        <f>OPORTUNO!O110</f>
        <v>0</v>
      </c>
      <c r="P110" s="9">
        <f>OPORTUNO!P110</f>
        <v>0</v>
      </c>
      <c r="Q110" s="9">
        <f>OPORTUNO!Q110</f>
        <v>0</v>
      </c>
      <c r="R110" s="9">
        <f>OPORTUNO!R110</f>
        <v>0</v>
      </c>
      <c r="S110" s="9">
        <f>OPORTUNO!S110</f>
        <v>0</v>
      </c>
      <c r="T110" s="46">
        <f>OPORTUNO!T110</f>
        <v>0</v>
      </c>
      <c r="U110" s="46">
        <f>OPORTUNO!U110</f>
        <v>0</v>
      </c>
      <c r="V110" s="46">
        <f>OPORTUNO!V110</f>
        <v>0</v>
      </c>
      <c r="W110" s="46">
        <f>OPORTUNO!W110</f>
        <v>0</v>
      </c>
      <c r="X110" s="46">
        <f>OPORTUNO!X110</f>
        <v>0</v>
      </c>
      <c r="Y110" s="250">
        <f>OPORTUNO!Y110</f>
        <v>0</v>
      </c>
      <c r="Z110" s="1"/>
      <c r="AA110" s="69"/>
    </row>
    <row r="111" spans="1:27" ht="12" customHeight="1" thickBot="1" x14ac:dyDescent="0.25">
      <c r="A111" s="1"/>
      <c r="B111" s="242">
        <f>OPORTUNO!B111</f>
        <v>0</v>
      </c>
      <c r="C111" s="134">
        <f>OPORTUNO!C111</f>
        <v>2026102</v>
      </c>
      <c r="D111" s="113">
        <f>OPORTUNO!D111</f>
        <v>25</v>
      </c>
      <c r="E111" s="114" t="str">
        <f>OPORTUNO!E111</f>
        <v>23D</v>
      </c>
      <c r="F111" s="115" t="str">
        <f>OPORTUNO!F111</f>
        <v>Occidente - Directa</v>
      </c>
      <c r="G111" s="116">
        <f>OPORTUNO!G111</f>
        <v>14</v>
      </c>
      <c r="H111" s="117" t="str">
        <f>OPORTUNO!H111</f>
        <v>O23 Directa - Oficinas</v>
      </c>
      <c r="I111" s="118">
        <f>OPORTUNO!I111</f>
        <v>230887267</v>
      </c>
      <c r="J111" s="119">
        <f>OPORTUNO!J111</f>
        <v>0</v>
      </c>
      <c r="K111" s="119">
        <f>OPORTUNO!K111</f>
        <v>0</v>
      </c>
      <c r="L111" s="119">
        <f>OPORTUNO!L111</f>
        <v>0</v>
      </c>
      <c r="M111" s="119">
        <f>OPORTUNO!M111</f>
        <v>0</v>
      </c>
      <c r="N111" s="119">
        <f>OPORTUNO!N111</f>
        <v>0</v>
      </c>
      <c r="O111" s="119">
        <f>OPORTUNO!O111</f>
        <v>0</v>
      </c>
      <c r="P111" s="119">
        <f>OPORTUNO!P111</f>
        <v>0</v>
      </c>
      <c r="Q111" s="119">
        <f>OPORTUNO!Q111</f>
        <v>0</v>
      </c>
      <c r="R111" s="119">
        <f>OPORTUNO!R111</f>
        <v>0</v>
      </c>
      <c r="S111" s="119">
        <f>OPORTUNO!S111</f>
        <v>0</v>
      </c>
      <c r="T111" s="120">
        <f>OPORTUNO!T111</f>
        <v>0</v>
      </c>
      <c r="U111" s="120">
        <f>OPORTUNO!U111</f>
        <v>0</v>
      </c>
      <c r="V111" s="120">
        <f>OPORTUNO!V111</f>
        <v>0</v>
      </c>
      <c r="W111" s="120">
        <f>OPORTUNO!W111</f>
        <v>0</v>
      </c>
      <c r="X111" s="120">
        <f>OPORTUNO!X111</f>
        <v>0</v>
      </c>
      <c r="Y111" s="252">
        <f>OPORTUNO!Y111</f>
        <v>0</v>
      </c>
      <c r="Z111" s="1"/>
      <c r="AA111" s="69"/>
    </row>
    <row r="112" spans="1:27" s="45" customFormat="1" ht="12" customHeight="1" thickBot="1" x14ac:dyDescent="0.25">
      <c r="A112" s="3"/>
      <c r="B112" s="129" t="s">
        <v>0</v>
      </c>
      <c r="C112" s="131">
        <f>OPORTUNO!C112</f>
        <v>2026102</v>
      </c>
      <c r="D112" s="131"/>
      <c r="E112" s="121"/>
      <c r="F112" s="122" t="str">
        <f>OPORTUNO!F112</f>
        <v>TOTAL</v>
      </c>
      <c r="G112" s="122">
        <f>OPORTUNO!G112</f>
        <v>0</v>
      </c>
      <c r="H112" s="122">
        <f>OPORTUNO!H112</f>
        <v>0</v>
      </c>
      <c r="I112" s="122">
        <f>OPORTUNO!I112</f>
        <v>0</v>
      </c>
      <c r="J112" s="122">
        <f>OPORTUNO!J112</f>
        <v>0</v>
      </c>
      <c r="K112" s="122">
        <f>OPORTUNO!K112</f>
        <v>0</v>
      </c>
      <c r="L112" s="122">
        <f>OPORTUNO!L112</f>
        <v>0</v>
      </c>
      <c r="M112" s="122">
        <f>OPORTUNO!M112</f>
        <v>0</v>
      </c>
      <c r="N112" s="122">
        <f>OPORTUNO!N112</f>
        <v>0</v>
      </c>
      <c r="O112" s="122">
        <f>OPORTUNO!O112</f>
        <v>0</v>
      </c>
      <c r="P112" s="122">
        <f>OPORTUNO!P112</f>
        <v>0</v>
      </c>
      <c r="Q112" s="122">
        <f>OPORTUNO!Q112</f>
        <v>0</v>
      </c>
      <c r="R112" s="122">
        <f>OPORTUNO!R112</f>
        <v>0</v>
      </c>
      <c r="S112" s="122">
        <f>OPORTUNO!S112</f>
        <v>0</v>
      </c>
      <c r="T112" s="122">
        <f>OPORTUNO!T112</f>
        <v>0</v>
      </c>
      <c r="U112" s="122">
        <f>OPORTUNO!U112</f>
        <v>0</v>
      </c>
      <c r="V112" s="122">
        <f>OPORTUNO!V112</f>
        <v>0</v>
      </c>
      <c r="W112" s="122">
        <f>OPORTUNO!W112</f>
        <v>0</v>
      </c>
      <c r="X112" s="122">
        <f>OPORTUNO!X112</f>
        <v>0</v>
      </c>
      <c r="Y112" s="253">
        <f>OPORTUNO!Y112</f>
        <v>0</v>
      </c>
      <c r="Z112" s="3"/>
      <c r="AA112" s="69"/>
    </row>
    <row r="113" spans="1:27" ht="12" customHeight="1" x14ac:dyDescent="0.2">
      <c r="A113" s="1"/>
      <c r="B113" s="240">
        <f>OPORTUNO!B113</f>
        <v>0</v>
      </c>
      <c r="C113" s="132">
        <f>OPORTUNO!C113</f>
        <v>2026102</v>
      </c>
      <c r="D113" s="123">
        <f>OPORTUNO!D113</f>
        <v>26</v>
      </c>
      <c r="E113" s="124" t="str">
        <f>OPORTUNO!E113</f>
        <v>23D</v>
      </c>
      <c r="F113" s="125" t="str">
        <f>OPORTUNO!F113</f>
        <v>Occidente - Directa</v>
      </c>
      <c r="G113" s="126">
        <f>OPORTUNO!G113</f>
        <v>12</v>
      </c>
      <c r="H113" s="127" t="str">
        <f>OPORTUNO!H113</f>
        <v>H23 Directa - CNB - Baloto - Éxito</v>
      </c>
      <c r="I113" s="128">
        <f>OPORTUNO!I113</f>
        <v>230887267</v>
      </c>
      <c r="J113" s="10">
        <f>OPORTUNO!J113</f>
        <v>0</v>
      </c>
      <c r="K113" s="10">
        <f>OPORTUNO!K113</f>
        <v>0</v>
      </c>
      <c r="L113" s="10">
        <f>OPORTUNO!L113</f>
        <v>0</v>
      </c>
      <c r="M113" s="10">
        <f>OPORTUNO!M113</f>
        <v>0</v>
      </c>
      <c r="N113" s="10">
        <f>OPORTUNO!N113</f>
        <v>0</v>
      </c>
      <c r="O113" s="10">
        <f>OPORTUNO!O113</f>
        <v>0</v>
      </c>
      <c r="P113" s="10">
        <f>OPORTUNO!P113</f>
        <v>0</v>
      </c>
      <c r="Q113" s="10">
        <f>OPORTUNO!Q113</f>
        <v>0</v>
      </c>
      <c r="R113" s="10">
        <f>OPORTUNO!R113</f>
        <v>0</v>
      </c>
      <c r="S113" s="10">
        <f>OPORTUNO!S113</f>
        <v>0</v>
      </c>
      <c r="T113" s="62">
        <f>OPORTUNO!T113</f>
        <v>0</v>
      </c>
      <c r="U113" s="62">
        <f>OPORTUNO!U113</f>
        <v>0</v>
      </c>
      <c r="V113" s="62">
        <f>OPORTUNO!V113</f>
        <v>0</v>
      </c>
      <c r="W113" s="62">
        <f>OPORTUNO!W113</f>
        <v>0</v>
      </c>
      <c r="X113" s="62">
        <f>OPORTUNO!X113</f>
        <v>0</v>
      </c>
      <c r="Y113" s="248">
        <f>OPORTUNO!Y113</f>
        <v>0</v>
      </c>
      <c r="Z113" s="1"/>
      <c r="AA113" s="69"/>
    </row>
    <row r="114" spans="1:27" ht="12" customHeight="1" x14ac:dyDescent="0.2">
      <c r="A114" s="1"/>
      <c r="B114" s="241">
        <f>OPORTUNO!B114</f>
        <v>0</v>
      </c>
      <c r="C114" s="133">
        <f>OPORTUNO!C114</f>
        <v>2026102</v>
      </c>
      <c r="D114" s="107">
        <f>OPORTUNO!D114</f>
        <v>26</v>
      </c>
      <c r="E114" s="108" t="str">
        <f>OPORTUNO!E114</f>
        <v>23D</v>
      </c>
      <c r="F114" s="109" t="str">
        <f>OPORTUNO!F114</f>
        <v>Occidente - Directa</v>
      </c>
      <c r="G114" s="110">
        <f>OPORTUNO!G114</f>
        <v>13</v>
      </c>
      <c r="H114" s="111" t="str">
        <f>OPORTUNO!H114</f>
        <v>T23 Directa - Transferencias</v>
      </c>
      <c r="I114" s="112">
        <f>OPORTUNO!I114</f>
        <v>230887267</v>
      </c>
      <c r="J114" s="9">
        <f>OPORTUNO!J114</f>
        <v>0</v>
      </c>
      <c r="K114" s="9">
        <f>OPORTUNO!K114</f>
        <v>0</v>
      </c>
      <c r="L114" s="9">
        <f>OPORTUNO!L114</f>
        <v>0</v>
      </c>
      <c r="M114" s="9">
        <f>OPORTUNO!M114</f>
        <v>0</v>
      </c>
      <c r="N114" s="9">
        <f>OPORTUNO!N114</f>
        <v>0</v>
      </c>
      <c r="O114" s="9">
        <f>OPORTUNO!O114</f>
        <v>0</v>
      </c>
      <c r="P114" s="9">
        <f>OPORTUNO!P114</f>
        <v>0</v>
      </c>
      <c r="Q114" s="9">
        <f>OPORTUNO!Q114</f>
        <v>0</v>
      </c>
      <c r="R114" s="9">
        <f>OPORTUNO!R114</f>
        <v>0</v>
      </c>
      <c r="S114" s="9">
        <f>OPORTUNO!S114</f>
        <v>0</v>
      </c>
      <c r="T114" s="46">
        <f>OPORTUNO!T114</f>
        <v>0</v>
      </c>
      <c r="U114" s="46">
        <f>OPORTUNO!U114</f>
        <v>0</v>
      </c>
      <c r="V114" s="46">
        <f>OPORTUNO!V114</f>
        <v>0</v>
      </c>
      <c r="W114" s="46">
        <f>OPORTUNO!W114</f>
        <v>0</v>
      </c>
      <c r="X114" s="46">
        <f>OPORTUNO!X114</f>
        <v>0</v>
      </c>
      <c r="Y114" s="250">
        <f>OPORTUNO!Y114</f>
        <v>0</v>
      </c>
      <c r="Z114" s="1"/>
      <c r="AA114" s="69"/>
    </row>
    <row r="115" spans="1:27" ht="12" customHeight="1" thickBot="1" x14ac:dyDescent="0.25">
      <c r="A115" s="1"/>
      <c r="B115" s="242">
        <f>OPORTUNO!B115</f>
        <v>0</v>
      </c>
      <c r="C115" s="134">
        <f>OPORTUNO!C115</f>
        <v>2026102</v>
      </c>
      <c r="D115" s="113">
        <f>OPORTUNO!D115</f>
        <v>26</v>
      </c>
      <c r="E115" s="114" t="str">
        <f>OPORTUNO!E115</f>
        <v>23D</v>
      </c>
      <c r="F115" s="115" t="str">
        <f>OPORTUNO!F115</f>
        <v>Occidente - Directa</v>
      </c>
      <c r="G115" s="116">
        <f>OPORTUNO!G115</f>
        <v>14</v>
      </c>
      <c r="H115" s="117" t="str">
        <f>OPORTUNO!H115</f>
        <v>O23 Directa - Oficinas</v>
      </c>
      <c r="I115" s="118">
        <f>OPORTUNO!I115</f>
        <v>230887267</v>
      </c>
      <c r="J115" s="119">
        <f>OPORTUNO!J115</f>
        <v>0</v>
      </c>
      <c r="K115" s="119">
        <f>OPORTUNO!K115</f>
        <v>0</v>
      </c>
      <c r="L115" s="119">
        <f>OPORTUNO!L115</f>
        <v>0</v>
      </c>
      <c r="M115" s="119">
        <f>OPORTUNO!M115</f>
        <v>0</v>
      </c>
      <c r="N115" s="119">
        <f>OPORTUNO!N115</f>
        <v>0</v>
      </c>
      <c r="O115" s="119">
        <f>OPORTUNO!O115</f>
        <v>0</v>
      </c>
      <c r="P115" s="119">
        <f>OPORTUNO!P115</f>
        <v>0</v>
      </c>
      <c r="Q115" s="119">
        <f>OPORTUNO!Q115</f>
        <v>0</v>
      </c>
      <c r="R115" s="119">
        <f>OPORTUNO!R115</f>
        <v>0</v>
      </c>
      <c r="S115" s="119">
        <f>OPORTUNO!S115</f>
        <v>0</v>
      </c>
      <c r="T115" s="120">
        <f>OPORTUNO!T115</f>
        <v>0</v>
      </c>
      <c r="U115" s="120">
        <f>OPORTUNO!U115</f>
        <v>0</v>
      </c>
      <c r="V115" s="120">
        <f>OPORTUNO!V115</f>
        <v>0</v>
      </c>
      <c r="W115" s="120">
        <f>OPORTUNO!W115</f>
        <v>0</v>
      </c>
      <c r="X115" s="120">
        <f>OPORTUNO!X115</f>
        <v>0</v>
      </c>
      <c r="Y115" s="252">
        <f>OPORTUNO!Y115</f>
        <v>0</v>
      </c>
      <c r="Z115" s="1"/>
      <c r="AA115" s="69"/>
    </row>
    <row r="116" spans="1:27" s="45" customFormat="1" ht="12" customHeight="1" thickBot="1" x14ac:dyDescent="0.25">
      <c r="A116" s="3"/>
      <c r="B116" s="129" t="s">
        <v>0</v>
      </c>
      <c r="C116" s="131">
        <f>OPORTUNO!C116</f>
        <v>2026102</v>
      </c>
      <c r="D116" s="131"/>
      <c r="E116" s="121"/>
      <c r="F116" s="122" t="str">
        <f>OPORTUNO!F116</f>
        <v>TOTAL</v>
      </c>
      <c r="G116" s="122">
        <f>OPORTUNO!G116</f>
        <v>0</v>
      </c>
      <c r="H116" s="122">
        <f>OPORTUNO!H116</f>
        <v>0</v>
      </c>
      <c r="I116" s="122">
        <f>OPORTUNO!I116</f>
        <v>0</v>
      </c>
      <c r="J116" s="122">
        <f>OPORTUNO!J116</f>
        <v>0</v>
      </c>
      <c r="K116" s="122">
        <f>OPORTUNO!K116</f>
        <v>0</v>
      </c>
      <c r="L116" s="122">
        <f>OPORTUNO!L116</f>
        <v>0</v>
      </c>
      <c r="M116" s="122">
        <f>OPORTUNO!M116</f>
        <v>0</v>
      </c>
      <c r="N116" s="122">
        <f>OPORTUNO!N116</f>
        <v>0</v>
      </c>
      <c r="O116" s="122">
        <f>OPORTUNO!O116</f>
        <v>0</v>
      </c>
      <c r="P116" s="122">
        <f>OPORTUNO!P116</f>
        <v>0</v>
      </c>
      <c r="Q116" s="122">
        <f>OPORTUNO!Q116</f>
        <v>0</v>
      </c>
      <c r="R116" s="122">
        <f>OPORTUNO!R116</f>
        <v>0</v>
      </c>
      <c r="S116" s="122">
        <f>OPORTUNO!S116</f>
        <v>0</v>
      </c>
      <c r="T116" s="122">
        <f>OPORTUNO!T116</f>
        <v>0</v>
      </c>
      <c r="U116" s="122">
        <f>OPORTUNO!U116</f>
        <v>0</v>
      </c>
      <c r="V116" s="122">
        <f>OPORTUNO!V116</f>
        <v>0</v>
      </c>
      <c r="W116" s="122">
        <f>OPORTUNO!W116</f>
        <v>0</v>
      </c>
      <c r="X116" s="122">
        <f>OPORTUNO!X116</f>
        <v>0</v>
      </c>
      <c r="Y116" s="253">
        <f>OPORTUNO!Y116</f>
        <v>0</v>
      </c>
      <c r="Z116" s="3"/>
      <c r="AA116" s="69"/>
    </row>
    <row r="117" spans="1:27" ht="12" customHeight="1" x14ac:dyDescent="0.2">
      <c r="A117" s="1"/>
      <c r="B117" s="240">
        <f>OPORTUNO!B117</f>
        <v>0</v>
      </c>
      <c r="C117" s="132">
        <f>OPORTUNO!C117</f>
        <v>2026102</v>
      </c>
      <c r="D117" s="123">
        <f>OPORTUNO!D117</f>
        <v>27</v>
      </c>
      <c r="E117" s="124" t="str">
        <f>OPORTUNO!E117</f>
        <v>23D</v>
      </c>
      <c r="F117" s="125" t="str">
        <f>OPORTUNO!F117</f>
        <v>Occidente - Directa</v>
      </c>
      <c r="G117" s="126">
        <f>OPORTUNO!G117</f>
        <v>12</v>
      </c>
      <c r="H117" s="127" t="str">
        <f>OPORTUNO!H117</f>
        <v>H23 Directa - CNB - Baloto - Éxito</v>
      </c>
      <c r="I117" s="128">
        <f>OPORTUNO!I117</f>
        <v>230887267</v>
      </c>
      <c r="J117" s="10">
        <f>OPORTUNO!J117</f>
        <v>0</v>
      </c>
      <c r="K117" s="10">
        <f>OPORTUNO!K117</f>
        <v>0</v>
      </c>
      <c r="L117" s="10">
        <f>OPORTUNO!L117</f>
        <v>0</v>
      </c>
      <c r="M117" s="10">
        <f>OPORTUNO!M117</f>
        <v>0</v>
      </c>
      <c r="N117" s="10">
        <f>OPORTUNO!N117</f>
        <v>0</v>
      </c>
      <c r="O117" s="10">
        <f>OPORTUNO!O117</f>
        <v>0</v>
      </c>
      <c r="P117" s="10">
        <f>OPORTUNO!P117</f>
        <v>0</v>
      </c>
      <c r="Q117" s="10">
        <f>OPORTUNO!Q117</f>
        <v>0</v>
      </c>
      <c r="R117" s="10">
        <f>OPORTUNO!R117</f>
        <v>0</v>
      </c>
      <c r="S117" s="10">
        <f>OPORTUNO!S117</f>
        <v>0</v>
      </c>
      <c r="T117" s="62">
        <f>OPORTUNO!T117</f>
        <v>0</v>
      </c>
      <c r="U117" s="62">
        <f>OPORTUNO!U117</f>
        <v>0</v>
      </c>
      <c r="V117" s="62">
        <f>OPORTUNO!V117</f>
        <v>0</v>
      </c>
      <c r="W117" s="62">
        <f>OPORTUNO!W117</f>
        <v>0</v>
      </c>
      <c r="X117" s="62">
        <f>OPORTUNO!X117</f>
        <v>0</v>
      </c>
      <c r="Y117" s="248">
        <f>OPORTUNO!Y117</f>
        <v>0</v>
      </c>
      <c r="Z117" s="1"/>
      <c r="AA117" s="69"/>
    </row>
    <row r="118" spans="1:27" ht="12" customHeight="1" x14ac:dyDescent="0.2">
      <c r="A118" s="1"/>
      <c r="B118" s="241">
        <f>OPORTUNO!B118</f>
        <v>0</v>
      </c>
      <c r="C118" s="133">
        <f>OPORTUNO!C118</f>
        <v>2026102</v>
      </c>
      <c r="D118" s="107">
        <f>OPORTUNO!D118</f>
        <v>27</v>
      </c>
      <c r="E118" s="108" t="str">
        <f>OPORTUNO!E118</f>
        <v>23D</v>
      </c>
      <c r="F118" s="109" t="str">
        <f>OPORTUNO!F118</f>
        <v>Occidente - Directa</v>
      </c>
      <c r="G118" s="110">
        <f>OPORTUNO!G118</f>
        <v>13</v>
      </c>
      <c r="H118" s="111" t="str">
        <f>OPORTUNO!H118</f>
        <v>T23 Directa - Transferencias</v>
      </c>
      <c r="I118" s="112">
        <f>OPORTUNO!I118</f>
        <v>230887267</v>
      </c>
      <c r="J118" s="9">
        <f>OPORTUNO!J118</f>
        <v>0</v>
      </c>
      <c r="K118" s="9">
        <f>OPORTUNO!K118</f>
        <v>0</v>
      </c>
      <c r="L118" s="9">
        <f>OPORTUNO!L118</f>
        <v>0</v>
      </c>
      <c r="M118" s="9">
        <f>OPORTUNO!M118</f>
        <v>0</v>
      </c>
      <c r="N118" s="9">
        <f>OPORTUNO!N118</f>
        <v>0</v>
      </c>
      <c r="O118" s="9">
        <f>OPORTUNO!O118</f>
        <v>0</v>
      </c>
      <c r="P118" s="9">
        <f>OPORTUNO!P118</f>
        <v>0</v>
      </c>
      <c r="Q118" s="9">
        <f>OPORTUNO!Q118</f>
        <v>0</v>
      </c>
      <c r="R118" s="9">
        <f>OPORTUNO!R118</f>
        <v>0</v>
      </c>
      <c r="S118" s="9">
        <f>OPORTUNO!S118</f>
        <v>0</v>
      </c>
      <c r="T118" s="46">
        <f>OPORTUNO!T118</f>
        <v>0</v>
      </c>
      <c r="U118" s="46">
        <f>OPORTUNO!U118</f>
        <v>0</v>
      </c>
      <c r="V118" s="46">
        <f>OPORTUNO!V118</f>
        <v>0</v>
      </c>
      <c r="W118" s="46">
        <f>OPORTUNO!W118</f>
        <v>0</v>
      </c>
      <c r="X118" s="46">
        <f>OPORTUNO!X118</f>
        <v>0</v>
      </c>
      <c r="Y118" s="250">
        <f>OPORTUNO!Y118</f>
        <v>0</v>
      </c>
      <c r="Z118" s="1"/>
      <c r="AA118" s="69"/>
    </row>
    <row r="119" spans="1:27" ht="12" customHeight="1" thickBot="1" x14ac:dyDescent="0.25">
      <c r="A119" s="1"/>
      <c r="B119" s="242">
        <f>OPORTUNO!B119</f>
        <v>0</v>
      </c>
      <c r="C119" s="134">
        <f>OPORTUNO!C119</f>
        <v>2026102</v>
      </c>
      <c r="D119" s="113">
        <f>OPORTUNO!D119</f>
        <v>27</v>
      </c>
      <c r="E119" s="114" t="str">
        <f>OPORTUNO!E119</f>
        <v>23D</v>
      </c>
      <c r="F119" s="115" t="str">
        <f>OPORTUNO!F119</f>
        <v>Occidente - Directa</v>
      </c>
      <c r="G119" s="116">
        <f>OPORTUNO!G119</f>
        <v>14</v>
      </c>
      <c r="H119" s="117" t="str">
        <f>OPORTUNO!H119</f>
        <v>O23 Directa - Oficinas</v>
      </c>
      <c r="I119" s="118">
        <f>OPORTUNO!I119</f>
        <v>230887267</v>
      </c>
      <c r="J119" s="119">
        <f>OPORTUNO!J119</f>
        <v>0</v>
      </c>
      <c r="K119" s="119">
        <f>OPORTUNO!K119</f>
        <v>0</v>
      </c>
      <c r="L119" s="119">
        <f>OPORTUNO!L119</f>
        <v>0</v>
      </c>
      <c r="M119" s="119">
        <f>OPORTUNO!M119</f>
        <v>0</v>
      </c>
      <c r="N119" s="119">
        <f>OPORTUNO!N119</f>
        <v>0</v>
      </c>
      <c r="O119" s="119">
        <f>OPORTUNO!O119</f>
        <v>0</v>
      </c>
      <c r="P119" s="119">
        <f>OPORTUNO!P119</f>
        <v>0</v>
      </c>
      <c r="Q119" s="119">
        <f>OPORTUNO!Q119</f>
        <v>0</v>
      </c>
      <c r="R119" s="119">
        <f>OPORTUNO!R119</f>
        <v>0</v>
      </c>
      <c r="S119" s="119">
        <f>OPORTUNO!S119</f>
        <v>0</v>
      </c>
      <c r="T119" s="120">
        <f>OPORTUNO!T119</f>
        <v>0</v>
      </c>
      <c r="U119" s="120">
        <f>OPORTUNO!U119</f>
        <v>0</v>
      </c>
      <c r="V119" s="120">
        <f>OPORTUNO!V119</f>
        <v>0</v>
      </c>
      <c r="W119" s="120">
        <f>OPORTUNO!W119</f>
        <v>0</v>
      </c>
      <c r="X119" s="120">
        <f>OPORTUNO!X119</f>
        <v>0</v>
      </c>
      <c r="Y119" s="252">
        <f>OPORTUNO!Y119</f>
        <v>0</v>
      </c>
      <c r="Z119" s="1"/>
      <c r="AA119" s="69"/>
    </row>
    <row r="120" spans="1:27" s="45" customFormat="1" ht="12" customHeight="1" thickBot="1" x14ac:dyDescent="0.25">
      <c r="A120" s="3"/>
      <c r="B120" s="129" t="s">
        <v>0</v>
      </c>
      <c r="C120" s="131">
        <f>OPORTUNO!C120</f>
        <v>2026102</v>
      </c>
      <c r="D120" s="131"/>
      <c r="E120" s="121"/>
      <c r="F120" s="122" t="str">
        <f>OPORTUNO!F120</f>
        <v>TOTAL</v>
      </c>
      <c r="G120" s="122">
        <f>OPORTUNO!G120</f>
        <v>0</v>
      </c>
      <c r="H120" s="122">
        <f>OPORTUNO!H120</f>
        <v>0</v>
      </c>
      <c r="I120" s="122">
        <f>OPORTUNO!I120</f>
        <v>0</v>
      </c>
      <c r="J120" s="122">
        <f>OPORTUNO!J120</f>
        <v>0</v>
      </c>
      <c r="K120" s="122">
        <f>OPORTUNO!K120</f>
        <v>0</v>
      </c>
      <c r="L120" s="122">
        <f>OPORTUNO!L120</f>
        <v>0</v>
      </c>
      <c r="M120" s="122">
        <f>OPORTUNO!M120</f>
        <v>0</v>
      </c>
      <c r="N120" s="122">
        <f>OPORTUNO!N120</f>
        <v>0</v>
      </c>
      <c r="O120" s="122">
        <f>OPORTUNO!O120</f>
        <v>0</v>
      </c>
      <c r="P120" s="122">
        <f>OPORTUNO!P120</f>
        <v>0</v>
      </c>
      <c r="Q120" s="122">
        <f>OPORTUNO!Q120</f>
        <v>0</v>
      </c>
      <c r="R120" s="122">
        <f>OPORTUNO!R120</f>
        <v>0</v>
      </c>
      <c r="S120" s="122">
        <f>OPORTUNO!S120</f>
        <v>0</v>
      </c>
      <c r="T120" s="122">
        <f>OPORTUNO!T120</f>
        <v>0</v>
      </c>
      <c r="U120" s="122">
        <f>OPORTUNO!U120</f>
        <v>0</v>
      </c>
      <c r="V120" s="122">
        <f>OPORTUNO!V120</f>
        <v>0</v>
      </c>
      <c r="W120" s="122">
        <f>OPORTUNO!W120</f>
        <v>0</v>
      </c>
      <c r="X120" s="122">
        <f>OPORTUNO!X120</f>
        <v>0</v>
      </c>
      <c r="Y120" s="253">
        <f>OPORTUNO!Y120</f>
        <v>0</v>
      </c>
      <c r="Z120" s="3"/>
      <c r="AA120" s="69"/>
    </row>
    <row r="121" spans="1:27" ht="12" customHeight="1" x14ac:dyDescent="0.2">
      <c r="A121" s="1"/>
      <c r="B121" s="240">
        <f>OPORTUNO!B121</f>
        <v>0</v>
      </c>
      <c r="C121" s="132">
        <f>OPORTUNO!C121</f>
        <v>2026102</v>
      </c>
      <c r="D121" s="123">
        <f>OPORTUNO!D121</f>
        <v>28</v>
      </c>
      <c r="E121" s="124" t="str">
        <f>OPORTUNO!E121</f>
        <v>23D</v>
      </c>
      <c r="F121" s="125" t="str">
        <f>OPORTUNO!F121</f>
        <v>Occidente - Directa</v>
      </c>
      <c r="G121" s="126">
        <f>OPORTUNO!G121</f>
        <v>12</v>
      </c>
      <c r="H121" s="127" t="str">
        <f>OPORTUNO!H121</f>
        <v>H23 Directa - CNB - Baloto - Éxito</v>
      </c>
      <c r="I121" s="128">
        <f>OPORTUNO!I121</f>
        <v>230887267</v>
      </c>
      <c r="J121" s="10">
        <f>OPORTUNO!J121</f>
        <v>0</v>
      </c>
      <c r="K121" s="10">
        <f>OPORTUNO!K121</f>
        <v>0</v>
      </c>
      <c r="L121" s="10">
        <f>OPORTUNO!L121</f>
        <v>0</v>
      </c>
      <c r="M121" s="10">
        <f>OPORTUNO!M121</f>
        <v>0</v>
      </c>
      <c r="N121" s="10">
        <f>OPORTUNO!N121</f>
        <v>0</v>
      </c>
      <c r="O121" s="10">
        <f>OPORTUNO!O121</f>
        <v>0</v>
      </c>
      <c r="P121" s="10">
        <f>OPORTUNO!P121</f>
        <v>0</v>
      </c>
      <c r="Q121" s="10">
        <f>OPORTUNO!Q121</f>
        <v>0</v>
      </c>
      <c r="R121" s="10">
        <f>OPORTUNO!R121</f>
        <v>0</v>
      </c>
      <c r="S121" s="10">
        <f>OPORTUNO!S121</f>
        <v>0</v>
      </c>
      <c r="T121" s="62">
        <f>OPORTUNO!T121</f>
        <v>0</v>
      </c>
      <c r="U121" s="62">
        <f>OPORTUNO!U121</f>
        <v>0</v>
      </c>
      <c r="V121" s="62">
        <f>OPORTUNO!V121</f>
        <v>0</v>
      </c>
      <c r="W121" s="62">
        <f>OPORTUNO!W121</f>
        <v>0</v>
      </c>
      <c r="X121" s="62">
        <f>OPORTUNO!X121</f>
        <v>0</v>
      </c>
      <c r="Y121" s="248">
        <f>OPORTUNO!Y121</f>
        <v>0</v>
      </c>
      <c r="Z121" s="1"/>
      <c r="AA121" s="69"/>
    </row>
    <row r="122" spans="1:27" ht="12" customHeight="1" x14ac:dyDescent="0.2">
      <c r="A122" s="1"/>
      <c r="B122" s="241">
        <f>OPORTUNO!B122</f>
        <v>0</v>
      </c>
      <c r="C122" s="133">
        <f>OPORTUNO!C122</f>
        <v>2026102</v>
      </c>
      <c r="D122" s="107">
        <f>OPORTUNO!D122</f>
        <v>28</v>
      </c>
      <c r="E122" s="108" t="str">
        <f>OPORTUNO!E122</f>
        <v>23D</v>
      </c>
      <c r="F122" s="109" t="str">
        <f>OPORTUNO!F122</f>
        <v>Occidente - Directa</v>
      </c>
      <c r="G122" s="110">
        <f>OPORTUNO!G122</f>
        <v>13</v>
      </c>
      <c r="H122" s="111" t="str">
        <f>OPORTUNO!H122</f>
        <v>T23 Directa - Transferencias</v>
      </c>
      <c r="I122" s="112">
        <f>OPORTUNO!I122</f>
        <v>230887267</v>
      </c>
      <c r="J122" s="9">
        <f>OPORTUNO!J122</f>
        <v>0</v>
      </c>
      <c r="K122" s="9">
        <f>OPORTUNO!K122</f>
        <v>0</v>
      </c>
      <c r="L122" s="9">
        <f>OPORTUNO!L122</f>
        <v>0</v>
      </c>
      <c r="M122" s="9">
        <f>OPORTUNO!M122</f>
        <v>0</v>
      </c>
      <c r="N122" s="9">
        <f>OPORTUNO!N122</f>
        <v>0</v>
      </c>
      <c r="O122" s="9">
        <f>OPORTUNO!O122</f>
        <v>0</v>
      </c>
      <c r="P122" s="9">
        <f>OPORTUNO!P122</f>
        <v>0</v>
      </c>
      <c r="Q122" s="9">
        <f>OPORTUNO!Q122</f>
        <v>0</v>
      </c>
      <c r="R122" s="9">
        <f>OPORTUNO!R122</f>
        <v>0</v>
      </c>
      <c r="S122" s="9">
        <f>OPORTUNO!S122</f>
        <v>0</v>
      </c>
      <c r="T122" s="46">
        <f>OPORTUNO!T122</f>
        <v>0</v>
      </c>
      <c r="U122" s="46">
        <f>OPORTUNO!U122</f>
        <v>0</v>
      </c>
      <c r="V122" s="46">
        <f>OPORTUNO!V122</f>
        <v>0</v>
      </c>
      <c r="W122" s="46">
        <f>OPORTUNO!W122</f>
        <v>0</v>
      </c>
      <c r="X122" s="46">
        <f>OPORTUNO!X122</f>
        <v>0</v>
      </c>
      <c r="Y122" s="250">
        <f>OPORTUNO!Y122</f>
        <v>0</v>
      </c>
      <c r="Z122" s="1"/>
      <c r="AA122" s="69"/>
    </row>
    <row r="123" spans="1:27" ht="12" customHeight="1" thickBot="1" x14ac:dyDescent="0.25">
      <c r="A123" s="1"/>
      <c r="B123" s="242">
        <f>OPORTUNO!B123</f>
        <v>0</v>
      </c>
      <c r="C123" s="134">
        <f>OPORTUNO!C123</f>
        <v>2026102</v>
      </c>
      <c r="D123" s="113">
        <f>OPORTUNO!D123</f>
        <v>28</v>
      </c>
      <c r="E123" s="114" t="str">
        <f>OPORTUNO!E123</f>
        <v>23D</v>
      </c>
      <c r="F123" s="115" t="str">
        <f>OPORTUNO!F123</f>
        <v>Occidente - Directa</v>
      </c>
      <c r="G123" s="116">
        <f>OPORTUNO!G123</f>
        <v>14</v>
      </c>
      <c r="H123" s="117" t="str">
        <f>OPORTUNO!H123</f>
        <v>O23 Directa - Oficinas</v>
      </c>
      <c r="I123" s="118">
        <f>OPORTUNO!I123</f>
        <v>230887267</v>
      </c>
      <c r="J123" s="119">
        <f>OPORTUNO!J123</f>
        <v>0</v>
      </c>
      <c r="K123" s="119">
        <f>OPORTUNO!K123</f>
        <v>0</v>
      </c>
      <c r="L123" s="119">
        <f>OPORTUNO!L123</f>
        <v>0</v>
      </c>
      <c r="M123" s="119">
        <f>OPORTUNO!M123</f>
        <v>0</v>
      </c>
      <c r="N123" s="119">
        <f>OPORTUNO!N123</f>
        <v>0</v>
      </c>
      <c r="O123" s="119">
        <f>OPORTUNO!O123</f>
        <v>0</v>
      </c>
      <c r="P123" s="119">
        <f>OPORTUNO!P123</f>
        <v>0</v>
      </c>
      <c r="Q123" s="119">
        <f>OPORTUNO!Q123</f>
        <v>0</v>
      </c>
      <c r="R123" s="119">
        <f>OPORTUNO!R123</f>
        <v>0</v>
      </c>
      <c r="S123" s="119">
        <f>OPORTUNO!S123</f>
        <v>0</v>
      </c>
      <c r="T123" s="120">
        <f>OPORTUNO!T123</f>
        <v>0</v>
      </c>
      <c r="U123" s="120">
        <f>OPORTUNO!U123</f>
        <v>0</v>
      </c>
      <c r="V123" s="120">
        <f>OPORTUNO!V123</f>
        <v>0</v>
      </c>
      <c r="W123" s="120">
        <f>OPORTUNO!W123</f>
        <v>0</v>
      </c>
      <c r="X123" s="120">
        <f>OPORTUNO!X123</f>
        <v>0</v>
      </c>
      <c r="Y123" s="252">
        <f>OPORTUNO!Y123</f>
        <v>0</v>
      </c>
      <c r="Z123" s="1"/>
      <c r="AA123" s="69"/>
    </row>
    <row r="124" spans="1:27" s="45" customFormat="1" ht="12" customHeight="1" thickBot="1" x14ac:dyDescent="0.25">
      <c r="A124" s="3"/>
      <c r="B124" s="129" t="s">
        <v>0</v>
      </c>
      <c r="C124" s="131">
        <f>OPORTUNO!C124</f>
        <v>2026102</v>
      </c>
      <c r="D124" s="131"/>
      <c r="E124" s="121"/>
      <c r="F124" s="122" t="str">
        <f>OPORTUNO!F124</f>
        <v>TOTAL</v>
      </c>
      <c r="G124" s="122">
        <f>OPORTUNO!G124</f>
        <v>0</v>
      </c>
      <c r="H124" s="122">
        <f>OPORTUNO!H124</f>
        <v>0</v>
      </c>
      <c r="I124" s="122">
        <f>OPORTUNO!I124</f>
        <v>0</v>
      </c>
      <c r="J124" s="122">
        <f>OPORTUNO!J124</f>
        <v>0</v>
      </c>
      <c r="K124" s="122">
        <f>OPORTUNO!K124</f>
        <v>0</v>
      </c>
      <c r="L124" s="122">
        <f>OPORTUNO!L124</f>
        <v>0</v>
      </c>
      <c r="M124" s="122">
        <f>OPORTUNO!M124</f>
        <v>0</v>
      </c>
      <c r="N124" s="122">
        <f>OPORTUNO!N124</f>
        <v>0</v>
      </c>
      <c r="O124" s="122">
        <f>OPORTUNO!O124</f>
        <v>0</v>
      </c>
      <c r="P124" s="122">
        <f>OPORTUNO!P124</f>
        <v>0</v>
      </c>
      <c r="Q124" s="122">
        <f>OPORTUNO!Q124</f>
        <v>0</v>
      </c>
      <c r="R124" s="122">
        <f>OPORTUNO!R124</f>
        <v>0</v>
      </c>
      <c r="S124" s="122">
        <f>OPORTUNO!S124</f>
        <v>0</v>
      </c>
      <c r="T124" s="122">
        <f>OPORTUNO!T124</f>
        <v>0</v>
      </c>
      <c r="U124" s="122">
        <f>OPORTUNO!U124</f>
        <v>0</v>
      </c>
      <c r="V124" s="122">
        <f>OPORTUNO!V124</f>
        <v>0</v>
      </c>
      <c r="W124" s="122">
        <f>OPORTUNO!W124</f>
        <v>0</v>
      </c>
      <c r="X124" s="122">
        <f>OPORTUNO!X124</f>
        <v>0</v>
      </c>
      <c r="Y124" s="253">
        <f>OPORTUNO!Y124</f>
        <v>0</v>
      </c>
      <c r="Z124" s="3"/>
      <c r="AA124" s="69"/>
    </row>
    <row r="125" spans="1:27" ht="12" customHeight="1" x14ac:dyDescent="0.2">
      <c r="A125" s="1"/>
      <c r="B125" s="240">
        <f>OPORTUNO!B125</f>
        <v>0</v>
      </c>
      <c r="C125" s="132">
        <f>OPORTUNO!C125</f>
        <v>2026102</v>
      </c>
      <c r="D125" s="123">
        <f>OPORTUNO!D125</f>
        <v>29</v>
      </c>
      <c r="E125" s="124" t="str">
        <f>OPORTUNO!E125</f>
        <v>23D</v>
      </c>
      <c r="F125" s="125" t="str">
        <f>OPORTUNO!F125</f>
        <v>Occidente - Directa</v>
      </c>
      <c r="G125" s="126">
        <f>OPORTUNO!G125</f>
        <v>12</v>
      </c>
      <c r="H125" s="127" t="str">
        <f>OPORTUNO!H125</f>
        <v>H23 Directa - CNB - Baloto - Éxito</v>
      </c>
      <c r="I125" s="128">
        <f>OPORTUNO!I125</f>
        <v>230887267</v>
      </c>
      <c r="J125" s="10">
        <f>OPORTUNO!J125</f>
        <v>0</v>
      </c>
      <c r="K125" s="10">
        <f>OPORTUNO!K125</f>
        <v>0</v>
      </c>
      <c r="L125" s="10">
        <f>OPORTUNO!L125</f>
        <v>0</v>
      </c>
      <c r="M125" s="10">
        <f>OPORTUNO!M125</f>
        <v>0</v>
      </c>
      <c r="N125" s="10">
        <f>OPORTUNO!N125</f>
        <v>0</v>
      </c>
      <c r="O125" s="10">
        <f>OPORTUNO!O125</f>
        <v>0</v>
      </c>
      <c r="P125" s="10">
        <f>OPORTUNO!P125</f>
        <v>0</v>
      </c>
      <c r="Q125" s="10">
        <f>OPORTUNO!Q125</f>
        <v>0</v>
      </c>
      <c r="R125" s="10">
        <f>OPORTUNO!R125</f>
        <v>0</v>
      </c>
      <c r="S125" s="10">
        <f>OPORTUNO!S125</f>
        <v>0</v>
      </c>
      <c r="T125" s="62">
        <f>OPORTUNO!T125</f>
        <v>0</v>
      </c>
      <c r="U125" s="62">
        <f>OPORTUNO!U125</f>
        <v>0</v>
      </c>
      <c r="V125" s="62">
        <f>OPORTUNO!V125</f>
        <v>0</v>
      </c>
      <c r="W125" s="62">
        <f>OPORTUNO!W125</f>
        <v>0</v>
      </c>
      <c r="X125" s="62">
        <f>OPORTUNO!X125</f>
        <v>0</v>
      </c>
      <c r="Y125" s="248">
        <f>OPORTUNO!Y125</f>
        <v>0</v>
      </c>
      <c r="Z125" s="1"/>
      <c r="AA125" s="69"/>
    </row>
    <row r="126" spans="1:27" ht="12" customHeight="1" x14ac:dyDescent="0.2">
      <c r="A126" s="1"/>
      <c r="B126" s="241">
        <f>OPORTUNO!B126</f>
        <v>0</v>
      </c>
      <c r="C126" s="133">
        <f>OPORTUNO!C126</f>
        <v>2026102</v>
      </c>
      <c r="D126" s="107">
        <f>OPORTUNO!D126</f>
        <v>29</v>
      </c>
      <c r="E126" s="108" t="str">
        <f>OPORTUNO!E126</f>
        <v>23D</v>
      </c>
      <c r="F126" s="109" t="str">
        <f>OPORTUNO!F126</f>
        <v>Occidente - Directa</v>
      </c>
      <c r="G126" s="110">
        <f>OPORTUNO!G126</f>
        <v>13</v>
      </c>
      <c r="H126" s="111" t="str">
        <f>OPORTUNO!H126</f>
        <v>T23 Directa - Transferencias</v>
      </c>
      <c r="I126" s="112">
        <f>OPORTUNO!I126</f>
        <v>230887267</v>
      </c>
      <c r="J126" s="9">
        <f>OPORTUNO!J126</f>
        <v>0</v>
      </c>
      <c r="K126" s="9">
        <f>OPORTUNO!K126</f>
        <v>0</v>
      </c>
      <c r="L126" s="9">
        <f>OPORTUNO!L126</f>
        <v>0</v>
      </c>
      <c r="M126" s="9">
        <f>OPORTUNO!M126</f>
        <v>0</v>
      </c>
      <c r="N126" s="9">
        <f>OPORTUNO!N126</f>
        <v>0</v>
      </c>
      <c r="O126" s="9">
        <f>OPORTUNO!O126</f>
        <v>0</v>
      </c>
      <c r="P126" s="9">
        <f>OPORTUNO!P126</f>
        <v>0</v>
      </c>
      <c r="Q126" s="9">
        <f>OPORTUNO!Q126</f>
        <v>0</v>
      </c>
      <c r="R126" s="9">
        <f>OPORTUNO!R126</f>
        <v>0</v>
      </c>
      <c r="S126" s="9">
        <f>OPORTUNO!S126</f>
        <v>0</v>
      </c>
      <c r="T126" s="46">
        <f>OPORTUNO!T126</f>
        <v>0</v>
      </c>
      <c r="U126" s="46">
        <f>OPORTUNO!U126</f>
        <v>0</v>
      </c>
      <c r="V126" s="46">
        <f>OPORTUNO!V126</f>
        <v>0</v>
      </c>
      <c r="W126" s="46">
        <f>OPORTUNO!W126</f>
        <v>0</v>
      </c>
      <c r="X126" s="46">
        <f>OPORTUNO!X126</f>
        <v>0</v>
      </c>
      <c r="Y126" s="250">
        <f>OPORTUNO!Y126</f>
        <v>0</v>
      </c>
      <c r="Z126" s="1"/>
      <c r="AA126" s="69"/>
    </row>
    <row r="127" spans="1:27" ht="12" customHeight="1" thickBot="1" x14ac:dyDescent="0.25">
      <c r="A127" s="1"/>
      <c r="B127" s="242">
        <f>OPORTUNO!B127</f>
        <v>0</v>
      </c>
      <c r="C127" s="134">
        <f>OPORTUNO!C127</f>
        <v>2026102</v>
      </c>
      <c r="D127" s="113">
        <f>OPORTUNO!D127</f>
        <v>29</v>
      </c>
      <c r="E127" s="114" t="str">
        <f>OPORTUNO!E127</f>
        <v>23D</v>
      </c>
      <c r="F127" s="115" t="str">
        <f>OPORTUNO!F127</f>
        <v>Occidente - Directa</v>
      </c>
      <c r="G127" s="116">
        <f>OPORTUNO!G127</f>
        <v>14</v>
      </c>
      <c r="H127" s="117" t="str">
        <f>OPORTUNO!H127</f>
        <v>O23 Directa - Oficinas</v>
      </c>
      <c r="I127" s="118">
        <f>OPORTUNO!I127</f>
        <v>230887267</v>
      </c>
      <c r="J127" s="119">
        <f>OPORTUNO!J127</f>
        <v>0</v>
      </c>
      <c r="K127" s="119">
        <f>OPORTUNO!K127</f>
        <v>0</v>
      </c>
      <c r="L127" s="119">
        <f>OPORTUNO!L127</f>
        <v>0</v>
      </c>
      <c r="M127" s="119">
        <f>OPORTUNO!M127</f>
        <v>0</v>
      </c>
      <c r="N127" s="119">
        <f>OPORTUNO!N127</f>
        <v>0</v>
      </c>
      <c r="O127" s="119">
        <f>OPORTUNO!O127</f>
        <v>0</v>
      </c>
      <c r="P127" s="119">
        <f>OPORTUNO!P127</f>
        <v>0</v>
      </c>
      <c r="Q127" s="119">
        <f>OPORTUNO!Q127</f>
        <v>0</v>
      </c>
      <c r="R127" s="119">
        <f>OPORTUNO!R127</f>
        <v>0</v>
      </c>
      <c r="S127" s="119">
        <f>OPORTUNO!S127</f>
        <v>0</v>
      </c>
      <c r="T127" s="120">
        <f>OPORTUNO!T127</f>
        <v>0</v>
      </c>
      <c r="U127" s="120">
        <f>OPORTUNO!U127</f>
        <v>0</v>
      </c>
      <c r="V127" s="120">
        <f>OPORTUNO!V127</f>
        <v>0</v>
      </c>
      <c r="W127" s="120">
        <f>OPORTUNO!W127</f>
        <v>0</v>
      </c>
      <c r="X127" s="120">
        <f>OPORTUNO!X127</f>
        <v>0</v>
      </c>
      <c r="Y127" s="252">
        <f>OPORTUNO!Y127</f>
        <v>0</v>
      </c>
      <c r="Z127" s="1"/>
      <c r="AA127" s="69"/>
    </row>
    <row r="128" spans="1:27" s="45" customFormat="1" ht="12" customHeight="1" thickBot="1" x14ac:dyDescent="0.25">
      <c r="A128" s="3"/>
      <c r="B128" s="129" t="s">
        <v>0</v>
      </c>
      <c r="C128" s="131">
        <f>OPORTUNO!C128</f>
        <v>2026102</v>
      </c>
      <c r="D128" s="131"/>
      <c r="E128" s="121"/>
      <c r="F128" s="122" t="str">
        <f>OPORTUNO!F128</f>
        <v>TOTAL</v>
      </c>
      <c r="G128" s="122">
        <f>OPORTUNO!G128</f>
        <v>0</v>
      </c>
      <c r="H128" s="122">
        <f>OPORTUNO!H128</f>
        <v>0</v>
      </c>
      <c r="I128" s="122">
        <f>OPORTUNO!I128</f>
        <v>0</v>
      </c>
      <c r="J128" s="122">
        <f>OPORTUNO!J128</f>
        <v>0</v>
      </c>
      <c r="K128" s="122">
        <f>OPORTUNO!K128</f>
        <v>0</v>
      </c>
      <c r="L128" s="122">
        <f>OPORTUNO!L128</f>
        <v>0</v>
      </c>
      <c r="M128" s="122">
        <f>OPORTUNO!M128</f>
        <v>0</v>
      </c>
      <c r="N128" s="122">
        <f>OPORTUNO!N128</f>
        <v>0</v>
      </c>
      <c r="O128" s="122">
        <f>OPORTUNO!O128</f>
        <v>0</v>
      </c>
      <c r="P128" s="122">
        <f>OPORTUNO!P128</f>
        <v>0</v>
      </c>
      <c r="Q128" s="122">
        <f>OPORTUNO!Q128</f>
        <v>0</v>
      </c>
      <c r="R128" s="122">
        <f>OPORTUNO!R128</f>
        <v>0</v>
      </c>
      <c r="S128" s="122">
        <f>OPORTUNO!S128</f>
        <v>0</v>
      </c>
      <c r="T128" s="122">
        <f>OPORTUNO!T128</f>
        <v>0</v>
      </c>
      <c r="U128" s="122">
        <f>OPORTUNO!U128</f>
        <v>0</v>
      </c>
      <c r="V128" s="122">
        <f>OPORTUNO!V128</f>
        <v>0</v>
      </c>
      <c r="W128" s="122">
        <f>OPORTUNO!W128</f>
        <v>0</v>
      </c>
      <c r="X128" s="122">
        <f>OPORTUNO!X128</f>
        <v>0</v>
      </c>
      <c r="Y128" s="253">
        <f>OPORTUNO!Y128</f>
        <v>0</v>
      </c>
      <c r="Z128" s="3"/>
      <c r="AA128" s="69"/>
    </row>
    <row r="129" spans="1:27" ht="12" customHeight="1" x14ac:dyDescent="0.2">
      <c r="A129" s="1"/>
      <c r="B129" s="240">
        <f>OPORTUNO!B129</f>
        <v>0</v>
      </c>
      <c r="C129" s="132">
        <f>OPORTUNO!C129</f>
        <v>2026102</v>
      </c>
      <c r="D129" s="123">
        <f>OPORTUNO!D129</f>
        <v>30</v>
      </c>
      <c r="E129" s="124" t="str">
        <f>OPORTUNO!E129</f>
        <v>23D</v>
      </c>
      <c r="F129" s="125" t="str">
        <f>OPORTUNO!F129</f>
        <v>Occidente - Directa</v>
      </c>
      <c r="G129" s="126">
        <f>OPORTUNO!G129</f>
        <v>12</v>
      </c>
      <c r="H129" s="127" t="str">
        <f>OPORTUNO!H129</f>
        <v>H23 Directa - CNB - Baloto - Éxito</v>
      </c>
      <c r="I129" s="128">
        <f>OPORTUNO!I129</f>
        <v>230887267</v>
      </c>
      <c r="J129" s="10">
        <f>OPORTUNO!J129</f>
        <v>0</v>
      </c>
      <c r="K129" s="10">
        <f>OPORTUNO!K129</f>
        <v>0</v>
      </c>
      <c r="L129" s="10">
        <f>OPORTUNO!L129</f>
        <v>0</v>
      </c>
      <c r="M129" s="10">
        <f>OPORTUNO!M129</f>
        <v>0</v>
      </c>
      <c r="N129" s="10">
        <f>OPORTUNO!N129</f>
        <v>0</v>
      </c>
      <c r="O129" s="10">
        <f>OPORTUNO!O129</f>
        <v>0</v>
      </c>
      <c r="P129" s="10">
        <f>OPORTUNO!P129</f>
        <v>0</v>
      </c>
      <c r="Q129" s="10">
        <f>OPORTUNO!Q129</f>
        <v>0</v>
      </c>
      <c r="R129" s="10">
        <f>OPORTUNO!R129</f>
        <v>0</v>
      </c>
      <c r="S129" s="10">
        <f>OPORTUNO!S129</f>
        <v>0</v>
      </c>
      <c r="T129" s="62">
        <f>OPORTUNO!T129</f>
        <v>0</v>
      </c>
      <c r="U129" s="62">
        <f>OPORTUNO!U129</f>
        <v>0</v>
      </c>
      <c r="V129" s="62">
        <f>OPORTUNO!V129</f>
        <v>0</v>
      </c>
      <c r="W129" s="62">
        <f>OPORTUNO!W129</f>
        <v>0</v>
      </c>
      <c r="X129" s="62">
        <f>OPORTUNO!X129</f>
        <v>0</v>
      </c>
      <c r="Y129" s="248">
        <f>OPORTUNO!Y129</f>
        <v>0</v>
      </c>
      <c r="Z129" s="1"/>
      <c r="AA129" s="69"/>
    </row>
    <row r="130" spans="1:27" ht="12" customHeight="1" x14ac:dyDescent="0.2">
      <c r="A130" s="1"/>
      <c r="B130" s="241">
        <f>OPORTUNO!B130</f>
        <v>0</v>
      </c>
      <c r="C130" s="133">
        <f>OPORTUNO!C130</f>
        <v>2026102</v>
      </c>
      <c r="D130" s="107">
        <f>OPORTUNO!D130</f>
        <v>30</v>
      </c>
      <c r="E130" s="108" t="str">
        <f>OPORTUNO!E130</f>
        <v>23D</v>
      </c>
      <c r="F130" s="109" t="str">
        <f>OPORTUNO!F130</f>
        <v>Occidente - Directa</v>
      </c>
      <c r="G130" s="110">
        <f>OPORTUNO!G130</f>
        <v>13</v>
      </c>
      <c r="H130" s="111" t="str">
        <f>OPORTUNO!H130</f>
        <v>T23 Directa - Transferencias</v>
      </c>
      <c r="I130" s="112">
        <f>OPORTUNO!I130</f>
        <v>230887267</v>
      </c>
      <c r="J130" s="9">
        <f>OPORTUNO!J130</f>
        <v>0</v>
      </c>
      <c r="K130" s="9">
        <f>OPORTUNO!K130</f>
        <v>0</v>
      </c>
      <c r="L130" s="9">
        <f>OPORTUNO!L130</f>
        <v>0</v>
      </c>
      <c r="M130" s="9">
        <f>OPORTUNO!M130</f>
        <v>0</v>
      </c>
      <c r="N130" s="9">
        <f>OPORTUNO!N130</f>
        <v>0</v>
      </c>
      <c r="O130" s="9">
        <f>OPORTUNO!O130</f>
        <v>0</v>
      </c>
      <c r="P130" s="9">
        <f>OPORTUNO!P130</f>
        <v>0</v>
      </c>
      <c r="Q130" s="9">
        <f>OPORTUNO!Q130</f>
        <v>0</v>
      </c>
      <c r="R130" s="9">
        <f>OPORTUNO!R130</f>
        <v>0</v>
      </c>
      <c r="S130" s="9">
        <f>OPORTUNO!S130</f>
        <v>0</v>
      </c>
      <c r="T130" s="46">
        <f>OPORTUNO!T130</f>
        <v>0</v>
      </c>
      <c r="U130" s="46">
        <f>OPORTUNO!U130</f>
        <v>0</v>
      </c>
      <c r="V130" s="46">
        <f>OPORTUNO!V130</f>
        <v>0</v>
      </c>
      <c r="W130" s="46">
        <f>OPORTUNO!W130</f>
        <v>0</v>
      </c>
      <c r="X130" s="46">
        <f>OPORTUNO!X130</f>
        <v>0</v>
      </c>
      <c r="Y130" s="250">
        <f>OPORTUNO!Y130</f>
        <v>0</v>
      </c>
      <c r="Z130" s="1"/>
      <c r="AA130" s="69"/>
    </row>
    <row r="131" spans="1:27" ht="12" customHeight="1" thickBot="1" x14ac:dyDescent="0.25">
      <c r="A131" s="1"/>
      <c r="B131" s="242">
        <f>OPORTUNO!B131</f>
        <v>0</v>
      </c>
      <c r="C131" s="134">
        <f>OPORTUNO!C131</f>
        <v>2026102</v>
      </c>
      <c r="D131" s="113">
        <f>OPORTUNO!D131</f>
        <v>30</v>
      </c>
      <c r="E131" s="114" t="str">
        <f>OPORTUNO!E131</f>
        <v>23D</v>
      </c>
      <c r="F131" s="115" t="str">
        <f>OPORTUNO!F131</f>
        <v>Occidente - Directa</v>
      </c>
      <c r="G131" s="116">
        <f>OPORTUNO!G131</f>
        <v>14</v>
      </c>
      <c r="H131" s="117" t="str">
        <f>OPORTUNO!H131</f>
        <v>O23 Directa - Oficinas</v>
      </c>
      <c r="I131" s="118">
        <f>OPORTUNO!I131</f>
        <v>230887267</v>
      </c>
      <c r="J131" s="119">
        <f>OPORTUNO!J131</f>
        <v>0</v>
      </c>
      <c r="K131" s="119">
        <f>OPORTUNO!K131</f>
        <v>0</v>
      </c>
      <c r="L131" s="119">
        <f>OPORTUNO!L131</f>
        <v>0</v>
      </c>
      <c r="M131" s="119">
        <f>OPORTUNO!M131</f>
        <v>0</v>
      </c>
      <c r="N131" s="119">
        <f>OPORTUNO!N131</f>
        <v>0</v>
      </c>
      <c r="O131" s="119">
        <f>OPORTUNO!O131</f>
        <v>0</v>
      </c>
      <c r="P131" s="119">
        <f>OPORTUNO!P131</f>
        <v>0</v>
      </c>
      <c r="Q131" s="119">
        <f>OPORTUNO!Q131</f>
        <v>0</v>
      </c>
      <c r="R131" s="119">
        <f>OPORTUNO!R131</f>
        <v>0</v>
      </c>
      <c r="S131" s="119">
        <f>OPORTUNO!S131</f>
        <v>0</v>
      </c>
      <c r="T131" s="120">
        <f>OPORTUNO!T131</f>
        <v>0</v>
      </c>
      <c r="U131" s="120">
        <f>OPORTUNO!U131</f>
        <v>0</v>
      </c>
      <c r="V131" s="120">
        <f>OPORTUNO!V131</f>
        <v>0</v>
      </c>
      <c r="W131" s="120">
        <f>OPORTUNO!W131</f>
        <v>0</v>
      </c>
      <c r="X131" s="120">
        <f>OPORTUNO!X131</f>
        <v>0</v>
      </c>
      <c r="Y131" s="252">
        <f>OPORTUNO!Y131</f>
        <v>0</v>
      </c>
      <c r="Z131" s="1"/>
      <c r="AA131" s="69"/>
    </row>
    <row r="132" spans="1:27" s="45" customFormat="1" ht="12" customHeight="1" thickBot="1" x14ac:dyDescent="0.25">
      <c r="A132" s="3"/>
      <c r="B132" s="129" t="s">
        <v>0</v>
      </c>
      <c r="C132" s="131">
        <f>OPORTUNO!C132</f>
        <v>2026102</v>
      </c>
      <c r="D132" s="131"/>
      <c r="E132" s="121"/>
      <c r="F132" s="122" t="str">
        <f>OPORTUNO!F132</f>
        <v>TOTAL</v>
      </c>
      <c r="G132" s="122">
        <f>OPORTUNO!G132</f>
        <v>0</v>
      </c>
      <c r="H132" s="122">
        <f>OPORTUNO!H132</f>
        <v>0</v>
      </c>
      <c r="I132" s="122">
        <f>OPORTUNO!I132</f>
        <v>0</v>
      </c>
      <c r="J132" s="122">
        <f>OPORTUNO!J132</f>
        <v>0</v>
      </c>
      <c r="K132" s="122">
        <f>OPORTUNO!K132</f>
        <v>0</v>
      </c>
      <c r="L132" s="122">
        <f>OPORTUNO!L132</f>
        <v>0</v>
      </c>
      <c r="M132" s="122">
        <f>OPORTUNO!M132</f>
        <v>0</v>
      </c>
      <c r="N132" s="122">
        <f>OPORTUNO!N132</f>
        <v>0</v>
      </c>
      <c r="O132" s="122">
        <f>OPORTUNO!O132</f>
        <v>0</v>
      </c>
      <c r="P132" s="122">
        <f>OPORTUNO!P132</f>
        <v>0</v>
      </c>
      <c r="Q132" s="122">
        <f>OPORTUNO!Q132</f>
        <v>0</v>
      </c>
      <c r="R132" s="122">
        <f>OPORTUNO!R132</f>
        <v>0</v>
      </c>
      <c r="S132" s="122">
        <f>OPORTUNO!S132</f>
        <v>0</v>
      </c>
      <c r="T132" s="122">
        <f>OPORTUNO!T132</f>
        <v>0</v>
      </c>
      <c r="U132" s="122">
        <f>OPORTUNO!U132</f>
        <v>0</v>
      </c>
      <c r="V132" s="122">
        <f>OPORTUNO!V132</f>
        <v>0</v>
      </c>
      <c r="W132" s="122">
        <f>OPORTUNO!W132</f>
        <v>0</v>
      </c>
      <c r="X132" s="122">
        <f>OPORTUNO!X132</f>
        <v>0</v>
      </c>
      <c r="Y132" s="253">
        <f>OPORTUNO!Y132</f>
        <v>0</v>
      </c>
      <c r="Z132" s="3"/>
      <c r="AA132" s="69"/>
    </row>
    <row r="133" spans="1:27" ht="12" customHeight="1" x14ac:dyDescent="0.2">
      <c r="A133" s="1"/>
      <c r="B133" s="240">
        <f>OPORTUNO!B133</f>
        <v>0</v>
      </c>
      <c r="C133" s="132">
        <f>OPORTUNO!C133</f>
        <v>2026102</v>
      </c>
      <c r="D133" s="123">
        <f>OPORTUNO!D133</f>
        <v>31</v>
      </c>
      <c r="E133" s="124" t="str">
        <f>OPORTUNO!E133</f>
        <v>23D</v>
      </c>
      <c r="F133" s="125" t="str">
        <f>OPORTUNO!F133</f>
        <v>Occidente - Directa</v>
      </c>
      <c r="G133" s="126">
        <f>OPORTUNO!G133</f>
        <v>12</v>
      </c>
      <c r="H133" s="127" t="str">
        <f>OPORTUNO!H133</f>
        <v>H23 Directa - CNB - Baloto - Éxito</v>
      </c>
      <c r="I133" s="128">
        <f>OPORTUNO!I133</f>
        <v>230887267</v>
      </c>
      <c r="J133" s="10">
        <f>OPORTUNO!J133</f>
        <v>0</v>
      </c>
      <c r="K133" s="10">
        <f>OPORTUNO!K133</f>
        <v>0</v>
      </c>
      <c r="L133" s="10">
        <f>OPORTUNO!L133</f>
        <v>0</v>
      </c>
      <c r="M133" s="10">
        <f>OPORTUNO!M133</f>
        <v>0</v>
      </c>
      <c r="N133" s="10">
        <f>OPORTUNO!N133</f>
        <v>0</v>
      </c>
      <c r="O133" s="10">
        <f>OPORTUNO!O133</f>
        <v>0</v>
      </c>
      <c r="P133" s="10">
        <f>OPORTUNO!P133</f>
        <v>0</v>
      </c>
      <c r="Q133" s="10">
        <f>OPORTUNO!Q133</f>
        <v>0</v>
      </c>
      <c r="R133" s="10">
        <f>OPORTUNO!R133</f>
        <v>0</v>
      </c>
      <c r="S133" s="10">
        <f>OPORTUNO!S133</f>
        <v>0</v>
      </c>
      <c r="T133" s="62">
        <f>OPORTUNO!T133</f>
        <v>0</v>
      </c>
      <c r="U133" s="62">
        <f>OPORTUNO!U133</f>
        <v>0</v>
      </c>
      <c r="V133" s="62">
        <f>OPORTUNO!V133</f>
        <v>0</v>
      </c>
      <c r="W133" s="62">
        <f>OPORTUNO!W133</f>
        <v>0</v>
      </c>
      <c r="X133" s="62">
        <f>OPORTUNO!X133</f>
        <v>0</v>
      </c>
      <c r="Y133" s="248">
        <f>OPORTUNO!Y133</f>
        <v>0</v>
      </c>
      <c r="Z133" s="1"/>
      <c r="AA133" s="69"/>
    </row>
    <row r="134" spans="1:27" ht="12" customHeight="1" x14ac:dyDescent="0.2">
      <c r="A134" s="1"/>
      <c r="B134" s="241">
        <f>OPORTUNO!B134</f>
        <v>0</v>
      </c>
      <c r="C134" s="133">
        <f>OPORTUNO!C134</f>
        <v>2026102</v>
      </c>
      <c r="D134" s="107">
        <f>OPORTUNO!D134</f>
        <v>31</v>
      </c>
      <c r="E134" s="108" t="str">
        <f>OPORTUNO!E134</f>
        <v>23D</v>
      </c>
      <c r="F134" s="109" t="str">
        <f>OPORTUNO!F134</f>
        <v>Occidente - Directa</v>
      </c>
      <c r="G134" s="110">
        <f>OPORTUNO!G134</f>
        <v>13</v>
      </c>
      <c r="H134" s="111" t="str">
        <f>OPORTUNO!H134</f>
        <v>T23 Directa - Transferencias</v>
      </c>
      <c r="I134" s="112">
        <f>OPORTUNO!I134</f>
        <v>230887267</v>
      </c>
      <c r="J134" s="9">
        <f>OPORTUNO!J134</f>
        <v>0</v>
      </c>
      <c r="K134" s="9">
        <f>OPORTUNO!K134</f>
        <v>0</v>
      </c>
      <c r="L134" s="9">
        <f>OPORTUNO!L134</f>
        <v>0</v>
      </c>
      <c r="M134" s="9">
        <f>OPORTUNO!M134</f>
        <v>0</v>
      </c>
      <c r="N134" s="9">
        <f>OPORTUNO!N134</f>
        <v>0</v>
      </c>
      <c r="O134" s="9">
        <f>OPORTUNO!O134</f>
        <v>0</v>
      </c>
      <c r="P134" s="9">
        <f>OPORTUNO!P134</f>
        <v>0</v>
      </c>
      <c r="Q134" s="9">
        <f>OPORTUNO!Q134</f>
        <v>0</v>
      </c>
      <c r="R134" s="9">
        <f>OPORTUNO!R134</f>
        <v>0</v>
      </c>
      <c r="S134" s="9">
        <f>OPORTUNO!S134</f>
        <v>0</v>
      </c>
      <c r="T134" s="46">
        <f>OPORTUNO!T134</f>
        <v>0</v>
      </c>
      <c r="U134" s="46">
        <f>OPORTUNO!U134</f>
        <v>0</v>
      </c>
      <c r="V134" s="46">
        <f>OPORTUNO!V134</f>
        <v>0</v>
      </c>
      <c r="W134" s="46">
        <f>OPORTUNO!W134</f>
        <v>0</v>
      </c>
      <c r="X134" s="46">
        <f>OPORTUNO!X134</f>
        <v>0</v>
      </c>
      <c r="Y134" s="250">
        <f>OPORTUNO!Y134</f>
        <v>0</v>
      </c>
      <c r="Z134" s="1"/>
      <c r="AA134" s="69"/>
    </row>
    <row r="135" spans="1:27" ht="12" customHeight="1" thickBot="1" x14ac:dyDescent="0.25">
      <c r="A135" s="1"/>
      <c r="B135" s="242">
        <f>OPORTUNO!B135</f>
        <v>0</v>
      </c>
      <c r="C135" s="134">
        <f>OPORTUNO!C135</f>
        <v>2026102</v>
      </c>
      <c r="D135" s="113">
        <f>OPORTUNO!D135</f>
        <v>31</v>
      </c>
      <c r="E135" s="114" t="str">
        <f>OPORTUNO!E135</f>
        <v>23D</v>
      </c>
      <c r="F135" s="115" t="str">
        <f>OPORTUNO!F135</f>
        <v>Occidente - Directa</v>
      </c>
      <c r="G135" s="116">
        <f>OPORTUNO!G135</f>
        <v>14</v>
      </c>
      <c r="H135" s="117" t="str">
        <f>OPORTUNO!H135</f>
        <v>O23 Directa - Oficinas</v>
      </c>
      <c r="I135" s="118">
        <f>OPORTUNO!I135</f>
        <v>230887267</v>
      </c>
      <c r="J135" s="119">
        <f>OPORTUNO!J135</f>
        <v>0</v>
      </c>
      <c r="K135" s="119">
        <f>OPORTUNO!K135</f>
        <v>0</v>
      </c>
      <c r="L135" s="119">
        <f>OPORTUNO!L135</f>
        <v>0</v>
      </c>
      <c r="M135" s="119">
        <f>OPORTUNO!M135</f>
        <v>0</v>
      </c>
      <c r="N135" s="119">
        <f>OPORTUNO!N135</f>
        <v>0</v>
      </c>
      <c r="O135" s="119">
        <f>OPORTUNO!O135</f>
        <v>0</v>
      </c>
      <c r="P135" s="119">
        <f>OPORTUNO!P135</f>
        <v>0</v>
      </c>
      <c r="Q135" s="119">
        <f>OPORTUNO!Q135</f>
        <v>0</v>
      </c>
      <c r="R135" s="119">
        <f>OPORTUNO!R135</f>
        <v>0</v>
      </c>
      <c r="S135" s="119">
        <f>OPORTUNO!S135</f>
        <v>0</v>
      </c>
      <c r="T135" s="120">
        <f>OPORTUNO!T135</f>
        <v>0</v>
      </c>
      <c r="U135" s="120">
        <f>OPORTUNO!U135</f>
        <v>0</v>
      </c>
      <c r="V135" s="120">
        <f>OPORTUNO!V135</f>
        <v>0</v>
      </c>
      <c r="W135" s="120">
        <f>OPORTUNO!W135</f>
        <v>0</v>
      </c>
      <c r="X135" s="120">
        <f>OPORTUNO!X135</f>
        <v>0</v>
      </c>
      <c r="Y135" s="252">
        <f>OPORTUNO!Y135</f>
        <v>0</v>
      </c>
      <c r="Z135" s="1"/>
      <c r="AA135" s="69"/>
    </row>
    <row r="136" spans="1:27" s="45" customFormat="1" ht="12" customHeight="1" thickBot="1" x14ac:dyDescent="0.25">
      <c r="A136" s="3"/>
      <c r="B136" s="129" t="s">
        <v>0</v>
      </c>
      <c r="C136" s="131">
        <f>OPORTUNO!C136</f>
        <v>2026102</v>
      </c>
      <c r="D136" s="131"/>
      <c r="E136" s="121"/>
      <c r="F136" s="122" t="str">
        <f>OPORTUNO!F136</f>
        <v>TOTAL</v>
      </c>
      <c r="G136" s="122">
        <f>OPORTUNO!G136</f>
        <v>0</v>
      </c>
      <c r="H136" s="122">
        <f>OPORTUNO!H136</f>
        <v>0</v>
      </c>
      <c r="I136" s="122">
        <f>OPORTUNO!I136</f>
        <v>0</v>
      </c>
      <c r="J136" s="122">
        <f>OPORTUNO!J136</f>
        <v>0</v>
      </c>
      <c r="K136" s="122">
        <f>OPORTUNO!K136</f>
        <v>0</v>
      </c>
      <c r="L136" s="122">
        <f>OPORTUNO!L136</f>
        <v>0</v>
      </c>
      <c r="M136" s="122">
        <f>OPORTUNO!M136</f>
        <v>0</v>
      </c>
      <c r="N136" s="122">
        <f>OPORTUNO!N136</f>
        <v>0</v>
      </c>
      <c r="O136" s="122">
        <f>OPORTUNO!O136</f>
        <v>0</v>
      </c>
      <c r="P136" s="122">
        <f>OPORTUNO!P136</f>
        <v>0</v>
      </c>
      <c r="Q136" s="122">
        <f>OPORTUNO!Q136</f>
        <v>0</v>
      </c>
      <c r="R136" s="122">
        <f>OPORTUNO!R136</f>
        <v>0</v>
      </c>
      <c r="S136" s="122">
        <f>OPORTUNO!S136</f>
        <v>0</v>
      </c>
      <c r="T136" s="122">
        <f>OPORTUNO!T136</f>
        <v>0</v>
      </c>
      <c r="U136" s="122">
        <f>OPORTUNO!U136</f>
        <v>0</v>
      </c>
      <c r="V136" s="122">
        <f>OPORTUNO!V136</f>
        <v>0</v>
      </c>
      <c r="W136" s="122">
        <f>OPORTUNO!W136</f>
        <v>0</v>
      </c>
      <c r="X136" s="122">
        <f>OPORTUNO!X136</f>
        <v>0</v>
      </c>
      <c r="Y136" s="253">
        <f>OPORTUNO!Y136</f>
        <v>0</v>
      </c>
      <c r="Z136" s="3"/>
      <c r="AA136" s="69"/>
    </row>
    <row r="137" spans="1:27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69"/>
    </row>
    <row r="138" spans="1:27" ht="12" customHeight="1" x14ac:dyDescent="0.2">
      <c r="A138" s="69"/>
      <c r="B138" s="69"/>
      <c r="C138" s="69"/>
      <c r="D138" s="69"/>
      <c r="E138" s="135"/>
      <c r="F138" s="135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1"/>
      <c r="Z138" s="69"/>
      <c r="AA138" s="69"/>
    </row>
    <row r="139" spans="1:27" ht="12" customHeight="1" x14ac:dyDescent="0.2">
      <c r="A139" s="1"/>
      <c r="B139" s="1"/>
      <c r="C139" s="1"/>
      <c r="D139" s="1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64"/>
    </row>
    <row r="140" spans="1:27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64"/>
    </row>
    <row r="141" spans="1:27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64"/>
    </row>
    <row r="142" spans="1:27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64"/>
    </row>
    <row r="143" spans="1:27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64"/>
    </row>
    <row r="144" spans="1:27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64"/>
    </row>
    <row r="145" spans="1:27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64"/>
    </row>
    <row r="146" spans="1:27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64"/>
    </row>
    <row r="147" spans="1:27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64"/>
    </row>
    <row r="148" spans="1:27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64"/>
    </row>
    <row r="149" spans="1:27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64"/>
    </row>
    <row r="150" spans="1:27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64"/>
    </row>
    <row r="151" spans="1:27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64"/>
    </row>
    <row r="152" spans="1:27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64"/>
    </row>
    <row r="153" spans="1:27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64"/>
    </row>
    <row r="154" spans="1:27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64"/>
    </row>
    <row r="155" spans="1:27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64"/>
    </row>
    <row r="156" spans="1:27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64"/>
    </row>
    <row r="157" spans="1:27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 t="s">
        <v>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64"/>
    </row>
    <row r="158" spans="1:27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 t="s">
        <v>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64"/>
    </row>
    <row r="159" spans="1:27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 t="s">
        <v>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64"/>
    </row>
    <row r="160" spans="1:27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 t="s">
        <v>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64"/>
    </row>
    <row r="161" spans="1:27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 t="s"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4"/>
    </row>
    <row r="162" spans="1:27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 t="s"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4"/>
    </row>
    <row r="163" spans="1:27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 t="s"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4"/>
    </row>
    <row r="164" spans="1:27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 t="s"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4"/>
    </row>
    <row r="165" spans="1:27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 t="s"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4"/>
    </row>
    <row r="166" spans="1:27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64"/>
    </row>
    <row r="167" spans="1:27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64"/>
    </row>
    <row r="168" spans="1:27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64"/>
    </row>
    <row r="169" spans="1:27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64"/>
    </row>
    <row r="170" spans="1:27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64"/>
    </row>
    <row r="171" spans="1:27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64"/>
    </row>
    <row r="172" spans="1:27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64"/>
    </row>
    <row r="173" spans="1:27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64"/>
    </row>
    <row r="174" spans="1:27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64"/>
    </row>
    <row r="175" spans="1:27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64"/>
    </row>
    <row r="176" spans="1:27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64"/>
    </row>
    <row r="177" spans="1:27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64"/>
    </row>
    <row r="178" spans="1:27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64"/>
    </row>
    <row r="179" spans="1:27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64"/>
    </row>
    <row r="180" spans="1:27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64"/>
    </row>
    <row r="181" spans="1:27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64"/>
    </row>
    <row r="182" spans="1:27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64"/>
    </row>
    <row r="183" spans="1:27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64"/>
    </row>
    <row r="184" spans="1:27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64"/>
    </row>
    <row r="185" spans="1:27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64"/>
    </row>
    <row r="186" spans="1:27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64"/>
    </row>
    <row r="187" spans="1:27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64"/>
    </row>
    <row r="188" spans="1:27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64"/>
    </row>
    <row r="189" spans="1:27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64"/>
    </row>
    <row r="190" spans="1:27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64"/>
    </row>
    <row r="191" spans="1:27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64"/>
    </row>
    <row r="192" spans="1:27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64"/>
    </row>
    <row r="193" spans="1:27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64"/>
    </row>
    <row r="194" spans="1:27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64"/>
    </row>
    <row r="195" spans="1:27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64"/>
    </row>
    <row r="196" spans="1:27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64"/>
    </row>
    <row r="197" spans="1:27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64"/>
    </row>
    <row r="198" spans="1:27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64"/>
    </row>
    <row r="199" spans="1:27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64"/>
    </row>
    <row r="200" spans="1:27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64"/>
    </row>
    <row r="201" spans="1:27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64"/>
    </row>
    <row r="202" spans="1:27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64"/>
    </row>
    <row r="203" spans="1:27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64"/>
    </row>
    <row r="204" spans="1:27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64"/>
    </row>
    <row r="205" spans="1:27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64"/>
    </row>
    <row r="206" spans="1:27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64"/>
    </row>
    <row r="207" spans="1:27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64"/>
    </row>
    <row r="208" spans="1:27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64"/>
    </row>
    <row r="209" spans="1:27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64"/>
    </row>
    <row r="210" spans="1:27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64"/>
    </row>
    <row r="211" spans="1:27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64"/>
    </row>
    <row r="212" spans="1:27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64"/>
    </row>
    <row r="213" spans="1:27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64"/>
    </row>
    <row r="214" spans="1:27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64"/>
    </row>
    <row r="215" spans="1:27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64"/>
    </row>
    <row r="216" spans="1:27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64"/>
    </row>
    <row r="217" spans="1:27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64"/>
    </row>
    <row r="218" spans="1:27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64"/>
    </row>
    <row r="219" spans="1:27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64"/>
    </row>
    <row r="220" spans="1:27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64"/>
    </row>
    <row r="221" spans="1:27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64"/>
    </row>
    <row r="222" spans="1:27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64"/>
    </row>
    <row r="223" spans="1:27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64"/>
    </row>
    <row r="224" spans="1:27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64"/>
    </row>
    <row r="225" spans="1:27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64"/>
    </row>
    <row r="226" spans="1:27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64"/>
    </row>
    <row r="227" spans="1:27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64"/>
    </row>
    <row r="228" spans="1:27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64"/>
    </row>
    <row r="229" spans="1:27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64"/>
    </row>
    <row r="230" spans="1:27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64"/>
    </row>
    <row r="231" spans="1:27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64"/>
    </row>
    <row r="232" spans="1:27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64"/>
    </row>
    <row r="233" spans="1:27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64"/>
    </row>
    <row r="234" spans="1:27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64"/>
    </row>
    <row r="235" spans="1:27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64"/>
    </row>
    <row r="236" spans="1:27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64"/>
    </row>
    <row r="237" spans="1:27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64"/>
    </row>
    <row r="238" spans="1:27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64"/>
    </row>
    <row r="239" spans="1:27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64"/>
    </row>
    <row r="240" spans="1:27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64"/>
    </row>
    <row r="241" spans="1:27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64"/>
    </row>
    <row r="242" spans="1:27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64"/>
    </row>
    <row r="243" spans="1:27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64"/>
    </row>
    <row r="244" spans="1:27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64"/>
    </row>
    <row r="245" spans="1:27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64"/>
    </row>
    <row r="246" spans="1:27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64"/>
    </row>
    <row r="247" spans="1:27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64"/>
    </row>
    <row r="248" spans="1:27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64"/>
    </row>
    <row r="249" spans="1:27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64"/>
    </row>
    <row r="250" spans="1:27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64"/>
    </row>
    <row r="251" spans="1:27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64"/>
    </row>
    <row r="252" spans="1:27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64"/>
    </row>
    <row r="253" spans="1:27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64"/>
    </row>
    <row r="254" spans="1:27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64"/>
    </row>
    <row r="255" spans="1:27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64"/>
    </row>
    <row r="256" spans="1:27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64"/>
    </row>
    <row r="257" spans="1:27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64"/>
    </row>
    <row r="258" spans="1:27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64"/>
    </row>
    <row r="259" spans="1:27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64"/>
    </row>
    <row r="260" spans="1:27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64"/>
    </row>
    <row r="261" spans="1:27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64"/>
    </row>
    <row r="262" spans="1:27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64"/>
    </row>
    <row r="263" spans="1:27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64"/>
    </row>
    <row r="264" spans="1:27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64"/>
    </row>
    <row r="265" spans="1:27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64"/>
    </row>
    <row r="266" spans="1:27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64"/>
    </row>
    <row r="267" spans="1:27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64"/>
    </row>
    <row r="268" spans="1:27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64"/>
    </row>
    <row r="269" spans="1:27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64"/>
    </row>
    <row r="270" spans="1:27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64"/>
    </row>
    <row r="271" spans="1:27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64"/>
    </row>
    <row r="272" spans="1:27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64"/>
    </row>
    <row r="273" spans="1:27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64"/>
    </row>
    <row r="274" spans="1:27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64"/>
    </row>
    <row r="275" spans="1:27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64"/>
    </row>
    <row r="276" spans="1:27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64"/>
    </row>
    <row r="277" spans="1:27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64"/>
    </row>
    <row r="278" spans="1:27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64"/>
    </row>
    <row r="279" spans="1:27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64"/>
    </row>
    <row r="280" spans="1:27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64"/>
    </row>
    <row r="281" spans="1:27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64"/>
    </row>
    <row r="282" spans="1:27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64"/>
    </row>
    <row r="283" spans="1:27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64"/>
    </row>
    <row r="284" spans="1:27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64"/>
    </row>
    <row r="285" spans="1:27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64"/>
    </row>
    <row r="286" spans="1:27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64"/>
    </row>
    <row r="287" spans="1:27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64"/>
    </row>
    <row r="288" spans="1:27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64"/>
    </row>
    <row r="289" spans="1:27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64"/>
    </row>
    <row r="290" spans="1:27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64"/>
    </row>
    <row r="291" spans="1:27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64"/>
    </row>
    <row r="292" spans="1:27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64"/>
    </row>
    <row r="293" spans="1:27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64"/>
    </row>
    <row r="294" spans="1:27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64"/>
    </row>
    <row r="295" spans="1:27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64"/>
    </row>
    <row r="296" spans="1:27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64"/>
    </row>
    <row r="297" spans="1:27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64"/>
    </row>
    <row r="298" spans="1:27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64"/>
    </row>
    <row r="299" spans="1:27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64"/>
    </row>
    <row r="300" spans="1:27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64"/>
    </row>
    <row r="301" spans="1:27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64"/>
    </row>
    <row r="302" spans="1:27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64"/>
    </row>
    <row r="303" spans="1:27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64"/>
    </row>
    <row r="304" spans="1:27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64"/>
    </row>
    <row r="305" spans="1:27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64"/>
    </row>
    <row r="306" spans="1:27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64"/>
    </row>
    <row r="307" spans="1:27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64"/>
    </row>
    <row r="308" spans="1:27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64"/>
    </row>
    <row r="309" spans="1:27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64"/>
    </row>
    <row r="310" spans="1:27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64"/>
    </row>
    <row r="311" spans="1:27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64"/>
    </row>
    <row r="312" spans="1:27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64"/>
    </row>
    <row r="313" spans="1:27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64"/>
    </row>
    <row r="314" spans="1:27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64"/>
    </row>
    <row r="315" spans="1:27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64"/>
    </row>
    <row r="316" spans="1:27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64"/>
    </row>
    <row r="317" spans="1:27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64"/>
    </row>
    <row r="318" spans="1:27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64"/>
    </row>
    <row r="319" spans="1:27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64"/>
    </row>
    <row r="320" spans="1:27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64"/>
    </row>
    <row r="321" spans="1:27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64"/>
    </row>
    <row r="322" spans="1:27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64"/>
    </row>
    <row r="323" spans="1:27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64"/>
    </row>
    <row r="324" spans="1:27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64"/>
    </row>
    <row r="325" spans="1:27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64"/>
    </row>
    <row r="326" spans="1:27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64"/>
    </row>
    <row r="327" spans="1:27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64"/>
    </row>
    <row r="328" spans="1:27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64"/>
    </row>
    <row r="329" spans="1:27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64"/>
    </row>
    <row r="330" spans="1:27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64"/>
    </row>
    <row r="331" spans="1:27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64"/>
    </row>
    <row r="332" spans="1:27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64"/>
    </row>
    <row r="333" spans="1:27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64"/>
    </row>
    <row r="334" spans="1:27" ht="15.75" customHeight="1" x14ac:dyDescent="0.2"/>
    <row r="335" spans="1:27" ht="15.75" customHeight="1" x14ac:dyDescent="0.2"/>
    <row r="336" spans="1:27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conditionalFormatting sqref="AC1:AY3">
    <cfRule type="cellIs" dxfId="1" priority="1" operator="notEqual">
      <formula>TRUE</formula>
    </cfRule>
  </conditionalFormatting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WQK1048576"/>
  <sheetViews>
    <sheetView workbookViewId="0"/>
  </sheetViews>
  <sheetFormatPr baseColWidth="10" defaultColWidth="11.42578125" defaultRowHeight="12" x14ac:dyDescent="0.2"/>
  <cols>
    <col min="1" max="1" width="3" style="136" customWidth="1"/>
    <col min="2" max="2" width="11.5703125" style="136" customWidth="1"/>
    <col min="3" max="3" width="15.42578125" style="136" customWidth="1"/>
    <col min="4" max="4" width="11" style="136" customWidth="1"/>
    <col min="5" max="5" width="9.5703125" style="136" customWidth="1"/>
    <col min="6" max="6" width="17.140625" style="136" bestFit="1" customWidth="1"/>
    <col min="7" max="7" width="8.42578125" style="136" customWidth="1"/>
    <col min="8" max="8" width="24.42578125" style="136" customWidth="1"/>
    <col min="9" max="9" width="14.42578125" style="136" bestFit="1" customWidth="1"/>
    <col min="10" max="10" width="12.85546875" style="136" bestFit="1" customWidth="1"/>
    <col min="11" max="11" width="14.5703125" style="136" bestFit="1" customWidth="1"/>
    <col min="12" max="12" width="12.85546875" style="136" bestFit="1" customWidth="1"/>
    <col min="13" max="13" width="13.42578125" style="136" customWidth="1"/>
    <col min="14" max="14" width="12.85546875" style="136" bestFit="1" customWidth="1"/>
    <col min="15" max="15" width="12" style="136" bestFit="1" customWidth="1"/>
    <col min="16" max="16" width="12.5703125" style="136" bestFit="1" customWidth="1"/>
    <col min="17" max="17" width="13.85546875" style="136" customWidth="1"/>
    <col min="18" max="18" width="12.85546875" style="136" bestFit="1" customWidth="1"/>
    <col min="19" max="19" width="10.85546875" style="136" customWidth="1"/>
    <col min="20" max="20" width="11.140625" style="136" bestFit="1" customWidth="1"/>
    <col min="21" max="21" width="14" style="136" bestFit="1" customWidth="1"/>
    <col min="22" max="22" width="13.42578125" style="136" bestFit="1" customWidth="1"/>
    <col min="23" max="23" width="12" style="136" customWidth="1"/>
    <col min="24" max="24" width="11.85546875" style="136" customWidth="1"/>
    <col min="25" max="25" width="11.42578125" style="136" bestFit="1" customWidth="1"/>
    <col min="26" max="26" width="5.42578125" style="136" customWidth="1"/>
    <col min="27" max="27" width="2.5703125" style="136" customWidth="1"/>
    <col min="28" max="28" width="3" style="136" customWidth="1"/>
    <col min="29" max="29" width="11.42578125" style="136"/>
    <col min="30" max="52" width="12.85546875" style="136" bestFit="1" customWidth="1"/>
    <col min="53" max="16384" width="11.42578125" style="136"/>
  </cols>
  <sheetData>
    <row r="1" spans="2:52 16000:16001" ht="12.95" customHeight="1" x14ac:dyDescent="0.2">
      <c r="C1" s="65">
        <f>EXTEMPORANEOS!C1</f>
        <v>2026101</v>
      </c>
      <c r="D1" s="137"/>
      <c r="E1" s="137"/>
      <c r="F1" s="137"/>
      <c r="G1" s="137"/>
      <c r="H1" s="137"/>
      <c r="I1" s="137"/>
      <c r="J1" s="67" t="e">
        <f t="shared" ref="J1:Y1" si="0">SUM(J13:J78)</f>
        <v>#REF!</v>
      </c>
      <c r="K1" s="67" t="e">
        <f t="shared" si="0"/>
        <v>#REF!</v>
      </c>
      <c r="L1" s="67" t="e">
        <f t="shared" si="0"/>
        <v>#REF!</v>
      </c>
      <c r="M1" s="67" t="e">
        <f t="shared" si="0"/>
        <v>#REF!</v>
      </c>
      <c r="N1" s="67" t="e">
        <f t="shared" si="0"/>
        <v>#REF!</v>
      </c>
      <c r="O1" s="67" t="e">
        <f t="shared" si="0"/>
        <v>#REF!</v>
      </c>
      <c r="P1" s="67" t="e">
        <f>SUM(P13:P78)</f>
        <v>#REF!</v>
      </c>
      <c r="Q1" s="67" t="e">
        <f t="shared" si="0"/>
        <v>#REF!</v>
      </c>
      <c r="R1" s="67" t="e">
        <f t="shared" si="0"/>
        <v>#REF!</v>
      </c>
      <c r="S1" s="67" t="e">
        <f t="shared" si="0"/>
        <v>#REF!</v>
      </c>
      <c r="T1" s="67" t="e">
        <f t="shared" si="0"/>
        <v>#REF!</v>
      </c>
      <c r="U1" s="67" t="e">
        <f t="shared" si="0"/>
        <v>#REF!</v>
      </c>
      <c r="V1" s="67" t="e">
        <f t="shared" si="0"/>
        <v>#REF!</v>
      </c>
      <c r="W1" s="67" t="e">
        <f>SUM(W13:W78)</f>
        <v>#REF!</v>
      </c>
      <c r="X1" s="67" t="e">
        <f t="shared" si="0"/>
        <v>#REF!</v>
      </c>
      <c r="Y1" s="68" t="e">
        <f t="shared" si="0"/>
        <v>#REF!</v>
      </c>
      <c r="AA1" s="138"/>
      <c r="AD1" s="136" t="b">
        <f>C1=EXTEMPORANEOS!C1</f>
        <v>1</v>
      </c>
      <c r="AE1" s="136" t="b">
        <f>D1=EXTEMPORANEOS!D1</f>
        <v>1</v>
      </c>
      <c r="AF1" s="136" t="b">
        <f>E1=EXTEMPORANEOS!E1</f>
        <v>1</v>
      </c>
      <c r="AG1" s="136" t="b">
        <f>F1=EXTEMPORANEOS!F1</f>
        <v>1</v>
      </c>
      <c r="AH1" s="136" t="b">
        <f>G1=EXTEMPORANEOS!G1</f>
        <v>1</v>
      </c>
      <c r="AI1" s="136" t="b">
        <f>H1=EXTEMPORANEOS!H1</f>
        <v>1</v>
      </c>
      <c r="AJ1" s="136" t="b">
        <f>I1=EXTEMPORANEOS!I1</f>
        <v>1</v>
      </c>
      <c r="AK1" s="136" t="e">
        <f>J1=EXTEMPORANEOS!J1</f>
        <v>#REF!</v>
      </c>
      <c r="AL1" s="136" t="e">
        <f>K1=EXTEMPORANEOS!K1</f>
        <v>#REF!</v>
      </c>
      <c r="AM1" s="136" t="e">
        <f>L1=EXTEMPORANEOS!L1</f>
        <v>#REF!</v>
      </c>
      <c r="AN1" s="136" t="e">
        <f>M1=EXTEMPORANEOS!M1</f>
        <v>#REF!</v>
      </c>
      <c r="AO1" s="136" t="e">
        <f>N1=EXTEMPORANEOS!N1</f>
        <v>#REF!</v>
      </c>
      <c r="AP1" s="136" t="e">
        <f>O1=EXTEMPORANEOS!O1</f>
        <v>#REF!</v>
      </c>
      <c r="AQ1" s="136" t="e">
        <f>P1=EXTEMPORANEOS!P1</f>
        <v>#REF!</v>
      </c>
      <c r="AR1" s="136" t="e">
        <f>Q1=EXTEMPORANEOS!Q1</f>
        <v>#REF!</v>
      </c>
      <c r="AS1" s="136" t="e">
        <f>R1=EXTEMPORANEOS!R1</f>
        <v>#REF!</v>
      </c>
      <c r="AT1" s="136" t="e">
        <f>S1=EXTEMPORANEOS!S1</f>
        <v>#REF!</v>
      </c>
      <c r="AU1" s="136" t="e">
        <f>T1=EXTEMPORANEOS!T1</f>
        <v>#REF!</v>
      </c>
      <c r="AV1" s="136" t="e">
        <f>U1=EXTEMPORANEOS!U1</f>
        <v>#REF!</v>
      </c>
      <c r="AW1" s="136" t="e">
        <f>V1=EXTEMPORANEOS!V1</f>
        <v>#REF!</v>
      </c>
      <c r="AX1" s="136" t="e">
        <f>W1=EXTEMPORANEOS!W1</f>
        <v>#REF!</v>
      </c>
      <c r="AY1" s="136" t="e">
        <f>X1=EXTEMPORANEOS!X1</f>
        <v>#REF!</v>
      </c>
      <c r="AZ1" s="136" t="e">
        <f>Y1=EXTEMPORANEOS!Y1</f>
        <v>#REF!</v>
      </c>
    </row>
    <row r="2" spans="2:52 16000:16001" ht="12.95" customHeight="1" x14ac:dyDescent="0.2">
      <c r="C2" s="71">
        <f>EXTEMPORANEOS!C2</f>
        <v>2026102</v>
      </c>
      <c r="D2" s="139"/>
      <c r="E2" s="139"/>
      <c r="F2" s="139"/>
      <c r="G2" s="139"/>
      <c r="H2" s="139"/>
      <c r="I2" s="139"/>
      <c r="J2" s="73">
        <f t="shared" ref="J2:Y2" si="1">SUM(J83:J164)</f>
        <v>106</v>
      </c>
      <c r="K2" s="73">
        <f t="shared" si="1"/>
        <v>21888196</v>
      </c>
      <c r="L2" s="73">
        <f t="shared" si="1"/>
        <v>27</v>
      </c>
      <c r="M2" s="73">
        <f t="shared" si="1"/>
        <v>49312788</v>
      </c>
      <c r="N2" s="73">
        <f t="shared" si="1"/>
        <v>3</v>
      </c>
      <c r="O2" s="73">
        <f t="shared" si="1"/>
        <v>1810000</v>
      </c>
      <c r="P2" s="73">
        <f t="shared" si="1"/>
        <v>10</v>
      </c>
      <c r="Q2" s="73">
        <f t="shared" si="1"/>
        <v>560460</v>
      </c>
      <c r="R2" s="73">
        <f t="shared" si="1"/>
        <v>3</v>
      </c>
      <c r="S2" s="73">
        <f t="shared" si="1"/>
        <v>251760</v>
      </c>
      <c r="T2" s="73">
        <f t="shared" si="1"/>
        <v>149</v>
      </c>
      <c r="U2" s="73">
        <f>SUM(U83:U164)</f>
        <v>73823204</v>
      </c>
      <c r="V2" s="73">
        <f t="shared" si="1"/>
        <v>149</v>
      </c>
      <c r="W2" s="73">
        <f>SUM(W83:W164)</f>
        <v>73823204</v>
      </c>
      <c r="X2" s="73">
        <f t="shared" si="1"/>
        <v>0</v>
      </c>
      <c r="Y2" s="74">
        <f t="shared" si="1"/>
        <v>0</v>
      </c>
      <c r="AA2" s="138"/>
      <c r="AD2" s="136" t="b">
        <f>C2=EXTEMPORANEOS!C2</f>
        <v>1</v>
      </c>
      <c r="AE2" s="136" t="b">
        <f>D2=EXTEMPORANEOS!D2</f>
        <v>1</v>
      </c>
      <c r="AF2" s="136" t="b">
        <f>E2=EXTEMPORANEOS!E2</f>
        <v>1</v>
      </c>
      <c r="AG2" s="136" t="b">
        <f>F2=EXTEMPORANEOS!F2</f>
        <v>1</v>
      </c>
      <c r="AH2" s="136" t="b">
        <f>G2=EXTEMPORANEOS!G2</f>
        <v>1</v>
      </c>
      <c r="AI2" s="136" t="b">
        <f>H2=EXTEMPORANEOS!H2</f>
        <v>1</v>
      </c>
      <c r="AJ2" s="136" t="b">
        <f>I2=EXTEMPORANEOS!I2</f>
        <v>1</v>
      </c>
      <c r="AK2" s="136" t="b">
        <f>J2=EXTEMPORANEOS!J2</f>
        <v>1</v>
      </c>
      <c r="AL2" s="136" t="b">
        <f>K2=EXTEMPORANEOS!K2</f>
        <v>1</v>
      </c>
      <c r="AM2" s="136" t="b">
        <f>L2=EXTEMPORANEOS!L2</f>
        <v>1</v>
      </c>
      <c r="AN2" s="136" t="b">
        <f>M2=EXTEMPORANEOS!M2</f>
        <v>1</v>
      </c>
      <c r="AO2" s="136" t="b">
        <f>N2=EXTEMPORANEOS!N2</f>
        <v>1</v>
      </c>
      <c r="AP2" s="136" t="b">
        <f>O2=EXTEMPORANEOS!O2</f>
        <v>1</v>
      </c>
      <c r="AQ2" s="136" t="b">
        <f>P2=EXTEMPORANEOS!P2</f>
        <v>1</v>
      </c>
      <c r="AR2" s="136" t="b">
        <f>Q2=EXTEMPORANEOS!Q2</f>
        <v>1</v>
      </c>
      <c r="AS2" s="136" t="b">
        <f>R2=EXTEMPORANEOS!R2</f>
        <v>1</v>
      </c>
      <c r="AT2" s="136" t="b">
        <f>S2=EXTEMPORANEOS!S2</f>
        <v>1</v>
      </c>
      <c r="AU2" s="136" t="b">
        <f>T2=EXTEMPORANEOS!T2</f>
        <v>1</v>
      </c>
      <c r="AV2" s="136" t="b">
        <f>U2=EXTEMPORANEOS!U2</f>
        <v>1</v>
      </c>
      <c r="AW2" s="136" t="b">
        <f>V2=EXTEMPORANEOS!V2</f>
        <v>1</v>
      </c>
      <c r="AX2" s="136" t="b">
        <f>W2=EXTEMPORANEOS!W2</f>
        <v>1</v>
      </c>
      <c r="AY2" s="136" t="b">
        <f>X2=EXTEMPORANEOS!X2</f>
        <v>1</v>
      </c>
      <c r="AZ2" s="136" t="b">
        <f>Y2=EXTEMPORANEOS!Y2</f>
        <v>1</v>
      </c>
    </row>
    <row r="3" spans="2:52 16000:16001" ht="12.95" customHeight="1" thickBot="1" x14ac:dyDescent="0.25">
      <c r="C3" s="75">
        <f>EXTEMPORANEOS!C3</f>
        <v>202610</v>
      </c>
      <c r="D3" s="140"/>
      <c r="E3" s="140"/>
      <c r="F3" s="140"/>
      <c r="G3" s="140"/>
      <c r="H3" s="140"/>
      <c r="I3" s="140"/>
      <c r="J3" s="77" t="e">
        <f>SUM(J1:J2)</f>
        <v>#REF!</v>
      </c>
      <c r="K3" s="77" t="e">
        <f>SUM(K1:K2)</f>
        <v>#REF!</v>
      </c>
      <c r="L3" s="77" t="e">
        <f t="shared" ref="L3:Y3" si="2">SUM(L1:L2)</f>
        <v>#REF!</v>
      </c>
      <c r="M3" s="77" t="e">
        <f t="shared" si="2"/>
        <v>#REF!</v>
      </c>
      <c r="N3" s="77" t="e">
        <f t="shared" si="2"/>
        <v>#REF!</v>
      </c>
      <c r="O3" s="77" t="e">
        <f t="shared" si="2"/>
        <v>#REF!</v>
      </c>
      <c r="P3" s="77" t="e">
        <f t="shared" si="2"/>
        <v>#REF!</v>
      </c>
      <c r="Q3" s="77" t="e">
        <f t="shared" si="2"/>
        <v>#REF!</v>
      </c>
      <c r="R3" s="77" t="e">
        <f t="shared" si="2"/>
        <v>#REF!</v>
      </c>
      <c r="S3" s="77" t="e">
        <f t="shared" si="2"/>
        <v>#REF!</v>
      </c>
      <c r="T3" s="77" t="e">
        <f t="shared" si="2"/>
        <v>#REF!</v>
      </c>
      <c r="U3" s="77" t="e">
        <f t="shared" si="2"/>
        <v>#REF!</v>
      </c>
      <c r="V3" s="77" t="e">
        <f t="shared" si="2"/>
        <v>#REF!</v>
      </c>
      <c r="W3" s="77" t="e">
        <f>SUM(W1:W2)</f>
        <v>#REF!</v>
      </c>
      <c r="X3" s="77" t="e">
        <f t="shared" si="2"/>
        <v>#REF!</v>
      </c>
      <c r="Y3" s="78" t="e">
        <f t="shared" si="2"/>
        <v>#REF!</v>
      </c>
      <c r="AA3" s="138"/>
      <c r="AD3" s="136" t="b">
        <f>C3=EXTEMPORANEOS!C3</f>
        <v>1</v>
      </c>
      <c r="AE3" s="136" t="b">
        <f>D3=EXTEMPORANEOS!D3</f>
        <v>1</v>
      </c>
      <c r="AF3" s="136" t="b">
        <f>E3=EXTEMPORANEOS!E3</f>
        <v>1</v>
      </c>
      <c r="AG3" s="136" t="b">
        <f>F3=EXTEMPORANEOS!F3</f>
        <v>1</v>
      </c>
      <c r="AH3" s="136" t="b">
        <f>G3=EXTEMPORANEOS!G3</f>
        <v>1</v>
      </c>
      <c r="AI3" s="136" t="b">
        <f>H3=EXTEMPORANEOS!H3</f>
        <v>1</v>
      </c>
      <c r="AJ3" s="136" t="b">
        <f>I3=EXTEMPORANEOS!I3</f>
        <v>1</v>
      </c>
      <c r="AK3" s="136" t="e">
        <f>J3=EXTEMPORANEOS!J3</f>
        <v>#REF!</v>
      </c>
      <c r="AL3" s="136" t="e">
        <f>K3=EXTEMPORANEOS!K3</f>
        <v>#REF!</v>
      </c>
      <c r="AM3" s="136" t="e">
        <f>L3=EXTEMPORANEOS!L3</f>
        <v>#REF!</v>
      </c>
      <c r="AN3" s="136" t="e">
        <f>M3=EXTEMPORANEOS!M3</f>
        <v>#REF!</v>
      </c>
      <c r="AO3" s="136" t="e">
        <f>N3=EXTEMPORANEOS!N3</f>
        <v>#REF!</v>
      </c>
      <c r="AP3" s="136" t="e">
        <f>O3=EXTEMPORANEOS!O3</f>
        <v>#REF!</v>
      </c>
      <c r="AQ3" s="136" t="e">
        <f>P3=EXTEMPORANEOS!P3</f>
        <v>#REF!</v>
      </c>
      <c r="AR3" s="136" t="e">
        <f>Q3=EXTEMPORANEOS!Q3</f>
        <v>#REF!</v>
      </c>
      <c r="AS3" s="136" t="e">
        <f>R3=EXTEMPORANEOS!R3</f>
        <v>#REF!</v>
      </c>
      <c r="AT3" s="136" t="e">
        <f>S3=EXTEMPORANEOS!S3</f>
        <v>#REF!</v>
      </c>
      <c r="AU3" s="136" t="e">
        <f>T3=EXTEMPORANEOS!T3</f>
        <v>#REF!</v>
      </c>
      <c r="AV3" s="136" t="e">
        <f>U3=EXTEMPORANEOS!U3</f>
        <v>#REF!</v>
      </c>
      <c r="AW3" s="136" t="e">
        <f>V3=EXTEMPORANEOS!V3</f>
        <v>#REF!</v>
      </c>
      <c r="AX3" s="136" t="e">
        <f>W3=EXTEMPORANEOS!W3</f>
        <v>#REF!</v>
      </c>
      <c r="AY3" s="136" t="e">
        <f>X3=EXTEMPORANEOS!X3</f>
        <v>#REF!</v>
      </c>
      <c r="AZ3" s="136" t="e">
        <f>Y3=EXTEMPORANEOS!Y3</f>
        <v>#REF!</v>
      </c>
    </row>
    <row r="4" spans="2:52 16000:16001" ht="12" customHeight="1" thickBot="1" x14ac:dyDescent="0.25">
      <c r="AA4" s="138"/>
    </row>
    <row r="5" spans="2:52 16000:16001" ht="12.75" x14ac:dyDescent="0.2">
      <c r="B5" s="141"/>
      <c r="C5" s="142"/>
      <c r="D5" s="143"/>
      <c r="E5" s="86"/>
      <c r="F5" s="144" t="s">
        <v>0</v>
      </c>
      <c r="G5" s="88"/>
      <c r="H5" s="88"/>
      <c r="I5" s="144"/>
      <c r="J5" s="145" t="s">
        <v>0</v>
      </c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6"/>
      <c r="AA5" s="138"/>
      <c r="WQJ5" s="147"/>
      <c r="WQK5" s="147"/>
    </row>
    <row r="6" spans="2:52 16000:16001" ht="15.75" x14ac:dyDescent="0.25">
      <c r="B6" s="148"/>
      <c r="C6" s="149"/>
      <c r="D6" s="150"/>
      <c r="E6" s="92"/>
      <c r="G6" s="93"/>
      <c r="H6" s="151" t="s">
        <v>18</v>
      </c>
      <c r="W6" s="93"/>
      <c r="Y6" s="152"/>
      <c r="AA6" s="138"/>
      <c r="WQJ6" s="147"/>
      <c r="WQK6" s="147"/>
    </row>
    <row r="7" spans="2:52 16000:16001" ht="15.75" x14ac:dyDescent="0.25">
      <c r="B7" s="148"/>
      <c r="C7" s="149"/>
      <c r="D7" s="150"/>
      <c r="E7" s="92"/>
      <c r="G7" s="93"/>
      <c r="H7" s="151" t="s">
        <v>19</v>
      </c>
      <c r="Y7" s="152"/>
      <c r="AA7" s="138"/>
      <c r="WQJ7" s="147"/>
      <c r="WQK7" s="147"/>
    </row>
    <row r="8" spans="2:52 16000:16001" ht="15.75" x14ac:dyDescent="0.25">
      <c r="B8" s="148"/>
      <c r="C8" s="149"/>
      <c r="D8" s="150"/>
      <c r="E8" s="92"/>
      <c r="G8" s="93"/>
      <c r="H8" s="153" t="s">
        <v>105</v>
      </c>
      <c r="Y8" s="152"/>
      <c r="AA8" s="138"/>
      <c r="WQJ8" s="147"/>
      <c r="WQK8" s="147"/>
    </row>
    <row r="9" spans="2:52 16000:16001" ht="13.5" customHeight="1" x14ac:dyDescent="0.2">
      <c r="B9" s="148"/>
      <c r="C9" s="149"/>
      <c r="D9" s="150"/>
      <c r="E9" s="95" t="s">
        <v>1</v>
      </c>
      <c r="F9" s="154"/>
      <c r="G9" s="97"/>
      <c r="H9" s="155" t="s">
        <v>0</v>
      </c>
      <c r="W9" s="98"/>
      <c r="X9" s="156"/>
      <c r="Y9" s="152"/>
      <c r="AA9" s="138"/>
      <c r="WQJ9" s="147"/>
      <c r="WQK9" s="147"/>
    </row>
    <row r="10" spans="2:52 16000:16001" ht="13.5" customHeight="1" x14ac:dyDescent="0.25">
      <c r="B10" s="148"/>
      <c r="C10" s="149"/>
      <c r="D10" s="150"/>
      <c r="E10" s="99"/>
      <c r="G10" s="93"/>
      <c r="H10" s="157" t="str">
        <f>EXTEMPORANEOS!H10</f>
        <v>OCTUBRE_2026</v>
      </c>
      <c r="I10" s="93"/>
      <c r="K10" s="13" t="s">
        <v>124</v>
      </c>
      <c r="M10" s="93"/>
      <c r="O10" s="93"/>
      <c r="Q10" s="93"/>
      <c r="S10" s="93"/>
      <c r="T10" s="93"/>
      <c r="U10" s="93"/>
      <c r="V10" s="93"/>
      <c r="Y10" s="158"/>
      <c r="AA10" s="138"/>
      <c r="WQJ10" s="147"/>
      <c r="WQK10" s="147"/>
    </row>
    <row r="11" spans="2:52 16000:16001" ht="13.5" customHeight="1" thickBot="1" x14ac:dyDescent="0.25">
      <c r="B11" s="159"/>
      <c r="C11" s="160"/>
      <c r="D11" s="161"/>
      <c r="E11" s="104"/>
      <c r="F11" s="162"/>
      <c r="G11" s="106"/>
      <c r="H11" s="106"/>
      <c r="I11" s="162"/>
      <c r="J11" s="162"/>
      <c r="K11" s="106"/>
      <c r="L11" s="162"/>
      <c r="M11" s="106"/>
      <c r="N11" s="162"/>
      <c r="O11" s="106"/>
      <c r="P11" s="162"/>
      <c r="Q11" s="106"/>
      <c r="R11" s="162"/>
      <c r="S11" s="106"/>
      <c r="T11" s="106"/>
      <c r="U11" s="106"/>
      <c r="V11" s="106"/>
      <c r="W11" s="162"/>
      <c r="X11" s="162"/>
      <c r="Y11" s="163"/>
      <c r="AA11" s="138"/>
      <c r="WQJ11" s="147"/>
      <c r="WQK11" s="147"/>
    </row>
    <row r="12" spans="2:52 16000:16001" ht="41.25" customHeight="1" thickBot="1" x14ac:dyDescent="0.25">
      <c r="B12" s="164" t="s">
        <v>14</v>
      </c>
      <c r="C12" s="165" t="s">
        <v>2</v>
      </c>
      <c r="D12" s="165" t="s">
        <v>22</v>
      </c>
      <c r="E12" s="165" t="s">
        <v>23</v>
      </c>
      <c r="F12" s="165" t="s">
        <v>24</v>
      </c>
      <c r="G12" s="165" t="s">
        <v>25</v>
      </c>
      <c r="H12" s="165" t="s">
        <v>26</v>
      </c>
      <c r="I12" s="165" t="s">
        <v>27</v>
      </c>
      <c r="J12" s="166" t="s">
        <v>28</v>
      </c>
      <c r="K12" s="166" t="s">
        <v>29</v>
      </c>
      <c r="L12" s="166" t="s">
        <v>30</v>
      </c>
      <c r="M12" s="166" t="s">
        <v>31</v>
      </c>
      <c r="N12" s="167" t="s">
        <v>32</v>
      </c>
      <c r="O12" s="168" t="s">
        <v>33</v>
      </c>
      <c r="P12" s="167" t="s">
        <v>34</v>
      </c>
      <c r="Q12" s="168" t="s">
        <v>35</v>
      </c>
      <c r="R12" s="167" t="s">
        <v>36</v>
      </c>
      <c r="S12" s="168" t="s">
        <v>37</v>
      </c>
      <c r="T12" s="169" t="s">
        <v>38</v>
      </c>
      <c r="U12" s="169" t="s">
        <v>39</v>
      </c>
      <c r="V12" s="170" t="s">
        <v>40</v>
      </c>
      <c r="W12" s="171" t="s">
        <v>41</v>
      </c>
      <c r="X12" s="166" t="s">
        <v>42</v>
      </c>
      <c r="Y12" s="172" t="s">
        <v>43</v>
      </c>
      <c r="AA12" s="138"/>
      <c r="WQJ12" s="147"/>
      <c r="WQK12" s="147"/>
    </row>
    <row r="13" spans="2:52 16000:16001" ht="12.95" customHeight="1" x14ac:dyDescent="0.2">
      <c r="B13" s="286">
        <f>EXTEMPORANEOS!B13</f>
        <v>46300</v>
      </c>
      <c r="C13" s="287">
        <f>EXTEMPORANEOS!C13</f>
        <v>2026101</v>
      </c>
      <c r="D13" s="288">
        <f>EXTEMPORANEOS!D13</f>
        <v>46132</v>
      </c>
      <c r="E13" s="289" t="str">
        <f>EXTEMPORANEOS!E13</f>
        <v>23D</v>
      </c>
      <c r="F13" s="290" t="str">
        <f>EXTEMPORANEOS!F13</f>
        <v>Occidente - Directa</v>
      </c>
      <c r="G13" s="289">
        <f>EXTEMPORANEOS!G13</f>
        <v>13</v>
      </c>
      <c r="H13" s="290" t="str">
        <f>EXTEMPORANEOS!H13</f>
        <v>T23 Directa - Transferencias</v>
      </c>
      <c r="I13" s="290">
        <f>EXTEMPORANEOS!I13</f>
        <v>230887267</v>
      </c>
      <c r="J13" s="291">
        <f>EXTEMPORANEOS!J13</f>
        <v>0</v>
      </c>
      <c r="K13" s="291">
        <f>EXTEMPORANEOS!K13</f>
        <v>0</v>
      </c>
      <c r="L13" s="291">
        <f>EXTEMPORANEOS!L13</f>
        <v>1</v>
      </c>
      <c r="M13" s="291">
        <f>EXTEMPORANEOS!M13</f>
        <v>3212690</v>
      </c>
      <c r="N13" s="291">
        <f>EXTEMPORANEOS!N13</f>
        <v>0</v>
      </c>
      <c r="O13" s="291">
        <f>EXTEMPORANEOS!O13</f>
        <v>0</v>
      </c>
      <c r="P13" s="291">
        <f>EXTEMPORANEOS!P13</f>
        <v>0</v>
      </c>
      <c r="Q13" s="291">
        <f>EXTEMPORANEOS!Q13</f>
        <v>0</v>
      </c>
      <c r="R13" s="292">
        <f>EXTEMPORANEOS!R13</f>
        <v>0</v>
      </c>
      <c r="S13" s="292">
        <f>EXTEMPORANEOS!S13</f>
        <v>0</v>
      </c>
      <c r="T13" s="293">
        <f>EXTEMPORANEOS!T13</f>
        <v>1</v>
      </c>
      <c r="U13" s="294">
        <f>EXTEMPORANEOS!U13</f>
        <v>3212690</v>
      </c>
      <c r="V13" s="291">
        <f>EXTEMPORANEOS!V13</f>
        <v>1</v>
      </c>
      <c r="W13" s="291">
        <f>EXTEMPORANEOS!W13</f>
        <v>3212690</v>
      </c>
      <c r="X13" s="294">
        <f>EXTEMPORANEOS!X13</f>
        <v>0</v>
      </c>
      <c r="Y13" s="295">
        <f>EXTEMPORANEOS!Y13</f>
        <v>0</v>
      </c>
      <c r="AA13" s="138"/>
    </row>
    <row r="14" spans="2:52 16000:16001" ht="12.95" customHeight="1" x14ac:dyDescent="0.2">
      <c r="B14" s="296">
        <f>EXTEMPORANEOS!B14</f>
        <v>46300</v>
      </c>
      <c r="C14" s="176">
        <f>EXTEMPORANEOS!C14</f>
        <v>2026101</v>
      </c>
      <c r="D14" s="177">
        <f>EXTEMPORANEOS!D14</f>
        <v>46255</v>
      </c>
      <c r="E14" s="178" t="str">
        <f>EXTEMPORANEOS!E14</f>
        <v>23D</v>
      </c>
      <c r="F14" s="175" t="str">
        <f>EXTEMPORANEOS!F14</f>
        <v>Occidente - Directa</v>
      </c>
      <c r="G14" s="178">
        <f>EXTEMPORANEOS!G14</f>
        <v>13</v>
      </c>
      <c r="H14" s="175" t="str">
        <f>EXTEMPORANEOS!H14</f>
        <v>T23 Directa - Transferencias</v>
      </c>
      <c r="I14" s="175">
        <f>EXTEMPORANEOS!I14</f>
        <v>230887267</v>
      </c>
      <c r="J14" s="179">
        <f>EXTEMPORANEOS!J14</f>
        <v>0</v>
      </c>
      <c r="K14" s="179">
        <f>EXTEMPORANEOS!K14</f>
        <v>0</v>
      </c>
      <c r="L14" s="179">
        <f>EXTEMPORANEOS!L14</f>
        <v>1</v>
      </c>
      <c r="M14" s="179">
        <f>EXTEMPORANEOS!M14</f>
        <v>102310</v>
      </c>
      <c r="N14" s="179">
        <f>EXTEMPORANEOS!N14</f>
        <v>0</v>
      </c>
      <c r="O14" s="179">
        <f>EXTEMPORANEOS!O14</f>
        <v>0</v>
      </c>
      <c r="P14" s="179">
        <f>EXTEMPORANEOS!P14</f>
        <v>0</v>
      </c>
      <c r="Q14" s="179">
        <f>EXTEMPORANEOS!Q14</f>
        <v>0</v>
      </c>
      <c r="R14" s="180">
        <f>EXTEMPORANEOS!R14</f>
        <v>0</v>
      </c>
      <c r="S14" s="180">
        <f>EXTEMPORANEOS!S14</f>
        <v>0</v>
      </c>
      <c r="T14" s="181">
        <f>EXTEMPORANEOS!T14</f>
        <v>1</v>
      </c>
      <c r="U14" s="182">
        <f>EXTEMPORANEOS!U14</f>
        <v>102310</v>
      </c>
      <c r="V14" s="179">
        <f>EXTEMPORANEOS!V14</f>
        <v>1</v>
      </c>
      <c r="W14" s="179">
        <f>EXTEMPORANEOS!W14</f>
        <v>102310</v>
      </c>
      <c r="X14" s="182">
        <f>EXTEMPORANEOS!X14</f>
        <v>0</v>
      </c>
      <c r="Y14" s="297">
        <f>EXTEMPORANEOS!Y14</f>
        <v>0</v>
      </c>
      <c r="AA14" s="138"/>
    </row>
    <row r="15" spans="2:52 16000:16001" ht="12.95" customHeight="1" x14ac:dyDescent="0.2">
      <c r="B15" s="296">
        <f>EXTEMPORANEOS!B15</f>
        <v>46300</v>
      </c>
      <c r="C15" s="176">
        <f>EXTEMPORANEOS!C15</f>
        <v>2026101</v>
      </c>
      <c r="D15" s="177">
        <f>EXTEMPORANEOS!D15</f>
        <v>46265</v>
      </c>
      <c r="E15" s="178" t="str">
        <f>EXTEMPORANEOS!E15</f>
        <v>23D</v>
      </c>
      <c r="F15" s="175" t="str">
        <f>EXTEMPORANEOS!F15</f>
        <v>Occidente - Directa</v>
      </c>
      <c r="G15" s="178">
        <f>EXTEMPORANEOS!G15</f>
        <v>13</v>
      </c>
      <c r="H15" s="175" t="str">
        <f>EXTEMPORANEOS!H15</f>
        <v>T23 Directa - Transferencias</v>
      </c>
      <c r="I15" s="175">
        <f>EXTEMPORANEOS!I15</f>
        <v>230887267</v>
      </c>
      <c r="J15" s="179">
        <f>EXTEMPORANEOS!J15</f>
        <v>8</v>
      </c>
      <c r="K15" s="179">
        <f>EXTEMPORANEOS!K15</f>
        <v>7296440</v>
      </c>
      <c r="L15" s="179">
        <f>EXTEMPORANEOS!L15</f>
        <v>1</v>
      </c>
      <c r="M15" s="179">
        <f>EXTEMPORANEOS!M15</f>
        <v>633420</v>
      </c>
      <c r="N15" s="179">
        <f>EXTEMPORANEOS!N15</f>
        <v>1</v>
      </c>
      <c r="O15" s="179">
        <f>EXTEMPORANEOS!O15</f>
        <v>783040</v>
      </c>
      <c r="P15" s="179">
        <f>EXTEMPORANEOS!P15</f>
        <v>3</v>
      </c>
      <c r="Q15" s="179">
        <f>EXTEMPORANEOS!Q15</f>
        <v>15346300</v>
      </c>
      <c r="R15" s="180">
        <f>EXTEMPORANEOS!R15</f>
        <v>0</v>
      </c>
      <c r="S15" s="180">
        <f>EXTEMPORANEOS!S15</f>
        <v>0</v>
      </c>
      <c r="T15" s="181">
        <f>EXTEMPORANEOS!T15</f>
        <v>13</v>
      </c>
      <c r="U15" s="182">
        <f>EXTEMPORANEOS!U15</f>
        <v>24059200</v>
      </c>
      <c r="V15" s="179">
        <f>EXTEMPORANEOS!V15</f>
        <v>13</v>
      </c>
      <c r="W15" s="179">
        <f>EXTEMPORANEOS!W15</f>
        <v>24059200</v>
      </c>
      <c r="X15" s="182">
        <f>EXTEMPORANEOS!X15</f>
        <v>0</v>
      </c>
      <c r="Y15" s="297">
        <f>EXTEMPORANEOS!Y15</f>
        <v>0</v>
      </c>
      <c r="AA15" s="138"/>
    </row>
    <row r="16" spans="2:52 16000:16001" ht="12.95" customHeight="1" x14ac:dyDescent="0.2">
      <c r="B16" s="296">
        <f>EXTEMPORANEOS!B16</f>
        <v>46300</v>
      </c>
      <c r="C16" s="176">
        <f>EXTEMPORANEOS!C16</f>
        <v>2026101</v>
      </c>
      <c r="D16" s="177">
        <f>EXTEMPORANEOS!D16</f>
        <v>46266</v>
      </c>
      <c r="E16" s="178" t="str">
        <f>EXTEMPORANEOS!E16</f>
        <v>23D</v>
      </c>
      <c r="F16" s="175" t="str">
        <f>EXTEMPORANEOS!F16</f>
        <v>Occidente - Directa</v>
      </c>
      <c r="G16" s="178">
        <f>EXTEMPORANEOS!G16</f>
        <v>13</v>
      </c>
      <c r="H16" s="175" t="str">
        <f>EXTEMPORANEOS!H16</f>
        <v>T23 Directa - Transferencias</v>
      </c>
      <c r="I16" s="175">
        <f>EXTEMPORANEOS!I16</f>
        <v>230887267</v>
      </c>
      <c r="J16" s="179">
        <f>EXTEMPORANEOS!J16</f>
        <v>0</v>
      </c>
      <c r="K16" s="179">
        <f>EXTEMPORANEOS!K16</f>
        <v>0</v>
      </c>
      <c r="L16" s="179">
        <f>EXTEMPORANEOS!L16</f>
        <v>0</v>
      </c>
      <c r="M16" s="179">
        <f>EXTEMPORANEOS!M16</f>
        <v>0</v>
      </c>
      <c r="N16" s="179">
        <f>EXTEMPORANEOS!N16</f>
        <v>0</v>
      </c>
      <c r="O16" s="179">
        <f>EXTEMPORANEOS!O16</f>
        <v>0</v>
      </c>
      <c r="P16" s="179">
        <f>EXTEMPORANEOS!P16</f>
        <v>2</v>
      </c>
      <c r="Q16" s="179">
        <f>EXTEMPORANEOS!Q16</f>
        <v>38500960</v>
      </c>
      <c r="R16" s="180">
        <f>EXTEMPORANEOS!R16</f>
        <v>0</v>
      </c>
      <c r="S16" s="180">
        <f>EXTEMPORANEOS!S16</f>
        <v>0</v>
      </c>
      <c r="T16" s="181">
        <f>EXTEMPORANEOS!T16</f>
        <v>2</v>
      </c>
      <c r="U16" s="182">
        <f>EXTEMPORANEOS!U16</f>
        <v>38500960</v>
      </c>
      <c r="V16" s="179">
        <f>EXTEMPORANEOS!V16</f>
        <v>2</v>
      </c>
      <c r="W16" s="179">
        <f>EXTEMPORANEOS!W16</f>
        <v>38500960</v>
      </c>
      <c r="X16" s="182">
        <f>EXTEMPORANEOS!X16</f>
        <v>0</v>
      </c>
      <c r="Y16" s="297">
        <f>EXTEMPORANEOS!Y16</f>
        <v>0</v>
      </c>
      <c r="AA16" s="138"/>
    </row>
    <row r="17" spans="2:27" ht="12.95" customHeight="1" x14ac:dyDescent="0.2">
      <c r="B17" s="296">
        <f>EXTEMPORANEOS!B17</f>
        <v>46300</v>
      </c>
      <c r="C17" s="176">
        <f>EXTEMPORANEOS!C17</f>
        <v>2026101</v>
      </c>
      <c r="D17" s="177">
        <f>EXTEMPORANEOS!D17</f>
        <v>46267</v>
      </c>
      <c r="E17" s="178" t="str">
        <f>EXTEMPORANEOS!E17</f>
        <v>23D</v>
      </c>
      <c r="F17" s="175" t="str">
        <f>EXTEMPORANEOS!F17</f>
        <v>Occidente - Directa</v>
      </c>
      <c r="G17" s="178">
        <f>EXTEMPORANEOS!G17</f>
        <v>13</v>
      </c>
      <c r="H17" s="175" t="str">
        <f>EXTEMPORANEOS!H17</f>
        <v>T23 Directa - Transferencias</v>
      </c>
      <c r="I17" s="175">
        <f>EXTEMPORANEOS!I17</f>
        <v>230887267</v>
      </c>
      <c r="J17" s="179">
        <f>EXTEMPORANEOS!J17</f>
        <v>0</v>
      </c>
      <c r="K17" s="179">
        <f>EXTEMPORANEOS!K17</f>
        <v>0</v>
      </c>
      <c r="L17" s="179">
        <f>EXTEMPORANEOS!L17</f>
        <v>1</v>
      </c>
      <c r="M17" s="179">
        <f>EXTEMPORANEOS!M17</f>
        <v>182660</v>
      </c>
      <c r="N17" s="179">
        <f>EXTEMPORANEOS!N17</f>
        <v>0</v>
      </c>
      <c r="O17" s="179">
        <f>EXTEMPORANEOS!O17</f>
        <v>0</v>
      </c>
      <c r="P17" s="179">
        <f>EXTEMPORANEOS!P17</f>
        <v>0</v>
      </c>
      <c r="Q17" s="179">
        <f>EXTEMPORANEOS!Q17</f>
        <v>0</v>
      </c>
      <c r="R17" s="180">
        <f>EXTEMPORANEOS!R17</f>
        <v>0</v>
      </c>
      <c r="S17" s="180">
        <f>EXTEMPORANEOS!S17</f>
        <v>0</v>
      </c>
      <c r="T17" s="181">
        <f>EXTEMPORANEOS!T17</f>
        <v>1</v>
      </c>
      <c r="U17" s="182">
        <f>EXTEMPORANEOS!U17</f>
        <v>182660</v>
      </c>
      <c r="V17" s="179">
        <f>EXTEMPORANEOS!V17</f>
        <v>1</v>
      </c>
      <c r="W17" s="179">
        <f>EXTEMPORANEOS!W17</f>
        <v>182660</v>
      </c>
      <c r="X17" s="182">
        <f>EXTEMPORANEOS!X17</f>
        <v>0</v>
      </c>
      <c r="Y17" s="297">
        <f>EXTEMPORANEOS!Y17</f>
        <v>0</v>
      </c>
      <c r="AA17" s="138"/>
    </row>
    <row r="18" spans="2:27" ht="12.95" customHeight="1" x14ac:dyDescent="0.2">
      <c r="B18" s="296">
        <f>EXTEMPORANEOS!B18</f>
        <v>46300</v>
      </c>
      <c r="C18" s="176">
        <f>EXTEMPORANEOS!C18</f>
        <v>2026101</v>
      </c>
      <c r="D18" s="177">
        <f>EXTEMPORANEOS!D18</f>
        <v>46274</v>
      </c>
      <c r="E18" s="178" t="str">
        <f>EXTEMPORANEOS!E18</f>
        <v>23D</v>
      </c>
      <c r="F18" s="175" t="str">
        <f>EXTEMPORANEOS!F18</f>
        <v>Occidente - Directa</v>
      </c>
      <c r="G18" s="178">
        <f>EXTEMPORANEOS!G18</f>
        <v>13</v>
      </c>
      <c r="H18" s="175" t="str">
        <f>EXTEMPORANEOS!H18</f>
        <v>T23 Directa - Transferencias</v>
      </c>
      <c r="I18" s="175">
        <f>EXTEMPORANEOS!I18</f>
        <v>230887267</v>
      </c>
      <c r="J18" s="179">
        <f>EXTEMPORANEOS!J18</f>
        <v>0</v>
      </c>
      <c r="K18" s="179">
        <f>EXTEMPORANEOS!K18</f>
        <v>0</v>
      </c>
      <c r="L18" s="179">
        <f>EXTEMPORANEOS!L18</f>
        <v>0</v>
      </c>
      <c r="M18" s="179">
        <f>EXTEMPORANEOS!M18</f>
        <v>0</v>
      </c>
      <c r="N18" s="179">
        <f>EXTEMPORANEOS!N18</f>
        <v>0</v>
      </c>
      <c r="O18" s="179">
        <f>EXTEMPORANEOS!O18</f>
        <v>0</v>
      </c>
      <c r="P18" s="179">
        <f>EXTEMPORANEOS!P18</f>
        <v>2</v>
      </c>
      <c r="Q18" s="179">
        <f>EXTEMPORANEOS!Q18</f>
        <v>39051447</v>
      </c>
      <c r="R18" s="180">
        <f>EXTEMPORANEOS!R18</f>
        <v>0</v>
      </c>
      <c r="S18" s="180">
        <f>EXTEMPORANEOS!S18</f>
        <v>0</v>
      </c>
      <c r="T18" s="181">
        <f>EXTEMPORANEOS!T18</f>
        <v>2</v>
      </c>
      <c r="U18" s="182">
        <f>EXTEMPORANEOS!U18</f>
        <v>39051447</v>
      </c>
      <c r="V18" s="179">
        <f>EXTEMPORANEOS!V18</f>
        <v>2</v>
      </c>
      <c r="W18" s="179">
        <f>EXTEMPORANEOS!W18</f>
        <v>39051447</v>
      </c>
      <c r="X18" s="182">
        <f>EXTEMPORANEOS!X18</f>
        <v>0</v>
      </c>
      <c r="Y18" s="297">
        <f>EXTEMPORANEOS!Y18</f>
        <v>0</v>
      </c>
      <c r="AA18" s="138"/>
    </row>
    <row r="19" spans="2:27" ht="12.95" customHeight="1" x14ac:dyDescent="0.2">
      <c r="B19" s="296">
        <f>EXTEMPORANEOS!B19</f>
        <v>46300</v>
      </c>
      <c r="C19" s="176">
        <f>EXTEMPORANEOS!C19</f>
        <v>2026101</v>
      </c>
      <c r="D19" s="177">
        <f>EXTEMPORANEOS!D19</f>
        <v>46281</v>
      </c>
      <c r="E19" s="178" t="str">
        <f>EXTEMPORANEOS!E19</f>
        <v>23D</v>
      </c>
      <c r="F19" s="175" t="str">
        <f>EXTEMPORANEOS!F19</f>
        <v>Occidente - Directa</v>
      </c>
      <c r="G19" s="178">
        <f>EXTEMPORANEOS!G19</f>
        <v>13</v>
      </c>
      <c r="H19" s="175" t="str">
        <f>EXTEMPORANEOS!H19</f>
        <v>T23 Directa - Transferencias</v>
      </c>
      <c r="I19" s="175">
        <f>EXTEMPORANEOS!I19</f>
        <v>230887267</v>
      </c>
      <c r="J19" s="179">
        <f>EXTEMPORANEOS!J19</f>
        <v>9</v>
      </c>
      <c r="K19" s="179">
        <f>EXTEMPORANEOS!K19</f>
        <v>12691930</v>
      </c>
      <c r="L19" s="179">
        <f>EXTEMPORANEOS!L19</f>
        <v>0</v>
      </c>
      <c r="M19" s="179">
        <f>EXTEMPORANEOS!M19</f>
        <v>0</v>
      </c>
      <c r="N19" s="179">
        <f>EXTEMPORANEOS!N19</f>
        <v>0</v>
      </c>
      <c r="O19" s="179">
        <f>EXTEMPORANEOS!O19</f>
        <v>0</v>
      </c>
      <c r="P19" s="179">
        <f>EXTEMPORANEOS!P19</f>
        <v>0</v>
      </c>
      <c r="Q19" s="179">
        <f>EXTEMPORANEOS!Q19</f>
        <v>0</v>
      </c>
      <c r="R19" s="179">
        <f>EXTEMPORANEOS!R19</f>
        <v>1</v>
      </c>
      <c r="S19" s="179">
        <f>EXTEMPORANEOS!S19</f>
        <v>527440</v>
      </c>
      <c r="T19" s="181">
        <f>EXTEMPORANEOS!T19</f>
        <v>10</v>
      </c>
      <c r="U19" s="181">
        <f>EXTEMPORANEOS!U19</f>
        <v>13219370</v>
      </c>
      <c r="V19" s="179">
        <f>EXTEMPORANEOS!V19</f>
        <v>10</v>
      </c>
      <c r="W19" s="179">
        <f>EXTEMPORANEOS!W19</f>
        <v>13219370</v>
      </c>
      <c r="X19" s="182">
        <f>EXTEMPORANEOS!X19</f>
        <v>0</v>
      </c>
      <c r="Y19" s="297">
        <f>EXTEMPORANEOS!Y19</f>
        <v>0</v>
      </c>
      <c r="AA19" s="138"/>
    </row>
    <row r="20" spans="2:27" ht="12.95" customHeight="1" x14ac:dyDescent="0.2">
      <c r="B20" s="296">
        <f>EXTEMPORANEOS!B20</f>
        <v>46300</v>
      </c>
      <c r="C20" s="176">
        <f>EXTEMPORANEOS!C20</f>
        <v>2026101</v>
      </c>
      <c r="D20" s="177">
        <f>EXTEMPORANEOS!D20</f>
        <v>46283</v>
      </c>
      <c r="E20" s="178" t="str">
        <f>EXTEMPORANEOS!E20</f>
        <v>23D</v>
      </c>
      <c r="F20" s="175" t="str">
        <f>EXTEMPORANEOS!F20</f>
        <v>Occidente - Directa</v>
      </c>
      <c r="G20" s="178">
        <f>EXTEMPORANEOS!G20</f>
        <v>13</v>
      </c>
      <c r="H20" s="175" t="str">
        <f>EXTEMPORANEOS!H20</f>
        <v>T23 Directa - Transferencias</v>
      </c>
      <c r="I20" s="175">
        <f>EXTEMPORANEOS!I20</f>
        <v>230887267</v>
      </c>
      <c r="J20" s="179">
        <f>EXTEMPORANEOS!J20</f>
        <v>9</v>
      </c>
      <c r="K20" s="179">
        <f>EXTEMPORANEOS!K20</f>
        <v>480304</v>
      </c>
      <c r="L20" s="179">
        <f>EXTEMPORANEOS!L20</f>
        <v>17</v>
      </c>
      <c r="M20" s="179">
        <f>EXTEMPORANEOS!M20</f>
        <v>5832230</v>
      </c>
      <c r="N20" s="179">
        <f>EXTEMPORANEOS!N20</f>
        <v>0</v>
      </c>
      <c r="O20" s="179">
        <f>EXTEMPORANEOS!O20</f>
        <v>0</v>
      </c>
      <c r="P20" s="179">
        <f>EXTEMPORANEOS!P20</f>
        <v>0</v>
      </c>
      <c r="Q20" s="179">
        <f>EXTEMPORANEOS!Q20</f>
        <v>0</v>
      </c>
      <c r="R20" s="179">
        <f>EXTEMPORANEOS!R20</f>
        <v>0</v>
      </c>
      <c r="S20" s="179">
        <f>EXTEMPORANEOS!S20</f>
        <v>0</v>
      </c>
      <c r="T20" s="181">
        <f>EXTEMPORANEOS!T20</f>
        <v>26</v>
      </c>
      <c r="U20" s="181">
        <f>EXTEMPORANEOS!U20</f>
        <v>6312534</v>
      </c>
      <c r="V20" s="179">
        <f>EXTEMPORANEOS!V20</f>
        <v>26</v>
      </c>
      <c r="W20" s="179">
        <f>EXTEMPORANEOS!W20</f>
        <v>6312534</v>
      </c>
      <c r="X20" s="182">
        <f>EXTEMPORANEOS!X20</f>
        <v>0</v>
      </c>
      <c r="Y20" s="297">
        <f>EXTEMPORANEOS!Y20</f>
        <v>0</v>
      </c>
      <c r="AA20" s="138"/>
    </row>
    <row r="21" spans="2:27" ht="12.95" customHeight="1" x14ac:dyDescent="0.2">
      <c r="B21" s="296">
        <f>EXTEMPORANEOS!B21</f>
        <v>46300</v>
      </c>
      <c r="C21" s="176">
        <f>EXTEMPORANEOS!C21</f>
        <v>2026101</v>
      </c>
      <c r="D21" s="177">
        <f>EXTEMPORANEOS!D21</f>
        <v>46286</v>
      </c>
      <c r="E21" s="178" t="str">
        <f>EXTEMPORANEOS!E21</f>
        <v>23D</v>
      </c>
      <c r="F21" s="175" t="str">
        <f>EXTEMPORANEOS!F21</f>
        <v>Occidente - Directa</v>
      </c>
      <c r="G21" s="178">
        <f>EXTEMPORANEOS!G21</f>
        <v>13</v>
      </c>
      <c r="H21" s="175" t="str">
        <f>EXTEMPORANEOS!H21</f>
        <v>T23 Directa - Transferencias</v>
      </c>
      <c r="I21" s="175">
        <f>EXTEMPORANEOS!I21</f>
        <v>230887267</v>
      </c>
      <c r="J21" s="179">
        <f>EXTEMPORANEOS!J21</f>
        <v>1</v>
      </c>
      <c r="K21" s="179">
        <f>EXTEMPORANEOS!K21</f>
        <v>7356379</v>
      </c>
      <c r="L21" s="179">
        <f>EXTEMPORANEOS!L21</f>
        <v>2</v>
      </c>
      <c r="M21" s="179">
        <f>EXTEMPORANEOS!M21</f>
        <v>156076</v>
      </c>
      <c r="N21" s="179">
        <f>EXTEMPORANEOS!N21</f>
        <v>0</v>
      </c>
      <c r="O21" s="179">
        <f>EXTEMPORANEOS!O21</f>
        <v>0</v>
      </c>
      <c r="P21" s="179">
        <f>EXTEMPORANEOS!P21</f>
        <v>0</v>
      </c>
      <c r="Q21" s="179">
        <f>EXTEMPORANEOS!Q21</f>
        <v>0</v>
      </c>
      <c r="R21" s="179">
        <f>EXTEMPORANEOS!R21</f>
        <v>0</v>
      </c>
      <c r="S21" s="179">
        <f>EXTEMPORANEOS!S21</f>
        <v>0</v>
      </c>
      <c r="T21" s="181">
        <f>EXTEMPORANEOS!T21</f>
        <v>3</v>
      </c>
      <c r="U21" s="181">
        <f>EXTEMPORANEOS!U21</f>
        <v>7512455</v>
      </c>
      <c r="V21" s="179">
        <f>EXTEMPORANEOS!V21</f>
        <v>3</v>
      </c>
      <c r="W21" s="179">
        <f>EXTEMPORANEOS!W21</f>
        <v>7512455</v>
      </c>
      <c r="X21" s="182">
        <f>EXTEMPORANEOS!X21</f>
        <v>0</v>
      </c>
      <c r="Y21" s="297">
        <f>EXTEMPORANEOS!Y21</f>
        <v>0</v>
      </c>
      <c r="AA21" s="138"/>
    </row>
    <row r="22" spans="2:27" ht="12.95" customHeight="1" x14ac:dyDescent="0.2">
      <c r="B22" s="296">
        <f>EXTEMPORANEOS!B22</f>
        <v>46300</v>
      </c>
      <c r="C22" s="176">
        <f>EXTEMPORANEOS!C22</f>
        <v>2026101</v>
      </c>
      <c r="D22" s="177">
        <f>EXTEMPORANEOS!D22</f>
        <v>46293</v>
      </c>
      <c r="E22" s="178" t="str">
        <f>EXTEMPORANEOS!E22</f>
        <v>23D</v>
      </c>
      <c r="F22" s="175" t="str">
        <f>EXTEMPORANEOS!F22</f>
        <v>Occidente - Directa</v>
      </c>
      <c r="G22" s="178">
        <f>EXTEMPORANEOS!G22</f>
        <v>13</v>
      </c>
      <c r="H22" s="175" t="str">
        <f>EXTEMPORANEOS!H22</f>
        <v>T23 Directa - Transferencias</v>
      </c>
      <c r="I22" s="175">
        <f>EXTEMPORANEOS!I22</f>
        <v>230887267</v>
      </c>
      <c r="J22" s="179">
        <f>EXTEMPORANEOS!J22</f>
        <v>0</v>
      </c>
      <c r="K22" s="179">
        <f>EXTEMPORANEOS!K22</f>
        <v>0</v>
      </c>
      <c r="L22" s="179">
        <f>EXTEMPORANEOS!L22</f>
        <v>5</v>
      </c>
      <c r="M22" s="179">
        <f>EXTEMPORANEOS!M22</f>
        <v>96248690</v>
      </c>
      <c r="N22" s="179">
        <f>EXTEMPORANEOS!N22</f>
        <v>0</v>
      </c>
      <c r="O22" s="179">
        <f>EXTEMPORANEOS!O22</f>
        <v>0</v>
      </c>
      <c r="P22" s="179">
        <f>EXTEMPORANEOS!P22</f>
        <v>0</v>
      </c>
      <c r="Q22" s="179">
        <f>EXTEMPORANEOS!Q22</f>
        <v>0</v>
      </c>
      <c r="R22" s="179">
        <f>EXTEMPORANEOS!R22</f>
        <v>0</v>
      </c>
      <c r="S22" s="179">
        <f>EXTEMPORANEOS!S22</f>
        <v>0</v>
      </c>
      <c r="T22" s="181">
        <f>EXTEMPORANEOS!T22</f>
        <v>5</v>
      </c>
      <c r="U22" s="181">
        <f>EXTEMPORANEOS!U22</f>
        <v>96248690</v>
      </c>
      <c r="V22" s="179">
        <f>EXTEMPORANEOS!V22</f>
        <v>5</v>
      </c>
      <c r="W22" s="179">
        <f>EXTEMPORANEOS!W22</f>
        <v>96248690</v>
      </c>
      <c r="X22" s="182">
        <f>EXTEMPORANEOS!X22</f>
        <v>0</v>
      </c>
      <c r="Y22" s="297">
        <f>EXTEMPORANEOS!Y22</f>
        <v>0</v>
      </c>
      <c r="AA22" s="138"/>
    </row>
    <row r="23" spans="2:27" ht="12.95" customHeight="1" x14ac:dyDescent="0.2">
      <c r="B23" s="296">
        <f>EXTEMPORANEOS!B23</f>
        <v>46300</v>
      </c>
      <c r="C23" s="176">
        <f>EXTEMPORANEOS!C23</f>
        <v>2026101</v>
      </c>
      <c r="D23" s="177">
        <f>EXTEMPORANEOS!D23</f>
        <v>46294</v>
      </c>
      <c r="E23" s="178" t="str">
        <f>EXTEMPORANEOS!E23</f>
        <v>23D</v>
      </c>
      <c r="F23" s="175" t="str">
        <f>EXTEMPORANEOS!F23</f>
        <v>Occidente - Directa</v>
      </c>
      <c r="G23" s="178">
        <f>EXTEMPORANEOS!G23</f>
        <v>13</v>
      </c>
      <c r="H23" s="175" t="str">
        <f>EXTEMPORANEOS!H23</f>
        <v>T23 Directa - Transferencias</v>
      </c>
      <c r="I23" s="175">
        <f>EXTEMPORANEOS!I23</f>
        <v>230887267</v>
      </c>
      <c r="J23" s="179">
        <f>EXTEMPORANEOS!J23</f>
        <v>5</v>
      </c>
      <c r="K23" s="179">
        <f>EXTEMPORANEOS!K23</f>
        <v>344356</v>
      </c>
      <c r="L23" s="179">
        <f>EXTEMPORANEOS!L23</f>
        <v>0</v>
      </c>
      <c r="M23" s="179">
        <f>EXTEMPORANEOS!M23</f>
        <v>0</v>
      </c>
      <c r="N23" s="179">
        <f>EXTEMPORANEOS!N23</f>
        <v>0</v>
      </c>
      <c r="O23" s="179">
        <f>EXTEMPORANEOS!O23</f>
        <v>0</v>
      </c>
      <c r="P23" s="179">
        <f>EXTEMPORANEOS!P23</f>
        <v>0</v>
      </c>
      <c r="Q23" s="179">
        <f>EXTEMPORANEOS!Q23</f>
        <v>0</v>
      </c>
      <c r="R23" s="179">
        <f>EXTEMPORANEOS!R23</f>
        <v>0</v>
      </c>
      <c r="S23" s="179">
        <f>EXTEMPORANEOS!S23</f>
        <v>0</v>
      </c>
      <c r="T23" s="181">
        <f>EXTEMPORANEOS!T23</f>
        <v>5</v>
      </c>
      <c r="U23" s="181">
        <f>EXTEMPORANEOS!U23</f>
        <v>344356</v>
      </c>
      <c r="V23" s="179">
        <f>EXTEMPORANEOS!V23</f>
        <v>5</v>
      </c>
      <c r="W23" s="179">
        <f>EXTEMPORANEOS!W23</f>
        <v>344356</v>
      </c>
      <c r="X23" s="182">
        <f>EXTEMPORANEOS!X23</f>
        <v>0</v>
      </c>
      <c r="Y23" s="297">
        <f>EXTEMPORANEOS!Y23</f>
        <v>0</v>
      </c>
      <c r="AA23" s="138"/>
    </row>
    <row r="24" spans="2:27" ht="12.95" customHeight="1" x14ac:dyDescent="0.2">
      <c r="B24" s="296">
        <f>EXTEMPORANEOS!B24</f>
        <v>46300</v>
      </c>
      <c r="C24" s="176">
        <f>EXTEMPORANEOS!C24</f>
        <v>2026101</v>
      </c>
      <c r="D24" s="177">
        <f>EXTEMPORANEOS!D24</f>
        <v>46295</v>
      </c>
      <c r="E24" s="178" t="str">
        <f>EXTEMPORANEOS!E24</f>
        <v>23D</v>
      </c>
      <c r="F24" s="175" t="str">
        <f>EXTEMPORANEOS!F24</f>
        <v>Occidente - Directa</v>
      </c>
      <c r="G24" s="178">
        <f>EXTEMPORANEOS!G24</f>
        <v>13</v>
      </c>
      <c r="H24" s="175" t="str">
        <f>EXTEMPORANEOS!H24</f>
        <v>T23 Directa - Transferencias</v>
      </c>
      <c r="I24" s="175">
        <f>EXTEMPORANEOS!I24</f>
        <v>230887267</v>
      </c>
      <c r="J24" s="179">
        <f>EXTEMPORANEOS!J24</f>
        <v>1</v>
      </c>
      <c r="K24" s="179">
        <f>EXTEMPORANEOS!K24</f>
        <v>56790</v>
      </c>
      <c r="L24" s="179">
        <f>EXTEMPORANEOS!L24</f>
        <v>1</v>
      </c>
      <c r="M24" s="179">
        <f>EXTEMPORANEOS!M24</f>
        <v>1425707</v>
      </c>
      <c r="N24" s="179">
        <f>EXTEMPORANEOS!N24</f>
        <v>0</v>
      </c>
      <c r="O24" s="179">
        <f>EXTEMPORANEOS!O24</f>
        <v>0</v>
      </c>
      <c r="P24" s="179">
        <f>EXTEMPORANEOS!P24</f>
        <v>0</v>
      </c>
      <c r="Q24" s="179">
        <f>EXTEMPORANEOS!Q24</f>
        <v>0</v>
      </c>
      <c r="R24" s="179">
        <f>EXTEMPORANEOS!R24</f>
        <v>0</v>
      </c>
      <c r="S24" s="179">
        <f>EXTEMPORANEOS!S24</f>
        <v>0</v>
      </c>
      <c r="T24" s="181">
        <f>EXTEMPORANEOS!T24</f>
        <v>2</v>
      </c>
      <c r="U24" s="182">
        <f>EXTEMPORANEOS!U24</f>
        <v>1482497</v>
      </c>
      <c r="V24" s="179">
        <f>EXTEMPORANEOS!V24</f>
        <v>2</v>
      </c>
      <c r="W24" s="179">
        <f>EXTEMPORANEOS!W24</f>
        <v>1482497</v>
      </c>
      <c r="X24" s="182">
        <f>EXTEMPORANEOS!X24</f>
        <v>0</v>
      </c>
      <c r="Y24" s="297">
        <f>EXTEMPORANEOS!Y24</f>
        <v>0</v>
      </c>
      <c r="AA24" s="138"/>
    </row>
    <row r="25" spans="2:27" ht="12.95" customHeight="1" x14ac:dyDescent="0.2">
      <c r="B25" s="296">
        <f>EXTEMPORANEOS!B25</f>
        <v>46301</v>
      </c>
      <c r="C25" s="176">
        <f>EXTEMPORANEOS!C25</f>
        <v>2026101</v>
      </c>
      <c r="D25" s="177">
        <f>EXTEMPORANEOS!D25</f>
        <v>46070</v>
      </c>
      <c r="E25" s="178" t="str">
        <f>EXTEMPORANEOS!E25</f>
        <v>23D</v>
      </c>
      <c r="F25" s="175" t="str">
        <f>EXTEMPORANEOS!F25</f>
        <v>Occidente - Directa</v>
      </c>
      <c r="G25" s="178">
        <f>EXTEMPORANEOS!G25</f>
        <v>13</v>
      </c>
      <c r="H25" s="175" t="str">
        <f>EXTEMPORANEOS!H25</f>
        <v>T23 Directa - Transferencias</v>
      </c>
      <c r="I25" s="175">
        <f>EXTEMPORANEOS!I25</f>
        <v>230887267</v>
      </c>
      <c r="J25" s="179">
        <f>EXTEMPORANEOS!J25</f>
        <v>9</v>
      </c>
      <c r="K25" s="179">
        <f>EXTEMPORANEOS!K25</f>
        <v>4822020</v>
      </c>
      <c r="L25" s="179">
        <f>EXTEMPORANEOS!L25</f>
        <v>0</v>
      </c>
      <c r="M25" s="179">
        <f>EXTEMPORANEOS!M25</f>
        <v>0</v>
      </c>
      <c r="N25" s="179">
        <f>EXTEMPORANEOS!N25</f>
        <v>0</v>
      </c>
      <c r="O25" s="179">
        <f>EXTEMPORANEOS!O25</f>
        <v>0</v>
      </c>
      <c r="P25" s="179">
        <f>EXTEMPORANEOS!P25</f>
        <v>0</v>
      </c>
      <c r="Q25" s="179">
        <f>EXTEMPORANEOS!Q25</f>
        <v>0</v>
      </c>
      <c r="R25" s="179">
        <f>EXTEMPORANEOS!R25</f>
        <v>0</v>
      </c>
      <c r="S25" s="179">
        <f>EXTEMPORANEOS!S25</f>
        <v>0</v>
      </c>
      <c r="T25" s="181">
        <f>EXTEMPORANEOS!T25</f>
        <v>9</v>
      </c>
      <c r="U25" s="182">
        <f>EXTEMPORANEOS!U25</f>
        <v>4822020</v>
      </c>
      <c r="V25" s="179">
        <f>EXTEMPORANEOS!V25</f>
        <v>9</v>
      </c>
      <c r="W25" s="179">
        <f>EXTEMPORANEOS!W25</f>
        <v>4822020</v>
      </c>
      <c r="X25" s="182">
        <f>EXTEMPORANEOS!X25</f>
        <v>0</v>
      </c>
      <c r="Y25" s="297">
        <f>EXTEMPORANEOS!Y25</f>
        <v>0</v>
      </c>
      <c r="AA25" s="138"/>
    </row>
    <row r="26" spans="2:27" ht="12.95" customHeight="1" x14ac:dyDescent="0.2">
      <c r="B26" s="296">
        <f>EXTEMPORANEOS!B26</f>
        <v>46301</v>
      </c>
      <c r="C26" s="176">
        <f>EXTEMPORANEOS!C26</f>
        <v>2026101</v>
      </c>
      <c r="D26" s="177">
        <f>EXTEMPORANEOS!D26</f>
        <v>46225</v>
      </c>
      <c r="E26" s="178" t="str">
        <f>EXTEMPORANEOS!E26</f>
        <v>23D</v>
      </c>
      <c r="F26" s="175" t="str">
        <f>EXTEMPORANEOS!F26</f>
        <v>Occidente - Directa</v>
      </c>
      <c r="G26" s="178">
        <f>EXTEMPORANEOS!G26</f>
        <v>13</v>
      </c>
      <c r="H26" s="175" t="str">
        <f>EXTEMPORANEOS!H26</f>
        <v>T23 Directa - Transferencias</v>
      </c>
      <c r="I26" s="175">
        <f>EXTEMPORANEOS!I26</f>
        <v>230887267</v>
      </c>
      <c r="J26" s="179">
        <f>EXTEMPORANEOS!J26</f>
        <v>0</v>
      </c>
      <c r="K26" s="179">
        <f>EXTEMPORANEOS!K26</f>
        <v>0</v>
      </c>
      <c r="L26" s="179">
        <f>EXTEMPORANEOS!L26</f>
        <v>0</v>
      </c>
      <c r="M26" s="179">
        <f>EXTEMPORANEOS!M26</f>
        <v>0</v>
      </c>
      <c r="N26" s="179">
        <f>EXTEMPORANEOS!N26</f>
        <v>1</v>
      </c>
      <c r="O26" s="179">
        <f>EXTEMPORANEOS!O26</f>
        <v>1212933</v>
      </c>
      <c r="P26" s="179">
        <f>EXTEMPORANEOS!P26</f>
        <v>0</v>
      </c>
      <c r="Q26" s="179">
        <f>EXTEMPORANEOS!Q26</f>
        <v>0</v>
      </c>
      <c r="R26" s="179">
        <f>EXTEMPORANEOS!R26</f>
        <v>0</v>
      </c>
      <c r="S26" s="179">
        <f>EXTEMPORANEOS!S26</f>
        <v>0</v>
      </c>
      <c r="T26" s="181">
        <f>EXTEMPORANEOS!T26</f>
        <v>1</v>
      </c>
      <c r="U26" s="182">
        <f>EXTEMPORANEOS!U26</f>
        <v>1212933</v>
      </c>
      <c r="V26" s="179">
        <f>EXTEMPORANEOS!V26</f>
        <v>1</v>
      </c>
      <c r="W26" s="179">
        <f>EXTEMPORANEOS!W26</f>
        <v>1212933</v>
      </c>
      <c r="X26" s="182">
        <f>EXTEMPORANEOS!X26</f>
        <v>0</v>
      </c>
      <c r="Y26" s="297">
        <f>EXTEMPORANEOS!Y26</f>
        <v>0</v>
      </c>
      <c r="AA26" s="138"/>
    </row>
    <row r="27" spans="2:27" ht="12.95" customHeight="1" x14ac:dyDescent="0.2">
      <c r="B27" s="296">
        <f>EXTEMPORANEOS!B27</f>
        <v>46301</v>
      </c>
      <c r="C27" s="176">
        <f>EXTEMPORANEOS!C27</f>
        <v>2026101</v>
      </c>
      <c r="D27" s="177">
        <f>EXTEMPORANEOS!D27</f>
        <v>46280</v>
      </c>
      <c r="E27" s="178" t="str">
        <f>EXTEMPORANEOS!E27</f>
        <v>23D</v>
      </c>
      <c r="F27" s="175" t="str">
        <f>EXTEMPORANEOS!F27</f>
        <v>Occidente - Directa</v>
      </c>
      <c r="G27" s="178">
        <f>EXTEMPORANEOS!G27</f>
        <v>13</v>
      </c>
      <c r="H27" s="175" t="str">
        <f>EXTEMPORANEOS!H27</f>
        <v>T23 Directa - Transferencias</v>
      </c>
      <c r="I27" s="175">
        <f>EXTEMPORANEOS!I27</f>
        <v>230887267</v>
      </c>
      <c r="J27" s="179">
        <f>EXTEMPORANEOS!J27</f>
        <v>0</v>
      </c>
      <c r="K27" s="179">
        <f>EXTEMPORANEOS!K27</f>
        <v>0</v>
      </c>
      <c r="L27" s="179">
        <f>EXTEMPORANEOS!L27</f>
        <v>0</v>
      </c>
      <c r="M27" s="179">
        <f>EXTEMPORANEOS!M27</f>
        <v>0</v>
      </c>
      <c r="N27" s="179">
        <f>EXTEMPORANEOS!N27</f>
        <v>7</v>
      </c>
      <c r="O27" s="179">
        <f>EXTEMPORANEOS!O27</f>
        <v>12659140</v>
      </c>
      <c r="P27" s="179">
        <f>EXTEMPORANEOS!P27</f>
        <v>0</v>
      </c>
      <c r="Q27" s="179">
        <f>EXTEMPORANEOS!Q27</f>
        <v>0</v>
      </c>
      <c r="R27" s="179">
        <f>EXTEMPORANEOS!R27</f>
        <v>0</v>
      </c>
      <c r="S27" s="179">
        <f>EXTEMPORANEOS!S27</f>
        <v>0</v>
      </c>
      <c r="T27" s="181">
        <f>EXTEMPORANEOS!T27</f>
        <v>7</v>
      </c>
      <c r="U27" s="182">
        <f>EXTEMPORANEOS!U27</f>
        <v>12659140</v>
      </c>
      <c r="V27" s="179">
        <f>EXTEMPORANEOS!V27</f>
        <v>7</v>
      </c>
      <c r="W27" s="179">
        <f>EXTEMPORANEOS!W27</f>
        <v>12659140</v>
      </c>
      <c r="X27" s="182">
        <f>EXTEMPORANEOS!X27</f>
        <v>0</v>
      </c>
      <c r="Y27" s="297">
        <f>EXTEMPORANEOS!Y27</f>
        <v>0</v>
      </c>
      <c r="AA27" s="138"/>
    </row>
    <row r="28" spans="2:27" ht="12.95" customHeight="1" x14ac:dyDescent="0.2">
      <c r="B28" s="296">
        <f>EXTEMPORANEOS!B28</f>
        <v>46304</v>
      </c>
      <c r="C28" s="176">
        <f>EXTEMPORANEOS!C28</f>
        <v>2026101</v>
      </c>
      <c r="D28" s="177">
        <f>EXTEMPORANEOS!D28</f>
        <v>46227</v>
      </c>
      <c r="E28" s="178" t="str">
        <f>EXTEMPORANEOS!E28</f>
        <v>23D</v>
      </c>
      <c r="F28" s="175" t="str">
        <f>EXTEMPORANEOS!F28</f>
        <v>Occidente - Directa</v>
      </c>
      <c r="G28" s="183">
        <f>EXTEMPORANEOS!G28</f>
        <v>13</v>
      </c>
      <c r="H28" s="175" t="str">
        <f>EXTEMPORANEOS!H28</f>
        <v>T23 Directa - Transferencias</v>
      </c>
      <c r="I28" s="175">
        <f>EXTEMPORANEOS!I28</f>
        <v>230887267</v>
      </c>
      <c r="J28" s="179">
        <f>EXTEMPORANEOS!J28</f>
        <v>0</v>
      </c>
      <c r="K28" s="179">
        <f>EXTEMPORANEOS!K28</f>
        <v>0</v>
      </c>
      <c r="L28" s="179">
        <f>EXTEMPORANEOS!L28</f>
        <v>2</v>
      </c>
      <c r="M28" s="179">
        <f>EXTEMPORANEOS!M28</f>
        <v>561810</v>
      </c>
      <c r="N28" s="179">
        <f>EXTEMPORANEOS!N28</f>
        <v>0</v>
      </c>
      <c r="O28" s="179">
        <f>EXTEMPORANEOS!O28</f>
        <v>0</v>
      </c>
      <c r="P28" s="179">
        <f>EXTEMPORANEOS!P28</f>
        <v>0</v>
      </c>
      <c r="Q28" s="179">
        <f>EXTEMPORANEOS!Q28</f>
        <v>0</v>
      </c>
      <c r="R28" s="179">
        <f>EXTEMPORANEOS!R28</f>
        <v>0</v>
      </c>
      <c r="S28" s="179">
        <f>EXTEMPORANEOS!S28</f>
        <v>0</v>
      </c>
      <c r="T28" s="181">
        <f>EXTEMPORANEOS!T28</f>
        <v>2</v>
      </c>
      <c r="U28" s="182">
        <f>EXTEMPORANEOS!U28</f>
        <v>561810</v>
      </c>
      <c r="V28" s="179">
        <f>EXTEMPORANEOS!V28</f>
        <v>2</v>
      </c>
      <c r="W28" s="179">
        <f>EXTEMPORANEOS!W28</f>
        <v>561810</v>
      </c>
      <c r="X28" s="182">
        <f>EXTEMPORANEOS!X28</f>
        <v>0</v>
      </c>
      <c r="Y28" s="297">
        <f>EXTEMPORANEOS!Y28</f>
        <v>0</v>
      </c>
      <c r="AA28" s="138"/>
    </row>
    <row r="29" spans="2:27" ht="12.95" customHeight="1" x14ac:dyDescent="0.2">
      <c r="B29" s="296">
        <f>EXTEMPORANEOS!B29</f>
        <v>46304</v>
      </c>
      <c r="C29" s="176">
        <f>EXTEMPORANEOS!C29</f>
        <v>2026101</v>
      </c>
      <c r="D29" s="177">
        <f>EXTEMPORANEOS!D29</f>
        <v>46260</v>
      </c>
      <c r="E29" s="178" t="str">
        <f>EXTEMPORANEOS!E29</f>
        <v>23D</v>
      </c>
      <c r="F29" s="175" t="str">
        <f>EXTEMPORANEOS!F29</f>
        <v>Occidente - Directa</v>
      </c>
      <c r="G29" s="183">
        <f>EXTEMPORANEOS!G29</f>
        <v>13</v>
      </c>
      <c r="H29" s="175" t="str">
        <f>EXTEMPORANEOS!H29</f>
        <v>T23 Directa - Transferencias</v>
      </c>
      <c r="I29" s="175">
        <f>EXTEMPORANEOS!I29</f>
        <v>230887267</v>
      </c>
      <c r="J29" s="179">
        <f>EXTEMPORANEOS!J29</f>
        <v>14</v>
      </c>
      <c r="K29" s="179">
        <f>EXTEMPORANEOS!K29</f>
        <v>3352270</v>
      </c>
      <c r="L29" s="179">
        <f>EXTEMPORANEOS!L29</f>
        <v>0</v>
      </c>
      <c r="M29" s="179">
        <f>EXTEMPORANEOS!M29</f>
        <v>0</v>
      </c>
      <c r="N29" s="179">
        <f>EXTEMPORANEOS!N29</f>
        <v>0</v>
      </c>
      <c r="O29" s="179">
        <f>EXTEMPORANEOS!O29</f>
        <v>0</v>
      </c>
      <c r="P29" s="179">
        <f>EXTEMPORANEOS!P29</f>
        <v>0</v>
      </c>
      <c r="Q29" s="179">
        <f>EXTEMPORANEOS!Q29</f>
        <v>0</v>
      </c>
      <c r="R29" s="179">
        <f>EXTEMPORANEOS!R29</f>
        <v>0</v>
      </c>
      <c r="S29" s="179">
        <f>EXTEMPORANEOS!S29</f>
        <v>0</v>
      </c>
      <c r="T29" s="181">
        <f>EXTEMPORANEOS!T29</f>
        <v>14</v>
      </c>
      <c r="U29" s="182">
        <f>EXTEMPORANEOS!U29</f>
        <v>3352270</v>
      </c>
      <c r="V29" s="179">
        <f>EXTEMPORANEOS!V29</f>
        <v>14</v>
      </c>
      <c r="W29" s="179">
        <f>EXTEMPORANEOS!W29</f>
        <v>3352270</v>
      </c>
      <c r="X29" s="182">
        <f>EXTEMPORANEOS!X29</f>
        <v>0</v>
      </c>
      <c r="Y29" s="297">
        <f>EXTEMPORANEOS!Y29</f>
        <v>0</v>
      </c>
      <c r="AA29" s="138"/>
    </row>
    <row r="30" spans="2:27" ht="12.95" customHeight="1" x14ac:dyDescent="0.2">
      <c r="B30" s="296" t="e">
        <f>EXTEMPORANEOS!#REF!</f>
        <v>#REF!</v>
      </c>
      <c r="C30" s="176" t="e">
        <f>EXTEMPORANEOS!#REF!</f>
        <v>#REF!</v>
      </c>
      <c r="D30" s="177" t="e">
        <f>EXTEMPORANEOS!#REF!</f>
        <v>#REF!</v>
      </c>
      <c r="E30" s="178" t="e">
        <f>EXTEMPORANEOS!#REF!</f>
        <v>#REF!</v>
      </c>
      <c r="F30" s="175" t="e">
        <f>EXTEMPORANEOS!#REF!</f>
        <v>#REF!</v>
      </c>
      <c r="G30" s="183" t="e">
        <f>EXTEMPORANEOS!#REF!</f>
        <v>#REF!</v>
      </c>
      <c r="H30" s="175" t="e">
        <f>EXTEMPORANEOS!#REF!</f>
        <v>#REF!</v>
      </c>
      <c r="I30" s="175" t="e">
        <f>EXTEMPORANEOS!#REF!</f>
        <v>#REF!</v>
      </c>
      <c r="J30" s="179" t="e">
        <f>EXTEMPORANEOS!#REF!</f>
        <v>#REF!</v>
      </c>
      <c r="K30" s="179" t="e">
        <f>EXTEMPORANEOS!#REF!</f>
        <v>#REF!</v>
      </c>
      <c r="L30" s="179" t="e">
        <f>EXTEMPORANEOS!#REF!</f>
        <v>#REF!</v>
      </c>
      <c r="M30" s="179" t="e">
        <f>EXTEMPORANEOS!#REF!</f>
        <v>#REF!</v>
      </c>
      <c r="N30" s="179" t="e">
        <f>EXTEMPORANEOS!#REF!</f>
        <v>#REF!</v>
      </c>
      <c r="O30" s="179" t="e">
        <f>EXTEMPORANEOS!#REF!</f>
        <v>#REF!</v>
      </c>
      <c r="P30" s="179" t="e">
        <f>EXTEMPORANEOS!#REF!</f>
        <v>#REF!</v>
      </c>
      <c r="Q30" s="179" t="e">
        <f>EXTEMPORANEOS!#REF!</f>
        <v>#REF!</v>
      </c>
      <c r="R30" s="179" t="e">
        <f>EXTEMPORANEOS!#REF!</f>
        <v>#REF!</v>
      </c>
      <c r="S30" s="179" t="e">
        <f>EXTEMPORANEOS!#REF!</f>
        <v>#REF!</v>
      </c>
      <c r="T30" s="181" t="e">
        <f>EXTEMPORANEOS!#REF!</f>
        <v>#REF!</v>
      </c>
      <c r="U30" s="182" t="e">
        <f>EXTEMPORANEOS!#REF!</f>
        <v>#REF!</v>
      </c>
      <c r="V30" s="179" t="e">
        <f>EXTEMPORANEOS!#REF!</f>
        <v>#REF!</v>
      </c>
      <c r="W30" s="179" t="e">
        <f>EXTEMPORANEOS!#REF!</f>
        <v>#REF!</v>
      </c>
      <c r="X30" s="182" t="e">
        <f>EXTEMPORANEOS!#REF!</f>
        <v>#REF!</v>
      </c>
      <c r="Y30" s="297" t="e">
        <f>EXTEMPORANEOS!#REF!</f>
        <v>#REF!</v>
      </c>
      <c r="AA30" s="138"/>
    </row>
    <row r="31" spans="2:27" ht="12.95" customHeight="1" x14ac:dyDescent="0.2">
      <c r="B31" s="296">
        <f>EXTEMPORANEOS!B30</f>
        <v>46304</v>
      </c>
      <c r="C31" s="176">
        <f>EXTEMPORANEOS!C30</f>
        <v>2026101</v>
      </c>
      <c r="D31" s="177">
        <f>EXTEMPORANEOS!D30</f>
        <v>46287</v>
      </c>
      <c r="E31" s="178" t="str">
        <f>EXTEMPORANEOS!E30</f>
        <v>23D</v>
      </c>
      <c r="F31" s="175" t="str">
        <f>EXTEMPORANEOS!F30</f>
        <v>Occidente - Directa</v>
      </c>
      <c r="G31" s="183">
        <f>EXTEMPORANEOS!G30</f>
        <v>13</v>
      </c>
      <c r="H31" s="175" t="str">
        <f>EXTEMPORANEOS!H30</f>
        <v>T23 Directa - Transferencias</v>
      </c>
      <c r="I31" s="175">
        <f>EXTEMPORANEOS!I30</f>
        <v>230887267</v>
      </c>
      <c r="J31" s="179">
        <f>EXTEMPORANEOS!J30</f>
        <v>10</v>
      </c>
      <c r="K31" s="179">
        <f>EXTEMPORANEOS!K30</f>
        <v>1019125</v>
      </c>
      <c r="L31" s="179">
        <f>EXTEMPORANEOS!L30</f>
        <v>22</v>
      </c>
      <c r="M31" s="179">
        <f>EXTEMPORANEOS!M30</f>
        <v>14190630</v>
      </c>
      <c r="N31" s="179">
        <f>EXTEMPORANEOS!N30</f>
        <v>0</v>
      </c>
      <c r="O31" s="179">
        <f>EXTEMPORANEOS!O30</f>
        <v>0</v>
      </c>
      <c r="P31" s="179">
        <f>EXTEMPORANEOS!P30</f>
        <v>0</v>
      </c>
      <c r="Q31" s="179">
        <f>EXTEMPORANEOS!Q30</f>
        <v>0</v>
      </c>
      <c r="R31" s="179">
        <f>EXTEMPORANEOS!R30</f>
        <v>0</v>
      </c>
      <c r="S31" s="179">
        <f>EXTEMPORANEOS!S30</f>
        <v>0</v>
      </c>
      <c r="T31" s="181">
        <f>EXTEMPORANEOS!T30</f>
        <v>32</v>
      </c>
      <c r="U31" s="182">
        <f>EXTEMPORANEOS!U30</f>
        <v>15209755</v>
      </c>
      <c r="V31" s="179">
        <f>EXTEMPORANEOS!V30</f>
        <v>32</v>
      </c>
      <c r="W31" s="179">
        <f>EXTEMPORANEOS!W30</f>
        <v>15209755</v>
      </c>
      <c r="X31" s="182">
        <f>EXTEMPORANEOS!X30</f>
        <v>0</v>
      </c>
      <c r="Y31" s="297">
        <f>EXTEMPORANEOS!Y30</f>
        <v>0</v>
      </c>
      <c r="AA31" s="138"/>
    </row>
    <row r="32" spans="2:27" ht="12.95" customHeight="1" x14ac:dyDescent="0.2">
      <c r="B32" s="296">
        <f>EXTEMPORANEOS!B31</f>
        <v>46308</v>
      </c>
      <c r="C32" s="176">
        <f>EXTEMPORANEOS!C31</f>
        <v>2026101</v>
      </c>
      <c r="D32" s="177">
        <f>EXTEMPORANEOS!D31</f>
        <v>46282</v>
      </c>
      <c r="E32" s="178" t="str">
        <f>EXTEMPORANEOS!E31</f>
        <v>23D</v>
      </c>
      <c r="F32" s="175" t="str">
        <f>EXTEMPORANEOS!F31</f>
        <v>Occidente - Directa</v>
      </c>
      <c r="G32" s="183">
        <f>EXTEMPORANEOS!G31</f>
        <v>13</v>
      </c>
      <c r="H32" s="175" t="str">
        <f>EXTEMPORANEOS!H31</f>
        <v>T23 Directa - Transferencias</v>
      </c>
      <c r="I32" s="175">
        <f>EXTEMPORANEOS!I31</f>
        <v>230887267</v>
      </c>
      <c r="J32" s="179">
        <f>EXTEMPORANEOS!J31</f>
        <v>0</v>
      </c>
      <c r="K32" s="179">
        <f>EXTEMPORANEOS!K31</f>
        <v>0</v>
      </c>
      <c r="L32" s="179">
        <f>EXTEMPORANEOS!L31</f>
        <v>0</v>
      </c>
      <c r="M32" s="179">
        <f>EXTEMPORANEOS!M31</f>
        <v>0</v>
      </c>
      <c r="N32" s="179">
        <f>EXTEMPORANEOS!N31</f>
        <v>0</v>
      </c>
      <c r="O32" s="179">
        <f>EXTEMPORANEOS!O31</f>
        <v>0</v>
      </c>
      <c r="P32" s="179">
        <f>EXTEMPORANEOS!P31</f>
        <v>0</v>
      </c>
      <c r="Q32" s="179">
        <f>EXTEMPORANEOS!Q31</f>
        <v>0</v>
      </c>
      <c r="R32" s="179">
        <f>EXTEMPORANEOS!R31</f>
        <v>10</v>
      </c>
      <c r="S32" s="179">
        <f>EXTEMPORANEOS!S31</f>
        <v>3331120</v>
      </c>
      <c r="T32" s="181">
        <f>EXTEMPORANEOS!T31</f>
        <v>10</v>
      </c>
      <c r="U32" s="182">
        <f>EXTEMPORANEOS!U31</f>
        <v>3331120</v>
      </c>
      <c r="V32" s="179">
        <f>EXTEMPORANEOS!V31</f>
        <v>10</v>
      </c>
      <c r="W32" s="179">
        <f>EXTEMPORANEOS!W31</f>
        <v>3331120</v>
      </c>
      <c r="X32" s="182">
        <f>EXTEMPORANEOS!X31</f>
        <v>0</v>
      </c>
      <c r="Y32" s="297">
        <f>EXTEMPORANEOS!Y31</f>
        <v>0</v>
      </c>
      <c r="AA32" s="138"/>
    </row>
    <row r="33" spans="2:27" ht="12.95" customHeight="1" x14ac:dyDescent="0.2">
      <c r="B33" s="296">
        <f>EXTEMPORANEOS!B32</f>
        <v>46279</v>
      </c>
      <c r="C33" s="176">
        <f>EXTEMPORANEOS!C32</f>
        <v>2026101</v>
      </c>
      <c r="D33" s="177">
        <f>EXTEMPORANEOS!D32</f>
        <v>46288</v>
      </c>
      <c r="E33" s="178" t="str">
        <f>EXTEMPORANEOS!E32</f>
        <v>23D</v>
      </c>
      <c r="F33" s="175" t="str">
        <f>EXTEMPORANEOS!F32</f>
        <v>Occidente - Directa</v>
      </c>
      <c r="G33" s="183">
        <f>EXTEMPORANEOS!G32</f>
        <v>13</v>
      </c>
      <c r="H33" s="175" t="str">
        <f>EXTEMPORANEOS!H32</f>
        <v>T23 Directa - Transferencias</v>
      </c>
      <c r="I33" s="175">
        <f>EXTEMPORANEOS!I32</f>
        <v>230887267</v>
      </c>
      <c r="J33" s="179">
        <f>EXTEMPORANEOS!J32</f>
        <v>1</v>
      </c>
      <c r="K33" s="179">
        <f>EXTEMPORANEOS!K32</f>
        <v>1982922</v>
      </c>
      <c r="L33" s="179">
        <f>EXTEMPORANEOS!L32</f>
        <v>0</v>
      </c>
      <c r="M33" s="179">
        <f>EXTEMPORANEOS!M32</f>
        <v>0</v>
      </c>
      <c r="N33" s="179">
        <f>EXTEMPORANEOS!N32</f>
        <v>0</v>
      </c>
      <c r="O33" s="179">
        <f>EXTEMPORANEOS!O32</f>
        <v>0</v>
      </c>
      <c r="P33" s="179">
        <f>EXTEMPORANEOS!P32</f>
        <v>0</v>
      </c>
      <c r="Q33" s="179">
        <f>EXTEMPORANEOS!Q32</f>
        <v>0</v>
      </c>
      <c r="R33" s="179">
        <f>EXTEMPORANEOS!R32</f>
        <v>0</v>
      </c>
      <c r="S33" s="179">
        <f>EXTEMPORANEOS!S32</f>
        <v>0</v>
      </c>
      <c r="T33" s="181">
        <f>EXTEMPORANEOS!T32</f>
        <v>1</v>
      </c>
      <c r="U33" s="182">
        <f>EXTEMPORANEOS!U32</f>
        <v>1982922</v>
      </c>
      <c r="V33" s="179">
        <f>EXTEMPORANEOS!V32</f>
        <v>1</v>
      </c>
      <c r="W33" s="179">
        <f>EXTEMPORANEOS!W32</f>
        <v>1982922</v>
      </c>
      <c r="X33" s="182">
        <f>EXTEMPORANEOS!X32</f>
        <v>0</v>
      </c>
      <c r="Y33" s="297">
        <f>EXTEMPORANEOS!Y32</f>
        <v>0</v>
      </c>
      <c r="AA33" s="138"/>
    </row>
    <row r="34" spans="2:27" ht="12.95" customHeight="1" x14ac:dyDescent="0.2">
      <c r="B34" s="296">
        <f>EXTEMPORANEOS!B33</f>
        <v>46279</v>
      </c>
      <c r="C34" s="176">
        <f>EXTEMPORANEOS!C33</f>
        <v>2026101</v>
      </c>
      <c r="D34" s="177">
        <f>EXTEMPORANEOS!D33</f>
        <v>46289</v>
      </c>
      <c r="E34" s="178" t="str">
        <f>EXTEMPORANEOS!E33</f>
        <v>23D</v>
      </c>
      <c r="F34" s="175" t="str">
        <f>EXTEMPORANEOS!F33</f>
        <v>Occidente - Directa</v>
      </c>
      <c r="G34" s="183">
        <f>EXTEMPORANEOS!G33</f>
        <v>13</v>
      </c>
      <c r="H34" s="175" t="str">
        <f>EXTEMPORANEOS!H33</f>
        <v>T23 Directa - Transferencias</v>
      </c>
      <c r="I34" s="175">
        <f>EXTEMPORANEOS!I33</f>
        <v>230887267</v>
      </c>
      <c r="J34" s="179">
        <f>EXTEMPORANEOS!J33</f>
        <v>2</v>
      </c>
      <c r="K34" s="179">
        <f>EXTEMPORANEOS!K33</f>
        <v>5305437</v>
      </c>
      <c r="L34" s="179">
        <f>EXTEMPORANEOS!L33</f>
        <v>1</v>
      </c>
      <c r="M34" s="179">
        <f>EXTEMPORANEOS!M33</f>
        <v>9614712</v>
      </c>
      <c r="N34" s="179">
        <f>EXTEMPORANEOS!N33</f>
        <v>2</v>
      </c>
      <c r="O34" s="179">
        <f>EXTEMPORANEOS!O33</f>
        <v>4954235</v>
      </c>
      <c r="P34" s="179">
        <f>EXTEMPORANEOS!P33</f>
        <v>2</v>
      </c>
      <c r="Q34" s="179">
        <f>EXTEMPORANEOS!Q33</f>
        <v>25300200</v>
      </c>
      <c r="R34" s="179">
        <f>EXTEMPORANEOS!R33</f>
        <v>1</v>
      </c>
      <c r="S34" s="179">
        <f>EXTEMPORANEOS!S33</f>
        <v>944904</v>
      </c>
      <c r="T34" s="181">
        <f>EXTEMPORANEOS!T33</f>
        <v>8</v>
      </c>
      <c r="U34" s="182">
        <f>EXTEMPORANEOS!U33</f>
        <v>46119488</v>
      </c>
      <c r="V34" s="179">
        <f>EXTEMPORANEOS!V33</f>
        <v>8</v>
      </c>
      <c r="W34" s="179">
        <f>EXTEMPORANEOS!W33</f>
        <v>46119488</v>
      </c>
      <c r="X34" s="182">
        <f>EXTEMPORANEOS!X33</f>
        <v>0</v>
      </c>
      <c r="Y34" s="297">
        <f>EXTEMPORANEOS!Y33</f>
        <v>0</v>
      </c>
      <c r="AA34" s="138"/>
    </row>
    <row r="35" spans="2:27" ht="12.95" customHeight="1" x14ac:dyDescent="0.2">
      <c r="B35" s="296">
        <f>EXTEMPORANEOS!B34</f>
        <v>46311</v>
      </c>
      <c r="C35" s="176">
        <f>EXTEMPORANEOS!C34</f>
        <v>2026101</v>
      </c>
      <c r="D35" s="177">
        <f>EXTEMPORANEOS!D34</f>
        <v>46076</v>
      </c>
      <c r="E35" s="178" t="str">
        <f>EXTEMPORANEOS!E34</f>
        <v>23D</v>
      </c>
      <c r="F35" s="175" t="str">
        <f>EXTEMPORANEOS!F34</f>
        <v>Occidente - Directa</v>
      </c>
      <c r="G35" s="183">
        <f>EXTEMPORANEOS!G34</f>
        <v>13</v>
      </c>
      <c r="H35" s="175" t="str">
        <f>EXTEMPORANEOS!H34</f>
        <v>T23 Directa - Transferencias</v>
      </c>
      <c r="I35" s="175">
        <f>EXTEMPORANEOS!I34</f>
        <v>230887267</v>
      </c>
      <c r="J35" s="179">
        <f>EXTEMPORANEOS!J34</f>
        <v>0</v>
      </c>
      <c r="K35" s="179">
        <f>EXTEMPORANEOS!K34</f>
        <v>0</v>
      </c>
      <c r="L35" s="179">
        <f>EXTEMPORANEOS!L34</f>
        <v>0</v>
      </c>
      <c r="M35" s="179">
        <f>EXTEMPORANEOS!M34</f>
        <v>0</v>
      </c>
      <c r="N35" s="179">
        <f>EXTEMPORANEOS!N34</f>
        <v>0</v>
      </c>
      <c r="O35" s="179">
        <f>EXTEMPORANEOS!O34</f>
        <v>0</v>
      </c>
      <c r="P35" s="179">
        <f>EXTEMPORANEOS!P34</f>
        <v>0</v>
      </c>
      <c r="Q35" s="179">
        <f>EXTEMPORANEOS!Q34</f>
        <v>0</v>
      </c>
      <c r="R35" s="179">
        <f>EXTEMPORANEOS!R34</f>
        <v>3</v>
      </c>
      <c r="S35" s="179">
        <f>EXTEMPORANEOS!S34</f>
        <v>407691</v>
      </c>
      <c r="T35" s="181">
        <f>EXTEMPORANEOS!T34</f>
        <v>3</v>
      </c>
      <c r="U35" s="182">
        <f>EXTEMPORANEOS!U34</f>
        <v>407691</v>
      </c>
      <c r="V35" s="179">
        <f>EXTEMPORANEOS!V34</f>
        <v>3</v>
      </c>
      <c r="W35" s="179">
        <f>EXTEMPORANEOS!W34</f>
        <v>407691</v>
      </c>
      <c r="X35" s="182">
        <f>EXTEMPORANEOS!X34</f>
        <v>0</v>
      </c>
      <c r="Y35" s="297">
        <f>EXTEMPORANEOS!Y34</f>
        <v>0</v>
      </c>
      <c r="AA35" s="138"/>
    </row>
    <row r="36" spans="2:27" ht="12.95" customHeight="1" x14ac:dyDescent="0.2">
      <c r="B36" s="296">
        <f>EXTEMPORANEOS!B35</f>
        <v>46311</v>
      </c>
      <c r="C36" s="176">
        <f>EXTEMPORANEOS!C35</f>
        <v>2026101</v>
      </c>
      <c r="D36" s="177">
        <f>EXTEMPORANEOS!D35</f>
        <v>46106</v>
      </c>
      <c r="E36" s="178" t="str">
        <f>EXTEMPORANEOS!E35</f>
        <v>23D</v>
      </c>
      <c r="F36" s="175" t="str">
        <f>EXTEMPORANEOS!F35</f>
        <v>Occidente - Directa</v>
      </c>
      <c r="G36" s="183">
        <f>EXTEMPORANEOS!G35</f>
        <v>13</v>
      </c>
      <c r="H36" s="175" t="str">
        <f>EXTEMPORANEOS!H35</f>
        <v>T23 Directa - Transferencias</v>
      </c>
      <c r="I36" s="175">
        <f>EXTEMPORANEOS!I35</f>
        <v>230887267</v>
      </c>
      <c r="J36" s="179">
        <f>EXTEMPORANEOS!J35</f>
        <v>0</v>
      </c>
      <c r="K36" s="179">
        <f>EXTEMPORANEOS!K35</f>
        <v>0</v>
      </c>
      <c r="L36" s="179">
        <f>EXTEMPORANEOS!L35</f>
        <v>0</v>
      </c>
      <c r="M36" s="179">
        <f>EXTEMPORANEOS!M35</f>
        <v>0</v>
      </c>
      <c r="N36" s="179">
        <f>EXTEMPORANEOS!N35</f>
        <v>0</v>
      </c>
      <c r="O36" s="179">
        <f>EXTEMPORANEOS!O35</f>
        <v>0</v>
      </c>
      <c r="P36" s="179">
        <f>EXTEMPORANEOS!P35</f>
        <v>0</v>
      </c>
      <c r="Q36" s="179">
        <f>EXTEMPORANEOS!Q35</f>
        <v>0</v>
      </c>
      <c r="R36" s="179">
        <f>EXTEMPORANEOS!R35</f>
        <v>2</v>
      </c>
      <c r="S36" s="179">
        <f>EXTEMPORANEOS!S35</f>
        <v>324553</v>
      </c>
      <c r="T36" s="181">
        <f>EXTEMPORANEOS!T35</f>
        <v>2</v>
      </c>
      <c r="U36" s="182">
        <f>EXTEMPORANEOS!U35</f>
        <v>324553</v>
      </c>
      <c r="V36" s="179">
        <f>EXTEMPORANEOS!V35</f>
        <v>2</v>
      </c>
      <c r="W36" s="179">
        <f>EXTEMPORANEOS!W35</f>
        <v>324553</v>
      </c>
      <c r="X36" s="182">
        <f>EXTEMPORANEOS!X35</f>
        <v>0</v>
      </c>
      <c r="Y36" s="297">
        <f>EXTEMPORANEOS!Y35</f>
        <v>0</v>
      </c>
      <c r="AA36" s="138"/>
    </row>
    <row r="37" spans="2:27" ht="12.95" customHeight="1" x14ac:dyDescent="0.2">
      <c r="B37" s="296">
        <f>EXTEMPORANEOS!B36</f>
        <v>46311</v>
      </c>
      <c r="C37" s="176">
        <f>EXTEMPORANEOS!C36</f>
        <v>2026101</v>
      </c>
      <c r="D37" s="296">
        <f>EXTEMPORANEOS!D36</f>
        <v>46128</v>
      </c>
      <c r="E37" s="178" t="str">
        <f>EXTEMPORANEOS!E36</f>
        <v>23D</v>
      </c>
      <c r="F37" s="175" t="str">
        <f>EXTEMPORANEOS!F36</f>
        <v>Occidente - Directa</v>
      </c>
      <c r="G37" s="183">
        <f>EXTEMPORANEOS!G36</f>
        <v>13</v>
      </c>
      <c r="H37" s="175" t="str">
        <f>EXTEMPORANEOS!H36</f>
        <v>T23 Directa - Transferencias</v>
      </c>
      <c r="I37" s="175">
        <f>EXTEMPORANEOS!I36</f>
        <v>230887267</v>
      </c>
      <c r="J37" s="179">
        <f>EXTEMPORANEOS!J36</f>
        <v>0</v>
      </c>
      <c r="K37" s="179">
        <f>EXTEMPORANEOS!K36</f>
        <v>0</v>
      </c>
      <c r="L37" s="179">
        <f>EXTEMPORANEOS!L36</f>
        <v>0</v>
      </c>
      <c r="M37" s="179">
        <f>EXTEMPORANEOS!M36</f>
        <v>0</v>
      </c>
      <c r="N37" s="179">
        <f>EXTEMPORANEOS!N36</f>
        <v>0</v>
      </c>
      <c r="O37" s="179">
        <f>EXTEMPORANEOS!O36</f>
        <v>0</v>
      </c>
      <c r="P37" s="179">
        <f>EXTEMPORANEOS!P36</f>
        <v>0</v>
      </c>
      <c r="Q37" s="179">
        <f>EXTEMPORANEOS!Q36</f>
        <v>0</v>
      </c>
      <c r="R37" s="179">
        <f>EXTEMPORANEOS!R36</f>
        <v>2</v>
      </c>
      <c r="S37" s="179">
        <f>EXTEMPORANEOS!S36</f>
        <v>284399</v>
      </c>
      <c r="T37" s="181">
        <f>EXTEMPORANEOS!T36</f>
        <v>2</v>
      </c>
      <c r="U37" s="182">
        <f>EXTEMPORANEOS!U36</f>
        <v>284399</v>
      </c>
      <c r="V37" s="179">
        <f>EXTEMPORANEOS!V36</f>
        <v>2</v>
      </c>
      <c r="W37" s="179">
        <f>EXTEMPORANEOS!W36</f>
        <v>284399</v>
      </c>
      <c r="X37" s="182">
        <f>EXTEMPORANEOS!X36</f>
        <v>0</v>
      </c>
      <c r="Y37" s="297">
        <f>EXTEMPORANEOS!Y36</f>
        <v>0</v>
      </c>
      <c r="AA37" s="138"/>
    </row>
    <row r="38" spans="2:27" ht="12.95" customHeight="1" x14ac:dyDescent="0.2">
      <c r="B38" s="296">
        <f>EXTEMPORANEOS!B37</f>
        <v>46311</v>
      </c>
      <c r="C38" s="176">
        <f>EXTEMPORANEOS!C37</f>
        <v>2026101</v>
      </c>
      <c r="D38" s="177">
        <f>EXTEMPORANEOS!D37</f>
        <v>46157</v>
      </c>
      <c r="E38" s="178" t="str">
        <f>EXTEMPORANEOS!E37</f>
        <v>23D</v>
      </c>
      <c r="F38" s="175" t="str">
        <f>EXTEMPORANEOS!F37</f>
        <v>Occidente - Directa</v>
      </c>
      <c r="G38" s="183">
        <f>EXTEMPORANEOS!G37</f>
        <v>13</v>
      </c>
      <c r="H38" s="175" t="str">
        <f>EXTEMPORANEOS!H37</f>
        <v>T23 Directa - Transferencias</v>
      </c>
      <c r="I38" s="175">
        <f>EXTEMPORANEOS!I37</f>
        <v>230887267</v>
      </c>
      <c r="J38" s="179">
        <f>EXTEMPORANEOS!J37</f>
        <v>0</v>
      </c>
      <c r="K38" s="179">
        <f>EXTEMPORANEOS!K37</f>
        <v>0</v>
      </c>
      <c r="L38" s="179">
        <f>EXTEMPORANEOS!L37</f>
        <v>0</v>
      </c>
      <c r="M38" s="179">
        <f>EXTEMPORANEOS!M37</f>
        <v>0</v>
      </c>
      <c r="N38" s="179">
        <f>EXTEMPORANEOS!N37</f>
        <v>0</v>
      </c>
      <c r="O38" s="179">
        <f>EXTEMPORANEOS!O37</f>
        <v>0</v>
      </c>
      <c r="P38" s="179">
        <f>EXTEMPORANEOS!P37</f>
        <v>0</v>
      </c>
      <c r="Q38" s="179">
        <f>EXTEMPORANEOS!Q37</f>
        <v>0</v>
      </c>
      <c r="R38" s="179">
        <f>EXTEMPORANEOS!R37</f>
        <v>2</v>
      </c>
      <c r="S38" s="179">
        <f>EXTEMPORANEOS!S37</f>
        <v>331585</v>
      </c>
      <c r="T38" s="181">
        <f>EXTEMPORANEOS!T37</f>
        <v>2</v>
      </c>
      <c r="U38" s="182">
        <f>EXTEMPORANEOS!U37</f>
        <v>331585</v>
      </c>
      <c r="V38" s="179">
        <f>EXTEMPORANEOS!V37</f>
        <v>2</v>
      </c>
      <c r="W38" s="179">
        <f>EXTEMPORANEOS!W37</f>
        <v>331585</v>
      </c>
      <c r="X38" s="182">
        <f>EXTEMPORANEOS!X37</f>
        <v>0</v>
      </c>
      <c r="Y38" s="297">
        <f>EXTEMPORANEOS!Y37</f>
        <v>0</v>
      </c>
      <c r="AA38" s="138"/>
    </row>
    <row r="39" spans="2:27" ht="12.95" customHeight="1" x14ac:dyDescent="0.2">
      <c r="B39" s="296">
        <f>EXTEMPORANEOS!B38</f>
        <v>46311</v>
      </c>
      <c r="C39" s="176">
        <f>EXTEMPORANEOS!C38</f>
        <v>2026101</v>
      </c>
      <c r="D39" s="177">
        <f>EXTEMPORANEOS!D38</f>
        <v>46191</v>
      </c>
      <c r="E39" s="178" t="str">
        <f>EXTEMPORANEOS!E38</f>
        <v>23D</v>
      </c>
      <c r="F39" s="175" t="str">
        <f>EXTEMPORANEOS!F38</f>
        <v>Occidente - Directa</v>
      </c>
      <c r="G39" s="183">
        <f>EXTEMPORANEOS!G38</f>
        <v>13</v>
      </c>
      <c r="H39" s="175" t="str">
        <f>EXTEMPORANEOS!H38</f>
        <v>T23 Directa - Transferencias</v>
      </c>
      <c r="I39" s="175">
        <f>EXTEMPORANEOS!I38</f>
        <v>230887267</v>
      </c>
      <c r="J39" s="179">
        <f>EXTEMPORANEOS!J38</f>
        <v>0</v>
      </c>
      <c r="K39" s="179">
        <f>EXTEMPORANEOS!K38</f>
        <v>0</v>
      </c>
      <c r="L39" s="179">
        <f>EXTEMPORANEOS!L38</f>
        <v>0</v>
      </c>
      <c r="M39" s="179">
        <f>EXTEMPORANEOS!M38</f>
        <v>0</v>
      </c>
      <c r="N39" s="179">
        <f>EXTEMPORANEOS!N38</f>
        <v>0</v>
      </c>
      <c r="O39" s="179">
        <f>EXTEMPORANEOS!O38</f>
        <v>0</v>
      </c>
      <c r="P39" s="179">
        <f>EXTEMPORANEOS!P38</f>
        <v>0</v>
      </c>
      <c r="Q39" s="179">
        <f>EXTEMPORANEOS!Q38</f>
        <v>0</v>
      </c>
      <c r="R39" s="179">
        <f>EXTEMPORANEOS!R38</f>
        <v>2</v>
      </c>
      <c r="S39" s="179">
        <f>EXTEMPORANEOS!S38</f>
        <v>312220</v>
      </c>
      <c r="T39" s="181">
        <f>EXTEMPORANEOS!T38</f>
        <v>2</v>
      </c>
      <c r="U39" s="182">
        <f>EXTEMPORANEOS!U38</f>
        <v>312220</v>
      </c>
      <c r="V39" s="179">
        <f>EXTEMPORANEOS!V38</f>
        <v>2</v>
      </c>
      <c r="W39" s="179">
        <f>EXTEMPORANEOS!W38</f>
        <v>312220</v>
      </c>
      <c r="X39" s="182">
        <f>EXTEMPORANEOS!X38</f>
        <v>0</v>
      </c>
      <c r="Y39" s="297">
        <f>EXTEMPORANEOS!Y38</f>
        <v>0</v>
      </c>
      <c r="AA39" s="138"/>
    </row>
    <row r="40" spans="2:27" ht="12.95" customHeight="1" x14ac:dyDescent="0.2">
      <c r="B40" s="296">
        <f>EXTEMPORANEOS!B39</f>
        <v>46311</v>
      </c>
      <c r="C40" s="176">
        <f>EXTEMPORANEOS!C39</f>
        <v>2026101</v>
      </c>
      <c r="D40" s="177">
        <f>EXTEMPORANEOS!D39</f>
        <v>46220</v>
      </c>
      <c r="E40" s="178" t="str">
        <f>EXTEMPORANEOS!E39</f>
        <v>23D</v>
      </c>
      <c r="F40" s="175" t="str">
        <f>EXTEMPORANEOS!F39</f>
        <v>Occidente - Directa</v>
      </c>
      <c r="G40" s="183">
        <f>EXTEMPORANEOS!G39</f>
        <v>13</v>
      </c>
      <c r="H40" s="175" t="str">
        <f>EXTEMPORANEOS!H39</f>
        <v>T23 Directa - Transferencias</v>
      </c>
      <c r="I40" s="175">
        <f>EXTEMPORANEOS!I39</f>
        <v>230887267</v>
      </c>
      <c r="J40" s="179">
        <f>EXTEMPORANEOS!J39</f>
        <v>0</v>
      </c>
      <c r="K40" s="179">
        <f>EXTEMPORANEOS!K39</f>
        <v>0</v>
      </c>
      <c r="L40" s="179">
        <f>EXTEMPORANEOS!L39</f>
        <v>0</v>
      </c>
      <c r="M40" s="179">
        <f>EXTEMPORANEOS!M39</f>
        <v>0</v>
      </c>
      <c r="N40" s="179">
        <f>EXTEMPORANEOS!N39</f>
        <v>0</v>
      </c>
      <c r="O40" s="179">
        <f>EXTEMPORANEOS!O39</f>
        <v>0</v>
      </c>
      <c r="P40" s="179">
        <f>EXTEMPORANEOS!P39</f>
        <v>0</v>
      </c>
      <c r="Q40" s="179">
        <f>EXTEMPORANEOS!Q39</f>
        <v>0</v>
      </c>
      <c r="R40" s="179">
        <f>EXTEMPORANEOS!R39</f>
        <v>2</v>
      </c>
      <c r="S40" s="179">
        <f>EXTEMPORANEOS!S39</f>
        <v>331300</v>
      </c>
      <c r="T40" s="181">
        <f>EXTEMPORANEOS!T39</f>
        <v>2</v>
      </c>
      <c r="U40" s="182">
        <f>EXTEMPORANEOS!U39</f>
        <v>331300</v>
      </c>
      <c r="V40" s="179">
        <f>EXTEMPORANEOS!V39</f>
        <v>2</v>
      </c>
      <c r="W40" s="179">
        <f>EXTEMPORANEOS!W39</f>
        <v>331300</v>
      </c>
      <c r="X40" s="182">
        <f>EXTEMPORANEOS!X39</f>
        <v>0</v>
      </c>
      <c r="Y40" s="297">
        <f>EXTEMPORANEOS!Y39</f>
        <v>0</v>
      </c>
      <c r="AA40" s="138"/>
    </row>
    <row r="41" spans="2:27" ht="12.95" customHeight="1" x14ac:dyDescent="0.2">
      <c r="B41" s="296">
        <f>EXTEMPORANEOS!B40</f>
        <v>46311</v>
      </c>
      <c r="C41" s="176">
        <f>EXTEMPORANEOS!C40</f>
        <v>2026101</v>
      </c>
      <c r="D41" s="177">
        <f>EXTEMPORANEOS!D40</f>
        <v>46254</v>
      </c>
      <c r="E41" s="178" t="str">
        <f>EXTEMPORANEOS!E40</f>
        <v>23D</v>
      </c>
      <c r="F41" s="175" t="str">
        <f>EXTEMPORANEOS!F40</f>
        <v>Occidente - Directa</v>
      </c>
      <c r="G41" s="183">
        <f>EXTEMPORANEOS!G40</f>
        <v>13</v>
      </c>
      <c r="H41" s="175" t="str">
        <f>EXTEMPORANEOS!H40</f>
        <v>T23 Directa - Transferencias</v>
      </c>
      <c r="I41" s="175">
        <f>EXTEMPORANEOS!I40</f>
        <v>230887267</v>
      </c>
      <c r="J41" s="179">
        <f>EXTEMPORANEOS!J40</f>
        <v>0</v>
      </c>
      <c r="K41" s="179">
        <f>EXTEMPORANEOS!K40</f>
        <v>0</v>
      </c>
      <c r="L41" s="179">
        <f>EXTEMPORANEOS!L40</f>
        <v>0</v>
      </c>
      <c r="M41" s="179">
        <f>EXTEMPORANEOS!M40</f>
        <v>0</v>
      </c>
      <c r="N41" s="179">
        <f>EXTEMPORANEOS!N40</f>
        <v>0</v>
      </c>
      <c r="O41" s="179">
        <f>EXTEMPORANEOS!O40</f>
        <v>0</v>
      </c>
      <c r="P41" s="179">
        <f>EXTEMPORANEOS!P40</f>
        <v>0</v>
      </c>
      <c r="Q41" s="179">
        <f>EXTEMPORANEOS!Q40</f>
        <v>0</v>
      </c>
      <c r="R41" s="179">
        <f>EXTEMPORANEOS!R40</f>
        <v>2</v>
      </c>
      <c r="S41" s="179">
        <f>EXTEMPORANEOS!S40</f>
        <v>317120</v>
      </c>
      <c r="T41" s="181">
        <f>EXTEMPORANEOS!T40</f>
        <v>2</v>
      </c>
      <c r="U41" s="182">
        <f>EXTEMPORANEOS!U40</f>
        <v>317120</v>
      </c>
      <c r="V41" s="179">
        <f>EXTEMPORANEOS!V40</f>
        <v>2</v>
      </c>
      <c r="W41" s="179">
        <f>EXTEMPORANEOS!W40</f>
        <v>317120</v>
      </c>
      <c r="X41" s="182">
        <f>EXTEMPORANEOS!X40</f>
        <v>0</v>
      </c>
      <c r="Y41" s="297">
        <f>EXTEMPORANEOS!Y40</f>
        <v>0</v>
      </c>
      <c r="AA41" s="138"/>
    </row>
    <row r="42" spans="2:27" ht="12.95" customHeight="1" x14ac:dyDescent="0.2">
      <c r="B42" s="296">
        <f>EXTEMPORANEOS!B41</f>
        <v>46311</v>
      </c>
      <c r="C42" s="176">
        <f>EXTEMPORANEOS!C41</f>
        <v>2026101</v>
      </c>
      <c r="D42" s="177">
        <f>EXTEMPORANEOS!D41</f>
        <v>46279</v>
      </c>
      <c r="E42" s="178" t="str">
        <f>EXTEMPORANEOS!E41</f>
        <v>23D</v>
      </c>
      <c r="F42" s="175" t="str">
        <f>EXTEMPORANEOS!F41</f>
        <v>Occidente - Directa</v>
      </c>
      <c r="G42" s="183">
        <f>EXTEMPORANEOS!G41</f>
        <v>13</v>
      </c>
      <c r="H42" s="175" t="str">
        <f>EXTEMPORANEOS!H41</f>
        <v>T23 Directa - Transferencias</v>
      </c>
      <c r="I42" s="175">
        <f>EXTEMPORANEOS!I41</f>
        <v>230887267</v>
      </c>
      <c r="J42" s="179">
        <f>EXTEMPORANEOS!J41</f>
        <v>4</v>
      </c>
      <c r="K42" s="179">
        <f>EXTEMPORANEOS!K41</f>
        <v>3419680</v>
      </c>
      <c r="L42" s="179">
        <f>EXTEMPORANEOS!L41</f>
        <v>0</v>
      </c>
      <c r="M42" s="179">
        <f>EXTEMPORANEOS!M41</f>
        <v>0</v>
      </c>
      <c r="N42" s="179"/>
      <c r="O42" s="179"/>
      <c r="P42" s="179">
        <f>EXTEMPORANEOS!P41</f>
        <v>0</v>
      </c>
      <c r="Q42" s="179">
        <f>EXTEMPORANEOS!Q41</f>
        <v>0</v>
      </c>
      <c r="R42" s="179">
        <f>EXTEMPORANEOS!R41</f>
        <v>0</v>
      </c>
      <c r="S42" s="179">
        <f>EXTEMPORANEOS!S41</f>
        <v>0</v>
      </c>
      <c r="T42" s="181">
        <f>EXTEMPORANEOS!T41</f>
        <v>4</v>
      </c>
      <c r="U42" s="182">
        <f>EXTEMPORANEOS!U41</f>
        <v>3419680</v>
      </c>
      <c r="V42" s="179">
        <f>EXTEMPORANEOS!V41</f>
        <v>4</v>
      </c>
      <c r="W42" s="179">
        <f>EXTEMPORANEOS!W41</f>
        <v>3419680</v>
      </c>
      <c r="X42" s="182">
        <f>EXTEMPORANEOS!X41</f>
        <v>0</v>
      </c>
      <c r="Y42" s="297">
        <f>EXTEMPORANEOS!Y41</f>
        <v>0</v>
      </c>
      <c r="AA42" s="138"/>
    </row>
    <row r="43" spans="2:27" ht="12.95" customHeight="1" x14ac:dyDescent="0.2">
      <c r="B43" s="296">
        <f>EXTEMPORANEOS!B42</f>
        <v>0</v>
      </c>
      <c r="C43" s="176">
        <f>EXTEMPORANEOS!C42</f>
        <v>2026101</v>
      </c>
      <c r="D43" s="177">
        <f>EXTEMPORANEOS!D42</f>
        <v>0</v>
      </c>
      <c r="E43" s="178" t="str">
        <f>EXTEMPORANEOS!E42</f>
        <v>23D</v>
      </c>
      <c r="F43" s="175" t="str">
        <f>EXTEMPORANEOS!F42</f>
        <v>Occidente - Directa</v>
      </c>
      <c r="G43" s="183">
        <f>EXTEMPORANEOS!G42</f>
        <v>13</v>
      </c>
      <c r="H43" s="175" t="str">
        <f>EXTEMPORANEOS!H42</f>
        <v>T23 Directa - Transferencias</v>
      </c>
      <c r="I43" s="175">
        <f>EXTEMPORANEOS!I42</f>
        <v>230887267</v>
      </c>
      <c r="J43" s="179">
        <f>EXTEMPORANEOS!J42</f>
        <v>0</v>
      </c>
      <c r="K43" s="179">
        <f>EXTEMPORANEOS!K42</f>
        <v>0</v>
      </c>
      <c r="L43" s="179">
        <f>EXTEMPORANEOS!L42</f>
        <v>0</v>
      </c>
      <c r="M43" s="179">
        <f>EXTEMPORANEOS!M42</f>
        <v>0</v>
      </c>
      <c r="N43" s="179">
        <f>EXTEMPORANEOS!N42</f>
        <v>0</v>
      </c>
      <c r="O43" s="179">
        <f>EXTEMPORANEOS!O42</f>
        <v>0</v>
      </c>
      <c r="P43" s="179">
        <f>EXTEMPORANEOS!P42</f>
        <v>0</v>
      </c>
      <c r="Q43" s="179">
        <f>EXTEMPORANEOS!Q42</f>
        <v>0</v>
      </c>
      <c r="R43" s="179">
        <f>EXTEMPORANEOS!R42</f>
        <v>0</v>
      </c>
      <c r="S43" s="179">
        <f>EXTEMPORANEOS!S42</f>
        <v>0</v>
      </c>
      <c r="T43" s="181">
        <f>EXTEMPORANEOS!T42</f>
        <v>0</v>
      </c>
      <c r="U43" s="182">
        <f>EXTEMPORANEOS!U42</f>
        <v>0</v>
      </c>
      <c r="V43" s="179">
        <f>EXTEMPORANEOS!V42</f>
        <v>0</v>
      </c>
      <c r="W43" s="179">
        <f>EXTEMPORANEOS!W42</f>
        <v>0</v>
      </c>
      <c r="X43" s="182">
        <f>EXTEMPORANEOS!X42</f>
        <v>0</v>
      </c>
      <c r="Y43" s="297">
        <f>EXTEMPORANEOS!Y42</f>
        <v>0</v>
      </c>
      <c r="AA43" s="138"/>
    </row>
    <row r="44" spans="2:27" ht="12.95" customHeight="1" x14ac:dyDescent="0.2">
      <c r="B44" s="296">
        <f>EXTEMPORANEOS!B43</f>
        <v>0</v>
      </c>
      <c r="C44" s="176">
        <f>EXTEMPORANEOS!C43</f>
        <v>2026101</v>
      </c>
      <c r="D44" s="177">
        <f>EXTEMPORANEOS!D43</f>
        <v>0</v>
      </c>
      <c r="E44" s="178" t="str">
        <f>EXTEMPORANEOS!E43</f>
        <v>23D</v>
      </c>
      <c r="F44" s="175" t="str">
        <f>EXTEMPORANEOS!F43</f>
        <v>Occidente - Directa</v>
      </c>
      <c r="G44" s="183">
        <f>EXTEMPORANEOS!G43</f>
        <v>13</v>
      </c>
      <c r="H44" s="175" t="str">
        <f>EXTEMPORANEOS!H43</f>
        <v>T23 Directa - Transferencias</v>
      </c>
      <c r="I44" s="175">
        <f>EXTEMPORANEOS!I43</f>
        <v>230887267</v>
      </c>
      <c r="J44" s="179">
        <f>EXTEMPORANEOS!J43</f>
        <v>0</v>
      </c>
      <c r="K44" s="179">
        <f>EXTEMPORANEOS!K43</f>
        <v>0</v>
      </c>
      <c r="L44" s="179">
        <f>EXTEMPORANEOS!L43</f>
        <v>0</v>
      </c>
      <c r="M44" s="179">
        <f>EXTEMPORANEOS!M43</f>
        <v>0</v>
      </c>
      <c r="N44" s="179">
        <f>EXTEMPORANEOS!N43</f>
        <v>0</v>
      </c>
      <c r="O44" s="179">
        <f>EXTEMPORANEOS!O43</f>
        <v>0</v>
      </c>
      <c r="P44" s="179">
        <f>EXTEMPORANEOS!P43</f>
        <v>0</v>
      </c>
      <c r="Q44" s="179">
        <f>EXTEMPORANEOS!Q43</f>
        <v>0</v>
      </c>
      <c r="R44" s="179">
        <f>EXTEMPORANEOS!R43</f>
        <v>0</v>
      </c>
      <c r="S44" s="179">
        <f>EXTEMPORANEOS!S43</f>
        <v>0</v>
      </c>
      <c r="T44" s="181">
        <f>EXTEMPORANEOS!T43</f>
        <v>0</v>
      </c>
      <c r="U44" s="182">
        <f>EXTEMPORANEOS!U43</f>
        <v>0</v>
      </c>
      <c r="V44" s="179">
        <f>EXTEMPORANEOS!V43</f>
        <v>0</v>
      </c>
      <c r="W44" s="179">
        <f>EXTEMPORANEOS!W43</f>
        <v>0</v>
      </c>
      <c r="X44" s="182">
        <f>EXTEMPORANEOS!X43</f>
        <v>0</v>
      </c>
      <c r="Y44" s="297">
        <f>EXTEMPORANEOS!Y43</f>
        <v>0</v>
      </c>
      <c r="AA44" s="138"/>
    </row>
    <row r="45" spans="2:27" ht="12.95" customHeight="1" x14ac:dyDescent="0.2">
      <c r="B45" s="296">
        <f>EXTEMPORANEOS!B44</f>
        <v>0</v>
      </c>
      <c r="C45" s="176">
        <f>EXTEMPORANEOS!C44</f>
        <v>2026101</v>
      </c>
      <c r="D45" s="177">
        <f>EXTEMPORANEOS!D44</f>
        <v>0</v>
      </c>
      <c r="E45" s="178" t="str">
        <f>EXTEMPORANEOS!E44</f>
        <v>23D</v>
      </c>
      <c r="F45" s="175" t="str">
        <f>EXTEMPORANEOS!F44</f>
        <v>Occidente - Directa</v>
      </c>
      <c r="G45" s="183">
        <f>EXTEMPORANEOS!G44</f>
        <v>13</v>
      </c>
      <c r="H45" s="175" t="str">
        <f>EXTEMPORANEOS!H44</f>
        <v>T23 Directa - Transferencias</v>
      </c>
      <c r="I45" s="175">
        <f>EXTEMPORANEOS!I44</f>
        <v>230887267</v>
      </c>
      <c r="J45" s="179">
        <f>EXTEMPORANEOS!J44</f>
        <v>0</v>
      </c>
      <c r="K45" s="179">
        <f>EXTEMPORANEOS!K44</f>
        <v>0</v>
      </c>
      <c r="L45" s="179">
        <f>EXTEMPORANEOS!L44</f>
        <v>0</v>
      </c>
      <c r="M45" s="179">
        <f>EXTEMPORANEOS!M44</f>
        <v>0</v>
      </c>
      <c r="N45" s="179">
        <f>EXTEMPORANEOS!N44</f>
        <v>0</v>
      </c>
      <c r="O45" s="179">
        <f>EXTEMPORANEOS!O44</f>
        <v>0</v>
      </c>
      <c r="P45" s="179">
        <f>EXTEMPORANEOS!P44</f>
        <v>0</v>
      </c>
      <c r="Q45" s="179">
        <f>EXTEMPORANEOS!Q44</f>
        <v>0</v>
      </c>
      <c r="R45" s="179">
        <f>EXTEMPORANEOS!R44</f>
        <v>0</v>
      </c>
      <c r="S45" s="179">
        <f>EXTEMPORANEOS!S44</f>
        <v>0</v>
      </c>
      <c r="T45" s="181">
        <f>EXTEMPORANEOS!T44</f>
        <v>0</v>
      </c>
      <c r="U45" s="182">
        <f>EXTEMPORANEOS!U44</f>
        <v>0</v>
      </c>
      <c r="V45" s="179">
        <f>EXTEMPORANEOS!V44</f>
        <v>0</v>
      </c>
      <c r="W45" s="179">
        <f>EXTEMPORANEOS!W44</f>
        <v>0</v>
      </c>
      <c r="X45" s="182">
        <f>EXTEMPORANEOS!X44</f>
        <v>0</v>
      </c>
      <c r="Y45" s="297">
        <f>EXTEMPORANEOS!Y44</f>
        <v>0</v>
      </c>
      <c r="AA45" s="138"/>
    </row>
    <row r="46" spans="2:27" ht="12.95" customHeight="1" x14ac:dyDescent="0.2">
      <c r="B46" s="296">
        <f>EXTEMPORANEOS!B45</f>
        <v>0</v>
      </c>
      <c r="C46" s="176">
        <f>EXTEMPORANEOS!C45</f>
        <v>2026101</v>
      </c>
      <c r="D46" s="177">
        <f>EXTEMPORANEOS!D45</f>
        <v>0</v>
      </c>
      <c r="E46" s="178" t="str">
        <f>EXTEMPORANEOS!E45</f>
        <v>23D</v>
      </c>
      <c r="F46" s="175" t="str">
        <f>EXTEMPORANEOS!F45</f>
        <v>Occidente - Directa</v>
      </c>
      <c r="G46" s="183">
        <f>EXTEMPORANEOS!G45</f>
        <v>13</v>
      </c>
      <c r="H46" s="175" t="str">
        <f>EXTEMPORANEOS!H45</f>
        <v>T23 Directa - Transferencias</v>
      </c>
      <c r="I46" s="175">
        <f>EXTEMPORANEOS!I45</f>
        <v>230887267</v>
      </c>
      <c r="J46" s="179">
        <f>EXTEMPORANEOS!J45</f>
        <v>0</v>
      </c>
      <c r="K46" s="179">
        <f>EXTEMPORANEOS!K45</f>
        <v>0</v>
      </c>
      <c r="L46" s="179">
        <f>EXTEMPORANEOS!L45</f>
        <v>0</v>
      </c>
      <c r="M46" s="179">
        <f>EXTEMPORANEOS!M45</f>
        <v>0</v>
      </c>
      <c r="N46" s="179">
        <f>EXTEMPORANEOS!N45</f>
        <v>0</v>
      </c>
      <c r="O46" s="179">
        <f>EXTEMPORANEOS!O45</f>
        <v>0</v>
      </c>
      <c r="P46" s="179">
        <f>EXTEMPORANEOS!P45</f>
        <v>0</v>
      </c>
      <c r="Q46" s="179">
        <f>EXTEMPORANEOS!Q45</f>
        <v>0</v>
      </c>
      <c r="R46" s="179">
        <f>EXTEMPORANEOS!R45</f>
        <v>0</v>
      </c>
      <c r="S46" s="179">
        <f>EXTEMPORANEOS!S45</f>
        <v>0</v>
      </c>
      <c r="T46" s="181">
        <f>EXTEMPORANEOS!T45</f>
        <v>0</v>
      </c>
      <c r="U46" s="182">
        <f>EXTEMPORANEOS!U45</f>
        <v>0</v>
      </c>
      <c r="V46" s="179">
        <f>EXTEMPORANEOS!V45</f>
        <v>0</v>
      </c>
      <c r="W46" s="179">
        <f>EXTEMPORANEOS!W45</f>
        <v>0</v>
      </c>
      <c r="X46" s="182">
        <f>EXTEMPORANEOS!X45</f>
        <v>0</v>
      </c>
      <c r="Y46" s="297">
        <f>EXTEMPORANEOS!Y45</f>
        <v>0</v>
      </c>
      <c r="AA46" s="138"/>
    </row>
    <row r="47" spans="2:27" ht="12.95" customHeight="1" x14ac:dyDescent="0.2">
      <c r="B47" s="296">
        <f>EXTEMPORANEOS!B46</f>
        <v>0</v>
      </c>
      <c r="C47" s="176">
        <f>EXTEMPORANEOS!C46</f>
        <v>2026101</v>
      </c>
      <c r="D47" s="177">
        <f>EXTEMPORANEOS!D46</f>
        <v>0</v>
      </c>
      <c r="E47" s="178" t="str">
        <f>EXTEMPORANEOS!E46</f>
        <v>23D</v>
      </c>
      <c r="F47" s="175" t="str">
        <f>EXTEMPORANEOS!F46</f>
        <v>Occidente - Directa</v>
      </c>
      <c r="G47" s="183">
        <f>EXTEMPORANEOS!G46</f>
        <v>13</v>
      </c>
      <c r="H47" s="175" t="str">
        <f>EXTEMPORANEOS!H46</f>
        <v>T23 Directa - Transferencias</v>
      </c>
      <c r="I47" s="175">
        <f>EXTEMPORANEOS!I46</f>
        <v>230887267</v>
      </c>
      <c r="J47" s="179">
        <f>EXTEMPORANEOS!J46</f>
        <v>0</v>
      </c>
      <c r="K47" s="179">
        <f>EXTEMPORANEOS!K46</f>
        <v>0</v>
      </c>
      <c r="L47" s="179">
        <f>EXTEMPORANEOS!L46</f>
        <v>0</v>
      </c>
      <c r="M47" s="179">
        <f>EXTEMPORANEOS!M46</f>
        <v>0</v>
      </c>
      <c r="N47" s="179">
        <f>EXTEMPORANEOS!N46</f>
        <v>0</v>
      </c>
      <c r="O47" s="179">
        <f>EXTEMPORANEOS!O46</f>
        <v>0</v>
      </c>
      <c r="P47" s="179">
        <f>EXTEMPORANEOS!P46</f>
        <v>0</v>
      </c>
      <c r="Q47" s="179">
        <f>EXTEMPORANEOS!Q46</f>
        <v>0</v>
      </c>
      <c r="R47" s="179">
        <f>EXTEMPORANEOS!R46</f>
        <v>0</v>
      </c>
      <c r="S47" s="179">
        <f>EXTEMPORANEOS!S46</f>
        <v>0</v>
      </c>
      <c r="T47" s="181">
        <f>EXTEMPORANEOS!T46</f>
        <v>0</v>
      </c>
      <c r="U47" s="182">
        <f>EXTEMPORANEOS!U46</f>
        <v>0</v>
      </c>
      <c r="V47" s="179">
        <f>EXTEMPORANEOS!V46</f>
        <v>0</v>
      </c>
      <c r="W47" s="179">
        <f>EXTEMPORANEOS!W46</f>
        <v>0</v>
      </c>
      <c r="X47" s="182">
        <f>EXTEMPORANEOS!X46</f>
        <v>0</v>
      </c>
      <c r="Y47" s="297">
        <f>EXTEMPORANEOS!Y46</f>
        <v>0</v>
      </c>
      <c r="AA47" s="138"/>
    </row>
    <row r="48" spans="2:27" ht="12.95" customHeight="1" x14ac:dyDescent="0.2">
      <c r="B48" s="296">
        <f>EXTEMPORANEOS!B47</f>
        <v>0</v>
      </c>
      <c r="C48" s="176">
        <f>EXTEMPORANEOS!C47</f>
        <v>2026101</v>
      </c>
      <c r="D48" s="177">
        <f>EXTEMPORANEOS!D47</f>
        <v>0</v>
      </c>
      <c r="E48" s="178" t="str">
        <f>EXTEMPORANEOS!E47</f>
        <v>23D</v>
      </c>
      <c r="F48" s="175" t="str">
        <f>EXTEMPORANEOS!F47</f>
        <v>Occidente - Directa</v>
      </c>
      <c r="G48" s="183">
        <f>EXTEMPORANEOS!G47</f>
        <v>13</v>
      </c>
      <c r="H48" s="175" t="str">
        <f>EXTEMPORANEOS!H47</f>
        <v>T23 Directa - Transferencias</v>
      </c>
      <c r="I48" s="175">
        <f>EXTEMPORANEOS!I47</f>
        <v>230887267</v>
      </c>
      <c r="J48" s="179">
        <f>EXTEMPORANEOS!J47</f>
        <v>0</v>
      </c>
      <c r="K48" s="179">
        <f>EXTEMPORANEOS!K47</f>
        <v>0</v>
      </c>
      <c r="L48" s="179">
        <f>EXTEMPORANEOS!L47</f>
        <v>0</v>
      </c>
      <c r="M48" s="179">
        <f>EXTEMPORANEOS!M47</f>
        <v>0</v>
      </c>
      <c r="N48" s="179">
        <f>EXTEMPORANEOS!N47</f>
        <v>0</v>
      </c>
      <c r="O48" s="179">
        <f>EXTEMPORANEOS!O47</f>
        <v>0</v>
      </c>
      <c r="P48" s="179">
        <f>EXTEMPORANEOS!P47</f>
        <v>0</v>
      </c>
      <c r="Q48" s="179">
        <f>EXTEMPORANEOS!Q47</f>
        <v>0</v>
      </c>
      <c r="R48" s="179">
        <f>EXTEMPORANEOS!R47</f>
        <v>0</v>
      </c>
      <c r="S48" s="179">
        <f>EXTEMPORANEOS!S47</f>
        <v>0</v>
      </c>
      <c r="T48" s="181">
        <f>EXTEMPORANEOS!T47</f>
        <v>0</v>
      </c>
      <c r="U48" s="182">
        <f>EXTEMPORANEOS!U47</f>
        <v>0</v>
      </c>
      <c r="V48" s="179">
        <f>EXTEMPORANEOS!V47</f>
        <v>0</v>
      </c>
      <c r="W48" s="179">
        <f>EXTEMPORANEOS!W47</f>
        <v>0</v>
      </c>
      <c r="X48" s="182">
        <f>EXTEMPORANEOS!X47</f>
        <v>0</v>
      </c>
      <c r="Y48" s="297">
        <f>EXTEMPORANEOS!Y47</f>
        <v>0</v>
      </c>
      <c r="AA48" s="138"/>
    </row>
    <row r="49" spans="1:27" ht="12.95" customHeight="1" x14ac:dyDescent="0.2">
      <c r="B49" s="296">
        <f>EXTEMPORANEOS!B48</f>
        <v>0</v>
      </c>
      <c r="C49" s="176">
        <f>EXTEMPORANEOS!C48</f>
        <v>2026101</v>
      </c>
      <c r="D49" s="177">
        <f>EXTEMPORANEOS!D48</f>
        <v>0</v>
      </c>
      <c r="E49" s="178" t="str">
        <f>EXTEMPORANEOS!E48</f>
        <v>23D</v>
      </c>
      <c r="F49" s="175" t="str">
        <f>EXTEMPORANEOS!F48</f>
        <v>Occidente - Directa</v>
      </c>
      <c r="G49" s="183">
        <f>EXTEMPORANEOS!G48</f>
        <v>13</v>
      </c>
      <c r="H49" s="175" t="str">
        <f>EXTEMPORANEOS!H48</f>
        <v>T23 Directa - Transferencias</v>
      </c>
      <c r="I49" s="175">
        <f>EXTEMPORANEOS!I48</f>
        <v>230887267</v>
      </c>
      <c r="J49" s="179">
        <f>EXTEMPORANEOS!J48</f>
        <v>0</v>
      </c>
      <c r="K49" s="179">
        <f>EXTEMPORANEOS!K48</f>
        <v>0</v>
      </c>
      <c r="L49" s="179">
        <f>EXTEMPORANEOS!L48</f>
        <v>0</v>
      </c>
      <c r="M49" s="179">
        <f>EXTEMPORANEOS!M48</f>
        <v>0</v>
      </c>
      <c r="N49" s="179">
        <f>EXTEMPORANEOS!N48</f>
        <v>0</v>
      </c>
      <c r="O49" s="179">
        <f>EXTEMPORANEOS!O48</f>
        <v>0</v>
      </c>
      <c r="P49" s="179">
        <f>EXTEMPORANEOS!P48</f>
        <v>0</v>
      </c>
      <c r="Q49" s="179">
        <f>EXTEMPORANEOS!Q48</f>
        <v>0</v>
      </c>
      <c r="R49" s="179">
        <f>EXTEMPORANEOS!R48</f>
        <v>0</v>
      </c>
      <c r="S49" s="179">
        <f>EXTEMPORANEOS!S48</f>
        <v>0</v>
      </c>
      <c r="T49" s="181">
        <f>EXTEMPORANEOS!T48</f>
        <v>0</v>
      </c>
      <c r="U49" s="182">
        <f>EXTEMPORANEOS!U48</f>
        <v>0</v>
      </c>
      <c r="V49" s="179">
        <f>EXTEMPORANEOS!V48</f>
        <v>0</v>
      </c>
      <c r="W49" s="179">
        <f>EXTEMPORANEOS!W48</f>
        <v>0</v>
      </c>
      <c r="X49" s="182">
        <f>EXTEMPORANEOS!X48</f>
        <v>0</v>
      </c>
      <c r="Y49" s="297">
        <f>EXTEMPORANEOS!Y48</f>
        <v>0</v>
      </c>
      <c r="AA49" s="138"/>
    </row>
    <row r="50" spans="1:27" ht="12.95" customHeight="1" x14ac:dyDescent="0.2">
      <c r="B50" s="296">
        <f>EXTEMPORANEOS!B49</f>
        <v>0</v>
      </c>
      <c r="C50" s="176">
        <f>EXTEMPORANEOS!C49</f>
        <v>2026101</v>
      </c>
      <c r="D50" s="177">
        <f>EXTEMPORANEOS!D49</f>
        <v>0</v>
      </c>
      <c r="E50" s="178" t="str">
        <f>EXTEMPORANEOS!E49</f>
        <v>23D</v>
      </c>
      <c r="F50" s="175" t="str">
        <f>EXTEMPORANEOS!F49</f>
        <v>Occidente - Directa</v>
      </c>
      <c r="G50" s="183">
        <f>EXTEMPORANEOS!G49</f>
        <v>13</v>
      </c>
      <c r="H50" s="175" t="str">
        <f>EXTEMPORANEOS!H49</f>
        <v>T23 Directa - Transferencias</v>
      </c>
      <c r="I50" s="175">
        <f>EXTEMPORANEOS!I49</f>
        <v>230887267</v>
      </c>
      <c r="J50" s="179">
        <f>EXTEMPORANEOS!J49</f>
        <v>0</v>
      </c>
      <c r="K50" s="179">
        <f>EXTEMPORANEOS!K49</f>
        <v>0</v>
      </c>
      <c r="L50" s="179">
        <f>EXTEMPORANEOS!L49</f>
        <v>0</v>
      </c>
      <c r="M50" s="179">
        <f>EXTEMPORANEOS!M49</f>
        <v>0</v>
      </c>
      <c r="N50" s="179">
        <f>EXTEMPORANEOS!N49</f>
        <v>0</v>
      </c>
      <c r="O50" s="179">
        <f>EXTEMPORANEOS!O49</f>
        <v>0</v>
      </c>
      <c r="P50" s="179">
        <f>EXTEMPORANEOS!P49</f>
        <v>0</v>
      </c>
      <c r="Q50" s="179">
        <f>EXTEMPORANEOS!Q49</f>
        <v>0</v>
      </c>
      <c r="R50" s="179">
        <f>EXTEMPORANEOS!R49</f>
        <v>0</v>
      </c>
      <c r="S50" s="179">
        <f>EXTEMPORANEOS!S49</f>
        <v>0</v>
      </c>
      <c r="T50" s="181">
        <f>EXTEMPORANEOS!T49</f>
        <v>0</v>
      </c>
      <c r="U50" s="182">
        <f>EXTEMPORANEOS!U49</f>
        <v>0</v>
      </c>
      <c r="V50" s="179">
        <f>EXTEMPORANEOS!V49</f>
        <v>0</v>
      </c>
      <c r="W50" s="179">
        <f>EXTEMPORANEOS!W49</f>
        <v>0</v>
      </c>
      <c r="X50" s="182">
        <f>EXTEMPORANEOS!X49</f>
        <v>0</v>
      </c>
      <c r="Y50" s="297">
        <f>EXTEMPORANEOS!Y49</f>
        <v>0</v>
      </c>
      <c r="AA50" s="138"/>
    </row>
    <row r="51" spans="1:27" ht="12.95" customHeight="1" x14ac:dyDescent="0.2">
      <c r="B51" s="296">
        <f>EXTEMPORANEOS!B50</f>
        <v>0</v>
      </c>
      <c r="C51" s="176">
        <f>EXTEMPORANEOS!C50</f>
        <v>2026101</v>
      </c>
      <c r="D51" s="177">
        <f>EXTEMPORANEOS!D50</f>
        <v>0</v>
      </c>
      <c r="E51" s="178" t="str">
        <f>EXTEMPORANEOS!E50</f>
        <v>23D</v>
      </c>
      <c r="F51" s="175" t="str">
        <f>EXTEMPORANEOS!F50</f>
        <v>Occidente - Directa</v>
      </c>
      <c r="G51" s="183">
        <f>EXTEMPORANEOS!G50</f>
        <v>13</v>
      </c>
      <c r="H51" s="175" t="str">
        <f>EXTEMPORANEOS!H50</f>
        <v>T23 Directa - Transferencias</v>
      </c>
      <c r="I51" s="175">
        <f>EXTEMPORANEOS!I50</f>
        <v>230887267</v>
      </c>
      <c r="J51" s="179">
        <f>EXTEMPORANEOS!J50</f>
        <v>0</v>
      </c>
      <c r="K51" s="179">
        <f>EXTEMPORANEOS!K50</f>
        <v>0</v>
      </c>
      <c r="L51" s="179">
        <f>EXTEMPORANEOS!L50</f>
        <v>0</v>
      </c>
      <c r="M51" s="179">
        <f>EXTEMPORANEOS!M50</f>
        <v>0</v>
      </c>
      <c r="N51" s="179">
        <f>EXTEMPORANEOS!N50</f>
        <v>0</v>
      </c>
      <c r="O51" s="179">
        <f>EXTEMPORANEOS!O50</f>
        <v>0</v>
      </c>
      <c r="P51" s="179">
        <f>EXTEMPORANEOS!P50</f>
        <v>0</v>
      </c>
      <c r="Q51" s="179">
        <f>EXTEMPORANEOS!Q50</f>
        <v>0</v>
      </c>
      <c r="R51" s="179">
        <f>EXTEMPORANEOS!R50</f>
        <v>0</v>
      </c>
      <c r="S51" s="179">
        <f>EXTEMPORANEOS!S50</f>
        <v>0</v>
      </c>
      <c r="T51" s="181">
        <f>EXTEMPORANEOS!T50</f>
        <v>0</v>
      </c>
      <c r="U51" s="182">
        <f>EXTEMPORANEOS!U50</f>
        <v>0</v>
      </c>
      <c r="V51" s="179">
        <f>EXTEMPORANEOS!V50</f>
        <v>0</v>
      </c>
      <c r="W51" s="179">
        <f>EXTEMPORANEOS!W50</f>
        <v>0</v>
      </c>
      <c r="X51" s="182">
        <f>EXTEMPORANEOS!X50</f>
        <v>0</v>
      </c>
      <c r="Y51" s="297">
        <f>EXTEMPORANEOS!Y50</f>
        <v>0</v>
      </c>
      <c r="AA51" s="138"/>
    </row>
    <row r="52" spans="1:27" ht="12.95" customHeight="1" x14ac:dyDescent="0.2">
      <c r="B52" s="296">
        <f>EXTEMPORANEOS!B51</f>
        <v>0</v>
      </c>
      <c r="C52" s="176">
        <f>EXTEMPORANEOS!C51</f>
        <v>2026101</v>
      </c>
      <c r="D52" s="177">
        <f>EXTEMPORANEOS!D51</f>
        <v>0</v>
      </c>
      <c r="E52" s="178" t="str">
        <f>EXTEMPORANEOS!E51</f>
        <v>23D</v>
      </c>
      <c r="F52" s="175" t="str">
        <f>EXTEMPORANEOS!F51</f>
        <v>Occidente - Directa</v>
      </c>
      <c r="G52" s="183">
        <f>EXTEMPORANEOS!G51</f>
        <v>13</v>
      </c>
      <c r="H52" s="175" t="str">
        <f>EXTEMPORANEOS!H51</f>
        <v>T23 Directa - Transferencias</v>
      </c>
      <c r="I52" s="175">
        <f>EXTEMPORANEOS!I51</f>
        <v>230887267</v>
      </c>
      <c r="J52" s="179">
        <f>EXTEMPORANEOS!J51</f>
        <v>0</v>
      </c>
      <c r="K52" s="179">
        <f>EXTEMPORANEOS!K51</f>
        <v>0</v>
      </c>
      <c r="L52" s="179">
        <f>EXTEMPORANEOS!L51</f>
        <v>0</v>
      </c>
      <c r="M52" s="179">
        <f>EXTEMPORANEOS!M51</f>
        <v>0</v>
      </c>
      <c r="N52" s="179">
        <f>EXTEMPORANEOS!N51</f>
        <v>0</v>
      </c>
      <c r="O52" s="179">
        <f>EXTEMPORANEOS!O51</f>
        <v>0</v>
      </c>
      <c r="P52" s="179">
        <f>EXTEMPORANEOS!P51</f>
        <v>0</v>
      </c>
      <c r="Q52" s="179">
        <f>EXTEMPORANEOS!Q51</f>
        <v>0</v>
      </c>
      <c r="R52" s="179">
        <f>EXTEMPORANEOS!R51</f>
        <v>0</v>
      </c>
      <c r="S52" s="179">
        <f>EXTEMPORANEOS!S51</f>
        <v>0</v>
      </c>
      <c r="T52" s="181">
        <f>EXTEMPORANEOS!T51</f>
        <v>0</v>
      </c>
      <c r="U52" s="182">
        <f>EXTEMPORANEOS!U51</f>
        <v>0</v>
      </c>
      <c r="V52" s="179">
        <f>EXTEMPORANEOS!V51</f>
        <v>0</v>
      </c>
      <c r="W52" s="179">
        <f>EXTEMPORANEOS!W51</f>
        <v>0</v>
      </c>
      <c r="X52" s="182">
        <f>EXTEMPORANEOS!X51</f>
        <v>0</v>
      </c>
      <c r="Y52" s="297">
        <f>EXTEMPORANEOS!Y51</f>
        <v>0</v>
      </c>
      <c r="AA52" s="138"/>
    </row>
    <row r="53" spans="1:27" ht="12.95" customHeight="1" x14ac:dyDescent="0.2">
      <c r="B53" s="296">
        <f>EXTEMPORANEOS!B52</f>
        <v>0</v>
      </c>
      <c r="C53" s="176">
        <f>EXTEMPORANEOS!C52</f>
        <v>2026101</v>
      </c>
      <c r="D53" s="177">
        <f>EXTEMPORANEOS!D52</f>
        <v>0</v>
      </c>
      <c r="E53" s="178" t="str">
        <f>EXTEMPORANEOS!E52</f>
        <v>23D</v>
      </c>
      <c r="F53" s="175" t="str">
        <f>EXTEMPORANEOS!F52</f>
        <v>Occidente - Directa</v>
      </c>
      <c r="G53" s="183">
        <f>EXTEMPORANEOS!G52</f>
        <v>13</v>
      </c>
      <c r="H53" s="175" t="str">
        <f>EXTEMPORANEOS!H52</f>
        <v>T23 Directa - Transferencias</v>
      </c>
      <c r="I53" s="175">
        <f>EXTEMPORANEOS!I52</f>
        <v>230887267</v>
      </c>
      <c r="J53" s="179">
        <f>EXTEMPORANEOS!J52</f>
        <v>0</v>
      </c>
      <c r="K53" s="179">
        <f>EXTEMPORANEOS!K52</f>
        <v>0</v>
      </c>
      <c r="L53" s="179">
        <f>EXTEMPORANEOS!L52</f>
        <v>0</v>
      </c>
      <c r="M53" s="179">
        <f>EXTEMPORANEOS!M52</f>
        <v>0</v>
      </c>
      <c r="N53" s="179">
        <f>EXTEMPORANEOS!N52</f>
        <v>0</v>
      </c>
      <c r="O53" s="179">
        <f>EXTEMPORANEOS!O52</f>
        <v>0</v>
      </c>
      <c r="P53" s="179">
        <f>EXTEMPORANEOS!P52</f>
        <v>0</v>
      </c>
      <c r="Q53" s="179">
        <f>EXTEMPORANEOS!Q52</f>
        <v>0</v>
      </c>
      <c r="R53" s="179">
        <f>EXTEMPORANEOS!R52</f>
        <v>0</v>
      </c>
      <c r="S53" s="179">
        <f>EXTEMPORANEOS!S52</f>
        <v>0</v>
      </c>
      <c r="T53" s="181">
        <f>EXTEMPORANEOS!T52</f>
        <v>0</v>
      </c>
      <c r="U53" s="182">
        <f>EXTEMPORANEOS!U52</f>
        <v>0</v>
      </c>
      <c r="V53" s="179">
        <f>EXTEMPORANEOS!V52</f>
        <v>0</v>
      </c>
      <c r="W53" s="179">
        <f>EXTEMPORANEOS!W52</f>
        <v>0</v>
      </c>
      <c r="X53" s="182">
        <f>EXTEMPORANEOS!X52</f>
        <v>0</v>
      </c>
      <c r="Y53" s="297">
        <f>EXTEMPORANEOS!Y52</f>
        <v>0</v>
      </c>
      <c r="AA53" s="138"/>
    </row>
    <row r="54" spans="1:27" ht="12.75" x14ac:dyDescent="0.2">
      <c r="B54" s="296">
        <f>EXTEMPORANEOS!B53</f>
        <v>0</v>
      </c>
      <c r="C54" s="176">
        <f>EXTEMPORANEOS!C53</f>
        <v>2026101</v>
      </c>
      <c r="D54" s="177">
        <f>EXTEMPORANEOS!D53</f>
        <v>0</v>
      </c>
      <c r="E54" s="178" t="str">
        <f>EXTEMPORANEOS!E53</f>
        <v>23D</v>
      </c>
      <c r="F54" s="175" t="str">
        <f>EXTEMPORANEOS!F53</f>
        <v>Occidente - Directa</v>
      </c>
      <c r="G54" s="183">
        <f>EXTEMPORANEOS!G53</f>
        <v>13</v>
      </c>
      <c r="H54" s="175" t="str">
        <f>EXTEMPORANEOS!H53</f>
        <v>T23 Directa - Transferencias</v>
      </c>
      <c r="I54" s="175">
        <f>EXTEMPORANEOS!I53</f>
        <v>230887267</v>
      </c>
      <c r="J54" s="179">
        <f>EXTEMPORANEOS!J53</f>
        <v>0</v>
      </c>
      <c r="K54" s="179">
        <f>EXTEMPORANEOS!K53</f>
        <v>0</v>
      </c>
      <c r="L54" s="179">
        <f>EXTEMPORANEOS!L53</f>
        <v>0</v>
      </c>
      <c r="M54" s="179">
        <f>EXTEMPORANEOS!M53</f>
        <v>0</v>
      </c>
      <c r="N54" s="179">
        <f>EXTEMPORANEOS!N53</f>
        <v>0</v>
      </c>
      <c r="O54" s="179">
        <f>EXTEMPORANEOS!O53</f>
        <v>0</v>
      </c>
      <c r="P54" s="179">
        <f>EXTEMPORANEOS!P53</f>
        <v>0</v>
      </c>
      <c r="Q54" s="179">
        <f>EXTEMPORANEOS!Q53</f>
        <v>0</v>
      </c>
      <c r="R54" s="179">
        <f>EXTEMPORANEOS!R53</f>
        <v>0</v>
      </c>
      <c r="S54" s="179">
        <f>EXTEMPORANEOS!S53</f>
        <v>0</v>
      </c>
      <c r="T54" s="181">
        <f>EXTEMPORANEOS!T53</f>
        <v>0</v>
      </c>
      <c r="U54" s="182">
        <f>EXTEMPORANEOS!U53</f>
        <v>0</v>
      </c>
      <c r="V54" s="179">
        <f>EXTEMPORANEOS!V53</f>
        <v>0</v>
      </c>
      <c r="W54" s="179">
        <f>EXTEMPORANEOS!W53</f>
        <v>0</v>
      </c>
      <c r="X54" s="182">
        <f>EXTEMPORANEOS!X53</f>
        <v>0</v>
      </c>
      <c r="Y54" s="297">
        <f>EXTEMPORANEOS!Y53</f>
        <v>0</v>
      </c>
      <c r="AA54" s="138"/>
    </row>
    <row r="55" spans="1:27" ht="12.75" x14ac:dyDescent="0.2">
      <c r="B55" s="296">
        <f>EXTEMPORANEOS!B54</f>
        <v>0</v>
      </c>
      <c r="C55" s="176">
        <f>EXTEMPORANEOS!C54</f>
        <v>2026101</v>
      </c>
      <c r="D55" s="177">
        <f>EXTEMPORANEOS!D54</f>
        <v>0</v>
      </c>
      <c r="E55" s="178" t="str">
        <f>EXTEMPORANEOS!E54</f>
        <v>23D</v>
      </c>
      <c r="F55" s="175" t="str">
        <f>EXTEMPORANEOS!F54</f>
        <v>Occidente - Directa</v>
      </c>
      <c r="G55" s="183">
        <f>EXTEMPORANEOS!G54</f>
        <v>13</v>
      </c>
      <c r="H55" s="175" t="str">
        <f>EXTEMPORANEOS!H54</f>
        <v>T23 Directa - Transferencias</v>
      </c>
      <c r="I55" s="175">
        <f>EXTEMPORANEOS!I54</f>
        <v>230887267</v>
      </c>
      <c r="J55" s="179">
        <f>EXTEMPORANEOS!J54</f>
        <v>0</v>
      </c>
      <c r="K55" s="179">
        <f>EXTEMPORANEOS!K54</f>
        <v>0</v>
      </c>
      <c r="L55" s="179">
        <f>EXTEMPORANEOS!L54</f>
        <v>0</v>
      </c>
      <c r="M55" s="179">
        <f>EXTEMPORANEOS!M54</f>
        <v>0</v>
      </c>
      <c r="N55" s="179">
        <f>EXTEMPORANEOS!N54</f>
        <v>0</v>
      </c>
      <c r="O55" s="179">
        <f>EXTEMPORANEOS!O54</f>
        <v>0</v>
      </c>
      <c r="P55" s="179">
        <f>EXTEMPORANEOS!P54</f>
        <v>0</v>
      </c>
      <c r="Q55" s="179">
        <f>EXTEMPORANEOS!Q54</f>
        <v>0</v>
      </c>
      <c r="R55" s="179">
        <f>EXTEMPORANEOS!R54</f>
        <v>0</v>
      </c>
      <c r="S55" s="179">
        <f>EXTEMPORANEOS!S54</f>
        <v>0</v>
      </c>
      <c r="T55" s="181">
        <f>EXTEMPORANEOS!T54</f>
        <v>0</v>
      </c>
      <c r="U55" s="182">
        <f>EXTEMPORANEOS!U54</f>
        <v>0</v>
      </c>
      <c r="V55" s="179">
        <f>EXTEMPORANEOS!V54</f>
        <v>0</v>
      </c>
      <c r="W55" s="179">
        <f>EXTEMPORANEOS!W54</f>
        <v>0</v>
      </c>
      <c r="X55" s="182">
        <f>EXTEMPORANEOS!X54</f>
        <v>0</v>
      </c>
      <c r="Y55" s="297">
        <f>EXTEMPORANEOS!Y54</f>
        <v>0</v>
      </c>
      <c r="AA55" s="138"/>
    </row>
    <row r="56" spans="1:27" ht="12.95" customHeight="1" x14ac:dyDescent="0.2">
      <c r="B56" s="296">
        <f>EXTEMPORANEOS!B55</f>
        <v>0</v>
      </c>
      <c r="C56" s="176">
        <f>EXTEMPORANEOS!C55</f>
        <v>2026101</v>
      </c>
      <c r="D56" s="177">
        <f>EXTEMPORANEOS!D55</f>
        <v>0</v>
      </c>
      <c r="E56" s="178" t="str">
        <f>EXTEMPORANEOS!E55</f>
        <v>23D</v>
      </c>
      <c r="F56" s="175" t="str">
        <f>EXTEMPORANEOS!F55</f>
        <v>Occidente - Directa</v>
      </c>
      <c r="G56" s="183">
        <f>EXTEMPORANEOS!G55</f>
        <v>13</v>
      </c>
      <c r="H56" s="175" t="str">
        <f>EXTEMPORANEOS!H55</f>
        <v>T23 Directa - Transferencias</v>
      </c>
      <c r="I56" s="175">
        <f>EXTEMPORANEOS!I55</f>
        <v>230887267</v>
      </c>
      <c r="J56" s="179">
        <f>EXTEMPORANEOS!J55</f>
        <v>0</v>
      </c>
      <c r="K56" s="179">
        <f>EXTEMPORANEOS!K55</f>
        <v>0</v>
      </c>
      <c r="L56" s="179">
        <f>EXTEMPORANEOS!L55</f>
        <v>0</v>
      </c>
      <c r="M56" s="179">
        <f>EXTEMPORANEOS!M55</f>
        <v>0</v>
      </c>
      <c r="N56" s="179">
        <f>EXTEMPORANEOS!N55</f>
        <v>0</v>
      </c>
      <c r="O56" s="179">
        <f>EXTEMPORANEOS!O55</f>
        <v>0</v>
      </c>
      <c r="P56" s="179">
        <f>EXTEMPORANEOS!P55</f>
        <v>0</v>
      </c>
      <c r="Q56" s="179">
        <f>EXTEMPORANEOS!Q55</f>
        <v>0</v>
      </c>
      <c r="R56" s="179">
        <f>EXTEMPORANEOS!R55</f>
        <v>0</v>
      </c>
      <c r="S56" s="179">
        <f>EXTEMPORANEOS!S55</f>
        <v>0</v>
      </c>
      <c r="T56" s="181">
        <f>EXTEMPORANEOS!T55</f>
        <v>0</v>
      </c>
      <c r="U56" s="182">
        <f>EXTEMPORANEOS!U55</f>
        <v>0</v>
      </c>
      <c r="V56" s="179">
        <f>EXTEMPORANEOS!V55</f>
        <v>0</v>
      </c>
      <c r="W56" s="179">
        <f>EXTEMPORANEOS!W55</f>
        <v>0</v>
      </c>
      <c r="X56" s="182">
        <f>EXTEMPORANEOS!X55</f>
        <v>0</v>
      </c>
      <c r="Y56" s="297">
        <f>EXTEMPORANEOS!Y55</f>
        <v>0</v>
      </c>
      <c r="AA56" s="138"/>
    </row>
    <row r="57" spans="1:27" ht="12.95" customHeight="1" x14ac:dyDescent="0.2">
      <c r="A57" s="152"/>
      <c r="B57" s="324">
        <f>EXTEMPORANEOS!B56</f>
        <v>0</v>
      </c>
      <c r="C57" s="176">
        <f>EXTEMPORANEOS!C56</f>
        <v>2026101</v>
      </c>
      <c r="D57" s="177">
        <f>EXTEMPORANEOS!D56</f>
        <v>0</v>
      </c>
      <c r="E57" s="178" t="str">
        <f>EXTEMPORANEOS!E56</f>
        <v>23D</v>
      </c>
      <c r="F57" s="175" t="str">
        <f>EXTEMPORANEOS!F56</f>
        <v>Occidente - Directa</v>
      </c>
      <c r="G57" s="183">
        <f>EXTEMPORANEOS!G56</f>
        <v>13</v>
      </c>
      <c r="H57" s="175" t="str">
        <f>EXTEMPORANEOS!H56</f>
        <v>T23 Directa - Transferencias</v>
      </c>
      <c r="I57" s="310">
        <f>EXTEMPORANEOS!I56</f>
        <v>230887267</v>
      </c>
      <c r="J57" s="179">
        <f>EXTEMPORANEOS!J56</f>
        <v>0</v>
      </c>
      <c r="K57" s="179">
        <f>EXTEMPORANEOS!K56</f>
        <v>0</v>
      </c>
      <c r="L57" s="179">
        <f>EXTEMPORANEOS!L56</f>
        <v>0</v>
      </c>
      <c r="M57" s="179">
        <f>EXTEMPORANEOS!M56</f>
        <v>0</v>
      </c>
      <c r="N57" s="179">
        <f>EXTEMPORANEOS!N56</f>
        <v>0</v>
      </c>
      <c r="O57" s="179">
        <f>EXTEMPORANEOS!O56</f>
        <v>0</v>
      </c>
      <c r="P57" s="179">
        <f>EXTEMPORANEOS!P56</f>
        <v>0</v>
      </c>
      <c r="Q57" s="179">
        <f>EXTEMPORANEOS!Q56</f>
        <v>0</v>
      </c>
      <c r="R57" s="179">
        <f>EXTEMPORANEOS!R56</f>
        <v>0</v>
      </c>
      <c r="S57" s="179">
        <f>EXTEMPORANEOS!S56</f>
        <v>0</v>
      </c>
      <c r="T57" s="181">
        <f>EXTEMPORANEOS!T56</f>
        <v>0</v>
      </c>
      <c r="U57" s="182">
        <f>EXTEMPORANEOS!U56</f>
        <v>0</v>
      </c>
      <c r="V57" s="179">
        <f>EXTEMPORANEOS!V56</f>
        <v>0</v>
      </c>
      <c r="W57" s="179">
        <f>EXTEMPORANEOS!W56</f>
        <v>0</v>
      </c>
      <c r="X57" s="182">
        <f>EXTEMPORANEOS!X56</f>
        <v>0</v>
      </c>
      <c r="Y57" s="297">
        <f>EXTEMPORANEOS!Y56</f>
        <v>0</v>
      </c>
      <c r="AA57" s="138"/>
    </row>
    <row r="58" spans="1:27" ht="12.95" customHeight="1" x14ac:dyDescent="0.2">
      <c r="A58" s="152"/>
      <c r="B58" s="324">
        <f>EXTEMPORANEOS!B57</f>
        <v>0</v>
      </c>
      <c r="C58" s="176">
        <f>EXTEMPORANEOS!C57</f>
        <v>2026101</v>
      </c>
      <c r="D58" s="177">
        <f>EXTEMPORANEOS!D57</f>
        <v>0</v>
      </c>
      <c r="E58" s="178" t="str">
        <f>EXTEMPORANEOS!E57</f>
        <v>23D</v>
      </c>
      <c r="F58" s="175" t="str">
        <f>EXTEMPORANEOS!F57</f>
        <v>Occidente - Directa</v>
      </c>
      <c r="G58" s="183">
        <f>EXTEMPORANEOS!G57</f>
        <v>13</v>
      </c>
      <c r="H58" s="175" t="str">
        <f>EXTEMPORANEOS!H57</f>
        <v>T23 Directa - Transferencias</v>
      </c>
      <c r="I58" s="310">
        <f>EXTEMPORANEOS!I57</f>
        <v>230887267</v>
      </c>
      <c r="J58" s="179">
        <f>EXTEMPORANEOS!J57</f>
        <v>0</v>
      </c>
      <c r="K58" s="179">
        <f>EXTEMPORANEOS!K57</f>
        <v>0</v>
      </c>
      <c r="L58" s="179">
        <f>EXTEMPORANEOS!L57</f>
        <v>0</v>
      </c>
      <c r="M58" s="179">
        <f>EXTEMPORANEOS!M57</f>
        <v>0</v>
      </c>
      <c r="N58" s="179">
        <f>EXTEMPORANEOS!N57</f>
        <v>0</v>
      </c>
      <c r="O58" s="179">
        <f>EXTEMPORANEOS!O57</f>
        <v>0</v>
      </c>
      <c r="P58" s="179">
        <f>EXTEMPORANEOS!P57</f>
        <v>0</v>
      </c>
      <c r="Q58" s="179">
        <f>EXTEMPORANEOS!Q57</f>
        <v>0</v>
      </c>
      <c r="R58" s="179">
        <f>EXTEMPORANEOS!R57</f>
        <v>0</v>
      </c>
      <c r="S58" s="179">
        <f>EXTEMPORANEOS!S57</f>
        <v>0</v>
      </c>
      <c r="T58" s="181">
        <f>EXTEMPORANEOS!T57</f>
        <v>0</v>
      </c>
      <c r="U58" s="182">
        <f>EXTEMPORANEOS!U57</f>
        <v>0</v>
      </c>
      <c r="V58" s="179">
        <f>EXTEMPORANEOS!V57</f>
        <v>0</v>
      </c>
      <c r="W58" s="179">
        <f>EXTEMPORANEOS!W57</f>
        <v>0</v>
      </c>
      <c r="X58" s="182">
        <f>EXTEMPORANEOS!X57</f>
        <v>0</v>
      </c>
      <c r="Y58" s="297">
        <f>EXTEMPORANEOS!Y57</f>
        <v>0</v>
      </c>
      <c r="AA58" s="138"/>
    </row>
    <row r="59" spans="1:27" ht="12.95" customHeight="1" x14ac:dyDescent="0.2">
      <c r="A59" s="152"/>
      <c r="B59" s="324">
        <f>EXTEMPORANEOS!B58</f>
        <v>0</v>
      </c>
      <c r="C59" s="176">
        <f>EXTEMPORANEOS!C58</f>
        <v>2026101</v>
      </c>
      <c r="D59" s="177">
        <f>EXTEMPORANEOS!D58</f>
        <v>0</v>
      </c>
      <c r="E59" s="178" t="str">
        <f>EXTEMPORANEOS!E58</f>
        <v>23D</v>
      </c>
      <c r="F59" s="175" t="str">
        <f>EXTEMPORANEOS!F58</f>
        <v>Occidente - Directa</v>
      </c>
      <c r="G59" s="183">
        <f>EXTEMPORANEOS!G58</f>
        <v>13</v>
      </c>
      <c r="H59" s="175" t="str">
        <f>EXTEMPORANEOS!H58</f>
        <v>T23 Directa - Transferencias</v>
      </c>
      <c r="I59" s="310">
        <f>EXTEMPORANEOS!I58</f>
        <v>230887267</v>
      </c>
      <c r="J59" s="179">
        <f>EXTEMPORANEOS!J58</f>
        <v>0</v>
      </c>
      <c r="K59" s="179">
        <f>EXTEMPORANEOS!K58</f>
        <v>0</v>
      </c>
      <c r="L59" s="179">
        <f>EXTEMPORANEOS!L58</f>
        <v>0</v>
      </c>
      <c r="M59" s="179">
        <f>EXTEMPORANEOS!M58</f>
        <v>0</v>
      </c>
      <c r="N59" s="179">
        <f>EXTEMPORANEOS!N58</f>
        <v>0</v>
      </c>
      <c r="O59" s="179">
        <f>EXTEMPORANEOS!O58</f>
        <v>0</v>
      </c>
      <c r="P59" s="179">
        <f>EXTEMPORANEOS!P58</f>
        <v>0</v>
      </c>
      <c r="Q59" s="179">
        <f>EXTEMPORANEOS!Q58</f>
        <v>0</v>
      </c>
      <c r="R59" s="179">
        <f>EXTEMPORANEOS!R58</f>
        <v>0</v>
      </c>
      <c r="S59" s="179">
        <f>EXTEMPORANEOS!S58</f>
        <v>0</v>
      </c>
      <c r="T59" s="181">
        <f>EXTEMPORANEOS!T58</f>
        <v>0</v>
      </c>
      <c r="U59" s="182">
        <f>EXTEMPORANEOS!U58</f>
        <v>0</v>
      </c>
      <c r="V59" s="179">
        <f>EXTEMPORANEOS!V58</f>
        <v>0</v>
      </c>
      <c r="W59" s="179">
        <f>EXTEMPORANEOS!W58</f>
        <v>0</v>
      </c>
      <c r="X59" s="182">
        <f>EXTEMPORANEOS!X58</f>
        <v>0</v>
      </c>
      <c r="Y59" s="297">
        <f>EXTEMPORANEOS!Y58</f>
        <v>0</v>
      </c>
      <c r="AA59" s="138"/>
    </row>
    <row r="60" spans="1:27" ht="12.95" customHeight="1" x14ac:dyDescent="0.2">
      <c r="A60" s="152"/>
      <c r="B60" s="324">
        <f>EXTEMPORANEOS!B54</f>
        <v>0</v>
      </c>
      <c r="C60" s="176">
        <f>EXTEMPORANEOS!C59</f>
        <v>2026101</v>
      </c>
      <c r="D60" s="177">
        <f>EXTEMPORANEOS!D59</f>
        <v>0</v>
      </c>
      <c r="E60" s="178" t="str">
        <f>EXTEMPORANEOS!E59</f>
        <v>23D</v>
      </c>
      <c r="F60" s="175" t="str">
        <f>EXTEMPORANEOS!F59</f>
        <v>Occidente - Directa</v>
      </c>
      <c r="G60" s="183">
        <f>EXTEMPORANEOS!G59</f>
        <v>13</v>
      </c>
      <c r="H60" s="175" t="str">
        <f>EXTEMPORANEOS!H59</f>
        <v>T23 Directa - Transferencias</v>
      </c>
      <c r="I60" s="310">
        <f>EXTEMPORANEOS!I59</f>
        <v>230887267</v>
      </c>
      <c r="J60" s="179">
        <f>EXTEMPORANEOS!J59</f>
        <v>0</v>
      </c>
      <c r="K60" s="179">
        <f>EXTEMPORANEOS!K59</f>
        <v>0</v>
      </c>
      <c r="L60" s="179">
        <f>EXTEMPORANEOS!L59</f>
        <v>0</v>
      </c>
      <c r="M60" s="179">
        <f>EXTEMPORANEOS!M59</f>
        <v>0</v>
      </c>
      <c r="N60" s="179">
        <f>EXTEMPORANEOS!N59</f>
        <v>0</v>
      </c>
      <c r="O60" s="179">
        <f>EXTEMPORANEOS!O59</f>
        <v>0</v>
      </c>
      <c r="P60" s="179">
        <f>EXTEMPORANEOS!P59</f>
        <v>0</v>
      </c>
      <c r="Q60" s="179">
        <f>EXTEMPORANEOS!Q59</f>
        <v>0</v>
      </c>
      <c r="R60" s="179">
        <f>EXTEMPORANEOS!R59</f>
        <v>0</v>
      </c>
      <c r="S60" s="179">
        <f>EXTEMPORANEOS!S59</f>
        <v>0</v>
      </c>
      <c r="T60" s="181">
        <f>EXTEMPORANEOS!T59</f>
        <v>0</v>
      </c>
      <c r="U60" s="182">
        <f>EXTEMPORANEOS!U59</f>
        <v>0</v>
      </c>
      <c r="V60" s="179">
        <f>EXTEMPORANEOS!V59</f>
        <v>0</v>
      </c>
      <c r="W60" s="179">
        <f>EXTEMPORANEOS!W59</f>
        <v>0</v>
      </c>
      <c r="X60" s="182">
        <f>EXTEMPORANEOS!X59</f>
        <v>0</v>
      </c>
      <c r="Y60" s="297">
        <f>EXTEMPORANEOS!Y59</f>
        <v>0</v>
      </c>
      <c r="AA60" s="138"/>
    </row>
    <row r="61" spans="1:27" ht="12.95" customHeight="1" x14ac:dyDescent="0.2">
      <c r="A61" s="152"/>
      <c r="B61" s="324">
        <f>EXTEMPORANEOS!B60</f>
        <v>0</v>
      </c>
      <c r="C61" s="176">
        <f>EXTEMPORANEOS!C60</f>
        <v>2026101</v>
      </c>
      <c r="D61" s="177">
        <f>EXTEMPORANEOS!D60</f>
        <v>0</v>
      </c>
      <c r="E61" s="178" t="str">
        <f>EXTEMPORANEOS!E60</f>
        <v>23D</v>
      </c>
      <c r="F61" s="175" t="str">
        <f>EXTEMPORANEOS!F60</f>
        <v>Occidente - Directa</v>
      </c>
      <c r="G61" s="183">
        <f>EXTEMPORANEOS!G60</f>
        <v>0</v>
      </c>
      <c r="H61" s="175" t="e">
        <f>EXTEMPORANEOS!H60</f>
        <v>#N/A</v>
      </c>
      <c r="I61" s="310">
        <f>EXTEMPORANEOS!I60</f>
        <v>230887267</v>
      </c>
      <c r="J61" s="179">
        <f>EXTEMPORANEOS!J60</f>
        <v>0</v>
      </c>
      <c r="K61" s="179">
        <f>EXTEMPORANEOS!K60</f>
        <v>0</v>
      </c>
      <c r="L61" s="179">
        <f>EXTEMPORANEOS!L60</f>
        <v>0</v>
      </c>
      <c r="M61" s="179">
        <f>EXTEMPORANEOS!M60</f>
        <v>0</v>
      </c>
      <c r="N61" s="179">
        <f>EXTEMPORANEOS!N60</f>
        <v>0</v>
      </c>
      <c r="O61" s="179">
        <f>EXTEMPORANEOS!O60</f>
        <v>0</v>
      </c>
      <c r="P61" s="179">
        <f>EXTEMPORANEOS!P60</f>
        <v>0</v>
      </c>
      <c r="Q61" s="179">
        <f>EXTEMPORANEOS!Q60</f>
        <v>0</v>
      </c>
      <c r="R61" s="179">
        <f>EXTEMPORANEOS!R60</f>
        <v>0</v>
      </c>
      <c r="S61" s="179">
        <f>EXTEMPORANEOS!S60</f>
        <v>0</v>
      </c>
      <c r="T61" s="181">
        <f>EXTEMPORANEOS!T60</f>
        <v>0</v>
      </c>
      <c r="U61" s="182">
        <f>EXTEMPORANEOS!U60</f>
        <v>0</v>
      </c>
      <c r="V61" s="179">
        <f>EXTEMPORANEOS!V60</f>
        <v>0</v>
      </c>
      <c r="W61" s="179">
        <f>EXTEMPORANEOS!W60</f>
        <v>0</v>
      </c>
      <c r="X61" s="182">
        <f>EXTEMPORANEOS!X60</f>
        <v>0</v>
      </c>
      <c r="Y61" s="297">
        <f>EXTEMPORANEOS!Y60</f>
        <v>0</v>
      </c>
      <c r="AA61" s="138"/>
    </row>
    <row r="62" spans="1:27" ht="12.95" customHeight="1" x14ac:dyDescent="0.2">
      <c r="A62" s="152"/>
      <c r="B62" s="324">
        <f>EXTEMPORANEOS!B61</f>
        <v>0</v>
      </c>
      <c r="C62" s="176">
        <f>EXTEMPORANEOS!C61</f>
        <v>2026101</v>
      </c>
      <c r="D62" s="177">
        <f>EXTEMPORANEOS!D61</f>
        <v>0</v>
      </c>
      <c r="E62" s="178" t="str">
        <f>EXTEMPORANEOS!E61</f>
        <v>23D</v>
      </c>
      <c r="F62" s="175" t="str">
        <f>EXTEMPORANEOS!F61</f>
        <v>Occidente - Directa</v>
      </c>
      <c r="G62" s="183">
        <f>EXTEMPORANEOS!G61</f>
        <v>0</v>
      </c>
      <c r="H62" s="175" t="e">
        <f>EXTEMPORANEOS!H61</f>
        <v>#N/A</v>
      </c>
      <c r="I62" s="310">
        <f>EXTEMPORANEOS!I61</f>
        <v>230887267</v>
      </c>
      <c r="J62" s="179">
        <f>EXTEMPORANEOS!J61</f>
        <v>0</v>
      </c>
      <c r="K62" s="179">
        <f>EXTEMPORANEOS!K61</f>
        <v>0</v>
      </c>
      <c r="L62" s="179">
        <f>EXTEMPORANEOS!L61</f>
        <v>0</v>
      </c>
      <c r="M62" s="179">
        <f>EXTEMPORANEOS!M61</f>
        <v>0</v>
      </c>
      <c r="N62" s="179">
        <f>EXTEMPORANEOS!N61</f>
        <v>0</v>
      </c>
      <c r="O62" s="179">
        <f>EXTEMPORANEOS!O61</f>
        <v>0</v>
      </c>
      <c r="P62" s="179">
        <f>EXTEMPORANEOS!P61</f>
        <v>0</v>
      </c>
      <c r="Q62" s="179">
        <f>EXTEMPORANEOS!Q61</f>
        <v>0</v>
      </c>
      <c r="R62" s="179">
        <f>EXTEMPORANEOS!R61</f>
        <v>0</v>
      </c>
      <c r="S62" s="179">
        <f>EXTEMPORANEOS!S61</f>
        <v>0</v>
      </c>
      <c r="T62" s="181">
        <f>EXTEMPORANEOS!T61</f>
        <v>0</v>
      </c>
      <c r="U62" s="182">
        <f>EXTEMPORANEOS!U61</f>
        <v>0</v>
      </c>
      <c r="V62" s="179">
        <f>EXTEMPORANEOS!V61</f>
        <v>0</v>
      </c>
      <c r="W62" s="179">
        <f>EXTEMPORANEOS!W61</f>
        <v>0</v>
      </c>
      <c r="X62" s="182">
        <f>EXTEMPORANEOS!X61</f>
        <v>0</v>
      </c>
      <c r="Y62" s="297">
        <f>EXTEMPORANEOS!Y61</f>
        <v>0</v>
      </c>
      <c r="AA62" s="138"/>
    </row>
    <row r="63" spans="1:27" ht="12.95" customHeight="1" x14ac:dyDescent="0.2">
      <c r="A63" s="152"/>
      <c r="B63" s="324">
        <f>EXTEMPORANEOS!B62</f>
        <v>0</v>
      </c>
      <c r="C63" s="176">
        <f>EXTEMPORANEOS!C62</f>
        <v>2026101</v>
      </c>
      <c r="D63" s="177">
        <f>EXTEMPORANEOS!D62</f>
        <v>0</v>
      </c>
      <c r="E63" s="178" t="str">
        <f>EXTEMPORANEOS!E62</f>
        <v>23D</v>
      </c>
      <c r="F63" s="175" t="str">
        <f>EXTEMPORANEOS!F62</f>
        <v>Occidente - Directa</v>
      </c>
      <c r="G63" s="183">
        <f>EXTEMPORANEOS!G62</f>
        <v>0</v>
      </c>
      <c r="H63" s="175" t="e">
        <f>EXTEMPORANEOS!H62</f>
        <v>#N/A</v>
      </c>
      <c r="I63" s="310">
        <f>EXTEMPORANEOS!I62</f>
        <v>230887267</v>
      </c>
      <c r="J63" s="179">
        <f>EXTEMPORANEOS!J62</f>
        <v>0</v>
      </c>
      <c r="K63" s="179">
        <f>EXTEMPORANEOS!K62</f>
        <v>0</v>
      </c>
      <c r="L63" s="179">
        <f>EXTEMPORANEOS!L62</f>
        <v>0</v>
      </c>
      <c r="M63" s="179">
        <f>EXTEMPORANEOS!M62</f>
        <v>0</v>
      </c>
      <c r="N63" s="179">
        <f>EXTEMPORANEOS!N62</f>
        <v>0</v>
      </c>
      <c r="O63" s="179">
        <f>EXTEMPORANEOS!O62</f>
        <v>0</v>
      </c>
      <c r="P63" s="179">
        <f>EXTEMPORANEOS!P62</f>
        <v>0</v>
      </c>
      <c r="Q63" s="179">
        <f>EXTEMPORANEOS!Q62</f>
        <v>0</v>
      </c>
      <c r="R63" s="179">
        <f>EXTEMPORANEOS!R62</f>
        <v>0</v>
      </c>
      <c r="S63" s="179">
        <f>EXTEMPORANEOS!S62</f>
        <v>0</v>
      </c>
      <c r="T63" s="181">
        <f>EXTEMPORANEOS!T62</f>
        <v>0</v>
      </c>
      <c r="U63" s="182">
        <f>EXTEMPORANEOS!U62</f>
        <v>0</v>
      </c>
      <c r="V63" s="179">
        <f>EXTEMPORANEOS!V62</f>
        <v>0</v>
      </c>
      <c r="W63" s="179">
        <f>EXTEMPORANEOS!W62</f>
        <v>0</v>
      </c>
      <c r="X63" s="182">
        <f>EXTEMPORANEOS!X62</f>
        <v>0</v>
      </c>
      <c r="Y63" s="297">
        <f>EXTEMPORANEOS!Y62</f>
        <v>0</v>
      </c>
      <c r="AA63" s="138"/>
    </row>
    <row r="64" spans="1:27" ht="12.95" customHeight="1" x14ac:dyDescent="0.2">
      <c r="A64" s="152"/>
      <c r="B64" s="324">
        <f>EXTEMPORANEOS!B63</f>
        <v>0</v>
      </c>
      <c r="C64" s="176">
        <f>EXTEMPORANEOS!C63</f>
        <v>2026101</v>
      </c>
      <c r="D64" s="177">
        <f>EXTEMPORANEOS!D63</f>
        <v>0</v>
      </c>
      <c r="E64" s="178" t="str">
        <f>EXTEMPORANEOS!E63</f>
        <v>23D</v>
      </c>
      <c r="F64" s="175" t="str">
        <f>EXTEMPORANEOS!F63</f>
        <v>Occidente - Directa</v>
      </c>
      <c r="G64" s="183">
        <f>EXTEMPORANEOS!G63</f>
        <v>0</v>
      </c>
      <c r="H64" s="175" t="e">
        <f>EXTEMPORANEOS!H63</f>
        <v>#N/A</v>
      </c>
      <c r="I64" s="310">
        <f>EXTEMPORANEOS!I63</f>
        <v>230887267</v>
      </c>
      <c r="J64" s="179">
        <f>EXTEMPORANEOS!J63</f>
        <v>0</v>
      </c>
      <c r="K64" s="179">
        <f>EXTEMPORANEOS!K63</f>
        <v>0</v>
      </c>
      <c r="L64" s="179">
        <f>EXTEMPORANEOS!L63</f>
        <v>0</v>
      </c>
      <c r="M64" s="179">
        <f>EXTEMPORANEOS!M63</f>
        <v>0</v>
      </c>
      <c r="N64" s="179">
        <f>EXTEMPORANEOS!N63</f>
        <v>0</v>
      </c>
      <c r="O64" s="179">
        <f>EXTEMPORANEOS!O63</f>
        <v>0</v>
      </c>
      <c r="P64" s="179">
        <f>EXTEMPORANEOS!P63</f>
        <v>0</v>
      </c>
      <c r="Q64" s="179">
        <f>EXTEMPORANEOS!Q63</f>
        <v>0</v>
      </c>
      <c r="R64" s="179">
        <f>EXTEMPORANEOS!R63</f>
        <v>0</v>
      </c>
      <c r="S64" s="179">
        <f>EXTEMPORANEOS!S63</f>
        <v>0</v>
      </c>
      <c r="T64" s="181">
        <f>EXTEMPORANEOS!T63</f>
        <v>0</v>
      </c>
      <c r="U64" s="182">
        <f>EXTEMPORANEOS!U63</f>
        <v>0</v>
      </c>
      <c r="V64" s="179">
        <f>EXTEMPORANEOS!V63</f>
        <v>0</v>
      </c>
      <c r="W64" s="179">
        <f>EXTEMPORANEOS!W63</f>
        <v>0</v>
      </c>
      <c r="X64" s="182">
        <f>EXTEMPORANEOS!X63</f>
        <v>0</v>
      </c>
      <c r="Y64" s="297">
        <f>EXTEMPORANEOS!Y63</f>
        <v>0</v>
      </c>
      <c r="AA64" s="138"/>
    </row>
    <row r="65" spans="1:27" ht="12.95" customHeight="1" x14ac:dyDescent="0.2">
      <c r="A65" s="152"/>
      <c r="B65" s="324">
        <f>EXTEMPORANEOS!B64</f>
        <v>0</v>
      </c>
      <c r="C65" s="176">
        <f>EXTEMPORANEOS!C64</f>
        <v>2026101</v>
      </c>
      <c r="D65" s="177">
        <f>EXTEMPORANEOS!D64</f>
        <v>0</v>
      </c>
      <c r="E65" s="178" t="str">
        <f>EXTEMPORANEOS!E64</f>
        <v>23D</v>
      </c>
      <c r="F65" s="175" t="str">
        <f>EXTEMPORANEOS!F64</f>
        <v>Occidente - Directa</v>
      </c>
      <c r="G65" s="183">
        <f>EXTEMPORANEOS!G64</f>
        <v>0</v>
      </c>
      <c r="H65" s="175" t="e">
        <f>EXTEMPORANEOS!H64</f>
        <v>#N/A</v>
      </c>
      <c r="I65" s="310">
        <f>EXTEMPORANEOS!I64</f>
        <v>230887267</v>
      </c>
      <c r="J65" s="179">
        <f>EXTEMPORANEOS!J64</f>
        <v>0</v>
      </c>
      <c r="K65" s="179">
        <f>EXTEMPORANEOS!K64</f>
        <v>0</v>
      </c>
      <c r="L65" s="179">
        <f>EXTEMPORANEOS!L64</f>
        <v>0</v>
      </c>
      <c r="M65" s="179">
        <f>EXTEMPORANEOS!M64</f>
        <v>0</v>
      </c>
      <c r="N65" s="179">
        <f>EXTEMPORANEOS!N64</f>
        <v>0</v>
      </c>
      <c r="O65" s="179">
        <f>EXTEMPORANEOS!O64</f>
        <v>0</v>
      </c>
      <c r="P65" s="179">
        <f>EXTEMPORANEOS!P64</f>
        <v>0</v>
      </c>
      <c r="Q65" s="179">
        <f>EXTEMPORANEOS!Q64</f>
        <v>0</v>
      </c>
      <c r="R65" s="179">
        <f>EXTEMPORANEOS!R64</f>
        <v>0</v>
      </c>
      <c r="S65" s="179">
        <f>EXTEMPORANEOS!S64</f>
        <v>0</v>
      </c>
      <c r="T65" s="181">
        <f>EXTEMPORANEOS!T64</f>
        <v>0</v>
      </c>
      <c r="U65" s="182">
        <f>EXTEMPORANEOS!U64</f>
        <v>0</v>
      </c>
      <c r="V65" s="179">
        <f>EXTEMPORANEOS!V64</f>
        <v>0</v>
      </c>
      <c r="W65" s="179">
        <f>EXTEMPORANEOS!W64</f>
        <v>0</v>
      </c>
      <c r="X65" s="182">
        <f>EXTEMPORANEOS!X64</f>
        <v>0</v>
      </c>
      <c r="Y65" s="297">
        <f>EXTEMPORANEOS!Y64</f>
        <v>0</v>
      </c>
      <c r="AA65" s="138"/>
    </row>
    <row r="66" spans="1:27" ht="12.95" customHeight="1" x14ac:dyDescent="0.2">
      <c r="A66" s="152"/>
      <c r="B66" s="324">
        <f>EXTEMPORANEOS!B65</f>
        <v>0</v>
      </c>
      <c r="C66" s="176">
        <f>EXTEMPORANEOS!C65</f>
        <v>2026101</v>
      </c>
      <c r="D66" s="177">
        <f>EXTEMPORANEOS!D65</f>
        <v>0</v>
      </c>
      <c r="E66" s="178" t="str">
        <f>EXTEMPORANEOS!E65</f>
        <v>23D</v>
      </c>
      <c r="F66" s="175" t="str">
        <f>EXTEMPORANEOS!F65</f>
        <v>Occidente - Directa</v>
      </c>
      <c r="G66" s="183">
        <f>EXTEMPORANEOS!G65</f>
        <v>0</v>
      </c>
      <c r="H66" s="175" t="e">
        <f>EXTEMPORANEOS!H65</f>
        <v>#N/A</v>
      </c>
      <c r="I66" s="310">
        <f>EXTEMPORANEOS!I65</f>
        <v>230887267</v>
      </c>
      <c r="J66" s="179">
        <f>EXTEMPORANEOS!J65</f>
        <v>0</v>
      </c>
      <c r="K66" s="179">
        <f>EXTEMPORANEOS!K65</f>
        <v>0</v>
      </c>
      <c r="L66" s="179">
        <f>EXTEMPORANEOS!L65</f>
        <v>0</v>
      </c>
      <c r="M66" s="179">
        <f>EXTEMPORANEOS!M65</f>
        <v>0</v>
      </c>
      <c r="N66" s="179">
        <f>EXTEMPORANEOS!N65</f>
        <v>0</v>
      </c>
      <c r="O66" s="179">
        <f>EXTEMPORANEOS!O65</f>
        <v>0</v>
      </c>
      <c r="P66" s="179">
        <f>EXTEMPORANEOS!P65</f>
        <v>0</v>
      </c>
      <c r="Q66" s="179">
        <f>EXTEMPORANEOS!Q65</f>
        <v>0</v>
      </c>
      <c r="R66" s="179">
        <f>EXTEMPORANEOS!R65</f>
        <v>0</v>
      </c>
      <c r="S66" s="179">
        <f>EXTEMPORANEOS!S65</f>
        <v>0</v>
      </c>
      <c r="T66" s="181">
        <f>EXTEMPORANEOS!T65</f>
        <v>0</v>
      </c>
      <c r="U66" s="182">
        <f>EXTEMPORANEOS!U65</f>
        <v>0</v>
      </c>
      <c r="V66" s="179">
        <f>EXTEMPORANEOS!V65</f>
        <v>0</v>
      </c>
      <c r="W66" s="179">
        <f>EXTEMPORANEOS!W65</f>
        <v>0</v>
      </c>
      <c r="X66" s="182">
        <f>EXTEMPORANEOS!X65</f>
        <v>0</v>
      </c>
      <c r="Y66" s="297">
        <f>EXTEMPORANEOS!Y65</f>
        <v>0</v>
      </c>
      <c r="AA66" s="138"/>
    </row>
    <row r="67" spans="1:27" ht="12.95" customHeight="1" x14ac:dyDescent="0.2">
      <c r="A67" s="152"/>
      <c r="B67" s="324">
        <f>EXTEMPORANEOS!B66</f>
        <v>0</v>
      </c>
      <c r="C67" s="176">
        <f>EXTEMPORANEOS!C66</f>
        <v>2026101</v>
      </c>
      <c r="D67" s="177">
        <f>EXTEMPORANEOS!D66</f>
        <v>0</v>
      </c>
      <c r="E67" s="178" t="str">
        <f>EXTEMPORANEOS!E66</f>
        <v>23D</v>
      </c>
      <c r="F67" s="175" t="str">
        <f>EXTEMPORANEOS!F66</f>
        <v>Occidente - Directa</v>
      </c>
      <c r="G67" s="183">
        <f>EXTEMPORANEOS!G66</f>
        <v>0</v>
      </c>
      <c r="H67" s="175" t="e">
        <f>EXTEMPORANEOS!H66</f>
        <v>#N/A</v>
      </c>
      <c r="I67" s="310">
        <f>EXTEMPORANEOS!I66</f>
        <v>230887267</v>
      </c>
      <c r="J67" s="179">
        <f>EXTEMPORANEOS!J66</f>
        <v>0</v>
      </c>
      <c r="K67" s="179">
        <f>EXTEMPORANEOS!K66</f>
        <v>0</v>
      </c>
      <c r="L67" s="179">
        <f>EXTEMPORANEOS!L66</f>
        <v>0</v>
      </c>
      <c r="M67" s="179">
        <f>EXTEMPORANEOS!M66</f>
        <v>0</v>
      </c>
      <c r="N67" s="179">
        <f>EXTEMPORANEOS!N66</f>
        <v>0</v>
      </c>
      <c r="O67" s="179">
        <f>EXTEMPORANEOS!O66</f>
        <v>0</v>
      </c>
      <c r="P67" s="179">
        <f>EXTEMPORANEOS!P66</f>
        <v>0</v>
      </c>
      <c r="Q67" s="179">
        <f>EXTEMPORANEOS!Q66</f>
        <v>0</v>
      </c>
      <c r="R67" s="179">
        <f>EXTEMPORANEOS!R66</f>
        <v>0</v>
      </c>
      <c r="S67" s="179">
        <f>EXTEMPORANEOS!S66</f>
        <v>0</v>
      </c>
      <c r="T67" s="181">
        <f>EXTEMPORANEOS!T66</f>
        <v>0</v>
      </c>
      <c r="U67" s="182">
        <f>EXTEMPORANEOS!U66</f>
        <v>0</v>
      </c>
      <c r="V67" s="179">
        <f>EXTEMPORANEOS!V66</f>
        <v>0</v>
      </c>
      <c r="W67" s="179">
        <f>EXTEMPORANEOS!W66</f>
        <v>0</v>
      </c>
      <c r="X67" s="182">
        <f>EXTEMPORANEOS!X66</f>
        <v>0</v>
      </c>
      <c r="Y67" s="297">
        <f>EXTEMPORANEOS!Y66</f>
        <v>0</v>
      </c>
      <c r="AA67" s="138"/>
    </row>
    <row r="68" spans="1:27" ht="12.95" customHeight="1" x14ac:dyDescent="0.2">
      <c r="A68" s="152"/>
      <c r="B68" s="324">
        <f>EXTEMPORANEOS!B67</f>
        <v>0</v>
      </c>
      <c r="C68" s="176">
        <f>EXTEMPORANEOS!C67</f>
        <v>2026101</v>
      </c>
      <c r="D68" s="177">
        <f>EXTEMPORANEOS!D67</f>
        <v>0</v>
      </c>
      <c r="E68" s="178" t="str">
        <f>EXTEMPORANEOS!E67</f>
        <v>23D</v>
      </c>
      <c r="F68" s="175" t="str">
        <f>EXTEMPORANEOS!F67</f>
        <v>Occidente - Directa</v>
      </c>
      <c r="G68" s="183">
        <f>EXTEMPORANEOS!G67</f>
        <v>0</v>
      </c>
      <c r="H68" s="175" t="e">
        <f>EXTEMPORANEOS!H67</f>
        <v>#N/A</v>
      </c>
      <c r="I68" s="310">
        <f>EXTEMPORANEOS!I67</f>
        <v>230887267</v>
      </c>
      <c r="J68" s="179">
        <f>EXTEMPORANEOS!J67</f>
        <v>0</v>
      </c>
      <c r="K68" s="179">
        <f>EXTEMPORANEOS!K67</f>
        <v>0</v>
      </c>
      <c r="L68" s="179">
        <f>EXTEMPORANEOS!L67</f>
        <v>0</v>
      </c>
      <c r="M68" s="179">
        <f>EXTEMPORANEOS!M67</f>
        <v>0</v>
      </c>
      <c r="N68" s="179">
        <f>EXTEMPORANEOS!N67</f>
        <v>0</v>
      </c>
      <c r="O68" s="179">
        <f>EXTEMPORANEOS!O67</f>
        <v>0</v>
      </c>
      <c r="P68" s="179">
        <f>EXTEMPORANEOS!P67</f>
        <v>0</v>
      </c>
      <c r="Q68" s="179">
        <f>EXTEMPORANEOS!Q67</f>
        <v>0</v>
      </c>
      <c r="R68" s="179">
        <f>EXTEMPORANEOS!R67</f>
        <v>0</v>
      </c>
      <c r="S68" s="179">
        <f>EXTEMPORANEOS!S67</f>
        <v>0</v>
      </c>
      <c r="T68" s="181">
        <f>EXTEMPORANEOS!T67</f>
        <v>0</v>
      </c>
      <c r="U68" s="182">
        <f>EXTEMPORANEOS!U67</f>
        <v>0</v>
      </c>
      <c r="V68" s="179">
        <f>EXTEMPORANEOS!V67</f>
        <v>0</v>
      </c>
      <c r="W68" s="179">
        <f>EXTEMPORANEOS!W67</f>
        <v>0</v>
      </c>
      <c r="X68" s="182">
        <f>EXTEMPORANEOS!X67</f>
        <v>0</v>
      </c>
      <c r="Y68" s="297">
        <f>EXTEMPORANEOS!Y67</f>
        <v>0</v>
      </c>
      <c r="AA68" s="138"/>
    </row>
    <row r="69" spans="1:27" ht="12.95" customHeight="1" x14ac:dyDescent="0.2">
      <c r="A69" s="152"/>
      <c r="B69" s="324">
        <f>EXTEMPORANEOS!B68</f>
        <v>0</v>
      </c>
      <c r="C69" s="176">
        <f>EXTEMPORANEOS!C68</f>
        <v>2026101</v>
      </c>
      <c r="D69" s="177">
        <f>EXTEMPORANEOS!D68</f>
        <v>0</v>
      </c>
      <c r="E69" s="178" t="str">
        <f>EXTEMPORANEOS!E68</f>
        <v>23D</v>
      </c>
      <c r="F69" s="175" t="str">
        <f>EXTEMPORANEOS!F68</f>
        <v>Occidente - Directa</v>
      </c>
      <c r="G69" s="183">
        <f>EXTEMPORANEOS!G68</f>
        <v>0</v>
      </c>
      <c r="H69" s="175" t="e">
        <f>EXTEMPORANEOS!H68</f>
        <v>#N/A</v>
      </c>
      <c r="I69" s="310">
        <f>EXTEMPORANEOS!I68</f>
        <v>230887267</v>
      </c>
      <c r="J69" s="179">
        <f>EXTEMPORANEOS!J68</f>
        <v>0</v>
      </c>
      <c r="K69" s="179">
        <f>EXTEMPORANEOS!K68</f>
        <v>0</v>
      </c>
      <c r="L69" s="179">
        <f>EXTEMPORANEOS!L68</f>
        <v>0</v>
      </c>
      <c r="M69" s="179">
        <f>EXTEMPORANEOS!M68</f>
        <v>0</v>
      </c>
      <c r="N69" s="179">
        <f>EXTEMPORANEOS!N68</f>
        <v>0</v>
      </c>
      <c r="O69" s="179">
        <f>EXTEMPORANEOS!O68</f>
        <v>0</v>
      </c>
      <c r="P69" s="179">
        <f>EXTEMPORANEOS!P68</f>
        <v>0</v>
      </c>
      <c r="Q69" s="179">
        <f>EXTEMPORANEOS!Q68</f>
        <v>0</v>
      </c>
      <c r="R69" s="179">
        <f>EXTEMPORANEOS!R68</f>
        <v>0</v>
      </c>
      <c r="S69" s="179">
        <f>EXTEMPORANEOS!S68</f>
        <v>0</v>
      </c>
      <c r="T69" s="181">
        <f>EXTEMPORANEOS!T68</f>
        <v>0</v>
      </c>
      <c r="U69" s="182">
        <f>EXTEMPORANEOS!U68</f>
        <v>0</v>
      </c>
      <c r="V69" s="179">
        <f>EXTEMPORANEOS!V68</f>
        <v>0</v>
      </c>
      <c r="W69" s="179">
        <f>EXTEMPORANEOS!W68</f>
        <v>0</v>
      </c>
      <c r="X69" s="182">
        <f>EXTEMPORANEOS!X68</f>
        <v>0</v>
      </c>
      <c r="Y69" s="297">
        <f>EXTEMPORANEOS!Y68</f>
        <v>0</v>
      </c>
      <c r="AA69" s="138"/>
    </row>
    <row r="70" spans="1:27" ht="12.95" customHeight="1" x14ac:dyDescent="0.2">
      <c r="A70" s="152"/>
      <c r="B70" s="324">
        <f>EXTEMPORANEOS!B69</f>
        <v>0</v>
      </c>
      <c r="C70" s="176">
        <f>EXTEMPORANEOS!C69</f>
        <v>2026101</v>
      </c>
      <c r="D70" s="177">
        <f>EXTEMPORANEOS!D69</f>
        <v>0</v>
      </c>
      <c r="E70" s="178" t="str">
        <f>EXTEMPORANEOS!E69</f>
        <v>23D</v>
      </c>
      <c r="F70" s="175" t="str">
        <f>EXTEMPORANEOS!F69</f>
        <v>Occidente - Directa</v>
      </c>
      <c r="G70" s="183">
        <f>EXTEMPORANEOS!G69</f>
        <v>0</v>
      </c>
      <c r="H70" s="175" t="e">
        <f>EXTEMPORANEOS!H69</f>
        <v>#N/A</v>
      </c>
      <c r="I70" s="310">
        <f>EXTEMPORANEOS!I69</f>
        <v>230887267</v>
      </c>
      <c r="J70" s="179">
        <f>EXTEMPORANEOS!J69</f>
        <v>0</v>
      </c>
      <c r="K70" s="179">
        <f>EXTEMPORANEOS!K69</f>
        <v>0</v>
      </c>
      <c r="L70" s="179">
        <f>EXTEMPORANEOS!L69</f>
        <v>0</v>
      </c>
      <c r="M70" s="179">
        <f>EXTEMPORANEOS!M69</f>
        <v>0</v>
      </c>
      <c r="N70" s="179">
        <f>EXTEMPORANEOS!N69</f>
        <v>0</v>
      </c>
      <c r="O70" s="179">
        <f>EXTEMPORANEOS!O69</f>
        <v>0</v>
      </c>
      <c r="P70" s="179">
        <f>EXTEMPORANEOS!P69</f>
        <v>0</v>
      </c>
      <c r="Q70" s="179">
        <f>EXTEMPORANEOS!Q69</f>
        <v>0</v>
      </c>
      <c r="R70" s="179">
        <f>EXTEMPORANEOS!R69</f>
        <v>0</v>
      </c>
      <c r="S70" s="179">
        <f>EXTEMPORANEOS!S69</f>
        <v>0</v>
      </c>
      <c r="T70" s="181">
        <f>EXTEMPORANEOS!T69</f>
        <v>0</v>
      </c>
      <c r="U70" s="182">
        <f>EXTEMPORANEOS!U69</f>
        <v>0</v>
      </c>
      <c r="V70" s="179">
        <f>EXTEMPORANEOS!V69</f>
        <v>0</v>
      </c>
      <c r="W70" s="179">
        <f>EXTEMPORANEOS!W69</f>
        <v>0</v>
      </c>
      <c r="X70" s="182">
        <f>EXTEMPORANEOS!X69</f>
        <v>0</v>
      </c>
      <c r="Y70" s="297">
        <f>EXTEMPORANEOS!Y69</f>
        <v>0</v>
      </c>
      <c r="AA70" s="138"/>
    </row>
    <row r="71" spans="1:27" ht="12.95" customHeight="1" x14ac:dyDescent="0.2">
      <c r="A71" s="152"/>
      <c r="B71" s="324">
        <f>EXTEMPORANEOS!B70</f>
        <v>0</v>
      </c>
      <c r="C71" s="176">
        <f>EXTEMPORANEOS!C70</f>
        <v>2026101</v>
      </c>
      <c r="D71" s="177">
        <f>EXTEMPORANEOS!D70</f>
        <v>0</v>
      </c>
      <c r="E71" s="178" t="str">
        <f>EXTEMPORANEOS!E70</f>
        <v>23D</v>
      </c>
      <c r="F71" s="175" t="str">
        <f>EXTEMPORANEOS!F70</f>
        <v>Occidente - Directa</v>
      </c>
      <c r="G71" s="183">
        <f>EXTEMPORANEOS!G70</f>
        <v>0</v>
      </c>
      <c r="H71" s="175" t="e">
        <f>EXTEMPORANEOS!H70</f>
        <v>#N/A</v>
      </c>
      <c r="I71" s="310">
        <f>EXTEMPORANEOS!I70</f>
        <v>230887267</v>
      </c>
      <c r="J71" s="179">
        <f>EXTEMPORANEOS!J70</f>
        <v>0</v>
      </c>
      <c r="K71" s="179">
        <f>EXTEMPORANEOS!K70</f>
        <v>0</v>
      </c>
      <c r="L71" s="179">
        <f>EXTEMPORANEOS!L70</f>
        <v>0</v>
      </c>
      <c r="M71" s="179">
        <f>EXTEMPORANEOS!M70</f>
        <v>0</v>
      </c>
      <c r="N71" s="179">
        <f>EXTEMPORANEOS!N70</f>
        <v>0</v>
      </c>
      <c r="O71" s="179">
        <f>EXTEMPORANEOS!O70</f>
        <v>0</v>
      </c>
      <c r="P71" s="179">
        <f>EXTEMPORANEOS!P70</f>
        <v>0</v>
      </c>
      <c r="Q71" s="179">
        <f>EXTEMPORANEOS!Q70</f>
        <v>0</v>
      </c>
      <c r="R71" s="179">
        <f>EXTEMPORANEOS!R70</f>
        <v>0</v>
      </c>
      <c r="S71" s="179">
        <f>EXTEMPORANEOS!S70</f>
        <v>0</v>
      </c>
      <c r="T71" s="181">
        <f>EXTEMPORANEOS!T70</f>
        <v>0</v>
      </c>
      <c r="U71" s="182">
        <f>EXTEMPORANEOS!U70</f>
        <v>0</v>
      </c>
      <c r="V71" s="179">
        <f>EXTEMPORANEOS!V70</f>
        <v>0</v>
      </c>
      <c r="W71" s="179">
        <f>EXTEMPORANEOS!W70</f>
        <v>0</v>
      </c>
      <c r="X71" s="182">
        <f>EXTEMPORANEOS!X70</f>
        <v>0</v>
      </c>
      <c r="Y71" s="297">
        <f>EXTEMPORANEOS!Y70</f>
        <v>0</v>
      </c>
      <c r="AA71" s="138"/>
    </row>
    <row r="72" spans="1:27" ht="12.95" customHeight="1" x14ac:dyDescent="0.2">
      <c r="A72" s="152"/>
      <c r="B72" s="324">
        <f>EXTEMPORANEOS!B71</f>
        <v>0</v>
      </c>
      <c r="C72" s="176">
        <f>EXTEMPORANEOS!C71</f>
        <v>2026101</v>
      </c>
      <c r="D72" s="177">
        <f>EXTEMPORANEOS!D71</f>
        <v>0</v>
      </c>
      <c r="E72" s="178" t="str">
        <f>EXTEMPORANEOS!E71</f>
        <v>23D</v>
      </c>
      <c r="F72" s="175" t="str">
        <f>EXTEMPORANEOS!F71</f>
        <v>Occidente - Directa</v>
      </c>
      <c r="G72" s="183">
        <f>EXTEMPORANEOS!G71</f>
        <v>0</v>
      </c>
      <c r="H72" s="175" t="e">
        <f>EXTEMPORANEOS!H71</f>
        <v>#N/A</v>
      </c>
      <c r="I72" s="310">
        <f>EXTEMPORANEOS!I71</f>
        <v>230887267</v>
      </c>
      <c r="J72" s="179">
        <f>EXTEMPORANEOS!J71</f>
        <v>0</v>
      </c>
      <c r="K72" s="179">
        <f>EXTEMPORANEOS!K71</f>
        <v>0</v>
      </c>
      <c r="L72" s="179">
        <f>EXTEMPORANEOS!L71</f>
        <v>0</v>
      </c>
      <c r="M72" s="179">
        <f>EXTEMPORANEOS!M71</f>
        <v>0</v>
      </c>
      <c r="N72" s="179">
        <f>EXTEMPORANEOS!N71</f>
        <v>0</v>
      </c>
      <c r="O72" s="179">
        <f>EXTEMPORANEOS!O71</f>
        <v>0</v>
      </c>
      <c r="P72" s="179">
        <f>EXTEMPORANEOS!P71</f>
        <v>0</v>
      </c>
      <c r="Q72" s="179">
        <f>EXTEMPORANEOS!Q71</f>
        <v>0</v>
      </c>
      <c r="R72" s="179">
        <f>EXTEMPORANEOS!R71</f>
        <v>0</v>
      </c>
      <c r="S72" s="179">
        <f>EXTEMPORANEOS!S71</f>
        <v>0</v>
      </c>
      <c r="T72" s="181">
        <f>EXTEMPORANEOS!T71</f>
        <v>0</v>
      </c>
      <c r="U72" s="182">
        <f>EXTEMPORANEOS!U71</f>
        <v>0</v>
      </c>
      <c r="V72" s="179">
        <f>EXTEMPORANEOS!V71</f>
        <v>0</v>
      </c>
      <c r="W72" s="179">
        <f>EXTEMPORANEOS!W71</f>
        <v>0</v>
      </c>
      <c r="X72" s="182">
        <f>EXTEMPORANEOS!X71</f>
        <v>0</v>
      </c>
      <c r="Y72" s="297">
        <f>EXTEMPORANEOS!Y71</f>
        <v>0</v>
      </c>
      <c r="AA72" s="138"/>
    </row>
    <row r="73" spans="1:27" ht="12.95" customHeight="1" x14ac:dyDescent="0.2">
      <c r="A73" s="152"/>
      <c r="B73" s="324">
        <f>EXTEMPORANEOS!B72</f>
        <v>0</v>
      </c>
      <c r="C73" s="176">
        <f>EXTEMPORANEOS!C72</f>
        <v>2026101</v>
      </c>
      <c r="D73" s="177">
        <f>EXTEMPORANEOS!D72</f>
        <v>0</v>
      </c>
      <c r="E73" s="178" t="str">
        <f>EXTEMPORANEOS!E72</f>
        <v>23D</v>
      </c>
      <c r="F73" s="175" t="str">
        <f>EXTEMPORANEOS!F72</f>
        <v>Occidente - Directa</v>
      </c>
      <c r="G73" s="183">
        <f>EXTEMPORANEOS!G72</f>
        <v>0</v>
      </c>
      <c r="H73" s="175" t="e">
        <f>EXTEMPORANEOS!H72</f>
        <v>#N/A</v>
      </c>
      <c r="I73" s="310">
        <f>EXTEMPORANEOS!I72</f>
        <v>230887267</v>
      </c>
      <c r="J73" s="179">
        <f>EXTEMPORANEOS!J72</f>
        <v>0</v>
      </c>
      <c r="K73" s="179">
        <f>EXTEMPORANEOS!K72</f>
        <v>0</v>
      </c>
      <c r="L73" s="179">
        <f>EXTEMPORANEOS!L72</f>
        <v>0</v>
      </c>
      <c r="M73" s="179">
        <f>EXTEMPORANEOS!M72</f>
        <v>0</v>
      </c>
      <c r="N73" s="179">
        <f>EXTEMPORANEOS!N72</f>
        <v>0</v>
      </c>
      <c r="O73" s="179">
        <f>EXTEMPORANEOS!O72</f>
        <v>0</v>
      </c>
      <c r="P73" s="179">
        <f>EXTEMPORANEOS!P72</f>
        <v>0</v>
      </c>
      <c r="Q73" s="179">
        <f>EXTEMPORANEOS!Q72</f>
        <v>0</v>
      </c>
      <c r="R73" s="179">
        <f>EXTEMPORANEOS!R72</f>
        <v>0</v>
      </c>
      <c r="S73" s="179">
        <f>EXTEMPORANEOS!S72</f>
        <v>0</v>
      </c>
      <c r="T73" s="181">
        <f>EXTEMPORANEOS!T72</f>
        <v>0</v>
      </c>
      <c r="U73" s="182">
        <f>EXTEMPORANEOS!U72</f>
        <v>0</v>
      </c>
      <c r="V73" s="179">
        <f>EXTEMPORANEOS!V72</f>
        <v>0</v>
      </c>
      <c r="W73" s="179">
        <f>EXTEMPORANEOS!W72</f>
        <v>0</v>
      </c>
      <c r="X73" s="182">
        <f>EXTEMPORANEOS!X72</f>
        <v>0</v>
      </c>
      <c r="Y73" s="297">
        <f>EXTEMPORANEOS!Y72</f>
        <v>0</v>
      </c>
      <c r="AA73" s="138"/>
    </row>
    <row r="74" spans="1:27" ht="12.95" customHeight="1" x14ac:dyDescent="0.2">
      <c r="A74" s="152"/>
      <c r="B74" s="324">
        <f>EXTEMPORANEOS!B73</f>
        <v>0</v>
      </c>
      <c r="C74" s="176">
        <f>EXTEMPORANEOS!C73</f>
        <v>2026101</v>
      </c>
      <c r="D74" s="177">
        <f>EXTEMPORANEOS!D73</f>
        <v>0</v>
      </c>
      <c r="E74" s="178" t="str">
        <f>EXTEMPORANEOS!E73</f>
        <v>23D</v>
      </c>
      <c r="F74" s="175" t="str">
        <f>EXTEMPORANEOS!F73</f>
        <v>Occidente - Directa</v>
      </c>
      <c r="G74" s="183">
        <f>EXTEMPORANEOS!G73</f>
        <v>0</v>
      </c>
      <c r="H74" s="175" t="e">
        <f>EXTEMPORANEOS!H73</f>
        <v>#N/A</v>
      </c>
      <c r="I74" s="310">
        <f>EXTEMPORANEOS!I73</f>
        <v>230887267</v>
      </c>
      <c r="J74" s="179">
        <f>EXTEMPORANEOS!J73</f>
        <v>0</v>
      </c>
      <c r="K74" s="179">
        <f>EXTEMPORANEOS!K73</f>
        <v>0</v>
      </c>
      <c r="L74" s="179">
        <f>EXTEMPORANEOS!L73</f>
        <v>0</v>
      </c>
      <c r="M74" s="179">
        <f>EXTEMPORANEOS!M73</f>
        <v>0</v>
      </c>
      <c r="N74" s="179">
        <f>EXTEMPORANEOS!N73</f>
        <v>0</v>
      </c>
      <c r="O74" s="179">
        <f>EXTEMPORANEOS!O73</f>
        <v>0</v>
      </c>
      <c r="P74" s="179">
        <f>EXTEMPORANEOS!P73</f>
        <v>0</v>
      </c>
      <c r="Q74" s="179">
        <f>EXTEMPORANEOS!Q73</f>
        <v>0</v>
      </c>
      <c r="R74" s="179">
        <f>EXTEMPORANEOS!R73</f>
        <v>0</v>
      </c>
      <c r="S74" s="179">
        <f>EXTEMPORANEOS!S73</f>
        <v>0</v>
      </c>
      <c r="T74" s="181">
        <f>EXTEMPORANEOS!T73</f>
        <v>0</v>
      </c>
      <c r="U74" s="182">
        <f>EXTEMPORANEOS!U73</f>
        <v>0</v>
      </c>
      <c r="V74" s="179">
        <f>EXTEMPORANEOS!V73</f>
        <v>0</v>
      </c>
      <c r="W74" s="179">
        <f>EXTEMPORANEOS!W73</f>
        <v>0</v>
      </c>
      <c r="X74" s="182">
        <f>EXTEMPORANEOS!X73</f>
        <v>0</v>
      </c>
      <c r="Y74" s="297">
        <f>EXTEMPORANEOS!Y73</f>
        <v>0</v>
      </c>
      <c r="AA74" s="138"/>
    </row>
    <row r="75" spans="1:27" ht="12.95" customHeight="1" x14ac:dyDescent="0.2">
      <c r="A75" s="152"/>
      <c r="B75" s="324">
        <f>EXTEMPORANEOS!B74</f>
        <v>0</v>
      </c>
      <c r="C75" s="176">
        <f>EXTEMPORANEOS!C74</f>
        <v>2026101</v>
      </c>
      <c r="D75" s="177">
        <f>EXTEMPORANEOS!D74</f>
        <v>0</v>
      </c>
      <c r="E75" s="178" t="str">
        <f>EXTEMPORANEOS!E74</f>
        <v>23D</v>
      </c>
      <c r="F75" s="175" t="str">
        <f>EXTEMPORANEOS!F74</f>
        <v>Occidente - Directa</v>
      </c>
      <c r="G75" s="183">
        <f>EXTEMPORANEOS!G74</f>
        <v>0</v>
      </c>
      <c r="H75" s="175" t="e">
        <f>EXTEMPORANEOS!H74</f>
        <v>#N/A</v>
      </c>
      <c r="I75" s="310">
        <f>EXTEMPORANEOS!I74</f>
        <v>230887267</v>
      </c>
      <c r="J75" s="179">
        <f>EXTEMPORANEOS!J74</f>
        <v>0</v>
      </c>
      <c r="K75" s="179">
        <f>EXTEMPORANEOS!K74</f>
        <v>0</v>
      </c>
      <c r="L75" s="179">
        <f>EXTEMPORANEOS!L74</f>
        <v>0</v>
      </c>
      <c r="M75" s="179">
        <f>EXTEMPORANEOS!M74</f>
        <v>0</v>
      </c>
      <c r="N75" s="179">
        <f>EXTEMPORANEOS!N74</f>
        <v>0</v>
      </c>
      <c r="O75" s="179">
        <f>EXTEMPORANEOS!O74</f>
        <v>0</v>
      </c>
      <c r="P75" s="179">
        <f>EXTEMPORANEOS!P74</f>
        <v>0</v>
      </c>
      <c r="Q75" s="179">
        <f>EXTEMPORANEOS!Q74</f>
        <v>0</v>
      </c>
      <c r="R75" s="179">
        <f>EXTEMPORANEOS!R74</f>
        <v>0</v>
      </c>
      <c r="S75" s="179">
        <f>EXTEMPORANEOS!S74</f>
        <v>0</v>
      </c>
      <c r="T75" s="181">
        <f>EXTEMPORANEOS!T74</f>
        <v>0</v>
      </c>
      <c r="U75" s="182">
        <f>EXTEMPORANEOS!U74</f>
        <v>0</v>
      </c>
      <c r="V75" s="179">
        <f>EXTEMPORANEOS!V74</f>
        <v>0</v>
      </c>
      <c r="W75" s="179">
        <f>EXTEMPORANEOS!W74</f>
        <v>0</v>
      </c>
      <c r="X75" s="182">
        <f>EXTEMPORANEOS!X74</f>
        <v>0</v>
      </c>
      <c r="Y75" s="297">
        <f>EXTEMPORANEOS!Y74</f>
        <v>0</v>
      </c>
      <c r="AA75" s="138"/>
    </row>
    <row r="76" spans="1:27" ht="12.95" customHeight="1" x14ac:dyDescent="0.2">
      <c r="A76" s="152"/>
      <c r="B76" s="324">
        <f>EXTEMPORANEOS!B75</f>
        <v>0</v>
      </c>
      <c r="C76" s="176">
        <f>EXTEMPORANEOS!C75</f>
        <v>2026101</v>
      </c>
      <c r="D76" s="177">
        <f>EXTEMPORANEOS!D75</f>
        <v>0</v>
      </c>
      <c r="E76" s="178" t="str">
        <f>EXTEMPORANEOS!E75</f>
        <v>23D</v>
      </c>
      <c r="F76" s="175" t="str">
        <f>EXTEMPORANEOS!F75</f>
        <v>Occidente - Directa</v>
      </c>
      <c r="G76" s="183">
        <f>EXTEMPORANEOS!G75</f>
        <v>0</v>
      </c>
      <c r="H76" s="175" t="e">
        <f>EXTEMPORANEOS!H75</f>
        <v>#N/A</v>
      </c>
      <c r="I76" s="310">
        <f>EXTEMPORANEOS!I75</f>
        <v>230887267</v>
      </c>
      <c r="J76" s="179">
        <f>EXTEMPORANEOS!J75</f>
        <v>0</v>
      </c>
      <c r="K76" s="179">
        <f>EXTEMPORANEOS!K75</f>
        <v>0</v>
      </c>
      <c r="L76" s="179">
        <f>EXTEMPORANEOS!L75</f>
        <v>0</v>
      </c>
      <c r="M76" s="179">
        <f>EXTEMPORANEOS!M75</f>
        <v>0</v>
      </c>
      <c r="N76" s="179">
        <f>EXTEMPORANEOS!N75</f>
        <v>0</v>
      </c>
      <c r="O76" s="179">
        <f>EXTEMPORANEOS!O75</f>
        <v>0</v>
      </c>
      <c r="P76" s="179">
        <f>EXTEMPORANEOS!P75</f>
        <v>0</v>
      </c>
      <c r="Q76" s="179">
        <f>EXTEMPORANEOS!Q75</f>
        <v>0</v>
      </c>
      <c r="R76" s="179">
        <f>EXTEMPORANEOS!R75</f>
        <v>0</v>
      </c>
      <c r="S76" s="179">
        <f>EXTEMPORANEOS!S75</f>
        <v>0</v>
      </c>
      <c r="T76" s="181">
        <f>EXTEMPORANEOS!T75</f>
        <v>0</v>
      </c>
      <c r="U76" s="182">
        <f>EXTEMPORANEOS!U75</f>
        <v>0</v>
      </c>
      <c r="V76" s="179">
        <f>EXTEMPORANEOS!V75</f>
        <v>0</v>
      </c>
      <c r="W76" s="179">
        <f>EXTEMPORANEOS!W75</f>
        <v>0</v>
      </c>
      <c r="X76" s="182">
        <f>EXTEMPORANEOS!X75</f>
        <v>0</v>
      </c>
      <c r="Y76" s="297">
        <f>EXTEMPORANEOS!Y75</f>
        <v>0</v>
      </c>
      <c r="AA76" s="138"/>
    </row>
    <row r="77" spans="1:27" ht="12.95" customHeight="1" x14ac:dyDescent="0.2">
      <c r="A77" s="152"/>
      <c r="B77" s="324">
        <f>EXTEMPORANEOS!B76</f>
        <v>0</v>
      </c>
      <c r="C77" s="176">
        <f>EXTEMPORANEOS!C76</f>
        <v>2026101</v>
      </c>
      <c r="D77" s="177">
        <f>EXTEMPORANEOS!D76</f>
        <v>0</v>
      </c>
      <c r="E77" s="178" t="str">
        <f>EXTEMPORANEOS!E76</f>
        <v>23D</v>
      </c>
      <c r="F77" s="175" t="str">
        <f>EXTEMPORANEOS!F76</f>
        <v>Occidente - Directa</v>
      </c>
      <c r="G77" s="183">
        <f>EXTEMPORANEOS!G76</f>
        <v>0</v>
      </c>
      <c r="H77" s="175" t="e">
        <f>EXTEMPORANEOS!H76</f>
        <v>#N/A</v>
      </c>
      <c r="I77" s="310">
        <f>EXTEMPORANEOS!I76</f>
        <v>230887267</v>
      </c>
      <c r="J77" s="179">
        <f>EXTEMPORANEOS!J76</f>
        <v>0</v>
      </c>
      <c r="K77" s="179">
        <f>EXTEMPORANEOS!K76</f>
        <v>0</v>
      </c>
      <c r="L77" s="179">
        <f>EXTEMPORANEOS!L76</f>
        <v>0</v>
      </c>
      <c r="M77" s="179">
        <f>EXTEMPORANEOS!M76</f>
        <v>0</v>
      </c>
      <c r="N77" s="179">
        <f>EXTEMPORANEOS!N76</f>
        <v>0</v>
      </c>
      <c r="O77" s="179">
        <f>EXTEMPORANEOS!O76</f>
        <v>0</v>
      </c>
      <c r="P77" s="179">
        <f>EXTEMPORANEOS!P76</f>
        <v>0</v>
      </c>
      <c r="Q77" s="179">
        <f>EXTEMPORANEOS!Q76</f>
        <v>0</v>
      </c>
      <c r="R77" s="179">
        <f>EXTEMPORANEOS!R76</f>
        <v>0</v>
      </c>
      <c r="S77" s="179">
        <f>EXTEMPORANEOS!S76</f>
        <v>0</v>
      </c>
      <c r="T77" s="181">
        <f>EXTEMPORANEOS!T76</f>
        <v>0</v>
      </c>
      <c r="U77" s="182">
        <f>EXTEMPORANEOS!U76</f>
        <v>0</v>
      </c>
      <c r="V77" s="179">
        <f>EXTEMPORANEOS!V76</f>
        <v>0</v>
      </c>
      <c r="W77" s="179">
        <f>EXTEMPORANEOS!W76</f>
        <v>0</v>
      </c>
      <c r="X77" s="182">
        <f>EXTEMPORANEOS!X76</f>
        <v>0</v>
      </c>
      <c r="Y77" s="297">
        <f>EXTEMPORANEOS!Y76</f>
        <v>0</v>
      </c>
      <c r="AA77" s="138"/>
    </row>
    <row r="78" spans="1:27" ht="12.95" customHeight="1" x14ac:dyDescent="0.2">
      <c r="A78" s="152"/>
      <c r="B78" s="324">
        <f>EXTEMPORANEOS!B77</f>
        <v>0</v>
      </c>
      <c r="C78" s="176">
        <f>EXTEMPORANEOS!C77</f>
        <v>2026101</v>
      </c>
      <c r="D78" s="177">
        <f>EXTEMPORANEOS!D77</f>
        <v>0</v>
      </c>
      <c r="E78" s="178" t="str">
        <f>EXTEMPORANEOS!E77</f>
        <v>23D</v>
      </c>
      <c r="F78" s="175" t="str">
        <f>EXTEMPORANEOS!F77</f>
        <v>Occidente - Directa</v>
      </c>
      <c r="G78" s="183">
        <f>EXTEMPORANEOS!G77</f>
        <v>0</v>
      </c>
      <c r="H78" s="175" t="e">
        <f>EXTEMPORANEOS!H77</f>
        <v>#N/A</v>
      </c>
      <c r="I78" s="310">
        <f>EXTEMPORANEOS!I77</f>
        <v>230887267</v>
      </c>
      <c r="J78" s="179">
        <f>EXTEMPORANEOS!J77</f>
        <v>0</v>
      </c>
      <c r="K78" s="179">
        <f>EXTEMPORANEOS!K77</f>
        <v>0</v>
      </c>
      <c r="L78" s="179">
        <f>EXTEMPORANEOS!L77</f>
        <v>0</v>
      </c>
      <c r="M78" s="179">
        <f>EXTEMPORANEOS!M77</f>
        <v>0</v>
      </c>
      <c r="N78" s="179">
        <f>EXTEMPORANEOS!N77</f>
        <v>0</v>
      </c>
      <c r="O78" s="179">
        <f>EXTEMPORANEOS!O77</f>
        <v>0</v>
      </c>
      <c r="P78" s="179">
        <f>EXTEMPORANEOS!P77</f>
        <v>0</v>
      </c>
      <c r="Q78" s="179">
        <f>EXTEMPORANEOS!Q77</f>
        <v>0</v>
      </c>
      <c r="R78" s="179">
        <f>EXTEMPORANEOS!R77</f>
        <v>0</v>
      </c>
      <c r="S78" s="179">
        <f>EXTEMPORANEOS!S77</f>
        <v>0</v>
      </c>
      <c r="T78" s="181">
        <f>EXTEMPORANEOS!T77</f>
        <v>0</v>
      </c>
      <c r="U78" s="182">
        <f>EXTEMPORANEOS!U77</f>
        <v>0</v>
      </c>
      <c r="V78" s="179">
        <f>EXTEMPORANEOS!V77</f>
        <v>0</v>
      </c>
      <c r="W78" s="179">
        <f>EXTEMPORANEOS!W77</f>
        <v>0</v>
      </c>
      <c r="X78" s="182">
        <f>EXTEMPORANEOS!X77</f>
        <v>0</v>
      </c>
      <c r="Y78" s="297">
        <f>EXTEMPORANEOS!Y77</f>
        <v>0</v>
      </c>
      <c r="AA78" s="138"/>
    </row>
    <row r="79" spans="1:27" ht="12.95" customHeight="1" x14ac:dyDescent="0.2">
      <c r="B79" s="185"/>
      <c r="C79" s="149"/>
      <c r="D79" s="186"/>
      <c r="E79" s="187"/>
      <c r="F79" s="188"/>
      <c r="G79" s="187"/>
      <c r="H79" s="188"/>
      <c r="I79" s="188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90"/>
      <c r="U79" s="189"/>
      <c r="V79" s="189"/>
      <c r="W79" s="189"/>
      <c r="X79" s="189"/>
      <c r="Y79" s="189"/>
      <c r="AA79" s="138"/>
    </row>
    <row r="80" spans="1:27" ht="12.95" customHeight="1" x14ac:dyDescent="0.2">
      <c r="A80" s="191"/>
      <c r="B80" s="192"/>
      <c r="C80" s="193"/>
      <c r="D80" s="194"/>
      <c r="E80" s="195"/>
      <c r="F80" s="195"/>
      <c r="G80" s="195"/>
      <c r="H80" s="195"/>
      <c r="I80" s="196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1"/>
      <c r="AA80" s="138"/>
    </row>
    <row r="81" spans="2:27" ht="12.95" customHeight="1" thickBot="1" x14ac:dyDescent="0.25">
      <c r="B81" s="185"/>
      <c r="C81" s="149"/>
      <c r="D81" s="186"/>
      <c r="E81" s="187"/>
      <c r="F81" s="188"/>
      <c r="G81" s="187"/>
      <c r="H81" s="187"/>
      <c r="I81" s="198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AA81" s="138"/>
    </row>
    <row r="82" spans="2:27" ht="48.75" thickBot="1" x14ac:dyDescent="0.25">
      <c r="B82" s="164" t="s">
        <v>14</v>
      </c>
      <c r="C82" s="165" t="s">
        <v>2</v>
      </c>
      <c r="D82" s="165" t="s">
        <v>22</v>
      </c>
      <c r="E82" s="165" t="s">
        <v>23</v>
      </c>
      <c r="F82" s="165" t="s">
        <v>24</v>
      </c>
      <c r="G82" s="165" t="s">
        <v>25</v>
      </c>
      <c r="H82" s="165" t="s">
        <v>26</v>
      </c>
      <c r="I82" s="165" t="s">
        <v>27</v>
      </c>
      <c r="J82" s="166" t="s">
        <v>28</v>
      </c>
      <c r="K82" s="166" t="s">
        <v>29</v>
      </c>
      <c r="L82" s="166" t="s">
        <v>30</v>
      </c>
      <c r="M82" s="166" t="s">
        <v>31</v>
      </c>
      <c r="N82" s="167" t="s">
        <v>32</v>
      </c>
      <c r="O82" s="168" t="s">
        <v>33</v>
      </c>
      <c r="P82" s="167" t="s">
        <v>34</v>
      </c>
      <c r="Q82" s="168" t="s">
        <v>35</v>
      </c>
      <c r="R82" s="167" t="s">
        <v>36</v>
      </c>
      <c r="S82" s="168" t="s">
        <v>37</v>
      </c>
      <c r="T82" s="169" t="s">
        <v>38</v>
      </c>
      <c r="U82" s="169" t="s">
        <v>39</v>
      </c>
      <c r="V82" s="170" t="s">
        <v>40</v>
      </c>
      <c r="W82" s="171" t="s">
        <v>41</v>
      </c>
      <c r="X82" s="166" t="s">
        <v>42</v>
      </c>
      <c r="Y82" s="172" t="s">
        <v>43</v>
      </c>
      <c r="AA82" s="138"/>
    </row>
    <row r="83" spans="2:27" ht="12.95" customHeight="1" x14ac:dyDescent="0.2">
      <c r="B83" s="286">
        <f>EXTEMPORANEOS!B82</f>
        <v>46314</v>
      </c>
      <c r="C83" s="287">
        <f>EXTEMPORANEOS!C82</f>
        <v>2026102</v>
      </c>
      <c r="D83" s="288">
        <f>EXTEMPORANEOS!D82</f>
        <v>46233</v>
      </c>
      <c r="E83" s="289" t="str">
        <f>EXTEMPORANEOS!E82</f>
        <v>23D</v>
      </c>
      <c r="F83" s="290" t="str">
        <f>EXTEMPORANEOS!F82</f>
        <v>Occidente - Directa</v>
      </c>
      <c r="G83" s="289">
        <f>EXTEMPORANEOS!G82</f>
        <v>13</v>
      </c>
      <c r="H83" s="290" t="str">
        <f>EXTEMPORANEOS!H82</f>
        <v>T23 Directa - Transferencias</v>
      </c>
      <c r="I83" s="290">
        <f>EXTEMPORANEOS!I82</f>
        <v>230887267</v>
      </c>
      <c r="J83" s="291">
        <f>EXTEMPORANEOS!J82</f>
        <v>7</v>
      </c>
      <c r="K83" s="291">
        <f>EXTEMPORANEOS!K82</f>
        <v>483770</v>
      </c>
      <c r="L83" s="291">
        <f>EXTEMPORANEOS!L82</f>
        <v>0</v>
      </c>
      <c r="M83" s="291">
        <f>EXTEMPORANEOS!M82</f>
        <v>0</v>
      </c>
      <c r="N83" s="291">
        <f>EXTEMPORANEOS!N82</f>
        <v>0</v>
      </c>
      <c r="O83" s="291">
        <f>EXTEMPORANEOS!O82</f>
        <v>0</v>
      </c>
      <c r="P83" s="291">
        <f>EXTEMPORANEOS!P82</f>
        <v>0</v>
      </c>
      <c r="Q83" s="291">
        <f>EXTEMPORANEOS!Q82</f>
        <v>0</v>
      </c>
      <c r="R83" s="292">
        <f>EXTEMPORANEOS!R82</f>
        <v>0</v>
      </c>
      <c r="S83" s="292">
        <f>EXTEMPORANEOS!S82</f>
        <v>0</v>
      </c>
      <c r="T83" s="293">
        <f>EXTEMPORANEOS!T82</f>
        <v>7</v>
      </c>
      <c r="U83" s="294">
        <f>EXTEMPORANEOS!U82</f>
        <v>483770</v>
      </c>
      <c r="V83" s="291">
        <f>EXTEMPORANEOS!V82</f>
        <v>7</v>
      </c>
      <c r="W83" s="291">
        <f>EXTEMPORANEOS!W82</f>
        <v>483770</v>
      </c>
      <c r="X83" s="294">
        <f>EXTEMPORANEOS!X82</f>
        <v>0</v>
      </c>
      <c r="Y83" s="295">
        <f>EXTEMPORANEOS!Y82</f>
        <v>0</v>
      </c>
      <c r="AA83" s="138"/>
    </row>
    <row r="84" spans="2:27" ht="12.95" customHeight="1" x14ac:dyDescent="0.2">
      <c r="B84" s="296">
        <f>EXTEMPORANEOS!B83</f>
        <v>46314</v>
      </c>
      <c r="C84" s="176">
        <f>EXTEMPORANEOS!C83</f>
        <v>2026102</v>
      </c>
      <c r="D84" s="177">
        <f>EXTEMPORANEOS!D83</f>
        <v>46234</v>
      </c>
      <c r="E84" s="178" t="str">
        <f>EXTEMPORANEOS!E83</f>
        <v>23D</v>
      </c>
      <c r="F84" s="175" t="str">
        <f>EXTEMPORANEOS!F83</f>
        <v>Occidente - Directa</v>
      </c>
      <c r="G84" s="178">
        <f>EXTEMPORANEOS!G83</f>
        <v>13</v>
      </c>
      <c r="H84" s="175" t="str">
        <f>EXTEMPORANEOS!H83</f>
        <v>T23 Directa - Transferencias</v>
      </c>
      <c r="I84" s="175">
        <f>EXTEMPORANEOS!I83</f>
        <v>230887267</v>
      </c>
      <c r="J84" s="179">
        <f>EXTEMPORANEOS!J83</f>
        <v>3</v>
      </c>
      <c r="K84" s="179">
        <f>EXTEMPORANEOS!K83</f>
        <v>207330</v>
      </c>
      <c r="L84" s="179">
        <f>EXTEMPORANEOS!L83</f>
        <v>0</v>
      </c>
      <c r="M84" s="179">
        <f>EXTEMPORANEOS!M83</f>
        <v>0</v>
      </c>
      <c r="N84" s="179">
        <f>EXTEMPORANEOS!N83</f>
        <v>0</v>
      </c>
      <c r="O84" s="179">
        <f>EXTEMPORANEOS!O83</f>
        <v>0</v>
      </c>
      <c r="P84" s="179">
        <f>EXTEMPORANEOS!P83</f>
        <v>0</v>
      </c>
      <c r="Q84" s="179">
        <f>EXTEMPORANEOS!Q83</f>
        <v>0</v>
      </c>
      <c r="R84" s="180">
        <f>EXTEMPORANEOS!R83</f>
        <v>0</v>
      </c>
      <c r="S84" s="180">
        <f>EXTEMPORANEOS!S83</f>
        <v>0</v>
      </c>
      <c r="T84" s="181">
        <f>EXTEMPORANEOS!T83</f>
        <v>3</v>
      </c>
      <c r="U84" s="182">
        <f>EXTEMPORANEOS!U83</f>
        <v>207330</v>
      </c>
      <c r="V84" s="179">
        <f>EXTEMPORANEOS!V83</f>
        <v>3</v>
      </c>
      <c r="W84" s="179">
        <f>EXTEMPORANEOS!W83</f>
        <v>207330</v>
      </c>
      <c r="X84" s="182">
        <f>EXTEMPORANEOS!X83</f>
        <v>0</v>
      </c>
      <c r="Y84" s="297">
        <f>EXTEMPORANEOS!Y83</f>
        <v>0</v>
      </c>
      <c r="AA84" s="138"/>
    </row>
    <row r="85" spans="2:27" ht="12.95" customHeight="1" x14ac:dyDescent="0.2">
      <c r="B85" s="296">
        <f>EXTEMPORANEOS!B84</f>
        <v>46314</v>
      </c>
      <c r="C85" s="176">
        <f>EXTEMPORANEOS!C84</f>
        <v>2026102</v>
      </c>
      <c r="D85" s="177">
        <f>EXTEMPORANEOS!D84</f>
        <v>46261</v>
      </c>
      <c r="E85" s="178" t="str">
        <f>EXTEMPORANEOS!E84</f>
        <v>23D</v>
      </c>
      <c r="F85" s="175" t="str">
        <f>EXTEMPORANEOS!F84</f>
        <v>Occidente - Directa</v>
      </c>
      <c r="G85" s="178">
        <f>EXTEMPORANEOS!G84</f>
        <v>13</v>
      </c>
      <c r="H85" s="175" t="str">
        <f>EXTEMPORANEOS!H84</f>
        <v>T23 Directa - Transferencias</v>
      </c>
      <c r="I85" s="175">
        <f>EXTEMPORANEOS!I84</f>
        <v>230887267</v>
      </c>
      <c r="J85" s="179">
        <f>EXTEMPORANEOS!J84</f>
        <v>3</v>
      </c>
      <c r="K85" s="179">
        <f>EXTEMPORANEOS!K84</f>
        <v>206157</v>
      </c>
      <c r="L85" s="179">
        <f>EXTEMPORANEOS!L84</f>
        <v>0</v>
      </c>
      <c r="M85" s="179">
        <f>EXTEMPORANEOS!M84</f>
        <v>0</v>
      </c>
      <c r="N85" s="179">
        <f>EXTEMPORANEOS!N84</f>
        <v>0</v>
      </c>
      <c r="O85" s="179">
        <f>EXTEMPORANEOS!O84</f>
        <v>0</v>
      </c>
      <c r="P85" s="179">
        <f>EXTEMPORANEOS!P84</f>
        <v>0</v>
      </c>
      <c r="Q85" s="179">
        <f>EXTEMPORANEOS!Q84</f>
        <v>0</v>
      </c>
      <c r="R85" s="180">
        <f>EXTEMPORANEOS!R84</f>
        <v>0</v>
      </c>
      <c r="S85" s="180">
        <f>EXTEMPORANEOS!S84</f>
        <v>0</v>
      </c>
      <c r="T85" s="181">
        <f>EXTEMPORANEOS!T84</f>
        <v>3</v>
      </c>
      <c r="U85" s="182">
        <f>EXTEMPORANEOS!U84</f>
        <v>206157</v>
      </c>
      <c r="V85" s="179">
        <f>EXTEMPORANEOS!V84</f>
        <v>3</v>
      </c>
      <c r="W85" s="179">
        <f>EXTEMPORANEOS!W84</f>
        <v>206157</v>
      </c>
      <c r="X85" s="182">
        <f>EXTEMPORANEOS!X84</f>
        <v>0</v>
      </c>
      <c r="Y85" s="297">
        <f>EXTEMPORANEOS!Y84</f>
        <v>0</v>
      </c>
      <c r="AA85" s="138"/>
    </row>
    <row r="86" spans="2:27" ht="12.95" customHeight="1" x14ac:dyDescent="0.2">
      <c r="B86" s="296">
        <f>EXTEMPORANEOS!B85</f>
        <v>46314</v>
      </c>
      <c r="C86" s="176">
        <f>EXTEMPORANEOS!C85</f>
        <v>2026102</v>
      </c>
      <c r="D86" s="177">
        <f>EXTEMPORANEOS!D85</f>
        <v>46262</v>
      </c>
      <c r="E86" s="178" t="str">
        <f>EXTEMPORANEOS!E85</f>
        <v>23D</v>
      </c>
      <c r="F86" s="175" t="str">
        <f>EXTEMPORANEOS!F85</f>
        <v>Occidente - Directa</v>
      </c>
      <c r="G86" s="178">
        <f>EXTEMPORANEOS!G85</f>
        <v>13</v>
      </c>
      <c r="H86" s="175" t="str">
        <f>EXTEMPORANEOS!H85</f>
        <v>T23 Directa - Transferencias</v>
      </c>
      <c r="I86" s="175">
        <f>EXTEMPORANEOS!I85</f>
        <v>230887267</v>
      </c>
      <c r="J86" s="179">
        <f>EXTEMPORANEOS!J85</f>
        <v>10</v>
      </c>
      <c r="K86" s="179">
        <f>EXTEMPORANEOS!K85</f>
        <v>687190</v>
      </c>
      <c r="L86" s="179">
        <f>EXTEMPORANEOS!L85</f>
        <v>0</v>
      </c>
      <c r="M86" s="179">
        <f>EXTEMPORANEOS!M85</f>
        <v>0</v>
      </c>
      <c r="N86" s="179">
        <f>EXTEMPORANEOS!N85</f>
        <v>0</v>
      </c>
      <c r="O86" s="179">
        <f>EXTEMPORANEOS!O85</f>
        <v>0</v>
      </c>
      <c r="P86" s="179">
        <f>EXTEMPORANEOS!P85</f>
        <v>0</v>
      </c>
      <c r="Q86" s="179">
        <f>EXTEMPORANEOS!Q85</f>
        <v>0</v>
      </c>
      <c r="R86" s="180">
        <f>EXTEMPORANEOS!R85</f>
        <v>0</v>
      </c>
      <c r="S86" s="180">
        <f>EXTEMPORANEOS!S85</f>
        <v>0</v>
      </c>
      <c r="T86" s="181">
        <f>EXTEMPORANEOS!T85</f>
        <v>10</v>
      </c>
      <c r="U86" s="182">
        <f>EXTEMPORANEOS!U85</f>
        <v>687190</v>
      </c>
      <c r="V86" s="179">
        <f>EXTEMPORANEOS!V85</f>
        <v>10</v>
      </c>
      <c r="W86" s="179">
        <f>EXTEMPORANEOS!W85</f>
        <v>687190</v>
      </c>
      <c r="X86" s="182">
        <f>EXTEMPORANEOS!X85</f>
        <v>0</v>
      </c>
      <c r="Y86" s="297">
        <f>EXTEMPORANEOS!Y85</f>
        <v>0</v>
      </c>
      <c r="AA86" s="138"/>
    </row>
    <row r="87" spans="2:27" ht="12.95" customHeight="1" x14ac:dyDescent="0.2">
      <c r="B87" s="296">
        <f>EXTEMPORANEOS!B86</f>
        <v>46314</v>
      </c>
      <c r="C87" s="176">
        <f>EXTEMPORANEOS!C86</f>
        <v>2026102</v>
      </c>
      <c r="D87" s="177">
        <f>EXTEMPORANEOS!D86</f>
        <v>46290</v>
      </c>
      <c r="E87" s="178" t="str">
        <f>EXTEMPORANEOS!E86</f>
        <v>23D</v>
      </c>
      <c r="F87" s="175" t="str">
        <f>EXTEMPORANEOS!F86</f>
        <v>Occidente - Directa</v>
      </c>
      <c r="G87" s="178">
        <f>EXTEMPORANEOS!G86</f>
        <v>13</v>
      </c>
      <c r="H87" s="175" t="str">
        <f>EXTEMPORANEOS!H86</f>
        <v>T23 Directa - Transferencias</v>
      </c>
      <c r="I87" s="175">
        <f>EXTEMPORANEOS!I86</f>
        <v>230887267</v>
      </c>
      <c r="J87" s="179">
        <f>EXTEMPORANEOS!J86</f>
        <v>4</v>
      </c>
      <c r="K87" s="179">
        <f>EXTEMPORANEOS!K86</f>
        <v>275088</v>
      </c>
      <c r="L87" s="179">
        <f>EXTEMPORANEOS!L86</f>
        <v>0</v>
      </c>
      <c r="M87" s="179">
        <f>EXTEMPORANEOS!M86</f>
        <v>0</v>
      </c>
      <c r="N87" s="179">
        <f>EXTEMPORANEOS!N86</f>
        <v>0</v>
      </c>
      <c r="O87" s="179">
        <f>EXTEMPORANEOS!O86</f>
        <v>0</v>
      </c>
      <c r="P87" s="179">
        <f>EXTEMPORANEOS!P86</f>
        <v>0</v>
      </c>
      <c r="Q87" s="179">
        <f>EXTEMPORANEOS!Q86</f>
        <v>0</v>
      </c>
      <c r="R87" s="180">
        <f>EXTEMPORANEOS!R86</f>
        <v>0</v>
      </c>
      <c r="S87" s="180">
        <f>EXTEMPORANEOS!S86</f>
        <v>0</v>
      </c>
      <c r="T87" s="181">
        <f>EXTEMPORANEOS!T86</f>
        <v>4</v>
      </c>
      <c r="U87" s="182">
        <f>EXTEMPORANEOS!U86</f>
        <v>275088</v>
      </c>
      <c r="V87" s="179">
        <f>EXTEMPORANEOS!V86</f>
        <v>4</v>
      </c>
      <c r="W87" s="179">
        <f>EXTEMPORANEOS!W86</f>
        <v>275088</v>
      </c>
      <c r="X87" s="182">
        <f>EXTEMPORANEOS!X86</f>
        <v>0</v>
      </c>
      <c r="Y87" s="297">
        <f>EXTEMPORANEOS!Y86</f>
        <v>0</v>
      </c>
      <c r="AA87" s="138"/>
    </row>
    <row r="88" spans="2:27" ht="12.95" customHeight="1" x14ac:dyDescent="0.2">
      <c r="B88" s="296">
        <f>EXTEMPORANEOS!B87</f>
        <v>46314</v>
      </c>
      <c r="C88" s="176">
        <f>EXTEMPORANEOS!C87</f>
        <v>2026102</v>
      </c>
      <c r="D88" s="177">
        <f>EXTEMPORANEOS!D87</f>
        <v>46310</v>
      </c>
      <c r="E88" s="178" t="str">
        <f>EXTEMPORANEOS!E87</f>
        <v>23D</v>
      </c>
      <c r="F88" s="175" t="str">
        <f>EXTEMPORANEOS!F87</f>
        <v>Occidente - Directa</v>
      </c>
      <c r="G88" s="178">
        <f>EXTEMPORANEOS!G87</f>
        <v>13</v>
      </c>
      <c r="H88" s="175" t="str">
        <f>EXTEMPORANEOS!H87</f>
        <v>T23 Directa - Transferencias</v>
      </c>
      <c r="I88" s="175">
        <f>EXTEMPORANEOS!I87</f>
        <v>230887267</v>
      </c>
      <c r="J88" s="179">
        <f>EXTEMPORANEOS!J87</f>
        <v>6</v>
      </c>
      <c r="K88" s="179">
        <f>EXTEMPORANEOS!K87</f>
        <v>9805863</v>
      </c>
      <c r="L88" s="179">
        <f>EXTEMPORANEOS!L87</f>
        <v>1</v>
      </c>
      <c r="M88" s="179">
        <f>EXTEMPORANEOS!M87</f>
        <v>951170</v>
      </c>
      <c r="N88" s="179">
        <f>EXTEMPORANEOS!N87</f>
        <v>0</v>
      </c>
      <c r="O88" s="179">
        <f>EXTEMPORANEOS!O87</f>
        <v>0</v>
      </c>
      <c r="P88" s="179">
        <f>EXTEMPORANEOS!P87</f>
        <v>7</v>
      </c>
      <c r="Q88" s="179">
        <f>EXTEMPORANEOS!Q87</f>
        <v>392910</v>
      </c>
      <c r="R88" s="180">
        <f>EXTEMPORANEOS!R87</f>
        <v>0</v>
      </c>
      <c r="S88" s="180">
        <f>EXTEMPORANEOS!S87</f>
        <v>0</v>
      </c>
      <c r="T88" s="181">
        <f>EXTEMPORANEOS!T87</f>
        <v>14</v>
      </c>
      <c r="U88" s="182">
        <f>EXTEMPORANEOS!U87</f>
        <v>11149943</v>
      </c>
      <c r="V88" s="179">
        <f>EXTEMPORANEOS!V87</f>
        <v>14</v>
      </c>
      <c r="W88" s="179">
        <f>EXTEMPORANEOS!W87</f>
        <v>11149943</v>
      </c>
      <c r="X88" s="182">
        <f>EXTEMPORANEOS!X87</f>
        <v>0</v>
      </c>
      <c r="Y88" s="297">
        <f>EXTEMPORANEOS!Y87</f>
        <v>0</v>
      </c>
      <c r="AA88" s="138"/>
    </row>
    <row r="89" spans="2:27" ht="12.95" customHeight="1" x14ac:dyDescent="0.2">
      <c r="B89" s="296">
        <f>EXTEMPORANEOS!B88</f>
        <v>46314</v>
      </c>
      <c r="C89" s="176">
        <f>EXTEMPORANEOS!C88</f>
        <v>2026102</v>
      </c>
      <c r="D89" s="177">
        <f>EXTEMPORANEOS!D88</f>
        <v>46265</v>
      </c>
      <c r="E89" s="178" t="str">
        <f>EXTEMPORANEOS!E88</f>
        <v>23D</v>
      </c>
      <c r="F89" s="175" t="str">
        <f>EXTEMPORANEOS!F88</f>
        <v>Occidente - Directa</v>
      </c>
      <c r="G89" s="178">
        <f>EXTEMPORANEOS!G88</f>
        <v>13</v>
      </c>
      <c r="H89" s="175" t="str">
        <f>EXTEMPORANEOS!H88</f>
        <v>T23 Directa - Transferencias</v>
      </c>
      <c r="I89" s="175">
        <f>EXTEMPORANEOS!I88</f>
        <v>230887267</v>
      </c>
      <c r="J89" s="179">
        <f>EXTEMPORANEOS!J88</f>
        <v>18</v>
      </c>
      <c r="K89" s="179">
        <f>EXTEMPORANEOS!K88</f>
        <v>1236942</v>
      </c>
      <c r="L89" s="179">
        <f>EXTEMPORANEOS!L88</f>
        <v>0</v>
      </c>
      <c r="M89" s="179">
        <f>EXTEMPORANEOS!M88</f>
        <v>0</v>
      </c>
      <c r="N89" s="179">
        <f>EXTEMPORANEOS!N88</f>
        <v>0</v>
      </c>
      <c r="O89" s="179">
        <f>EXTEMPORANEOS!O88</f>
        <v>0</v>
      </c>
      <c r="P89" s="179">
        <f>EXTEMPORANEOS!P88</f>
        <v>0</v>
      </c>
      <c r="Q89" s="179">
        <f>EXTEMPORANEOS!Q88</f>
        <v>0</v>
      </c>
      <c r="R89" s="180">
        <f>EXTEMPORANEOS!R88</f>
        <v>0</v>
      </c>
      <c r="S89" s="180">
        <f>EXTEMPORANEOS!S88</f>
        <v>0</v>
      </c>
      <c r="T89" s="181">
        <f>EXTEMPORANEOS!T88</f>
        <v>18</v>
      </c>
      <c r="U89" s="182">
        <f>EXTEMPORANEOS!U88</f>
        <v>1236942</v>
      </c>
      <c r="V89" s="179">
        <f>EXTEMPORANEOS!V88</f>
        <v>18</v>
      </c>
      <c r="W89" s="179">
        <f>EXTEMPORANEOS!W88</f>
        <v>1236942</v>
      </c>
      <c r="X89" s="182">
        <f>EXTEMPORANEOS!X88</f>
        <v>0</v>
      </c>
      <c r="Y89" s="297">
        <f>EXTEMPORANEOS!Y88</f>
        <v>0</v>
      </c>
      <c r="AA89" s="138"/>
    </row>
    <row r="90" spans="2:27" ht="12.95" customHeight="1" x14ac:dyDescent="0.2">
      <c r="B90" s="296">
        <f>EXTEMPORANEOS!B89</f>
        <v>46314</v>
      </c>
      <c r="C90" s="176">
        <f>EXTEMPORANEOS!C89</f>
        <v>2026102</v>
      </c>
      <c r="D90" s="177">
        <f>EXTEMPORANEOS!D89</f>
        <v>46293</v>
      </c>
      <c r="E90" s="178" t="str">
        <f>EXTEMPORANEOS!E89</f>
        <v>23D</v>
      </c>
      <c r="F90" s="175" t="str">
        <f>EXTEMPORANEOS!F89</f>
        <v>Occidente - Directa</v>
      </c>
      <c r="G90" s="178">
        <f>EXTEMPORANEOS!G89</f>
        <v>13</v>
      </c>
      <c r="H90" s="175" t="str">
        <f>EXTEMPORANEOS!H89</f>
        <v>T23 Directa - Transferencias</v>
      </c>
      <c r="I90" s="175">
        <f>EXTEMPORANEOS!I89</f>
        <v>230887267</v>
      </c>
      <c r="J90" s="179">
        <f>EXTEMPORANEOS!J89</f>
        <v>5</v>
      </c>
      <c r="K90" s="179">
        <f>EXTEMPORANEOS!K89</f>
        <v>343860</v>
      </c>
      <c r="L90" s="179">
        <f>EXTEMPORANEOS!L89</f>
        <v>0</v>
      </c>
      <c r="M90" s="179">
        <f>EXTEMPORANEOS!M89</f>
        <v>0</v>
      </c>
      <c r="N90" s="179">
        <f>EXTEMPORANEOS!N89</f>
        <v>0</v>
      </c>
      <c r="O90" s="179">
        <f>EXTEMPORANEOS!O89</f>
        <v>0</v>
      </c>
      <c r="P90" s="179">
        <f>EXTEMPORANEOS!P89</f>
        <v>0</v>
      </c>
      <c r="Q90" s="179">
        <f>EXTEMPORANEOS!Q89</f>
        <v>0</v>
      </c>
      <c r="R90" s="180">
        <f>EXTEMPORANEOS!R89</f>
        <v>0</v>
      </c>
      <c r="S90" s="180">
        <f>EXTEMPORANEOS!S89</f>
        <v>0</v>
      </c>
      <c r="T90" s="181">
        <f>EXTEMPORANEOS!T89</f>
        <v>5</v>
      </c>
      <c r="U90" s="182">
        <f>EXTEMPORANEOS!U89</f>
        <v>343860</v>
      </c>
      <c r="V90" s="179">
        <f>EXTEMPORANEOS!V89</f>
        <v>5</v>
      </c>
      <c r="W90" s="179">
        <f>EXTEMPORANEOS!W89</f>
        <v>343860</v>
      </c>
      <c r="X90" s="182">
        <f>EXTEMPORANEOS!X89</f>
        <v>0</v>
      </c>
      <c r="Y90" s="297">
        <f>EXTEMPORANEOS!Y89</f>
        <v>0</v>
      </c>
      <c r="AA90" s="138"/>
    </row>
    <row r="91" spans="2:27" ht="12.95" customHeight="1" x14ac:dyDescent="0.2">
      <c r="B91" s="296">
        <f>EXTEMPORANEOS!B90</f>
        <v>46314</v>
      </c>
      <c r="C91" s="176">
        <f>EXTEMPORANEOS!C90</f>
        <v>2026102</v>
      </c>
      <c r="D91" s="177">
        <f>EXTEMPORANEOS!D90</f>
        <v>46294</v>
      </c>
      <c r="E91" s="178" t="str">
        <f>EXTEMPORANEOS!E90</f>
        <v>23D</v>
      </c>
      <c r="F91" s="175" t="str">
        <f>EXTEMPORANEOS!F90</f>
        <v>Occidente - Directa</v>
      </c>
      <c r="G91" s="178">
        <f>EXTEMPORANEOS!G90</f>
        <v>13</v>
      </c>
      <c r="H91" s="175" t="str">
        <f>EXTEMPORANEOS!H90</f>
        <v>T23 Directa - Transferencias</v>
      </c>
      <c r="I91" s="175">
        <f>EXTEMPORANEOS!I90</f>
        <v>230887267</v>
      </c>
      <c r="J91" s="179">
        <f>EXTEMPORANEOS!J90</f>
        <v>5</v>
      </c>
      <c r="K91" s="179">
        <f>EXTEMPORANEOS!K90</f>
        <v>304418</v>
      </c>
      <c r="L91" s="179">
        <f>EXTEMPORANEOS!L90</f>
        <v>0</v>
      </c>
      <c r="M91" s="179">
        <f>EXTEMPORANEOS!M90</f>
        <v>0</v>
      </c>
      <c r="N91" s="179">
        <f>EXTEMPORANEOS!N90</f>
        <v>0</v>
      </c>
      <c r="O91" s="179">
        <f>EXTEMPORANEOS!O90</f>
        <v>0</v>
      </c>
      <c r="P91" s="179">
        <f>EXTEMPORANEOS!P90</f>
        <v>0</v>
      </c>
      <c r="Q91" s="179">
        <f>EXTEMPORANEOS!Q90</f>
        <v>0</v>
      </c>
      <c r="R91" s="180">
        <f>EXTEMPORANEOS!R90</f>
        <v>0</v>
      </c>
      <c r="S91" s="180">
        <f>EXTEMPORANEOS!S90</f>
        <v>0</v>
      </c>
      <c r="T91" s="181">
        <f>EXTEMPORANEOS!T90</f>
        <v>5</v>
      </c>
      <c r="U91" s="182">
        <f>EXTEMPORANEOS!U90</f>
        <v>304418</v>
      </c>
      <c r="V91" s="179">
        <f>EXTEMPORANEOS!V90</f>
        <v>5</v>
      </c>
      <c r="W91" s="179">
        <f>EXTEMPORANEOS!W90</f>
        <v>304418</v>
      </c>
      <c r="X91" s="182">
        <f>EXTEMPORANEOS!X90</f>
        <v>0</v>
      </c>
      <c r="Y91" s="297">
        <f>EXTEMPORANEOS!Y90</f>
        <v>0</v>
      </c>
      <c r="AA91" s="138"/>
    </row>
    <row r="92" spans="2:27" ht="12.95" customHeight="1" x14ac:dyDescent="0.2">
      <c r="B92" s="296">
        <f>EXTEMPORANEOS!B91</f>
        <v>46314</v>
      </c>
      <c r="C92" s="176">
        <f>EXTEMPORANEOS!C91</f>
        <v>2026102</v>
      </c>
      <c r="D92" s="177">
        <f>EXTEMPORANEOS!D91</f>
        <v>46295</v>
      </c>
      <c r="E92" s="178" t="str">
        <f>EXTEMPORANEOS!E91</f>
        <v>23D</v>
      </c>
      <c r="F92" s="175" t="str">
        <f>EXTEMPORANEOS!F91</f>
        <v>Occidente - Directa</v>
      </c>
      <c r="G92" s="178">
        <f>EXTEMPORANEOS!G91</f>
        <v>13</v>
      </c>
      <c r="H92" s="175" t="str">
        <f>EXTEMPORANEOS!H91</f>
        <v>T23 Directa - Transferencias</v>
      </c>
      <c r="I92" s="175">
        <f>EXTEMPORANEOS!I91</f>
        <v>230887267</v>
      </c>
      <c r="J92" s="179">
        <f>EXTEMPORANEOS!J91</f>
        <v>14</v>
      </c>
      <c r="K92" s="179">
        <f>EXTEMPORANEOS!K91</f>
        <v>962808</v>
      </c>
      <c r="L92" s="179">
        <f>EXTEMPORANEOS!L91</f>
        <v>0</v>
      </c>
      <c r="M92" s="179">
        <f>EXTEMPORANEOS!M91</f>
        <v>0</v>
      </c>
      <c r="N92" s="179">
        <f>EXTEMPORANEOS!N91</f>
        <v>0</v>
      </c>
      <c r="O92" s="179">
        <f>EXTEMPORANEOS!O91</f>
        <v>0</v>
      </c>
      <c r="P92" s="179">
        <f>EXTEMPORANEOS!P91</f>
        <v>0</v>
      </c>
      <c r="Q92" s="179">
        <f>EXTEMPORANEOS!Q91</f>
        <v>0</v>
      </c>
      <c r="R92" s="180">
        <f>EXTEMPORANEOS!R91</f>
        <v>0</v>
      </c>
      <c r="S92" s="180">
        <f>EXTEMPORANEOS!S91</f>
        <v>0</v>
      </c>
      <c r="T92" s="181">
        <f>EXTEMPORANEOS!T91</f>
        <v>14</v>
      </c>
      <c r="U92" s="182">
        <f>EXTEMPORANEOS!U91</f>
        <v>962808</v>
      </c>
      <c r="V92" s="179">
        <f>EXTEMPORANEOS!V91</f>
        <v>14</v>
      </c>
      <c r="W92" s="179">
        <f>EXTEMPORANEOS!W91</f>
        <v>962808</v>
      </c>
      <c r="X92" s="182">
        <f>EXTEMPORANEOS!X91</f>
        <v>0</v>
      </c>
      <c r="Y92" s="297">
        <f>EXTEMPORANEOS!Y91</f>
        <v>0</v>
      </c>
      <c r="AA92" s="138"/>
    </row>
    <row r="93" spans="2:27" ht="12.95" customHeight="1" x14ac:dyDescent="0.2">
      <c r="B93" s="296">
        <f>EXTEMPORANEOS!B92</f>
        <v>46315</v>
      </c>
      <c r="C93" s="176">
        <f>EXTEMPORANEOS!C92</f>
        <v>2026102</v>
      </c>
      <c r="D93" s="177">
        <f>EXTEMPORANEOS!D92</f>
        <v>46191</v>
      </c>
      <c r="E93" s="178" t="str">
        <f>EXTEMPORANEOS!E92</f>
        <v>23D</v>
      </c>
      <c r="F93" s="175" t="str">
        <f>EXTEMPORANEOS!F92</f>
        <v>Occidente - Directa</v>
      </c>
      <c r="G93" s="178">
        <f>EXTEMPORANEOS!G92</f>
        <v>13</v>
      </c>
      <c r="H93" s="175" t="str">
        <f>EXTEMPORANEOS!H92</f>
        <v>T23 Directa - Transferencias</v>
      </c>
      <c r="I93" s="175">
        <f>EXTEMPORANEOS!I92</f>
        <v>230887267</v>
      </c>
      <c r="J93" s="179">
        <f>EXTEMPORANEOS!J92</f>
        <v>0</v>
      </c>
      <c r="K93" s="179">
        <f>EXTEMPORANEOS!K92</f>
        <v>0</v>
      </c>
      <c r="L93" s="179">
        <f>EXTEMPORANEOS!L92</f>
        <v>1</v>
      </c>
      <c r="M93" s="179">
        <f>EXTEMPORANEOS!M92</f>
        <v>88850</v>
      </c>
      <c r="N93" s="179">
        <f>EXTEMPORANEOS!N92</f>
        <v>0</v>
      </c>
      <c r="O93" s="179">
        <f>EXTEMPORANEOS!O92</f>
        <v>0</v>
      </c>
      <c r="P93" s="179">
        <f>EXTEMPORANEOS!P92</f>
        <v>0</v>
      </c>
      <c r="Q93" s="179">
        <f>EXTEMPORANEOS!Q92</f>
        <v>0</v>
      </c>
      <c r="R93" s="180">
        <f>EXTEMPORANEOS!R92</f>
        <v>0</v>
      </c>
      <c r="S93" s="180">
        <f>EXTEMPORANEOS!S92</f>
        <v>0</v>
      </c>
      <c r="T93" s="181">
        <f>EXTEMPORANEOS!T92</f>
        <v>1</v>
      </c>
      <c r="U93" s="182">
        <f>EXTEMPORANEOS!U92</f>
        <v>88850</v>
      </c>
      <c r="V93" s="179">
        <f>EXTEMPORANEOS!V92</f>
        <v>1</v>
      </c>
      <c r="W93" s="179">
        <f>EXTEMPORANEOS!W92</f>
        <v>88850</v>
      </c>
      <c r="X93" s="182">
        <f>EXTEMPORANEOS!X92</f>
        <v>0</v>
      </c>
      <c r="Y93" s="297">
        <f>EXTEMPORANEOS!Y92</f>
        <v>0</v>
      </c>
      <c r="AA93" s="138"/>
    </row>
    <row r="94" spans="2:27" ht="12.95" customHeight="1" x14ac:dyDescent="0.2">
      <c r="B94" s="296">
        <f>EXTEMPORANEOS!B93</f>
        <v>46315</v>
      </c>
      <c r="C94" s="176">
        <f>EXTEMPORANEOS!C93</f>
        <v>2026102</v>
      </c>
      <c r="D94" s="177">
        <f>EXTEMPORANEOS!D93</f>
        <v>46219</v>
      </c>
      <c r="E94" s="178" t="str">
        <f>EXTEMPORANEOS!E93</f>
        <v>23D</v>
      </c>
      <c r="F94" s="175" t="str">
        <f>EXTEMPORANEOS!F93</f>
        <v>Occidente - Directa</v>
      </c>
      <c r="G94" s="178">
        <f>EXTEMPORANEOS!G93</f>
        <v>13</v>
      </c>
      <c r="H94" s="175" t="str">
        <f>EXTEMPORANEOS!H93</f>
        <v>T23 Directa - Transferencias</v>
      </c>
      <c r="I94" s="175">
        <f>EXTEMPORANEOS!I93</f>
        <v>230887267</v>
      </c>
      <c r="J94" s="179">
        <f>EXTEMPORANEOS!J93</f>
        <v>0</v>
      </c>
      <c r="K94" s="179">
        <f>EXTEMPORANEOS!K93</f>
        <v>0</v>
      </c>
      <c r="L94" s="179">
        <f>EXTEMPORANEOS!L93</f>
        <v>1</v>
      </c>
      <c r="M94" s="179">
        <f>EXTEMPORANEOS!M93</f>
        <v>90260</v>
      </c>
      <c r="N94" s="179">
        <f>EXTEMPORANEOS!N93</f>
        <v>0</v>
      </c>
      <c r="O94" s="179">
        <f>EXTEMPORANEOS!O93</f>
        <v>0</v>
      </c>
      <c r="P94" s="179">
        <f>EXTEMPORANEOS!P93</f>
        <v>0</v>
      </c>
      <c r="Q94" s="179">
        <f>EXTEMPORANEOS!Q93</f>
        <v>0</v>
      </c>
      <c r="R94" s="180">
        <f>EXTEMPORANEOS!R93</f>
        <v>0</v>
      </c>
      <c r="S94" s="180">
        <f>EXTEMPORANEOS!S93</f>
        <v>0</v>
      </c>
      <c r="T94" s="181">
        <f>EXTEMPORANEOS!T93</f>
        <v>1</v>
      </c>
      <c r="U94" s="182">
        <f>EXTEMPORANEOS!U93</f>
        <v>90260</v>
      </c>
      <c r="V94" s="179">
        <f>EXTEMPORANEOS!V93</f>
        <v>1</v>
      </c>
      <c r="W94" s="179">
        <f>EXTEMPORANEOS!W93</f>
        <v>90260</v>
      </c>
      <c r="X94" s="182">
        <f>EXTEMPORANEOS!X93</f>
        <v>0</v>
      </c>
      <c r="Y94" s="297">
        <f>EXTEMPORANEOS!Y93</f>
        <v>0</v>
      </c>
      <c r="AA94" s="138"/>
    </row>
    <row r="95" spans="2:27" ht="12.95" customHeight="1" x14ac:dyDescent="0.2">
      <c r="B95" s="296">
        <f>EXTEMPORANEOS!B94</f>
        <v>46315</v>
      </c>
      <c r="C95" s="176">
        <f>EXTEMPORANEOS!C94</f>
        <v>2026102</v>
      </c>
      <c r="D95" s="177">
        <f>EXTEMPORANEOS!D94</f>
        <v>46255</v>
      </c>
      <c r="E95" s="178" t="str">
        <f>EXTEMPORANEOS!E94</f>
        <v>23D</v>
      </c>
      <c r="F95" s="175" t="str">
        <f>EXTEMPORANEOS!F94</f>
        <v>Occidente - Directa</v>
      </c>
      <c r="G95" s="178">
        <f>EXTEMPORANEOS!G94</f>
        <v>13</v>
      </c>
      <c r="H95" s="175" t="str">
        <f>EXTEMPORANEOS!H94</f>
        <v>T23 Directa - Transferencias</v>
      </c>
      <c r="I95" s="175">
        <f>EXTEMPORANEOS!I94</f>
        <v>230887267</v>
      </c>
      <c r="J95" s="179">
        <f>EXTEMPORANEOS!J94</f>
        <v>0</v>
      </c>
      <c r="K95" s="179">
        <f>EXTEMPORANEOS!K94</f>
        <v>0</v>
      </c>
      <c r="L95" s="179">
        <f>EXTEMPORANEOS!L94</f>
        <v>1</v>
      </c>
      <c r="M95" s="179">
        <f>EXTEMPORANEOS!M94</f>
        <v>154120</v>
      </c>
      <c r="N95" s="179">
        <f>EXTEMPORANEOS!N94</f>
        <v>0</v>
      </c>
      <c r="O95" s="179">
        <f>EXTEMPORANEOS!O94</f>
        <v>0</v>
      </c>
      <c r="P95" s="179">
        <f>EXTEMPORANEOS!P94</f>
        <v>0</v>
      </c>
      <c r="Q95" s="179">
        <f>EXTEMPORANEOS!Q94</f>
        <v>0</v>
      </c>
      <c r="R95" s="180">
        <f>EXTEMPORANEOS!R94</f>
        <v>0</v>
      </c>
      <c r="S95" s="180">
        <f>EXTEMPORANEOS!S94</f>
        <v>0</v>
      </c>
      <c r="T95" s="181">
        <f>EXTEMPORANEOS!T94</f>
        <v>1</v>
      </c>
      <c r="U95" s="182">
        <f>EXTEMPORANEOS!U94</f>
        <v>154120</v>
      </c>
      <c r="V95" s="179">
        <f>EXTEMPORANEOS!V94</f>
        <v>1</v>
      </c>
      <c r="W95" s="179">
        <f>EXTEMPORANEOS!W94</f>
        <v>154120</v>
      </c>
      <c r="X95" s="182">
        <f>EXTEMPORANEOS!X94</f>
        <v>0</v>
      </c>
      <c r="Y95" s="297">
        <f>EXTEMPORANEOS!Y94</f>
        <v>0</v>
      </c>
      <c r="AA95" s="138"/>
    </row>
    <row r="96" spans="2:27" ht="12.95" customHeight="1" x14ac:dyDescent="0.2">
      <c r="B96" s="296">
        <f>EXTEMPORANEOS!B95</f>
        <v>46315</v>
      </c>
      <c r="C96" s="176">
        <f>EXTEMPORANEOS!C95</f>
        <v>2026102</v>
      </c>
      <c r="D96" s="177">
        <f>EXTEMPORANEOS!D95</f>
        <v>46272</v>
      </c>
      <c r="E96" s="178" t="str">
        <f>EXTEMPORANEOS!E95</f>
        <v>23D</v>
      </c>
      <c r="F96" s="175" t="str">
        <f>EXTEMPORANEOS!F95</f>
        <v>Occidente - Directa</v>
      </c>
      <c r="G96" s="178">
        <f>EXTEMPORANEOS!G95</f>
        <v>13</v>
      </c>
      <c r="H96" s="175" t="str">
        <f>EXTEMPORANEOS!H95</f>
        <v>T23 Directa - Transferencias</v>
      </c>
      <c r="I96" s="175">
        <f>EXTEMPORANEOS!I95</f>
        <v>230887267</v>
      </c>
      <c r="J96" s="179">
        <f>EXTEMPORANEOS!J95</f>
        <v>0</v>
      </c>
      <c r="K96" s="179">
        <f>EXTEMPORANEOS!K95</f>
        <v>0</v>
      </c>
      <c r="L96" s="179">
        <f>EXTEMPORANEOS!L95</f>
        <v>2</v>
      </c>
      <c r="M96" s="179">
        <f>EXTEMPORANEOS!M95</f>
        <v>887440</v>
      </c>
      <c r="N96" s="179">
        <f>EXTEMPORANEOS!N95</f>
        <v>0</v>
      </c>
      <c r="O96" s="179">
        <f>EXTEMPORANEOS!O95</f>
        <v>0</v>
      </c>
      <c r="P96" s="179">
        <f>EXTEMPORANEOS!P95</f>
        <v>0</v>
      </c>
      <c r="Q96" s="179">
        <f>EXTEMPORANEOS!Q95</f>
        <v>0</v>
      </c>
      <c r="R96" s="180">
        <f>EXTEMPORANEOS!R95</f>
        <v>0</v>
      </c>
      <c r="S96" s="180">
        <f>EXTEMPORANEOS!S95</f>
        <v>0</v>
      </c>
      <c r="T96" s="181">
        <f>EXTEMPORANEOS!T95</f>
        <v>2</v>
      </c>
      <c r="U96" s="182">
        <f>EXTEMPORANEOS!U95</f>
        <v>887440</v>
      </c>
      <c r="V96" s="179">
        <f>EXTEMPORANEOS!V95</f>
        <v>2</v>
      </c>
      <c r="W96" s="179">
        <f>EXTEMPORANEOS!W95</f>
        <v>887440</v>
      </c>
      <c r="X96" s="182">
        <f>EXTEMPORANEOS!X95</f>
        <v>0</v>
      </c>
      <c r="Y96" s="297">
        <f>EXTEMPORANEOS!Y95</f>
        <v>0</v>
      </c>
      <c r="AA96" s="138"/>
    </row>
    <row r="97" spans="2:27" ht="12.95" customHeight="1" x14ac:dyDescent="0.2">
      <c r="B97" s="296">
        <f>EXTEMPORANEOS!B96</f>
        <v>46315</v>
      </c>
      <c r="C97" s="176">
        <f>EXTEMPORANEOS!C96</f>
        <v>2026102</v>
      </c>
      <c r="D97" s="177">
        <f>EXTEMPORANEOS!D96</f>
        <v>46283</v>
      </c>
      <c r="E97" s="178" t="str">
        <f>EXTEMPORANEOS!E96</f>
        <v>23D</v>
      </c>
      <c r="F97" s="175" t="str">
        <f>EXTEMPORANEOS!F96</f>
        <v>Occidente - Directa</v>
      </c>
      <c r="G97" s="178">
        <f>EXTEMPORANEOS!G96</f>
        <v>13</v>
      </c>
      <c r="H97" s="175" t="str">
        <f>EXTEMPORANEOS!H96</f>
        <v>T23 Directa - Transferencias</v>
      </c>
      <c r="I97" s="175">
        <f>EXTEMPORANEOS!I96</f>
        <v>230887267</v>
      </c>
      <c r="J97" s="179">
        <f>EXTEMPORANEOS!J96</f>
        <v>0</v>
      </c>
      <c r="K97" s="179">
        <f>EXTEMPORANEOS!K96</f>
        <v>0</v>
      </c>
      <c r="L97" s="179">
        <f>EXTEMPORANEOS!L96</f>
        <v>1</v>
      </c>
      <c r="M97" s="179">
        <f>EXTEMPORANEOS!M96</f>
        <v>309940</v>
      </c>
      <c r="N97" s="179">
        <f>EXTEMPORANEOS!N96</f>
        <v>0</v>
      </c>
      <c r="O97" s="179">
        <f>EXTEMPORANEOS!O96</f>
        <v>0</v>
      </c>
      <c r="P97" s="179">
        <f>EXTEMPORANEOS!P96</f>
        <v>0</v>
      </c>
      <c r="Q97" s="179">
        <f>EXTEMPORANEOS!Q96</f>
        <v>0</v>
      </c>
      <c r="R97" s="180">
        <f>EXTEMPORANEOS!R96</f>
        <v>0</v>
      </c>
      <c r="S97" s="180">
        <f>EXTEMPORANEOS!S96</f>
        <v>0</v>
      </c>
      <c r="T97" s="181">
        <f>EXTEMPORANEOS!T96</f>
        <v>1</v>
      </c>
      <c r="U97" s="182">
        <f>EXTEMPORANEOS!U96</f>
        <v>309940</v>
      </c>
      <c r="V97" s="179">
        <f>EXTEMPORANEOS!V96</f>
        <v>1</v>
      </c>
      <c r="W97" s="179">
        <f>EXTEMPORANEOS!W96</f>
        <v>309940</v>
      </c>
      <c r="X97" s="182">
        <f>EXTEMPORANEOS!X96</f>
        <v>0</v>
      </c>
      <c r="Y97" s="297">
        <f>EXTEMPORANEOS!Y96</f>
        <v>0</v>
      </c>
      <c r="AA97" s="138"/>
    </row>
    <row r="98" spans="2:27" ht="12.95" customHeight="1" x14ac:dyDescent="0.2">
      <c r="B98" s="296">
        <f>EXTEMPORANEOS!B97</f>
        <v>46315</v>
      </c>
      <c r="C98" s="176">
        <f>EXTEMPORANEOS!C97</f>
        <v>2026102</v>
      </c>
      <c r="D98" s="177">
        <f>EXTEMPORANEOS!D97</f>
        <v>46308</v>
      </c>
      <c r="E98" s="178" t="str">
        <f>EXTEMPORANEOS!E97</f>
        <v>23D</v>
      </c>
      <c r="F98" s="175" t="str">
        <f>EXTEMPORANEOS!F97</f>
        <v>Occidente - Directa</v>
      </c>
      <c r="G98" s="178">
        <f>EXTEMPORANEOS!G97</f>
        <v>13</v>
      </c>
      <c r="H98" s="175" t="str">
        <f>EXTEMPORANEOS!H97</f>
        <v>T23 Directa - Transferencias</v>
      </c>
      <c r="I98" s="175">
        <f>EXTEMPORANEOS!I97</f>
        <v>230887267</v>
      </c>
      <c r="J98" s="179">
        <f>EXTEMPORANEOS!J97</f>
        <v>5</v>
      </c>
      <c r="K98" s="179">
        <f>EXTEMPORANEOS!K97</f>
        <v>424560</v>
      </c>
      <c r="L98" s="179">
        <f>EXTEMPORANEOS!L97</f>
        <v>9</v>
      </c>
      <c r="M98" s="179">
        <f>EXTEMPORANEOS!M97</f>
        <v>2027280</v>
      </c>
      <c r="N98" s="179">
        <f>EXTEMPORANEOS!N97</f>
        <v>1</v>
      </c>
      <c r="O98" s="179">
        <f>EXTEMPORANEOS!O97</f>
        <v>277510</v>
      </c>
      <c r="P98" s="179">
        <f>EXTEMPORANEOS!P97</f>
        <v>3</v>
      </c>
      <c r="Q98" s="179">
        <f>EXTEMPORANEOS!Q97</f>
        <v>167550</v>
      </c>
      <c r="R98" s="180">
        <f>EXTEMPORANEOS!R97</f>
        <v>3</v>
      </c>
      <c r="S98" s="180">
        <f>EXTEMPORANEOS!S97</f>
        <v>251760</v>
      </c>
      <c r="T98" s="181">
        <f>EXTEMPORANEOS!T97</f>
        <v>21</v>
      </c>
      <c r="U98" s="182">
        <f>EXTEMPORANEOS!U97</f>
        <v>3148660</v>
      </c>
      <c r="V98" s="179">
        <f>EXTEMPORANEOS!V97</f>
        <v>21</v>
      </c>
      <c r="W98" s="179">
        <f>EXTEMPORANEOS!W97</f>
        <v>3148660</v>
      </c>
      <c r="X98" s="182">
        <f>EXTEMPORANEOS!X97</f>
        <v>0</v>
      </c>
      <c r="Y98" s="297">
        <f>EXTEMPORANEOS!Y97</f>
        <v>0</v>
      </c>
      <c r="AA98" s="138"/>
    </row>
    <row r="99" spans="2:27" ht="12.95" customHeight="1" x14ac:dyDescent="0.2">
      <c r="B99" s="296">
        <f>EXTEMPORANEOS!B98</f>
        <v>46315</v>
      </c>
      <c r="C99" s="176">
        <f>EXTEMPORANEOS!C98</f>
        <v>2026102</v>
      </c>
      <c r="D99" s="177">
        <f>EXTEMPORANEOS!D98</f>
        <v>46309</v>
      </c>
      <c r="E99" s="178" t="str">
        <f>EXTEMPORANEOS!E98</f>
        <v>23D</v>
      </c>
      <c r="F99" s="175" t="str">
        <f>EXTEMPORANEOS!F98</f>
        <v>Occidente - Directa</v>
      </c>
      <c r="G99" s="178">
        <f>EXTEMPORANEOS!G98</f>
        <v>13</v>
      </c>
      <c r="H99" s="175" t="str">
        <f>EXTEMPORANEOS!H98</f>
        <v>T23 Directa - Transferencias</v>
      </c>
      <c r="I99" s="175">
        <f>EXTEMPORANEOS!I98</f>
        <v>230887267</v>
      </c>
      <c r="J99" s="179">
        <f>EXTEMPORANEOS!J98</f>
        <v>0</v>
      </c>
      <c r="K99" s="179">
        <f>EXTEMPORANEOS!K98</f>
        <v>0</v>
      </c>
      <c r="L99" s="179">
        <f>EXTEMPORANEOS!L98</f>
        <v>0</v>
      </c>
      <c r="M99" s="179">
        <f>EXTEMPORANEOS!M98</f>
        <v>0</v>
      </c>
      <c r="N99" s="179">
        <f>EXTEMPORANEOS!N98</f>
        <v>2</v>
      </c>
      <c r="O99" s="179">
        <f>EXTEMPORANEOS!O98</f>
        <v>1532490</v>
      </c>
      <c r="P99" s="179">
        <f>EXTEMPORANEOS!P98</f>
        <v>0</v>
      </c>
      <c r="Q99" s="179">
        <f>EXTEMPORANEOS!Q98</f>
        <v>0</v>
      </c>
      <c r="R99" s="180">
        <f>EXTEMPORANEOS!R98</f>
        <v>0</v>
      </c>
      <c r="S99" s="180">
        <f>EXTEMPORANEOS!S98</f>
        <v>0</v>
      </c>
      <c r="T99" s="181">
        <f>EXTEMPORANEOS!T98</f>
        <v>2</v>
      </c>
      <c r="U99" s="182">
        <f>EXTEMPORANEOS!U98</f>
        <v>1532490</v>
      </c>
      <c r="V99" s="179">
        <f>EXTEMPORANEOS!V98</f>
        <v>2</v>
      </c>
      <c r="W99" s="179">
        <f>EXTEMPORANEOS!W98</f>
        <v>1532490</v>
      </c>
      <c r="X99" s="182">
        <f>EXTEMPORANEOS!X98</f>
        <v>0</v>
      </c>
      <c r="Y99" s="297">
        <f>EXTEMPORANEOS!Y98</f>
        <v>0</v>
      </c>
      <c r="AA99" s="138"/>
    </row>
    <row r="100" spans="2:27" ht="12.95" customHeight="1" x14ac:dyDescent="0.2">
      <c r="B100" s="296">
        <f>EXTEMPORANEOS!B99</f>
        <v>46315</v>
      </c>
      <c r="C100" s="176">
        <f>EXTEMPORANEOS!C99</f>
        <v>2026102</v>
      </c>
      <c r="D100" s="177">
        <f>EXTEMPORANEOS!D99</f>
        <v>46310</v>
      </c>
      <c r="E100" s="178" t="str">
        <f>EXTEMPORANEOS!E99</f>
        <v>23D</v>
      </c>
      <c r="F100" s="175" t="str">
        <f>EXTEMPORANEOS!F99</f>
        <v>Occidente - Directa</v>
      </c>
      <c r="G100" s="178">
        <f>EXTEMPORANEOS!G99</f>
        <v>13</v>
      </c>
      <c r="H100" s="175" t="str">
        <f>EXTEMPORANEOS!H99</f>
        <v>T23 Directa - Transferencias</v>
      </c>
      <c r="I100" s="175">
        <f>EXTEMPORANEOS!I99</f>
        <v>230887267</v>
      </c>
      <c r="J100" s="179">
        <f>EXTEMPORANEOS!J99</f>
        <v>26</v>
      </c>
      <c r="K100" s="179">
        <f>EXTEMPORANEOS!K99</f>
        <v>6950210</v>
      </c>
      <c r="L100" s="179">
        <f>EXTEMPORANEOS!L99</f>
        <v>11</v>
      </c>
      <c r="M100" s="179">
        <f>EXTEMPORANEOS!M99</f>
        <v>44803728</v>
      </c>
      <c r="N100" s="179">
        <f>EXTEMPORANEOS!N99</f>
        <v>0</v>
      </c>
      <c r="O100" s="179">
        <f>EXTEMPORANEOS!O99</f>
        <v>0</v>
      </c>
      <c r="P100" s="179">
        <f>EXTEMPORANEOS!P99</f>
        <v>0</v>
      </c>
      <c r="Q100" s="179">
        <f>EXTEMPORANEOS!Q99</f>
        <v>0</v>
      </c>
      <c r="R100" s="180">
        <f>EXTEMPORANEOS!R99</f>
        <v>0</v>
      </c>
      <c r="S100" s="180">
        <f>EXTEMPORANEOS!S99</f>
        <v>0</v>
      </c>
      <c r="T100" s="181">
        <f>EXTEMPORANEOS!T99</f>
        <v>37</v>
      </c>
      <c r="U100" s="182">
        <f>EXTEMPORANEOS!U99</f>
        <v>51753938</v>
      </c>
      <c r="V100" s="179">
        <f>EXTEMPORANEOS!V99</f>
        <v>37</v>
      </c>
      <c r="W100" s="179">
        <f>EXTEMPORANEOS!W99</f>
        <v>51753938</v>
      </c>
      <c r="X100" s="182">
        <f>EXTEMPORANEOS!X99</f>
        <v>0</v>
      </c>
      <c r="Y100" s="297">
        <f>EXTEMPORANEOS!Y99</f>
        <v>0</v>
      </c>
      <c r="AA100" s="138"/>
    </row>
    <row r="101" spans="2:27" ht="12.95" customHeight="1" x14ac:dyDescent="0.2">
      <c r="B101" s="296">
        <f>EXTEMPORANEOS!B100</f>
        <v>0</v>
      </c>
      <c r="C101" s="176">
        <f>EXTEMPORANEOS!C100</f>
        <v>2026102</v>
      </c>
      <c r="D101" s="177">
        <f>EXTEMPORANEOS!D100</f>
        <v>0</v>
      </c>
      <c r="E101" s="178" t="str">
        <f>EXTEMPORANEOS!E100</f>
        <v>23D</v>
      </c>
      <c r="F101" s="175" t="str">
        <f>EXTEMPORANEOS!F100</f>
        <v>Occidente - Directa</v>
      </c>
      <c r="G101" s="178">
        <f>EXTEMPORANEOS!G100</f>
        <v>13</v>
      </c>
      <c r="H101" s="175" t="str">
        <f>EXTEMPORANEOS!H100</f>
        <v>T23 Directa - Transferencias</v>
      </c>
      <c r="I101" s="175">
        <f>EXTEMPORANEOS!I100</f>
        <v>230887267</v>
      </c>
      <c r="J101" s="179">
        <f>EXTEMPORANEOS!J100</f>
        <v>0</v>
      </c>
      <c r="K101" s="179">
        <f>EXTEMPORANEOS!K100</f>
        <v>0</v>
      </c>
      <c r="L101" s="179">
        <f>EXTEMPORANEOS!L100</f>
        <v>0</v>
      </c>
      <c r="M101" s="179">
        <f>EXTEMPORANEOS!M100</f>
        <v>0</v>
      </c>
      <c r="N101" s="179">
        <f>EXTEMPORANEOS!N100</f>
        <v>0</v>
      </c>
      <c r="O101" s="179">
        <f>EXTEMPORANEOS!O100</f>
        <v>0</v>
      </c>
      <c r="P101" s="179">
        <f>EXTEMPORANEOS!P100</f>
        <v>0</v>
      </c>
      <c r="Q101" s="179">
        <f>EXTEMPORANEOS!Q100</f>
        <v>0</v>
      </c>
      <c r="R101" s="180">
        <f>EXTEMPORANEOS!R100</f>
        <v>0</v>
      </c>
      <c r="S101" s="180">
        <f>EXTEMPORANEOS!S100</f>
        <v>0</v>
      </c>
      <c r="T101" s="181">
        <f>EXTEMPORANEOS!T100</f>
        <v>0</v>
      </c>
      <c r="U101" s="182">
        <f>EXTEMPORANEOS!U100</f>
        <v>0</v>
      </c>
      <c r="V101" s="179">
        <f>EXTEMPORANEOS!V100</f>
        <v>0</v>
      </c>
      <c r="W101" s="179">
        <f>EXTEMPORANEOS!W100</f>
        <v>0</v>
      </c>
      <c r="X101" s="182">
        <f>EXTEMPORANEOS!X100</f>
        <v>0</v>
      </c>
      <c r="Y101" s="297">
        <f>EXTEMPORANEOS!Y100</f>
        <v>0</v>
      </c>
      <c r="AA101" s="138"/>
    </row>
    <row r="102" spans="2:27" ht="12.95" customHeight="1" x14ac:dyDescent="0.2">
      <c r="B102" s="296">
        <f>EXTEMPORANEOS!B101</f>
        <v>0</v>
      </c>
      <c r="C102" s="176">
        <f>EXTEMPORANEOS!C101</f>
        <v>2026102</v>
      </c>
      <c r="D102" s="177">
        <f>EXTEMPORANEOS!D101</f>
        <v>0</v>
      </c>
      <c r="E102" s="178" t="str">
        <f>EXTEMPORANEOS!E101</f>
        <v>23D</v>
      </c>
      <c r="F102" s="175" t="str">
        <f>EXTEMPORANEOS!F101</f>
        <v>Occidente - Directa</v>
      </c>
      <c r="G102" s="178">
        <f>EXTEMPORANEOS!G101</f>
        <v>13</v>
      </c>
      <c r="H102" s="175" t="str">
        <f>EXTEMPORANEOS!H101</f>
        <v>T23 Directa - Transferencias</v>
      </c>
      <c r="I102" s="175">
        <f>EXTEMPORANEOS!I101</f>
        <v>230887267</v>
      </c>
      <c r="J102" s="179">
        <f>EXTEMPORANEOS!J101</f>
        <v>0</v>
      </c>
      <c r="K102" s="179">
        <f>EXTEMPORANEOS!K101</f>
        <v>0</v>
      </c>
      <c r="L102" s="179">
        <f>EXTEMPORANEOS!L101</f>
        <v>0</v>
      </c>
      <c r="M102" s="179">
        <f>EXTEMPORANEOS!M101</f>
        <v>0</v>
      </c>
      <c r="N102" s="179">
        <f>EXTEMPORANEOS!N101</f>
        <v>0</v>
      </c>
      <c r="O102" s="179">
        <f>EXTEMPORANEOS!O101</f>
        <v>0</v>
      </c>
      <c r="P102" s="179">
        <f>EXTEMPORANEOS!P101</f>
        <v>0</v>
      </c>
      <c r="Q102" s="179">
        <f>EXTEMPORANEOS!Q101</f>
        <v>0</v>
      </c>
      <c r="R102" s="180">
        <f>EXTEMPORANEOS!R101</f>
        <v>0</v>
      </c>
      <c r="S102" s="180">
        <f>EXTEMPORANEOS!S101</f>
        <v>0</v>
      </c>
      <c r="T102" s="181">
        <f>EXTEMPORANEOS!T101</f>
        <v>0</v>
      </c>
      <c r="U102" s="182">
        <f>EXTEMPORANEOS!U101</f>
        <v>0</v>
      </c>
      <c r="V102" s="179">
        <f>EXTEMPORANEOS!V101</f>
        <v>0</v>
      </c>
      <c r="W102" s="179">
        <f>EXTEMPORANEOS!W101</f>
        <v>0</v>
      </c>
      <c r="X102" s="182">
        <f>EXTEMPORANEOS!X101</f>
        <v>0</v>
      </c>
      <c r="Y102" s="297">
        <f>EXTEMPORANEOS!Y101</f>
        <v>0</v>
      </c>
      <c r="AA102" s="138"/>
    </row>
    <row r="103" spans="2:27" ht="12.95" customHeight="1" x14ac:dyDescent="0.2">
      <c r="B103" s="296">
        <f>EXTEMPORANEOS!B102</f>
        <v>0</v>
      </c>
      <c r="C103" s="176">
        <f>EXTEMPORANEOS!C102</f>
        <v>2026102</v>
      </c>
      <c r="D103" s="177">
        <f>EXTEMPORANEOS!D102</f>
        <v>0</v>
      </c>
      <c r="E103" s="178" t="str">
        <f>EXTEMPORANEOS!E102</f>
        <v>23D</v>
      </c>
      <c r="F103" s="175" t="str">
        <f>EXTEMPORANEOS!F102</f>
        <v>Occidente - Directa</v>
      </c>
      <c r="G103" s="178">
        <f>EXTEMPORANEOS!G102</f>
        <v>13</v>
      </c>
      <c r="H103" s="175" t="str">
        <f>EXTEMPORANEOS!H102</f>
        <v>T23 Directa - Transferencias</v>
      </c>
      <c r="I103" s="175">
        <f>EXTEMPORANEOS!I102</f>
        <v>230887267</v>
      </c>
      <c r="J103" s="179">
        <f>EXTEMPORANEOS!J102</f>
        <v>0</v>
      </c>
      <c r="K103" s="179">
        <f>EXTEMPORANEOS!K102</f>
        <v>0</v>
      </c>
      <c r="L103" s="179">
        <f>EXTEMPORANEOS!L102</f>
        <v>0</v>
      </c>
      <c r="M103" s="179">
        <f>EXTEMPORANEOS!M102</f>
        <v>0</v>
      </c>
      <c r="N103" s="179">
        <f>EXTEMPORANEOS!N102</f>
        <v>0</v>
      </c>
      <c r="O103" s="179">
        <f>EXTEMPORANEOS!O102</f>
        <v>0</v>
      </c>
      <c r="P103" s="179">
        <f>EXTEMPORANEOS!P102</f>
        <v>0</v>
      </c>
      <c r="Q103" s="179">
        <f>EXTEMPORANEOS!Q102</f>
        <v>0</v>
      </c>
      <c r="R103" s="180">
        <f>EXTEMPORANEOS!R102</f>
        <v>0</v>
      </c>
      <c r="S103" s="180">
        <f>EXTEMPORANEOS!S102</f>
        <v>0</v>
      </c>
      <c r="T103" s="181">
        <f>EXTEMPORANEOS!T102</f>
        <v>0</v>
      </c>
      <c r="U103" s="182">
        <f>EXTEMPORANEOS!U102</f>
        <v>0</v>
      </c>
      <c r="V103" s="179">
        <f>EXTEMPORANEOS!V102</f>
        <v>0</v>
      </c>
      <c r="W103" s="179">
        <f>EXTEMPORANEOS!W102</f>
        <v>0</v>
      </c>
      <c r="X103" s="182">
        <f>EXTEMPORANEOS!X102</f>
        <v>0</v>
      </c>
      <c r="Y103" s="297">
        <f>EXTEMPORANEOS!Y102</f>
        <v>0</v>
      </c>
      <c r="AA103" s="138"/>
    </row>
    <row r="104" spans="2:27" ht="12.95" customHeight="1" x14ac:dyDescent="0.2">
      <c r="B104" s="296">
        <f>EXTEMPORANEOS!B103</f>
        <v>0</v>
      </c>
      <c r="C104" s="176">
        <f>EXTEMPORANEOS!C103</f>
        <v>2026102</v>
      </c>
      <c r="D104" s="177">
        <f>EXTEMPORANEOS!D103</f>
        <v>0</v>
      </c>
      <c r="E104" s="178" t="str">
        <f>EXTEMPORANEOS!E103</f>
        <v>23D</v>
      </c>
      <c r="F104" s="175" t="str">
        <f>EXTEMPORANEOS!F103</f>
        <v>Occidente - Directa</v>
      </c>
      <c r="G104" s="178">
        <f>EXTEMPORANEOS!G103</f>
        <v>13</v>
      </c>
      <c r="H104" s="175" t="str">
        <f>EXTEMPORANEOS!H103</f>
        <v>T23 Directa - Transferencias</v>
      </c>
      <c r="I104" s="175">
        <f>EXTEMPORANEOS!I103</f>
        <v>230887267</v>
      </c>
      <c r="J104" s="179">
        <f>EXTEMPORANEOS!J103</f>
        <v>0</v>
      </c>
      <c r="K104" s="179">
        <f>EXTEMPORANEOS!K103</f>
        <v>0</v>
      </c>
      <c r="L104" s="179">
        <f>EXTEMPORANEOS!L103</f>
        <v>0</v>
      </c>
      <c r="M104" s="179">
        <f>EXTEMPORANEOS!M103</f>
        <v>0</v>
      </c>
      <c r="N104" s="179">
        <f>EXTEMPORANEOS!N103</f>
        <v>0</v>
      </c>
      <c r="O104" s="179">
        <f>EXTEMPORANEOS!O103</f>
        <v>0</v>
      </c>
      <c r="P104" s="179">
        <f>EXTEMPORANEOS!P103</f>
        <v>0</v>
      </c>
      <c r="Q104" s="179">
        <f>EXTEMPORANEOS!Q103</f>
        <v>0</v>
      </c>
      <c r="R104" s="180">
        <f>EXTEMPORANEOS!R103</f>
        <v>0</v>
      </c>
      <c r="S104" s="180">
        <f>EXTEMPORANEOS!S103</f>
        <v>0</v>
      </c>
      <c r="T104" s="181">
        <f>EXTEMPORANEOS!T103</f>
        <v>0</v>
      </c>
      <c r="U104" s="182">
        <f>EXTEMPORANEOS!U103</f>
        <v>0</v>
      </c>
      <c r="V104" s="179">
        <f>EXTEMPORANEOS!V103</f>
        <v>0</v>
      </c>
      <c r="W104" s="179">
        <f>EXTEMPORANEOS!W103</f>
        <v>0</v>
      </c>
      <c r="X104" s="182">
        <f>EXTEMPORANEOS!X103</f>
        <v>0</v>
      </c>
      <c r="Y104" s="297">
        <f>EXTEMPORANEOS!Y103</f>
        <v>0</v>
      </c>
      <c r="AA104" s="138"/>
    </row>
    <row r="105" spans="2:27" ht="12.95" customHeight="1" x14ac:dyDescent="0.2">
      <c r="B105" s="296">
        <f>EXTEMPORANEOS!B104</f>
        <v>0</v>
      </c>
      <c r="C105" s="176">
        <f>EXTEMPORANEOS!C104</f>
        <v>2026102</v>
      </c>
      <c r="D105" s="177">
        <f>EXTEMPORANEOS!D104</f>
        <v>0</v>
      </c>
      <c r="E105" s="178" t="str">
        <f>EXTEMPORANEOS!E104</f>
        <v>23D</v>
      </c>
      <c r="F105" s="175" t="str">
        <f>EXTEMPORANEOS!F104</f>
        <v>Occidente - Directa</v>
      </c>
      <c r="G105" s="178">
        <f>EXTEMPORANEOS!G104</f>
        <v>13</v>
      </c>
      <c r="H105" s="175" t="str">
        <f>EXTEMPORANEOS!H104</f>
        <v>T23 Directa - Transferencias</v>
      </c>
      <c r="I105" s="175">
        <f>EXTEMPORANEOS!I104</f>
        <v>230887267</v>
      </c>
      <c r="J105" s="179">
        <f>EXTEMPORANEOS!J104</f>
        <v>0</v>
      </c>
      <c r="K105" s="179">
        <f>EXTEMPORANEOS!K104</f>
        <v>0</v>
      </c>
      <c r="L105" s="179">
        <f>EXTEMPORANEOS!L104</f>
        <v>0</v>
      </c>
      <c r="M105" s="179">
        <f>EXTEMPORANEOS!M104</f>
        <v>0</v>
      </c>
      <c r="N105" s="179">
        <f>EXTEMPORANEOS!N104</f>
        <v>0</v>
      </c>
      <c r="O105" s="179">
        <f>EXTEMPORANEOS!O104</f>
        <v>0</v>
      </c>
      <c r="P105" s="179">
        <f>EXTEMPORANEOS!P104</f>
        <v>0</v>
      </c>
      <c r="Q105" s="179">
        <f>EXTEMPORANEOS!Q104</f>
        <v>0</v>
      </c>
      <c r="R105" s="180">
        <f>EXTEMPORANEOS!R104</f>
        <v>0</v>
      </c>
      <c r="S105" s="180">
        <f>EXTEMPORANEOS!S104</f>
        <v>0</v>
      </c>
      <c r="T105" s="181">
        <f>EXTEMPORANEOS!T104</f>
        <v>0</v>
      </c>
      <c r="U105" s="182">
        <f>EXTEMPORANEOS!U104</f>
        <v>0</v>
      </c>
      <c r="V105" s="179">
        <f>EXTEMPORANEOS!V104</f>
        <v>0</v>
      </c>
      <c r="W105" s="179">
        <f>EXTEMPORANEOS!W104</f>
        <v>0</v>
      </c>
      <c r="X105" s="182">
        <f>EXTEMPORANEOS!X104</f>
        <v>0</v>
      </c>
      <c r="Y105" s="297">
        <f>EXTEMPORANEOS!Y104</f>
        <v>0</v>
      </c>
      <c r="AA105" s="138"/>
    </row>
    <row r="106" spans="2:27" ht="12.95" customHeight="1" x14ac:dyDescent="0.2">
      <c r="B106" s="296">
        <f>EXTEMPORANEOS!B105</f>
        <v>0</v>
      </c>
      <c r="C106" s="176">
        <f>EXTEMPORANEOS!C105</f>
        <v>2026102</v>
      </c>
      <c r="D106" s="177">
        <f>EXTEMPORANEOS!D105</f>
        <v>0</v>
      </c>
      <c r="E106" s="178" t="str">
        <f>EXTEMPORANEOS!E105</f>
        <v>23D</v>
      </c>
      <c r="F106" s="175" t="str">
        <f>EXTEMPORANEOS!F105</f>
        <v>Occidente - Directa</v>
      </c>
      <c r="G106" s="178">
        <f>EXTEMPORANEOS!G105</f>
        <v>13</v>
      </c>
      <c r="H106" s="175" t="str">
        <f>EXTEMPORANEOS!H105</f>
        <v>T23 Directa - Transferencias</v>
      </c>
      <c r="I106" s="175">
        <f>EXTEMPORANEOS!I105</f>
        <v>230887267</v>
      </c>
      <c r="J106" s="179">
        <f>EXTEMPORANEOS!J105</f>
        <v>0</v>
      </c>
      <c r="K106" s="179">
        <f>EXTEMPORANEOS!K105</f>
        <v>0</v>
      </c>
      <c r="L106" s="179">
        <f>EXTEMPORANEOS!L105</f>
        <v>0</v>
      </c>
      <c r="M106" s="179">
        <f>EXTEMPORANEOS!M105</f>
        <v>0</v>
      </c>
      <c r="N106" s="179">
        <f>EXTEMPORANEOS!N105</f>
        <v>0</v>
      </c>
      <c r="O106" s="179">
        <f>EXTEMPORANEOS!O105</f>
        <v>0</v>
      </c>
      <c r="P106" s="179">
        <f>EXTEMPORANEOS!P105</f>
        <v>0</v>
      </c>
      <c r="Q106" s="179">
        <f>EXTEMPORANEOS!Q105</f>
        <v>0</v>
      </c>
      <c r="R106" s="180">
        <f>EXTEMPORANEOS!R105</f>
        <v>0</v>
      </c>
      <c r="S106" s="180">
        <f>EXTEMPORANEOS!S105</f>
        <v>0</v>
      </c>
      <c r="T106" s="181">
        <f>EXTEMPORANEOS!T105</f>
        <v>0</v>
      </c>
      <c r="U106" s="182">
        <f>EXTEMPORANEOS!U105</f>
        <v>0</v>
      </c>
      <c r="V106" s="179">
        <f>EXTEMPORANEOS!V105</f>
        <v>0</v>
      </c>
      <c r="W106" s="179">
        <f>EXTEMPORANEOS!W105</f>
        <v>0</v>
      </c>
      <c r="X106" s="182">
        <f>EXTEMPORANEOS!X105</f>
        <v>0</v>
      </c>
      <c r="Y106" s="297">
        <f>EXTEMPORANEOS!Y105</f>
        <v>0</v>
      </c>
      <c r="AA106" s="138"/>
    </row>
    <row r="107" spans="2:27" ht="12.95" customHeight="1" x14ac:dyDescent="0.2">
      <c r="B107" s="296">
        <f>EXTEMPORANEOS!B106</f>
        <v>0</v>
      </c>
      <c r="C107" s="176">
        <f>EXTEMPORANEOS!C106</f>
        <v>2026102</v>
      </c>
      <c r="D107" s="177">
        <f>EXTEMPORANEOS!D106</f>
        <v>0</v>
      </c>
      <c r="E107" s="178" t="str">
        <f>EXTEMPORANEOS!E106</f>
        <v>23D</v>
      </c>
      <c r="F107" s="175" t="str">
        <f>EXTEMPORANEOS!F106</f>
        <v>Occidente - Directa</v>
      </c>
      <c r="G107" s="178">
        <f>EXTEMPORANEOS!G106</f>
        <v>13</v>
      </c>
      <c r="H107" s="175" t="str">
        <f>EXTEMPORANEOS!H106</f>
        <v>T23 Directa - Transferencias</v>
      </c>
      <c r="I107" s="175">
        <f>EXTEMPORANEOS!I106</f>
        <v>230887267</v>
      </c>
      <c r="J107" s="179">
        <f>EXTEMPORANEOS!J106</f>
        <v>0</v>
      </c>
      <c r="K107" s="179">
        <f>EXTEMPORANEOS!K106</f>
        <v>0</v>
      </c>
      <c r="L107" s="179">
        <f>EXTEMPORANEOS!L106</f>
        <v>0</v>
      </c>
      <c r="M107" s="179">
        <f>EXTEMPORANEOS!M106</f>
        <v>0</v>
      </c>
      <c r="N107" s="179">
        <f>EXTEMPORANEOS!N106</f>
        <v>0</v>
      </c>
      <c r="O107" s="179">
        <f>EXTEMPORANEOS!O106</f>
        <v>0</v>
      </c>
      <c r="P107" s="179">
        <f>EXTEMPORANEOS!P106</f>
        <v>0</v>
      </c>
      <c r="Q107" s="179">
        <f>EXTEMPORANEOS!Q106</f>
        <v>0</v>
      </c>
      <c r="R107" s="180">
        <f>EXTEMPORANEOS!R106</f>
        <v>0</v>
      </c>
      <c r="S107" s="180">
        <f>EXTEMPORANEOS!S106</f>
        <v>0</v>
      </c>
      <c r="T107" s="181">
        <f>EXTEMPORANEOS!T106</f>
        <v>0</v>
      </c>
      <c r="U107" s="182">
        <f>EXTEMPORANEOS!U106</f>
        <v>0</v>
      </c>
      <c r="V107" s="179">
        <f>EXTEMPORANEOS!V106</f>
        <v>0</v>
      </c>
      <c r="W107" s="179">
        <f>EXTEMPORANEOS!W106</f>
        <v>0</v>
      </c>
      <c r="X107" s="182">
        <f>EXTEMPORANEOS!X106</f>
        <v>0</v>
      </c>
      <c r="Y107" s="297">
        <f>EXTEMPORANEOS!Y106</f>
        <v>0</v>
      </c>
      <c r="AA107" s="138"/>
    </row>
    <row r="108" spans="2:27" ht="12.95" customHeight="1" x14ac:dyDescent="0.2">
      <c r="B108" s="296">
        <f>EXTEMPORANEOS!B107</f>
        <v>0</v>
      </c>
      <c r="C108" s="176">
        <f>EXTEMPORANEOS!C107</f>
        <v>2026102</v>
      </c>
      <c r="D108" s="177">
        <f>EXTEMPORANEOS!D107</f>
        <v>0</v>
      </c>
      <c r="E108" s="178" t="str">
        <f>EXTEMPORANEOS!E107</f>
        <v>23D</v>
      </c>
      <c r="F108" s="175" t="str">
        <f>EXTEMPORANEOS!F107</f>
        <v>Occidente - Directa</v>
      </c>
      <c r="G108" s="178">
        <f>EXTEMPORANEOS!G107</f>
        <v>13</v>
      </c>
      <c r="H108" s="175" t="str">
        <f>EXTEMPORANEOS!H107</f>
        <v>T23 Directa - Transferencias</v>
      </c>
      <c r="I108" s="175">
        <f>EXTEMPORANEOS!I107</f>
        <v>230887267</v>
      </c>
      <c r="J108" s="179">
        <f>EXTEMPORANEOS!J107</f>
        <v>0</v>
      </c>
      <c r="K108" s="179">
        <f>EXTEMPORANEOS!K107</f>
        <v>0</v>
      </c>
      <c r="L108" s="179">
        <f>EXTEMPORANEOS!L107</f>
        <v>0</v>
      </c>
      <c r="M108" s="179">
        <f>EXTEMPORANEOS!M107</f>
        <v>0</v>
      </c>
      <c r="N108" s="179">
        <f>EXTEMPORANEOS!N107</f>
        <v>0</v>
      </c>
      <c r="O108" s="179">
        <f>EXTEMPORANEOS!O107</f>
        <v>0</v>
      </c>
      <c r="P108" s="179">
        <f>EXTEMPORANEOS!P107</f>
        <v>0</v>
      </c>
      <c r="Q108" s="179">
        <f>EXTEMPORANEOS!Q107</f>
        <v>0</v>
      </c>
      <c r="R108" s="180">
        <f>EXTEMPORANEOS!R107</f>
        <v>0</v>
      </c>
      <c r="S108" s="180">
        <f>EXTEMPORANEOS!S107</f>
        <v>0</v>
      </c>
      <c r="T108" s="181">
        <f>EXTEMPORANEOS!T107</f>
        <v>0</v>
      </c>
      <c r="U108" s="182">
        <f>EXTEMPORANEOS!U107</f>
        <v>0</v>
      </c>
      <c r="V108" s="179">
        <f>EXTEMPORANEOS!V107</f>
        <v>0</v>
      </c>
      <c r="W108" s="179">
        <f>EXTEMPORANEOS!W107</f>
        <v>0</v>
      </c>
      <c r="X108" s="182">
        <f>EXTEMPORANEOS!X107</f>
        <v>0</v>
      </c>
      <c r="Y108" s="297">
        <f>EXTEMPORANEOS!Y107</f>
        <v>0</v>
      </c>
      <c r="AA108" s="138"/>
    </row>
    <row r="109" spans="2:27" ht="12.95" customHeight="1" x14ac:dyDescent="0.2">
      <c r="B109" s="296">
        <f>EXTEMPORANEOS!B108</f>
        <v>0</v>
      </c>
      <c r="C109" s="176">
        <f>EXTEMPORANEOS!C108</f>
        <v>2026102</v>
      </c>
      <c r="D109" s="177">
        <f>EXTEMPORANEOS!D108</f>
        <v>0</v>
      </c>
      <c r="E109" s="178" t="str">
        <f>EXTEMPORANEOS!E108</f>
        <v>23D</v>
      </c>
      <c r="F109" s="175" t="str">
        <f>EXTEMPORANEOS!F108</f>
        <v>Occidente - Directa</v>
      </c>
      <c r="G109" s="178">
        <f>EXTEMPORANEOS!G108</f>
        <v>13</v>
      </c>
      <c r="H109" s="175" t="str">
        <f>EXTEMPORANEOS!H108</f>
        <v>T23 Directa - Transferencias</v>
      </c>
      <c r="I109" s="175">
        <f>EXTEMPORANEOS!I108</f>
        <v>230887267</v>
      </c>
      <c r="J109" s="179">
        <f>EXTEMPORANEOS!J108</f>
        <v>0</v>
      </c>
      <c r="K109" s="179">
        <f>EXTEMPORANEOS!K108</f>
        <v>0</v>
      </c>
      <c r="L109" s="179">
        <f>EXTEMPORANEOS!L108</f>
        <v>0</v>
      </c>
      <c r="M109" s="179">
        <f>EXTEMPORANEOS!M108</f>
        <v>0</v>
      </c>
      <c r="N109" s="179">
        <f>EXTEMPORANEOS!N108</f>
        <v>0</v>
      </c>
      <c r="O109" s="179">
        <f>EXTEMPORANEOS!O108</f>
        <v>0</v>
      </c>
      <c r="P109" s="179">
        <f>EXTEMPORANEOS!P108</f>
        <v>0</v>
      </c>
      <c r="Q109" s="179">
        <f>EXTEMPORANEOS!Q108</f>
        <v>0</v>
      </c>
      <c r="R109" s="180">
        <f>EXTEMPORANEOS!R108</f>
        <v>0</v>
      </c>
      <c r="S109" s="180">
        <f>EXTEMPORANEOS!S108</f>
        <v>0</v>
      </c>
      <c r="T109" s="181">
        <f>EXTEMPORANEOS!T108</f>
        <v>0</v>
      </c>
      <c r="U109" s="182">
        <f>EXTEMPORANEOS!U108</f>
        <v>0</v>
      </c>
      <c r="V109" s="179">
        <f>EXTEMPORANEOS!V108</f>
        <v>0</v>
      </c>
      <c r="W109" s="179">
        <f>EXTEMPORANEOS!W108</f>
        <v>0</v>
      </c>
      <c r="X109" s="182">
        <f>EXTEMPORANEOS!X108</f>
        <v>0</v>
      </c>
      <c r="Y109" s="297">
        <f>EXTEMPORANEOS!Y108</f>
        <v>0</v>
      </c>
      <c r="AA109" s="138"/>
    </row>
    <row r="110" spans="2:27" ht="12.95" customHeight="1" x14ac:dyDescent="0.2">
      <c r="B110" s="296">
        <f>EXTEMPORANEOS!B109</f>
        <v>0</v>
      </c>
      <c r="C110" s="176">
        <f>EXTEMPORANEOS!C109</f>
        <v>2026102</v>
      </c>
      <c r="D110" s="177">
        <f>EXTEMPORANEOS!D109</f>
        <v>0</v>
      </c>
      <c r="E110" s="178" t="str">
        <f>EXTEMPORANEOS!E109</f>
        <v>23D</v>
      </c>
      <c r="F110" s="175" t="str">
        <f>EXTEMPORANEOS!F109</f>
        <v>Occidente - Directa</v>
      </c>
      <c r="G110" s="178">
        <f>EXTEMPORANEOS!G109</f>
        <v>13</v>
      </c>
      <c r="H110" s="175" t="str">
        <f>EXTEMPORANEOS!H109</f>
        <v>T23 Directa - Transferencias</v>
      </c>
      <c r="I110" s="175">
        <f>EXTEMPORANEOS!I109</f>
        <v>230887267</v>
      </c>
      <c r="J110" s="179">
        <f>EXTEMPORANEOS!J109</f>
        <v>0</v>
      </c>
      <c r="K110" s="179">
        <f>EXTEMPORANEOS!K109</f>
        <v>0</v>
      </c>
      <c r="L110" s="179">
        <f>EXTEMPORANEOS!L109</f>
        <v>0</v>
      </c>
      <c r="M110" s="179">
        <f>EXTEMPORANEOS!M109</f>
        <v>0</v>
      </c>
      <c r="N110" s="179">
        <f>EXTEMPORANEOS!N109</f>
        <v>0</v>
      </c>
      <c r="O110" s="179">
        <f>EXTEMPORANEOS!O109</f>
        <v>0</v>
      </c>
      <c r="P110" s="179">
        <f>EXTEMPORANEOS!P109</f>
        <v>0</v>
      </c>
      <c r="Q110" s="179">
        <f>EXTEMPORANEOS!Q109</f>
        <v>0</v>
      </c>
      <c r="R110" s="180">
        <f>EXTEMPORANEOS!R109</f>
        <v>0</v>
      </c>
      <c r="S110" s="180">
        <f>EXTEMPORANEOS!S109</f>
        <v>0</v>
      </c>
      <c r="T110" s="181">
        <f>EXTEMPORANEOS!T109</f>
        <v>0</v>
      </c>
      <c r="U110" s="182">
        <f>EXTEMPORANEOS!U109</f>
        <v>0</v>
      </c>
      <c r="V110" s="179">
        <f>EXTEMPORANEOS!V109</f>
        <v>0</v>
      </c>
      <c r="W110" s="179">
        <f>EXTEMPORANEOS!W109</f>
        <v>0</v>
      </c>
      <c r="X110" s="182">
        <f>EXTEMPORANEOS!X109</f>
        <v>0</v>
      </c>
      <c r="Y110" s="297">
        <f>EXTEMPORANEOS!Y109</f>
        <v>0</v>
      </c>
      <c r="AA110" s="138"/>
    </row>
    <row r="111" spans="2:27" ht="12.95" customHeight="1" x14ac:dyDescent="0.2">
      <c r="B111" s="296">
        <f>EXTEMPORANEOS!B110</f>
        <v>0</v>
      </c>
      <c r="C111" s="176">
        <f>EXTEMPORANEOS!C110</f>
        <v>2026102</v>
      </c>
      <c r="D111" s="177">
        <f>EXTEMPORANEOS!D110</f>
        <v>0</v>
      </c>
      <c r="E111" s="178" t="str">
        <f>EXTEMPORANEOS!E110</f>
        <v>23D</v>
      </c>
      <c r="F111" s="175" t="str">
        <f>EXTEMPORANEOS!F110</f>
        <v>Occidente - Directa</v>
      </c>
      <c r="G111" s="178">
        <f>EXTEMPORANEOS!G110</f>
        <v>13</v>
      </c>
      <c r="H111" s="175" t="str">
        <f>EXTEMPORANEOS!H110</f>
        <v>T23 Directa - Transferencias</v>
      </c>
      <c r="I111" s="175">
        <f>EXTEMPORANEOS!I110</f>
        <v>230887267</v>
      </c>
      <c r="J111" s="179">
        <f>EXTEMPORANEOS!J110</f>
        <v>0</v>
      </c>
      <c r="K111" s="179">
        <f>EXTEMPORANEOS!K110</f>
        <v>0</v>
      </c>
      <c r="L111" s="179">
        <f>EXTEMPORANEOS!L110</f>
        <v>0</v>
      </c>
      <c r="M111" s="179">
        <f>EXTEMPORANEOS!M110</f>
        <v>0</v>
      </c>
      <c r="N111" s="179">
        <f>EXTEMPORANEOS!N110</f>
        <v>0</v>
      </c>
      <c r="O111" s="179">
        <f>EXTEMPORANEOS!O110</f>
        <v>0</v>
      </c>
      <c r="P111" s="179">
        <f>EXTEMPORANEOS!P110</f>
        <v>0</v>
      </c>
      <c r="Q111" s="179">
        <f>EXTEMPORANEOS!Q110</f>
        <v>0</v>
      </c>
      <c r="R111" s="180">
        <f>EXTEMPORANEOS!R110</f>
        <v>0</v>
      </c>
      <c r="S111" s="180">
        <f>EXTEMPORANEOS!S110</f>
        <v>0</v>
      </c>
      <c r="T111" s="181">
        <f>EXTEMPORANEOS!T110</f>
        <v>0</v>
      </c>
      <c r="U111" s="182">
        <f>EXTEMPORANEOS!U110</f>
        <v>0</v>
      </c>
      <c r="V111" s="179">
        <f>EXTEMPORANEOS!V110</f>
        <v>0</v>
      </c>
      <c r="W111" s="179">
        <f>EXTEMPORANEOS!W110</f>
        <v>0</v>
      </c>
      <c r="X111" s="182">
        <f>EXTEMPORANEOS!X110</f>
        <v>0</v>
      </c>
      <c r="Y111" s="297">
        <f>EXTEMPORANEOS!Y110</f>
        <v>0</v>
      </c>
      <c r="AA111" s="138"/>
    </row>
    <row r="112" spans="2:27" ht="12.95" customHeight="1" x14ac:dyDescent="0.2">
      <c r="B112" s="296">
        <f>EXTEMPORANEOS!B111</f>
        <v>0</v>
      </c>
      <c r="C112" s="176">
        <f>EXTEMPORANEOS!C111</f>
        <v>2026102</v>
      </c>
      <c r="D112" s="177">
        <f>EXTEMPORANEOS!D111</f>
        <v>0</v>
      </c>
      <c r="E112" s="178" t="str">
        <f>EXTEMPORANEOS!E111</f>
        <v>23D</v>
      </c>
      <c r="F112" s="175" t="str">
        <f>EXTEMPORANEOS!F111</f>
        <v>Occidente - Directa</v>
      </c>
      <c r="G112" s="178">
        <f>EXTEMPORANEOS!G111</f>
        <v>13</v>
      </c>
      <c r="H112" s="175" t="str">
        <f>EXTEMPORANEOS!H111</f>
        <v>T23 Directa - Transferencias</v>
      </c>
      <c r="I112" s="175">
        <f>EXTEMPORANEOS!I111</f>
        <v>230887267</v>
      </c>
      <c r="J112" s="179">
        <f>EXTEMPORANEOS!J111</f>
        <v>0</v>
      </c>
      <c r="K112" s="179">
        <f>EXTEMPORANEOS!K111</f>
        <v>0</v>
      </c>
      <c r="L112" s="179">
        <f>EXTEMPORANEOS!L111</f>
        <v>0</v>
      </c>
      <c r="M112" s="179">
        <f>EXTEMPORANEOS!M111</f>
        <v>0</v>
      </c>
      <c r="N112" s="179">
        <f>EXTEMPORANEOS!N111</f>
        <v>0</v>
      </c>
      <c r="O112" s="179">
        <f>EXTEMPORANEOS!O111</f>
        <v>0</v>
      </c>
      <c r="P112" s="179">
        <f>EXTEMPORANEOS!P111</f>
        <v>0</v>
      </c>
      <c r="Q112" s="179">
        <f>EXTEMPORANEOS!Q111</f>
        <v>0</v>
      </c>
      <c r="R112" s="180">
        <f>EXTEMPORANEOS!R111</f>
        <v>0</v>
      </c>
      <c r="S112" s="180">
        <f>EXTEMPORANEOS!S111</f>
        <v>0</v>
      </c>
      <c r="T112" s="181">
        <f>EXTEMPORANEOS!T111</f>
        <v>0</v>
      </c>
      <c r="U112" s="182">
        <f>EXTEMPORANEOS!U111</f>
        <v>0</v>
      </c>
      <c r="V112" s="179">
        <f>EXTEMPORANEOS!V111</f>
        <v>0</v>
      </c>
      <c r="W112" s="179">
        <f>EXTEMPORANEOS!W111</f>
        <v>0</v>
      </c>
      <c r="X112" s="182">
        <f>EXTEMPORANEOS!X111</f>
        <v>0</v>
      </c>
      <c r="Y112" s="297">
        <f>EXTEMPORANEOS!Y111</f>
        <v>0</v>
      </c>
      <c r="AA112" s="138"/>
    </row>
    <row r="113" spans="2:27" ht="12.95" customHeight="1" x14ac:dyDescent="0.2">
      <c r="B113" s="296">
        <f>EXTEMPORANEOS!B112</f>
        <v>0</v>
      </c>
      <c r="C113" s="176">
        <f>EXTEMPORANEOS!C112</f>
        <v>2026102</v>
      </c>
      <c r="D113" s="177">
        <f>EXTEMPORANEOS!D112</f>
        <v>0</v>
      </c>
      <c r="E113" s="178" t="str">
        <f>EXTEMPORANEOS!E112</f>
        <v>23D</v>
      </c>
      <c r="F113" s="175" t="str">
        <f>EXTEMPORANEOS!F112</f>
        <v>Occidente - Directa</v>
      </c>
      <c r="G113" s="178">
        <f>EXTEMPORANEOS!G112</f>
        <v>13</v>
      </c>
      <c r="H113" s="175" t="str">
        <f>EXTEMPORANEOS!H112</f>
        <v>T23 Directa - Transferencias</v>
      </c>
      <c r="I113" s="175">
        <f>EXTEMPORANEOS!I112</f>
        <v>230887267</v>
      </c>
      <c r="J113" s="179">
        <f>EXTEMPORANEOS!J112</f>
        <v>0</v>
      </c>
      <c r="K113" s="179">
        <f>EXTEMPORANEOS!K112</f>
        <v>0</v>
      </c>
      <c r="L113" s="179">
        <f>EXTEMPORANEOS!L112</f>
        <v>0</v>
      </c>
      <c r="M113" s="179">
        <f>EXTEMPORANEOS!M112</f>
        <v>0</v>
      </c>
      <c r="N113" s="179">
        <f>EXTEMPORANEOS!N112</f>
        <v>0</v>
      </c>
      <c r="O113" s="179">
        <f>EXTEMPORANEOS!O112</f>
        <v>0</v>
      </c>
      <c r="P113" s="179">
        <f>EXTEMPORANEOS!P112</f>
        <v>0</v>
      </c>
      <c r="Q113" s="179">
        <f>EXTEMPORANEOS!Q112</f>
        <v>0</v>
      </c>
      <c r="R113" s="180">
        <f>EXTEMPORANEOS!R112</f>
        <v>0</v>
      </c>
      <c r="S113" s="180">
        <f>EXTEMPORANEOS!S112</f>
        <v>0</v>
      </c>
      <c r="T113" s="181">
        <f>EXTEMPORANEOS!T112</f>
        <v>0</v>
      </c>
      <c r="U113" s="182">
        <f>EXTEMPORANEOS!U112</f>
        <v>0</v>
      </c>
      <c r="V113" s="179">
        <f>EXTEMPORANEOS!V112</f>
        <v>0</v>
      </c>
      <c r="W113" s="179">
        <f>EXTEMPORANEOS!W112</f>
        <v>0</v>
      </c>
      <c r="X113" s="182">
        <f>EXTEMPORANEOS!X112</f>
        <v>0</v>
      </c>
      <c r="Y113" s="297">
        <f>EXTEMPORANEOS!Y112</f>
        <v>0</v>
      </c>
      <c r="AA113" s="138"/>
    </row>
    <row r="114" spans="2:27" ht="12.95" customHeight="1" x14ac:dyDescent="0.2">
      <c r="B114" s="296">
        <f>EXTEMPORANEOS!B113</f>
        <v>0</v>
      </c>
      <c r="C114" s="176">
        <f>EXTEMPORANEOS!C113</f>
        <v>2026102</v>
      </c>
      <c r="D114" s="177">
        <f>EXTEMPORANEOS!D113</f>
        <v>0</v>
      </c>
      <c r="E114" s="178" t="str">
        <f>EXTEMPORANEOS!E113</f>
        <v>23D</v>
      </c>
      <c r="F114" s="175" t="str">
        <f>EXTEMPORANEOS!F113</f>
        <v>Occidente - Directa</v>
      </c>
      <c r="G114" s="178">
        <f>EXTEMPORANEOS!G113</f>
        <v>13</v>
      </c>
      <c r="H114" s="175" t="str">
        <f>EXTEMPORANEOS!H113</f>
        <v>T23 Directa - Transferencias</v>
      </c>
      <c r="I114" s="175">
        <f>EXTEMPORANEOS!I113</f>
        <v>230887267</v>
      </c>
      <c r="J114" s="179">
        <f>EXTEMPORANEOS!J113</f>
        <v>0</v>
      </c>
      <c r="K114" s="179">
        <f>EXTEMPORANEOS!K113</f>
        <v>0</v>
      </c>
      <c r="L114" s="179">
        <f>EXTEMPORANEOS!L113</f>
        <v>0</v>
      </c>
      <c r="M114" s="179">
        <f>EXTEMPORANEOS!M113</f>
        <v>0</v>
      </c>
      <c r="N114" s="179">
        <f>EXTEMPORANEOS!N113</f>
        <v>0</v>
      </c>
      <c r="O114" s="179">
        <f>EXTEMPORANEOS!O113</f>
        <v>0</v>
      </c>
      <c r="P114" s="179">
        <f>EXTEMPORANEOS!P113</f>
        <v>0</v>
      </c>
      <c r="Q114" s="179">
        <f>EXTEMPORANEOS!Q113</f>
        <v>0</v>
      </c>
      <c r="R114" s="180">
        <f>EXTEMPORANEOS!R113</f>
        <v>0</v>
      </c>
      <c r="S114" s="180">
        <f>EXTEMPORANEOS!S113</f>
        <v>0</v>
      </c>
      <c r="T114" s="181">
        <f>EXTEMPORANEOS!T113</f>
        <v>0</v>
      </c>
      <c r="U114" s="182">
        <f>EXTEMPORANEOS!U113</f>
        <v>0</v>
      </c>
      <c r="V114" s="179">
        <f>EXTEMPORANEOS!V113</f>
        <v>0</v>
      </c>
      <c r="W114" s="179">
        <f>EXTEMPORANEOS!W113</f>
        <v>0</v>
      </c>
      <c r="X114" s="182">
        <f>EXTEMPORANEOS!X113</f>
        <v>0</v>
      </c>
      <c r="Y114" s="297">
        <f>EXTEMPORANEOS!Y113</f>
        <v>0</v>
      </c>
      <c r="AA114" s="138"/>
    </row>
    <row r="115" spans="2:27" ht="12.95" customHeight="1" x14ac:dyDescent="0.2">
      <c r="B115" s="296">
        <f>EXTEMPORANEOS!B114</f>
        <v>0</v>
      </c>
      <c r="C115" s="176">
        <f>EXTEMPORANEOS!C114</f>
        <v>2026102</v>
      </c>
      <c r="D115" s="177">
        <f>EXTEMPORANEOS!D114</f>
        <v>0</v>
      </c>
      <c r="E115" s="178" t="str">
        <f>EXTEMPORANEOS!E114</f>
        <v>23D</v>
      </c>
      <c r="F115" s="175" t="str">
        <f>EXTEMPORANEOS!F114</f>
        <v>Occidente - Directa</v>
      </c>
      <c r="G115" s="178">
        <f>EXTEMPORANEOS!G114</f>
        <v>13</v>
      </c>
      <c r="H115" s="175" t="str">
        <f>EXTEMPORANEOS!H114</f>
        <v>T23 Directa - Transferencias</v>
      </c>
      <c r="I115" s="175">
        <f>EXTEMPORANEOS!I114</f>
        <v>230887267</v>
      </c>
      <c r="J115" s="179">
        <f>EXTEMPORANEOS!J114</f>
        <v>0</v>
      </c>
      <c r="K115" s="179">
        <f>EXTEMPORANEOS!K114</f>
        <v>0</v>
      </c>
      <c r="L115" s="179">
        <f>EXTEMPORANEOS!L114</f>
        <v>0</v>
      </c>
      <c r="M115" s="179">
        <f>EXTEMPORANEOS!M114</f>
        <v>0</v>
      </c>
      <c r="N115" s="179">
        <f>EXTEMPORANEOS!N114</f>
        <v>0</v>
      </c>
      <c r="O115" s="179">
        <f>EXTEMPORANEOS!O114</f>
        <v>0</v>
      </c>
      <c r="P115" s="179">
        <f>EXTEMPORANEOS!P114</f>
        <v>0</v>
      </c>
      <c r="Q115" s="179">
        <f>EXTEMPORANEOS!Q114</f>
        <v>0</v>
      </c>
      <c r="R115" s="180">
        <f>EXTEMPORANEOS!R114</f>
        <v>0</v>
      </c>
      <c r="S115" s="180">
        <f>EXTEMPORANEOS!S114</f>
        <v>0</v>
      </c>
      <c r="T115" s="181">
        <f>EXTEMPORANEOS!T114</f>
        <v>0</v>
      </c>
      <c r="U115" s="182">
        <f>EXTEMPORANEOS!U114</f>
        <v>0</v>
      </c>
      <c r="V115" s="179">
        <f>EXTEMPORANEOS!V114</f>
        <v>0</v>
      </c>
      <c r="W115" s="179">
        <f>EXTEMPORANEOS!W114</f>
        <v>0</v>
      </c>
      <c r="X115" s="182">
        <f>EXTEMPORANEOS!X114</f>
        <v>0</v>
      </c>
      <c r="Y115" s="297">
        <f>EXTEMPORANEOS!Y114</f>
        <v>0</v>
      </c>
      <c r="AA115" s="138"/>
    </row>
    <row r="116" spans="2:27" ht="12.95" customHeight="1" x14ac:dyDescent="0.2">
      <c r="B116" s="296">
        <f>EXTEMPORANEOS!B115</f>
        <v>0</v>
      </c>
      <c r="C116" s="176">
        <f>EXTEMPORANEOS!C115</f>
        <v>2026102</v>
      </c>
      <c r="D116" s="177">
        <f>EXTEMPORANEOS!D115</f>
        <v>0</v>
      </c>
      <c r="E116" s="178" t="str">
        <f>EXTEMPORANEOS!E115</f>
        <v>23D</v>
      </c>
      <c r="F116" s="175" t="str">
        <f>EXTEMPORANEOS!F115</f>
        <v>Occidente - Directa</v>
      </c>
      <c r="G116" s="178">
        <f>EXTEMPORANEOS!G115</f>
        <v>13</v>
      </c>
      <c r="H116" s="175" t="str">
        <f>EXTEMPORANEOS!H115</f>
        <v>T23 Directa - Transferencias</v>
      </c>
      <c r="I116" s="175">
        <f>EXTEMPORANEOS!I115</f>
        <v>230887267</v>
      </c>
      <c r="J116" s="179">
        <f>EXTEMPORANEOS!J115</f>
        <v>0</v>
      </c>
      <c r="K116" s="179">
        <f>EXTEMPORANEOS!K115</f>
        <v>0</v>
      </c>
      <c r="L116" s="179">
        <f>EXTEMPORANEOS!L115</f>
        <v>0</v>
      </c>
      <c r="M116" s="179">
        <f>EXTEMPORANEOS!M115</f>
        <v>0</v>
      </c>
      <c r="N116" s="179">
        <f>EXTEMPORANEOS!N115</f>
        <v>0</v>
      </c>
      <c r="O116" s="179">
        <f>EXTEMPORANEOS!O115</f>
        <v>0</v>
      </c>
      <c r="P116" s="179">
        <f>EXTEMPORANEOS!P115</f>
        <v>0</v>
      </c>
      <c r="Q116" s="179">
        <f>EXTEMPORANEOS!Q115</f>
        <v>0</v>
      </c>
      <c r="R116" s="180">
        <f>EXTEMPORANEOS!R115</f>
        <v>0</v>
      </c>
      <c r="S116" s="180">
        <f>EXTEMPORANEOS!S115</f>
        <v>0</v>
      </c>
      <c r="T116" s="181">
        <f>EXTEMPORANEOS!T115</f>
        <v>0</v>
      </c>
      <c r="U116" s="182">
        <f>EXTEMPORANEOS!U115</f>
        <v>0</v>
      </c>
      <c r="V116" s="179">
        <f>EXTEMPORANEOS!V115</f>
        <v>0</v>
      </c>
      <c r="W116" s="179">
        <f>EXTEMPORANEOS!W115</f>
        <v>0</v>
      </c>
      <c r="X116" s="182">
        <f>EXTEMPORANEOS!X115</f>
        <v>0</v>
      </c>
      <c r="Y116" s="297">
        <f>EXTEMPORANEOS!Y115</f>
        <v>0</v>
      </c>
      <c r="AA116" s="138"/>
    </row>
    <row r="117" spans="2:27" ht="12.95" customHeight="1" x14ac:dyDescent="0.2">
      <c r="B117" s="296">
        <f>EXTEMPORANEOS!B116</f>
        <v>0</v>
      </c>
      <c r="C117" s="176">
        <f>EXTEMPORANEOS!C116</f>
        <v>2026102</v>
      </c>
      <c r="D117" s="177">
        <f>EXTEMPORANEOS!D116</f>
        <v>0</v>
      </c>
      <c r="E117" s="178" t="str">
        <f>EXTEMPORANEOS!E116</f>
        <v>23D</v>
      </c>
      <c r="F117" s="175" t="str">
        <f>EXTEMPORANEOS!F116</f>
        <v>Occidente - Directa</v>
      </c>
      <c r="G117" s="178">
        <f>EXTEMPORANEOS!G116</f>
        <v>13</v>
      </c>
      <c r="H117" s="175" t="str">
        <f>EXTEMPORANEOS!H116</f>
        <v>T23 Directa - Transferencias</v>
      </c>
      <c r="I117" s="175">
        <f>EXTEMPORANEOS!I116</f>
        <v>230887267</v>
      </c>
      <c r="J117" s="179">
        <f>EXTEMPORANEOS!J116</f>
        <v>0</v>
      </c>
      <c r="K117" s="179">
        <f>EXTEMPORANEOS!K116</f>
        <v>0</v>
      </c>
      <c r="L117" s="179">
        <f>EXTEMPORANEOS!L116</f>
        <v>0</v>
      </c>
      <c r="M117" s="179">
        <f>EXTEMPORANEOS!M116</f>
        <v>0</v>
      </c>
      <c r="N117" s="179">
        <f>EXTEMPORANEOS!N116</f>
        <v>0</v>
      </c>
      <c r="O117" s="179">
        <f>EXTEMPORANEOS!O116</f>
        <v>0</v>
      </c>
      <c r="P117" s="179">
        <f>EXTEMPORANEOS!P116</f>
        <v>0</v>
      </c>
      <c r="Q117" s="179">
        <f>EXTEMPORANEOS!Q116</f>
        <v>0</v>
      </c>
      <c r="R117" s="180">
        <f>EXTEMPORANEOS!R116</f>
        <v>0</v>
      </c>
      <c r="S117" s="180">
        <f>EXTEMPORANEOS!S116</f>
        <v>0</v>
      </c>
      <c r="T117" s="181">
        <f>EXTEMPORANEOS!T116</f>
        <v>0</v>
      </c>
      <c r="U117" s="182">
        <f>EXTEMPORANEOS!U116</f>
        <v>0</v>
      </c>
      <c r="V117" s="179">
        <f>EXTEMPORANEOS!V116</f>
        <v>0</v>
      </c>
      <c r="W117" s="179">
        <f>EXTEMPORANEOS!W116</f>
        <v>0</v>
      </c>
      <c r="X117" s="182">
        <f>EXTEMPORANEOS!X116</f>
        <v>0</v>
      </c>
      <c r="Y117" s="297">
        <f>EXTEMPORANEOS!Y116</f>
        <v>0</v>
      </c>
      <c r="AA117" s="138"/>
    </row>
    <row r="118" spans="2:27" ht="12.95" customHeight="1" x14ac:dyDescent="0.2">
      <c r="B118" s="296">
        <f>EXTEMPORANEOS!B117</f>
        <v>0</v>
      </c>
      <c r="C118" s="176">
        <f>EXTEMPORANEOS!C117</f>
        <v>2026102</v>
      </c>
      <c r="D118" s="177">
        <f>EXTEMPORANEOS!D117</f>
        <v>0</v>
      </c>
      <c r="E118" s="178" t="str">
        <f>EXTEMPORANEOS!E117</f>
        <v>23D</v>
      </c>
      <c r="F118" s="175" t="str">
        <f>EXTEMPORANEOS!F117</f>
        <v>Occidente - Directa</v>
      </c>
      <c r="G118" s="178">
        <f>EXTEMPORANEOS!G117</f>
        <v>13</v>
      </c>
      <c r="H118" s="175" t="str">
        <f>EXTEMPORANEOS!H117</f>
        <v>T23 Directa - Transferencias</v>
      </c>
      <c r="I118" s="175">
        <f>EXTEMPORANEOS!I117</f>
        <v>230887267</v>
      </c>
      <c r="J118" s="179">
        <f>EXTEMPORANEOS!J117</f>
        <v>0</v>
      </c>
      <c r="K118" s="179">
        <f>EXTEMPORANEOS!K117</f>
        <v>0</v>
      </c>
      <c r="L118" s="179">
        <f>EXTEMPORANEOS!L117</f>
        <v>0</v>
      </c>
      <c r="M118" s="179">
        <f>EXTEMPORANEOS!M117</f>
        <v>0</v>
      </c>
      <c r="N118" s="179">
        <f>EXTEMPORANEOS!N117</f>
        <v>0</v>
      </c>
      <c r="O118" s="179">
        <f>EXTEMPORANEOS!O117</f>
        <v>0</v>
      </c>
      <c r="P118" s="179">
        <f>EXTEMPORANEOS!P117</f>
        <v>0</v>
      </c>
      <c r="Q118" s="179">
        <f>EXTEMPORANEOS!Q117</f>
        <v>0</v>
      </c>
      <c r="R118" s="180">
        <f>EXTEMPORANEOS!R117</f>
        <v>0</v>
      </c>
      <c r="S118" s="180">
        <f>EXTEMPORANEOS!S117</f>
        <v>0</v>
      </c>
      <c r="T118" s="181">
        <f>EXTEMPORANEOS!T117</f>
        <v>0</v>
      </c>
      <c r="U118" s="182">
        <f>EXTEMPORANEOS!U117</f>
        <v>0</v>
      </c>
      <c r="V118" s="179">
        <f>EXTEMPORANEOS!V117</f>
        <v>0</v>
      </c>
      <c r="W118" s="179">
        <f>EXTEMPORANEOS!W117</f>
        <v>0</v>
      </c>
      <c r="X118" s="182">
        <f>EXTEMPORANEOS!X117</f>
        <v>0</v>
      </c>
      <c r="Y118" s="297">
        <f>EXTEMPORANEOS!Y117</f>
        <v>0</v>
      </c>
      <c r="AA118" s="138"/>
    </row>
    <row r="119" spans="2:27" ht="12.95" customHeight="1" x14ac:dyDescent="0.2">
      <c r="B119" s="296">
        <f>EXTEMPORANEOS!B118</f>
        <v>0</v>
      </c>
      <c r="C119" s="176">
        <f>EXTEMPORANEOS!C118</f>
        <v>2026102</v>
      </c>
      <c r="D119" s="177">
        <f>EXTEMPORANEOS!D118</f>
        <v>0</v>
      </c>
      <c r="E119" s="178" t="str">
        <f>EXTEMPORANEOS!E118</f>
        <v>23D</v>
      </c>
      <c r="F119" s="175" t="str">
        <f>EXTEMPORANEOS!F118</f>
        <v>Occidente - Directa</v>
      </c>
      <c r="G119" s="178">
        <f>EXTEMPORANEOS!G118</f>
        <v>13</v>
      </c>
      <c r="H119" s="175" t="str">
        <f>EXTEMPORANEOS!H118</f>
        <v>T23 Directa - Transferencias</v>
      </c>
      <c r="I119" s="175">
        <f>EXTEMPORANEOS!I118</f>
        <v>230887267</v>
      </c>
      <c r="J119" s="179">
        <f>EXTEMPORANEOS!J118</f>
        <v>0</v>
      </c>
      <c r="K119" s="179">
        <f>EXTEMPORANEOS!K118</f>
        <v>0</v>
      </c>
      <c r="L119" s="179">
        <f>EXTEMPORANEOS!L118</f>
        <v>0</v>
      </c>
      <c r="M119" s="179">
        <f>EXTEMPORANEOS!M118</f>
        <v>0</v>
      </c>
      <c r="N119" s="179">
        <f>EXTEMPORANEOS!N118</f>
        <v>0</v>
      </c>
      <c r="O119" s="179">
        <f>EXTEMPORANEOS!O118</f>
        <v>0</v>
      </c>
      <c r="P119" s="179">
        <f>EXTEMPORANEOS!P118</f>
        <v>0</v>
      </c>
      <c r="Q119" s="179">
        <f>EXTEMPORANEOS!Q118</f>
        <v>0</v>
      </c>
      <c r="R119" s="180">
        <f>EXTEMPORANEOS!R118</f>
        <v>0</v>
      </c>
      <c r="S119" s="180">
        <f>EXTEMPORANEOS!S118</f>
        <v>0</v>
      </c>
      <c r="T119" s="181">
        <f>EXTEMPORANEOS!T118</f>
        <v>0</v>
      </c>
      <c r="U119" s="182">
        <f>EXTEMPORANEOS!U118</f>
        <v>0</v>
      </c>
      <c r="V119" s="179">
        <f>EXTEMPORANEOS!V118</f>
        <v>0</v>
      </c>
      <c r="W119" s="179">
        <f>EXTEMPORANEOS!W118</f>
        <v>0</v>
      </c>
      <c r="X119" s="182">
        <f>EXTEMPORANEOS!X118</f>
        <v>0</v>
      </c>
      <c r="Y119" s="297">
        <f>EXTEMPORANEOS!Y118</f>
        <v>0</v>
      </c>
      <c r="AA119" s="138"/>
    </row>
    <row r="120" spans="2:27" ht="12.95" customHeight="1" x14ac:dyDescent="0.2">
      <c r="B120" s="296">
        <f>EXTEMPORANEOS!B119</f>
        <v>0</v>
      </c>
      <c r="C120" s="176">
        <f>EXTEMPORANEOS!C119</f>
        <v>2026102</v>
      </c>
      <c r="D120" s="177">
        <f>EXTEMPORANEOS!D119</f>
        <v>0</v>
      </c>
      <c r="E120" s="178" t="str">
        <f>EXTEMPORANEOS!E119</f>
        <v>23D</v>
      </c>
      <c r="F120" s="175" t="str">
        <f>EXTEMPORANEOS!F119</f>
        <v>Occidente - Directa</v>
      </c>
      <c r="G120" s="178">
        <f>EXTEMPORANEOS!G119</f>
        <v>13</v>
      </c>
      <c r="H120" s="175" t="str">
        <f>EXTEMPORANEOS!H119</f>
        <v>T23 Directa - Transferencias</v>
      </c>
      <c r="I120" s="175">
        <f>EXTEMPORANEOS!I119</f>
        <v>230887267</v>
      </c>
      <c r="J120" s="179">
        <f>EXTEMPORANEOS!J119</f>
        <v>0</v>
      </c>
      <c r="K120" s="179">
        <f>EXTEMPORANEOS!K119</f>
        <v>0</v>
      </c>
      <c r="L120" s="179">
        <f>EXTEMPORANEOS!L119</f>
        <v>0</v>
      </c>
      <c r="M120" s="179">
        <f>EXTEMPORANEOS!M119</f>
        <v>0</v>
      </c>
      <c r="N120" s="179">
        <f>EXTEMPORANEOS!N119</f>
        <v>0</v>
      </c>
      <c r="O120" s="179">
        <f>EXTEMPORANEOS!O119</f>
        <v>0</v>
      </c>
      <c r="P120" s="179">
        <f>EXTEMPORANEOS!P119</f>
        <v>0</v>
      </c>
      <c r="Q120" s="179">
        <f>EXTEMPORANEOS!Q119</f>
        <v>0</v>
      </c>
      <c r="R120" s="180">
        <f>EXTEMPORANEOS!R119</f>
        <v>0</v>
      </c>
      <c r="S120" s="180">
        <f>EXTEMPORANEOS!S119</f>
        <v>0</v>
      </c>
      <c r="T120" s="181">
        <f>EXTEMPORANEOS!T119</f>
        <v>0</v>
      </c>
      <c r="U120" s="182">
        <f>EXTEMPORANEOS!U119</f>
        <v>0</v>
      </c>
      <c r="V120" s="179">
        <f>EXTEMPORANEOS!V119</f>
        <v>0</v>
      </c>
      <c r="W120" s="179">
        <f>EXTEMPORANEOS!W119</f>
        <v>0</v>
      </c>
      <c r="X120" s="182">
        <f>EXTEMPORANEOS!X119</f>
        <v>0</v>
      </c>
      <c r="Y120" s="297">
        <f>EXTEMPORANEOS!Y119</f>
        <v>0</v>
      </c>
      <c r="AA120" s="138"/>
    </row>
    <row r="121" spans="2:27" ht="12.95" customHeight="1" x14ac:dyDescent="0.2">
      <c r="B121" s="296">
        <f>EXTEMPORANEOS!B120</f>
        <v>0</v>
      </c>
      <c r="C121" s="176">
        <f>EXTEMPORANEOS!C120</f>
        <v>2026102</v>
      </c>
      <c r="D121" s="177">
        <f>EXTEMPORANEOS!D120</f>
        <v>0</v>
      </c>
      <c r="E121" s="178" t="str">
        <f>EXTEMPORANEOS!E120</f>
        <v>23D</v>
      </c>
      <c r="F121" s="175" t="str">
        <f>EXTEMPORANEOS!F120</f>
        <v>Occidente - Directa</v>
      </c>
      <c r="G121" s="178">
        <f>EXTEMPORANEOS!G120</f>
        <v>13</v>
      </c>
      <c r="H121" s="175" t="str">
        <f>EXTEMPORANEOS!H120</f>
        <v>T23 Directa - Transferencias</v>
      </c>
      <c r="I121" s="175">
        <f>EXTEMPORANEOS!I120</f>
        <v>230887267</v>
      </c>
      <c r="J121" s="179">
        <f>EXTEMPORANEOS!J120</f>
        <v>0</v>
      </c>
      <c r="K121" s="179">
        <f>EXTEMPORANEOS!K120</f>
        <v>0</v>
      </c>
      <c r="L121" s="179">
        <f>EXTEMPORANEOS!L120</f>
        <v>0</v>
      </c>
      <c r="M121" s="179">
        <f>EXTEMPORANEOS!M120</f>
        <v>0</v>
      </c>
      <c r="N121" s="179">
        <f>EXTEMPORANEOS!N120</f>
        <v>0</v>
      </c>
      <c r="O121" s="179">
        <f>EXTEMPORANEOS!O120</f>
        <v>0</v>
      </c>
      <c r="P121" s="179">
        <f>EXTEMPORANEOS!P120</f>
        <v>0</v>
      </c>
      <c r="Q121" s="179">
        <f>EXTEMPORANEOS!Q120</f>
        <v>0</v>
      </c>
      <c r="R121" s="180">
        <f>EXTEMPORANEOS!R120</f>
        <v>0</v>
      </c>
      <c r="S121" s="180">
        <f>EXTEMPORANEOS!S120</f>
        <v>0</v>
      </c>
      <c r="T121" s="181">
        <f>EXTEMPORANEOS!T120</f>
        <v>0</v>
      </c>
      <c r="U121" s="182">
        <f>EXTEMPORANEOS!U120</f>
        <v>0</v>
      </c>
      <c r="V121" s="179">
        <f>EXTEMPORANEOS!V120</f>
        <v>0</v>
      </c>
      <c r="W121" s="179">
        <f>EXTEMPORANEOS!W120</f>
        <v>0</v>
      </c>
      <c r="X121" s="182">
        <f>EXTEMPORANEOS!X120</f>
        <v>0</v>
      </c>
      <c r="Y121" s="297">
        <f>EXTEMPORANEOS!Y120</f>
        <v>0</v>
      </c>
      <c r="AA121" s="138"/>
    </row>
    <row r="122" spans="2:27" ht="12.95" customHeight="1" x14ac:dyDescent="0.2">
      <c r="B122" s="296">
        <f>EXTEMPORANEOS!B121</f>
        <v>0</v>
      </c>
      <c r="C122" s="176">
        <f>EXTEMPORANEOS!C121</f>
        <v>2026102</v>
      </c>
      <c r="D122" s="177">
        <f>EXTEMPORANEOS!D121</f>
        <v>0</v>
      </c>
      <c r="E122" s="178" t="str">
        <f>EXTEMPORANEOS!E121</f>
        <v>23D</v>
      </c>
      <c r="F122" s="175" t="str">
        <f>EXTEMPORANEOS!F121</f>
        <v>Occidente - Directa</v>
      </c>
      <c r="G122" s="178">
        <f>EXTEMPORANEOS!G121</f>
        <v>13</v>
      </c>
      <c r="H122" s="175" t="str">
        <f>EXTEMPORANEOS!H121</f>
        <v>T23 Directa - Transferencias</v>
      </c>
      <c r="I122" s="175">
        <f>EXTEMPORANEOS!I121</f>
        <v>230887267</v>
      </c>
      <c r="J122" s="179">
        <f>EXTEMPORANEOS!J121</f>
        <v>0</v>
      </c>
      <c r="K122" s="179">
        <f>EXTEMPORANEOS!K121</f>
        <v>0</v>
      </c>
      <c r="L122" s="179">
        <f>EXTEMPORANEOS!L121</f>
        <v>0</v>
      </c>
      <c r="M122" s="179">
        <f>EXTEMPORANEOS!M121</f>
        <v>0</v>
      </c>
      <c r="N122" s="179">
        <f>EXTEMPORANEOS!N121</f>
        <v>0</v>
      </c>
      <c r="O122" s="179">
        <f>EXTEMPORANEOS!O121</f>
        <v>0</v>
      </c>
      <c r="P122" s="179">
        <f>EXTEMPORANEOS!P121</f>
        <v>0</v>
      </c>
      <c r="Q122" s="179">
        <f>EXTEMPORANEOS!Q121</f>
        <v>0</v>
      </c>
      <c r="R122" s="180">
        <f>EXTEMPORANEOS!R121</f>
        <v>0</v>
      </c>
      <c r="S122" s="180">
        <f>EXTEMPORANEOS!S121</f>
        <v>0</v>
      </c>
      <c r="T122" s="181">
        <f>EXTEMPORANEOS!T121</f>
        <v>0</v>
      </c>
      <c r="U122" s="182">
        <f>EXTEMPORANEOS!U121</f>
        <v>0</v>
      </c>
      <c r="V122" s="179">
        <f>EXTEMPORANEOS!V121</f>
        <v>0</v>
      </c>
      <c r="W122" s="179">
        <f>EXTEMPORANEOS!W121</f>
        <v>0</v>
      </c>
      <c r="X122" s="182">
        <f>EXTEMPORANEOS!X121</f>
        <v>0</v>
      </c>
      <c r="Y122" s="297">
        <f>EXTEMPORANEOS!Y121</f>
        <v>0</v>
      </c>
      <c r="AA122" s="138"/>
    </row>
    <row r="123" spans="2:27" ht="12.95" customHeight="1" x14ac:dyDescent="0.2">
      <c r="B123" s="296">
        <f>EXTEMPORANEOS!B122</f>
        <v>0</v>
      </c>
      <c r="C123" s="176">
        <f>EXTEMPORANEOS!C122</f>
        <v>2026102</v>
      </c>
      <c r="D123" s="177">
        <f>EXTEMPORANEOS!D122</f>
        <v>0</v>
      </c>
      <c r="E123" s="178" t="str">
        <f>EXTEMPORANEOS!E122</f>
        <v>23D</v>
      </c>
      <c r="F123" s="175" t="str">
        <f>EXTEMPORANEOS!F122</f>
        <v>Occidente - Directa</v>
      </c>
      <c r="G123" s="178">
        <f>EXTEMPORANEOS!G122</f>
        <v>13</v>
      </c>
      <c r="H123" s="175" t="str">
        <f>EXTEMPORANEOS!H122</f>
        <v>T23 Directa - Transferencias</v>
      </c>
      <c r="I123" s="175">
        <f>EXTEMPORANEOS!I122</f>
        <v>230887267</v>
      </c>
      <c r="J123" s="179">
        <f>EXTEMPORANEOS!J122</f>
        <v>0</v>
      </c>
      <c r="K123" s="179">
        <f>EXTEMPORANEOS!K122</f>
        <v>0</v>
      </c>
      <c r="L123" s="179">
        <f>EXTEMPORANEOS!L122</f>
        <v>0</v>
      </c>
      <c r="M123" s="179">
        <f>EXTEMPORANEOS!M122</f>
        <v>0</v>
      </c>
      <c r="N123" s="179">
        <f>EXTEMPORANEOS!N122</f>
        <v>0</v>
      </c>
      <c r="O123" s="179">
        <f>EXTEMPORANEOS!O122</f>
        <v>0</v>
      </c>
      <c r="P123" s="179">
        <f>EXTEMPORANEOS!P122</f>
        <v>0</v>
      </c>
      <c r="Q123" s="179">
        <f>EXTEMPORANEOS!Q122</f>
        <v>0</v>
      </c>
      <c r="R123" s="180">
        <f>EXTEMPORANEOS!R122</f>
        <v>0</v>
      </c>
      <c r="S123" s="180">
        <f>EXTEMPORANEOS!S122</f>
        <v>0</v>
      </c>
      <c r="T123" s="181">
        <f>EXTEMPORANEOS!T122</f>
        <v>0</v>
      </c>
      <c r="U123" s="182">
        <f>EXTEMPORANEOS!U122</f>
        <v>0</v>
      </c>
      <c r="V123" s="179">
        <f>EXTEMPORANEOS!V122</f>
        <v>0</v>
      </c>
      <c r="W123" s="179">
        <f>EXTEMPORANEOS!W122</f>
        <v>0</v>
      </c>
      <c r="X123" s="182">
        <f>EXTEMPORANEOS!X122</f>
        <v>0</v>
      </c>
      <c r="Y123" s="297">
        <f>EXTEMPORANEOS!Y122</f>
        <v>0</v>
      </c>
      <c r="AA123" s="138"/>
    </row>
    <row r="124" spans="2:27" ht="12.95" customHeight="1" x14ac:dyDescent="0.2">
      <c r="B124" s="296">
        <f>EXTEMPORANEOS!B123</f>
        <v>0</v>
      </c>
      <c r="C124" s="176">
        <f>EXTEMPORANEOS!C123</f>
        <v>2026102</v>
      </c>
      <c r="D124" s="177">
        <f>EXTEMPORANEOS!D123</f>
        <v>0</v>
      </c>
      <c r="E124" s="178" t="str">
        <f>EXTEMPORANEOS!E123</f>
        <v>23D</v>
      </c>
      <c r="F124" s="175" t="str">
        <f>EXTEMPORANEOS!F123</f>
        <v>Occidente - Directa</v>
      </c>
      <c r="G124" s="178">
        <f>EXTEMPORANEOS!G123</f>
        <v>13</v>
      </c>
      <c r="H124" s="175" t="str">
        <f>EXTEMPORANEOS!H123</f>
        <v>T23 Directa - Transferencias</v>
      </c>
      <c r="I124" s="175">
        <f>EXTEMPORANEOS!I123</f>
        <v>230887267</v>
      </c>
      <c r="J124" s="179">
        <f>EXTEMPORANEOS!J123</f>
        <v>0</v>
      </c>
      <c r="K124" s="179">
        <f>EXTEMPORANEOS!K123</f>
        <v>0</v>
      </c>
      <c r="L124" s="179">
        <f>EXTEMPORANEOS!L123</f>
        <v>0</v>
      </c>
      <c r="M124" s="179">
        <f>EXTEMPORANEOS!M123</f>
        <v>0</v>
      </c>
      <c r="N124" s="179">
        <f>EXTEMPORANEOS!N123</f>
        <v>0</v>
      </c>
      <c r="O124" s="179">
        <f>EXTEMPORANEOS!O123</f>
        <v>0</v>
      </c>
      <c r="P124" s="179">
        <f>EXTEMPORANEOS!P123</f>
        <v>0</v>
      </c>
      <c r="Q124" s="179">
        <f>EXTEMPORANEOS!Q123</f>
        <v>0</v>
      </c>
      <c r="R124" s="180">
        <f>EXTEMPORANEOS!R123</f>
        <v>0</v>
      </c>
      <c r="S124" s="180">
        <f>EXTEMPORANEOS!S123</f>
        <v>0</v>
      </c>
      <c r="T124" s="181">
        <f>EXTEMPORANEOS!T123</f>
        <v>0</v>
      </c>
      <c r="U124" s="182">
        <f>EXTEMPORANEOS!U123</f>
        <v>0</v>
      </c>
      <c r="V124" s="179">
        <f>EXTEMPORANEOS!V123</f>
        <v>0</v>
      </c>
      <c r="W124" s="179">
        <f>EXTEMPORANEOS!W123</f>
        <v>0</v>
      </c>
      <c r="X124" s="182">
        <f>EXTEMPORANEOS!X123</f>
        <v>0</v>
      </c>
      <c r="Y124" s="297">
        <f>EXTEMPORANEOS!Y123</f>
        <v>0</v>
      </c>
      <c r="AA124" s="138"/>
    </row>
    <row r="125" spans="2:27" ht="12.95" customHeight="1" x14ac:dyDescent="0.2">
      <c r="B125" s="296">
        <f>EXTEMPORANEOS!B124</f>
        <v>0</v>
      </c>
      <c r="C125" s="176">
        <f>EXTEMPORANEOS!C124</f>
        <v>2026102</v>
      </c>
      <c r="D125" s="177">
        <f>EXTEMPORANEOS!D124</f>
        <v>0</v>
      </c>
      <c r="E125" s="178" t="str">
        <f>EXTEMPORANEOS!E124</f>
        <v>23D</v>
      </c>
      <c r="F125" s="175" t="str">
        <f>EXTEMPORANEOS!F124</f>
        <v>Occidente - Directa</v>
      </c>
      <c r="G125" s="178">
        <f>EXTEMPORANEOS!G124</f>
        <v>13</v>
      </c>
      <c r="H125" s="175" t="str">
        <f>EXTEMPORANEOS!H124</f>
        <v>T23 Directa - Transferencias</v>
      </c>
      <c r="I125" s="175">
        <f>EXTEMPORANEOS!I124</f>
        <v>230887267</v>
      </c>
      <c r="J125" s="179">
        <f>EXTEMPORANEOS!J124</f>
        <v>0</v>
      </c>
      <c r="K125" s="179">
        <f>EXTEMPORANEOS!K124</f>
        <v>0</v>
      </c>
      <c r="L125" s="179">
        <f>EXTEMPORANEOS!L124</f>
        <v>0</v>
      </c>
      <c r="M125" s="179">
        <f>EXTEMPORANEOS!M124</f>
        <v>0</v>
      </c>
      <c r="N125" s="179">
        <f>EXTEMPORANEOS!N124</f>
        <v>0</v>
      </c>
      <c r="O125" s="179">
        <f>EXTEMPORANEOS!O124</f>
        <v>0</v>
      </c>
      <c r="P125" s="179">
        <f>EXTEMPORANEOS!P124</f>
        <v>0</v>
      </c>
      <c r="Q125" s="179">
        <f>EXTEMPORANEOS!Q124</f>
        <v>0</v>
      </c>
      <c r="R125" s="180">
        <f>EXTEMPORANEOS!R124</f>
        <v>0</v>
      </c>
      <c r="S125" s="180">
        <f>EXTEMPORANEOS!S124</f>
        <v>0</v>
      </c>
      <c r="T125" s="181">
        <f>EXTEMPORANEOS!T124</f>
        <v>0</v>
      </c>
      <c r="U125" s="182">
        <f>EXTEMPORANEOS!U124</f>
        <v>0</v>
      </c>
      <c r="V125" s="179">
        <f>EXTEMPORANEOS!V124</f>
        <v>0</v>
      </c>
      <c r="W125" s="179">
        <f>EXTEMPORANEOS!W124</f>
        <v>0</v>
      </c>
      <c r="X125" s="182">
        <f>EXTEMPORANEOS!X124</f>
        <v>0</v>
      </c>
      <c r="Y125" s="297">
        <f>EXTEMPORANEOS!Y124</f>
        <v>0</v>
      </c>
      <c r="AA125" s="138"/>
    </row>
    <row r="126" spans="2:27" ht="12.95" customHeight="1" x14ac:dyDescent="0.2">
      <c r="B126" s="296">
        <f>EXTEMPORANEOS!B125</f>
        <v>0</v>
      </c>
      <c r="C126" s="176">
        <f>EXTEMPORANEOS!C125</f>
        <v>2026102</v>
      </c>
      <c r="D126" s="177">
        <f>EXTEMPORANEOS!D125</f>
        <v>0</v>
      </c>
      <c r="E126" s="178" t="str">
        <f>EXTEMPORANEOS!E125</f>
        <v>23D</v>
      </c>
      <c r="F126" s="175" t="str">
        <f>EXTEMPORANEOS!F125</f>
        <v>Occidente - Directa</v>
      </c>
      <c r="G126" s="178">
        <f>EXTEMPORANEOS!G125</f>
        <v>13</v>
      </c>
      <c r="H126" s="175" t="str">
        <f>EXTEMPORANEOS!H125</f>
        <v>T23 Directa - Transferencias</v>
      </c>
      <c r="I126" s="175">
        <f>EXTEMPORANEOS!I125</f>
        <v>230887267</v>
      </c>
      <c r="J126" s="179">
        <f>EXTEMPORANEOS!J125</f>
        <v>0</v>
      </c>
      <c r="K126" s="179">
        <f>EXTEMPORANEOS!K125</f>
        <v>0</v>
      </c>
      <c r="L126" s="179">
        <f>EXTEMPORANEOS!L125</f>
        <v>0</v>
      </c>
      <c r="M126" s="179">
        <f>EXTEMPORANEOS!M125</f>
        <v>0</v>
      </c>
      <c r="N126" s="179">
        <f>EXTEMPORANEOS!N125</f>
        <v>0</v>
      </c>
      <c r="O126" s="179">
        <f>EXTEMPORANEOS!O125</f>
        <v>0</v>
      </c>
      <c r="P126" s="179">
        <f>EXTEMPORANEOS!P125</f>
        <v>0</v>
      </c>
      <c r="Q126" s="179">
        <f>EXTEMPORANEOS!Q125</f>
        <v>0</v>
      </c>
      <c r="R126" s="180">
        <f>EXTEMPORANEOS!R125</f>
        <v>0</v>
      </c>
      <c r="S126" s="180">
        <f>EXTEMPORANEOS!S125</f>
        <v>0</v>
      </c>
      <c r="T126" s="181">
        <f>EXTEMPORANEOS!T125</f>
        <v>0</v>
      </c>
      <c r="U126" s="182">
        <f>EXTEMPORANEOS!U125</f>
        <v>0</v>
      </c>
      <c r="V126" s="179">
        <f>EXTEMPORANEOS!V125</f>
        <v>0</v>
      </c>
      <c r="W126" s="179">
        <f>EXTEMPORANEOS!W125</f>
        <v>0</v>
      </c>
      <c r="X126" s="182">
        <f>EXTEMPORANEOS!X125</f>
        <v>0</v>
      </c>
      <c r="Y126" s="297">
        <f>EXTEMPORANEOS!Y125</f>
        <v>0</v>
      </c>
      <c r="AA126" s="138"/>
    </row>
    <row r="127" spans="2:27" ht="12.95" customHeight="1" x14ac:dyDescent="0.2">
      <c r="B127" s="296">
        <f>EXTEMPORANEOS!B126</f>
        <v>0</v>
      </c>
      <c r="C127" s="176">
        <f>EXTEMPORANEOS!C126</f>
        <v>2026102</v>
      </c>
      <c r="D127" s="177">
        <f>EXTEMPORANEOS!D126</f>
        <v>0</v>
      </c>
      <c r="E127" s="178" t="str">
        <f>EXTEMPORANEOS!E126</f>
        <v>23D</v>
      </c>
      <c r="F127" s="175" t="str">
        <f>EXTEMPORANEOS!F126</f>
        <v>Occidente - Directa</v>
      </c>
      <c r="G127" s="178">
        <f>EXTEMPORANEOS!G126</f>
        <v>13</v>
      </c>
      <c r="H127" s="175" t="str">
        <f>EXTEMPORANEOS!H126</f>
        <v>T23 Directa - Transferencias</v>
      </c>
      <c r="I127" s="175">
        <f>EXTEMPORANEOS!I126</f>
        <v>230887267</v>
      </c>
      <c r="J127" s="179">
        <f>EXTEMPORANEOS!J126</f>
        <v>0</v>
      </c>
      <c r="K127" s="179">
        <f>EXTEMPORANEOS!K126</f>
        <v>0</v>
      </c>
      <c r="L127" s="179">
        <f>EXTEMPORANEOS!L126</f>
        <v>0</v>
      </c>
      <c r="M127" s="179">
        <f>EXTEMPORANEOS!M126</f>
        <v>0</v>
      </c>
      <c r="N127" s="179">
        <f>EXTEMPORANEOS!N126</f>
        <v>0</v>
      </c>
      <c r="O127" s="179">
        <f>EXTEMPORANEOS!O126</f>
        <v>0</v>
      </c>
      <c r="P127" s="179">
        <f>EXTEMPORANEOS!P126</f>
        <v>0</v>
      </c>
      <c r="Q127" s="179">
        <f>EXTEMPORANEOS!Q126</f>
        <v>0</v>
      </c>
      <c r="R127" s="180">
        <f>EXTEMPORANEOS!R126</f>
        <v>0</v>
      </c>
      <c r="S127" s="180">
        <f>EXTEMPORANEOS!S126</f>
        <v>0</v>
      </c>
      <c r="T127" s="181">
        <f>EXTEMPORANEOS!T126</f>
        <v>0</v>
      </c>
      <c r="U127" s="182">
        <f>EXTEMPORANEOS!U126</f>
        <v>0</v>
      </c>
      <c r="V127" s="179">
        <f>EXTEMPORANEOS!V126</f>
        <v>0</v>
      </c>
      <c r="W127" s="179">
        <f>EXTEMPORANEOS!W126</f>
        <v>0</v>
      </c>
      <c r="X127" s="182">
        <f>EXTEMPORANEOS!X126</f>
        <v>0</v>
      </c>
      <c r="Y127" s="297">
        <f>EXTEMPORANEOS!Y126</f>
        <v>0</v>
      </c>
      <c r="AA127" s="138"/>
    </row>
    <row r="128" spans="2:27" ht="12.95" customHeight="1" x14ac:dyDescent="0.2">
      <c r="B128" s="296">
        <f>EXTEMPORANEOS!B127</f>
        <v>0</v>
      </c>
      <c r="C128" s="176">
        <f>EXTEMPORANEOS!C127</f>
        <v>2026102</v>
      </c>
      <c r="D128" s="177">
        <f>EXTEMPORANEOS!D127</f>
        <v>0</v>
      </c>
      <c r="E128" s="178" t="str">
        <f>EXTEMPORANEOS!E127</f>
        <v>23D</v>
      </c>
      <c r="F128" s="175" t="str">
        <f>EXTEMPORANEOS!F127</f>
        <v>Occidente - Directa</v>
      </c>
      <c r="G128" s="178">
        <f>EXTEMPORANEOS!G127</f>
        <v>13</v>
      </c>
      <c r="H128" s="175" t="str">
        <f>EXTEMPORANEOS!H127</f>
        <v>T23 Directa - Transferencias</v>
      </c>
      <c r="I128" s="175">
        <f>EXTEMPORANEOS!I127</f>
        <v>230887267</v>
      </c>
      <c r="J128" s="179">
        <f>EXTEMPORANEOS!J127</f>
        <v>0</v>
      </c>
      <c r="K128" s="179">
        <f>EXTEMPORANEOS!K127</f>
        <v>0</v>
      </c>
      <c r="L128" s="179">
        <f>EXTEMPORANEOS!L127</f>
        <v>0</v>
      </c>
      <c r="M128" s="179">
        <f>EXTEMPORANEOS!M127</f>
        <v>0</v>
      </c>
      <c r="N128" s="179">
        <f>EXTEMPORANEOS!N127</f>
        <v>0</v>
      </c>
      <c r="O128" s="179">
        <f>EXTEMPORANEOS!O127</f>
        <v>0</v>
      </c>
      <c r="P128" s="179">
        <f>EXTEMPORANEOS!P127</f>
        <v>0</v>
      </c>
      <c r="Q128" s="179">
        <f>EXTEMPORANEOS!Q127</f>
        <v>0</v>
      </c>
      <c r="R128" s="180">
        <f>EXTEMPORANEOS!R127</f>
        <v>0</v>
      </c>
      <c r="S128" s="180">
        <f>EXTEMPORANEOS!S127</f>
        <v>0</v>
      </c>
      <c r="T128" s="181">
        <f>EXTEMPORANEOS!T127</f>
        <v>0</v>
      </c>
      <c r="U128" s="182">
        <f>EXTEMPORANEOS!U127</f>
        <v>0</v>
      </c>
      <c r="V128" s="179">
        <f>EXTEMPORANEOS!V127</f>
        <v>0</v>
      </c>
      <c r="W128" s="179">
        <f>EXTEMPORANEOS!W127</f>
        <v>0</v>
      </c>
      <c r="X128" s="182">
        <f>EXTEMPORANEOS!X127</f>
        <v>0</v>
      </c>
      <c r="Y128" s="297">
        <f>EXTEMPORANEOS!Y127</f>
        <v>0</v>
      </c>
      <c r="AA128" s="138"/>
    </row>
    <row r="129" spans="2:27" ht="12.95" customHeight="1" x14ac:dyDescent="0.2">
      <c r="B129" s="296">
        <f>EXTEMPORANEOS!B128</f>
        <v>0</v>
      </c>
      <c r="C129" s="176">
        <f>EXTEMPORANEOS!C128</f>
        <v>2026102</v>
      </c>
      <c r="D129" s="177">
        <f>EXTEMPORANEOS!D128</f>
        <v>0</v>
      </c>
      <c r="E129" s="178" t="str">
        <f>EXTEMPORANEOS!E128</f>
        <v>23D</v>
      </c>
      <c r="F129" s="175" t="str">
        <f>EXTEMPORANEOS!F128</f>
        <v>Occidente - Directa</v>
      </c>
      <c r="G129" s="178">
        <f>EXTEMPORANEOS!G128</f>
        <v>13</v>
      </c>
      <c r="H129" s="175" t="str">
        <f>EXTEMPORANEOS!H128</f>
        <v>T23 Directa - Transferencias</v>
      </c>
      <c r="I129" s="175">
        <f>EXTEMPORANEOS!I128</f>
        <v>230887267</v>
      </c>
      <c r="J129" s="179">
        <f>EXTEMPORANEOS!J128</f>
        <v>0</v>
      </c>
      <c r="K129" s="179">
        <f>EXTEMPORANEOS!K128</f>
        <v>0</v>
      </c>
      <c r="L129" s="179">
        <f>EXTEMPORANEOS!L128</f>
        <v>0</v>
      </c>
      <c r="M129" s="179">
        <f>EXTEMPORANEOS!M128</f>
        <v>0</v>
      </c>
      <c r="N129" s="179">
        <f>EXTEMPORANEOS!N128</f>
        <v>0</v>
      </c>
      <c r="O129" s="179">
        <f>EXTEMPORANEOS!O128</f>
        <v>0</v>
      </c>
      <c r="P129" s="179">
        <f>EXTEMPORANEOS!P128</f>
        <v>0</v>
      </c>
      <c r="Q129" s="179">
        <f>EXTEMPORANEOS!Q128</f>
        <v>0</v>
      </c>
      <c r="R129" s="180">
        <f>EXTEMPORANEOS!R128</f>
        <v>0</v>
      </c>
      <c r="S129" s="180">
        <f>EXTEMPORANEOS!S128</f>
        <v>0</v>
      </c>
      <c r="T129" s="181">
        <f>EXTEMPORANEOS!T128</f>
        <v>0</v>
      </c>
      <c r="U129" s="182">
        <f>EXTEMPORANEOS!U128</f>
        <v>0</v>
      </c>
      <c r="V129" s="179">
        <f>EXTEMPORANEOS!V128</f>
        <v>0</v>
      </c>
      <c r="W129" s="179">
        <f>EXTEMPORANEOS!W128</f>
        <v>0</v>
      </c>
      <c r="X129" s="182">
        <f>EXTEMPORANEOS!X128</f>
        <v>0</v>
      </c>
      <c r="Y129" s="297">
        <f>EXTEMPORANEOS!Y128</f>
        <v>0</v>
      </c>
      <c r="AA129" s="138"/>
    </row>
    <row r="130" spans="2:27" ht="12.95" customHeight="1" x14ac:dyDescent="0.2">
      <c r="B130" s="296">
        <f>EXTEMPORANEOS!B129</f>
        <v>0</v>
      </c>
      <c r="C130" s="176">
        <f>EXTEMPORANEOS!C129</f>
        <v>2026102</v>
      </c>
      <c r="D130" s="177">
        <f>EXTEMPORANEOS!D129</f>
        <v>0</v>
      </c>
      <c r="E130" s="178" t="str">
        <f>EXTEMPORANEOS!E129</f>
        <v>23D</v>
      </c>
      <c r="F130" s="175" t="str">
        <f>EXTEMPORANEOS!F129</f>
        <v>Occidente - Directa</v>
      </c>
      <c r="G130" s="178">
        <f>EXTEMPORANEOS!G129</f>
        <v>13</v>
      </c>
      <c r="H130" s="175" t="str">
        <f>EXTEMPORANEOS!H129</f>
        <v>T23 Directa - Transferencias</v>
      </c>
      <c r="I130" s="175">
        <f>EXTEMPORANEOS!I129</f>
        <v>230887267</v>
      </c>
      <c r="J130" s="179">
        <f>EXTEMPORANEOS!J129</f>
        <v>0</v>
      </c>
      <c r="K130" s="179">
        <f>EXTEMPORANEOS!K129</f>
        <v>0</v>
      </c>
      <c r="L130" s="179">
        <f>EXTEMPORANEOS!L129</f>
        <v>0</v>
      </c>
      <c r="M130" s="179">
        <f>EXTEMPORANEOS!M129</f>
        <v>0</v>
      </c>
      <c r="N130" s="179">
        <f>EXTEMPORANEOS!N129</f>
        <v>0</v>
      </c>
      <c r="O130" s="179">
        <f>EXTEMPORANEOS!O129</f>
        <v>0</v>
      </c>
      <c r="P130" s="179">
        <f>EXTEMPORANEOS!P129</f>
        <v>0</v>
      </c>
      <c r="Q130" s="179">
        <f>EXTEMPORANEOS!Q129</f>
        <v>0</v>
      </c>
      <c r="R130" s="180">
        <f>EXTEMPORANEOS!R129</f>
        <v>0</v>
      </c>
      <c r="S130" s="180">
        <f>EXTEMPORANEOS!S129</f>
        <v>0</v>
      </c>
      <c r="T130" s="181">
        <f>EXTEMPORANEOS!T129</f>
        <v>0</v>
      </c>
      <c r="U130" s="182">
        <f>EXTEMPORANEOS!U129</f>
        <v>0</v>
      </c>
      <c r="V130" s="179">
        <f>EXTEMPORANEOS!V129</f>
        <v>0</v>
      </c>
      <c r="W130" s="179">
        <f>EXTEMPORANEOS!W129</f>
        <v>0</v>
      </c>
      <c r="X130" s="182">
        <f>EXTEMPORANEOS!X129</f>
        <v>0</v>
      </c>
      <c r="Y130" s="297">
        <f>EXTEMPORANEOS!Y129</f>
        <v>0</v>
      </c>
      <c r="AA130" s="138"/>
    </row>
    <row r="131" spans="2:27" ht="12.95" customHeight="1" x14ac:dyDescent="0.2">
      <c r="B131" s="296">
        <f>EXTEMPORANEOS!B130</f>
        <v>0</v>
      </c>
      <c r="C131" s="176">
        <f>EXTEMPORANEOS!C130</f>
        <v>2026102</v>
      </c>
      <c r="D131" s="177">
        <f>EXTEMPORANEOS!D130</f>
        <v>0</v>
      </c>
      <c r="E131" s="178" t="str">
        <f>EXTEMPORANEOS!E130</f>
        <v>23D</v>
      </c>
      <c r="F131" s="175" t="str">
        <f>EXTEMPORANEOS!F130</f>
        <v>Occidente - Directa</v>
      </c>
      <c r="G131" s="178">
        <f>EXTEMPORANEOS!G130</f>
        <v>13</v>
      </c>
      <c r="H131" s="175" t="str">
        <f>EXTEMPORANEOS!H130</f>
        <v>T23 Directa - Transferencias</v>
      </c>
      <c r="I131" s="175">
        <f>EXTEMPORANEOS!I130</f>
        <v>230887267</v>
      </c>
      <c r="J131" s="179">
        <f>EXTEMPORANEOS!J130</f>
        <v>0</v>
      </c>
      <c r="K131" s="179">
        <f>EXTEMPORANEOS!K130</f>
        <v>0</v>
      </c>
      <c r="L131" s="179">
        <f>EXTEMPORANEOS!L130</f>
        <v>0</v>
      </c>
      <c r="M131" s="179">
        <f>EXTEMPORANEOS!M130</f>
        <v>0</v>
      </c>
      <c r="N131" s="179">
        <f>EXTEMPORANEOS!N130</f>
        <v>0</v>
      </c>
      <c r="O131" s="179">
        <f>EXTEMPORANEOS!O130</f>
        <v>0</v>
      </c>
      <c r="P131" s="179">
        <f>EXTEMPORANEOS!P130</f>
        <v>0</v>
      </c>
      <c r="Q131" s="179">
        <f>EXTEMPORANEOS!Q130</f>
        <v>0</v>
      </c>
      <c r="R131" s="180">
        <f>EXTEMPORANEOS!R130</f>
        <v>0</v>
      </c>
      <c r="S131" s="180">
        <f>EXTEMPORANEOS!S130</f>
        <v>0</v>
      </c>
      <c r="T131" s="181">
        <f>EXTEMPORANEOS!T130</f>
        <v>0</v>
      </c>
      <c r="U131" s="182">
        <f>EXTEMPORANEOS!U130</f>
        <v>0</v>
      </c>
      <c r="V131" s="179">
        <f>EXTEMPORANEOS!V130</f>
        <v>0</v>
      </c>
      <c r="W131" s="179">
        <f>EXTEMPORANEOS!W130</f>
        <v>0</v>
      </c>
      <c r="X131" s="182">
        <f>EXTEMPORANEOS!X130</f>
        <v>0</v>
      </c>
      <c r="Y131" s="297">
        <f>EXTEMPORANEOS!Y130</f>
        <v>0</v>
      </c>
      <c r="AA131" s="138"/>
    </row>
    <row r="132" spans="2:27" ht="12.95" customHeight="1" x14ac:dyDescent="0.2">
      <c r="B132" s="296">
        <f>EXTEMPORANEOS!B131</f>
        <v>0</v>
      </c>
      <c r="C132" s="176">
        <f>EXTEMPORANEOS!C131</f>
        <v>2026102</v>
      </c>
      <c r="D132" s="177">
        <f>EXTEMPORANEOS!D131</f>
        <v>0</v>
      </c>
      <c r="E132" s="178" t="str">
        <f>EXTEMPORANEOS!E131</f>
        <v>23D</v>
      </c>
      <c r="F132" s="175" t="str">
        <f>EXTEMPORANEOS!F131</f>
        <v>Occidente - Directa</v>
      </c>
      <c r="G132" s="178">
        <f>EXTEMPORANEOS!G131</f>
        <v>13</v>
      </c>
      <c r="H132" s="175" t="str">
        <f>EXTEMPORANEOS!H131</f>
        <v>T23 Directa - Transferencias</v>
      </c>
      <c r="I132" s="175">
        <f>EXTEMPORANEOS!I131</f>
        <v>230887267</v>
      </c>
      <c r="J132" s="179">
        <f>EXTEMPORANEOS!J131</f>
        <v>0</v>
      </c>
      <c r="K132" s="179">
        <f>EXTEMPORANEOS!K131</f>
        <v>0</v>
      </c>
      <c r="L132" s="179">
        <f>EXTEMPORANEOS!L131</f>
        <v>0</v>
      </c>
      <c r="M132" s="179">
        <f>EXTEMPORANEOS!M131</f>
        <v>0</v>
      </c>
      <c r="N132" s="179">
        <f>EXTEMPORANEOS!N131</f>
        <v>0</v>
      </c>
      <c r="O132" s="179">
        <f>EXTEMPORANEOS!O131</f>
        <v>0</v>
      </c>
      <c r="P132" s="179">
        <f>EXTEMPORANEOS!P131</f>
        <v>0</v>
      </c>
      <c r="Q132" s="179">
        <f>EXTEMPORANEOS!Q131</f>
        <v>0</v>
      </c>
      <c r="R132" s="180">
        <f>EXTEMPORANEOS!R131</f>
        <v>0</v>
      </c>
      <c r="S132" s="180">
        <f>EXTEMPORANEOS!S131</f>
        <v>0</v>
      </c>
      <c r="T132" s="181">
        <f>EXTEMPORANEOS!T131</f>
        <v>0</v>
      </c>
      <c r="U132" s="182">
        <f>EXTEMPORANEOS!U131</f>
        <v>0</v>
      </c>
      <c r="V132" s="179">
        <f>EXTEMPORANEOS!V131</f>
        <v>0</v>
      </c>
      <c r="W132" s="179">
        <f>EXTEMPORANEOS!W131</f>
        <v>0</v>
      </c>
      <c r="X132" s="182">
        <f>EXTEMPORANEOS!X131</f>
        <v>0</v>
      </c>
      <c r="Y132" s="297">
        <f>EXTEMPORANEOS!Y131</f>
        <v>0</v>
      </c>
      <c r="AA132" s="138"/>
    </row>
    <row r="133" spans="2:27" ht="12.95" customHeight="1" x14ac:dyDescent="0.2">
      <c r="B133" s="296">
        <f>EXTEMPORANEOS!B132</f>
        <v>0</v>
      </c>
      <c r="C133" s="176">
        <f>EXTEMPORANEOS!C132</f>
        <v>2026102</v>
      </c>
      <c r="D133" s="177">
        <f>EXTEMPORANEOS!D132</f>
        <v>0</v>
      </c>
      <c r="E133" s="178" t="str">
        <f>EXTEMPORANEOS!E132</f>
        <v>23D</v>
      </c>
      <c r="F133" s="175" t="str">
        <f>EXTEMPORANEOS!F132</f>
        <v>Occidente - Directa</v>
      </c>
      <c r="G133" s="178">
        <f>EXTEMPORANEOS!G132</f>
        <v>13</v>
      </c>
      <c r="H133" s="175" t="str">
        <f>EXTEMPORANEOS!H132</f>
        <v>T23 Directa - Transferencias</v>
      </c>
      <c r="I133" s="175">
        <f>EXTEMPORANEOS!I132</f>
        <v>230887267</v>
      </c>
      <c r="J133" s="179">
        <f>EXTEMPORANEOS!J132</f>
        <v>0</v>
      </c>
      <c r="K133" s="179">
        <f>EXTEMPORANEOS!K132</f>
        <v>0</v>
      </c>
      <c r="L133" s="179">
        <f>EXTEMPORANEOS!L132</f>
        <v>0</v>
      </c>
      <c r="M133" s="179">
        <f>EXTEMPORANEOS!M132</f>
        <v>0</v>
      </c>
      <c r="N133" s="179">
        <f>EXTEMPORANEOS!N132</f>
        <v>0</v>
      </c>
      <c r="O133" s="179">
        <f>EXTEMPORANEOS!O132</f>
        <v>0</v>
      </c>
      <c r="P133" s="179">
        <f>EXTEMPORANEOS!P132</f>
        <v>0</v>
      </c>
      <c r="Q133" s="179">
        <f>EXTEMPORANEOS!Q132</f>
        <v>0</v>
      </c>
      <c r="R133" s="180">
        <f>EXTEMPORANEOS!R132</f>
        <v>0</v>
      </c>
      <c r="S133" s="180">
        <f>EXTEMPORANEOS!S132</f>
        <v>0</v>
      </c>
      <c r="T133" s="181">
        <f>EXTEMPORANEOS!T132</f>
        <v>0</v>
      </c>
      <c r="U133" s="182">
        <f>EXTEMPORANEOS!U132</f>
        <v>0</v>
      </c>
      <c r="V133" s="179">
        <f>EXTEMPORANEOS!V132</f>
        <v>0</v>
      </c>
      <c r="W133" s="179">
        <f>EXTEMPORANEOS!W132</f>
        <v>0</v>
      </c>
      <c r="X133" s="182">
        <f>EXTEMPORANEOS!X132</f>
        <v>0</v>
      </c>
      <c r="Y133" s="297">
        <f>EXTEMPORANEOS!Y132</f>
        <v>0</v>
      </c>
      <c r="AA133" s="138"/>
    </row>
    <row r="134" spans="2:27" ht="12.95" customHeight="1" x14ac:dyDescent="0.2">
      <c r="B134" s="296">
        <f>EXTEMPORANEOS!B133</f>
        <v>0</v>
      </c>
      <c r="C134" s="176">
        <f>EXTEMPORANEOS!C133</f>
        <v>2026102</v>
      </c>
      <c r="D134" s="177">
        <f>EXTEMPORANEOS!D133</f>
        <v>0</v>
      </c>
      <c r="E134" s="178" t="str">
        <f>EXTEMPORANEOS!E133</f>
        <v>23D</v>
      </c>
      <c r="F134" s="175" t="str">
        <f>EXTEMPORANEOS!F133</f>
        <v>Occidente - Directa</v>
      </c>
      <c r="G134" s="178">
        <f>EXTEMPORANEOS!G133</f>
        <v>13</v>
      </c>
      <c r="H134" s="175" t="str">
        <f>EXTEMPORANEOS!H133</f>
        <v>T23 Directa - Transferencias</v>
      </c>
      <c r="I134" s="175">
        <f>EXTEMPORANEOS!I133</f>
        <v>230887267</v>
      </c>
      <c r="J134" s="179">
        <f>EXTEMPORANEOS!J133</f>
        <v>0</v>
      </c>
      <c r="K134" s="179">
        <f>EXTEMPORANEOS!K133</f>
        <v>0</v>
      </c>
      <c r="L134" s="179">
        <f>EXTEMPORANEOS!L133</f>
        <v>0</v>
      </c>
      <c r="M134" s="179">
        <f>EXTEMPORANEOS!M133</f>
        <v>0</v>
      </c>
      <c r="N134" s="179">
        <f>EXTEMPORANEOS!N133</f>
        <v>0</v>
      </c>
      <c r="O134" s="179">
        <f>EXTEMPORANEOS!O133</f>
        <v>0</v>
      </c>
      <c r="P134" s="179">
        <f>EXTEMPORANEOS!P133</f>
        <v>0</v>
      </c>
      <c r="Q134" s="179">
        <f>EXTEMPORANEOS!Q133</f>
        <v>0</v>
      </c>
      <c r="R134" s="180">
        <f>EXTEMPORANEOS!R133</f>
        <v>0</v>
      </c>
      <c r="S134" s="180">
        <f>EXTEMPORANEOS!S133</f>
        <v>0</v>
      </c>
      <c r="T134" s="181">
        <f>EXTEMPORANEOS!T133</f>
        <v>0</v>
      </c>
      <c r="U134" s="182">
        <f>EXTEMPORANEOS!U133</f>
        <v>0</v>
      </c>
      <c r="V134" s="179">
        <f>EXTEMPORANEOS!V133</f>
        <v>0</v>
      </c>
      <c r="W134" s="179">
        <f>EXTEMPORANEOS!W133</f>
        <v>0</v>
      </c>
      <c r="X134" s="182">
        <f>EXTEMPORANEOS!X133</f>
        <v>0</v>
      </c>
      <c r="Y134" s="297">
        <f>EXTEMPORANEOS!Y133</f>
        <v>0</v>
      </c>
      <c r="AA134" s="138"/>
    </row>
    <row r="135" spans="2:27" ht="12.95" customHeight="1" x14ac:dyDescent="0.2">
      <c r="B135" s="296">
        <f>EXTEMPORANEOS!B134</f>
        <v>0</v>
      </c>
      <c r="C135" s="176">
        <f>EXTEMPORANEOS!C134</f>
        <v>2026102</v>
      </c>
      <c r="D135" s="177">
        <f>EXTEMPORANEOS!D134</f>
        <v>0</v>
      </c>
      <c r="E135" s="178" t="str">
        <f>EXTEMPORANEOS!E134</f>
        <v>23D</v>
      </c>
      <c r="F135" s="175" t="str">
        <f>EXTEMPORANEOS!F134</f>
        <v>Occidente - Directa</v>
      </c>
      <c r="G135" s="178">
        <f>EXTEMPORANEOS!G134</f>
        <v>13</v>
      </c>
      <c r="H135" s="175" t="str">
        <f>EXTEMPORANEOS!H134</f>
        <v>T23 Directa - Transferencias</v>
      </c>
      <c r="I135" s="175">
        <f>EXTEMPORANEOS!I134</f>
        <v>230887267</v>
      </c>
      <c r="J135" s="179">
        <f>EXTEMPORANEOS!J134</f>
        <v>0</v>
      </c>
      <c r="K135" s="179">
        <f>EXTEMPORANEOS!K134</f>
        <v>0</v>
      </c>
      <c r="L135" s="179">
        <f>EXTEMPORANEOS!L134</f>
        <v>0</v>
      </c>
      <c r="M135" s="179">
        <f>EXTEMPORANEOS!M134</f>
        <v>0</v>
      </c>
      <c r="N135" s="179">
        <f>EXTEMPORANEOS!N134</f>
        <v>0</v>
      </c>
      <c r="O135" s="179">
        <f>EXTEMPORANEOS!O134</f>
        <v>0</v>
      </c>
      <c r="P135" s="179">
        <f>EXTEMPORANEOS!P134</f>
        <v>0</v>
      </c>
      <c r="Q135" s="179">
        <f>EXTEMPORANEOS!Q134</f>
        <v>0</v>
      </c>
      <c r="R135" s="180">
        <f>EXTEMPORANEOS!R134</f>
        <v>0</v>
      </c>
      <c r="S135" s="180">
        <f>EXTEMPORANEOS!S134</f>
        <v>0</v>
      </c>
      <c r="T135" s="181">
        <f>EXTEMPORANEOS!T134</f>
        <v>0</v>
      </c>
      <c r="U135" s="182">
        <f>EXTEMPORANEOS!U134</f>
        <v>0</v>
      </c>
      <c r="V135" s="179">
        <f>EXTEMPORANEOS!V134</f>
        <v>0</v>
      </c>
      <c r="W135" s="179">
        <f>EXTEMPORANEOS!W134</f>
        <v>0</v>
      </c>
      <c r="X135" s="182">
        <f>EXTEMPORANEOS!X134</f>
        <v>0</v>
      </c>
      <c r="Y135" s="297">
        <f>EXTEMPORANEOS!Y134</f>
        <v>0</v>
      </c>
      <c r="AA135" s="138"/>
    </row>
    <row r="136" spans="2:27" ht="12.95" customHeight="1" x14ac:dyDescent="0.2">
      <c r="B136" s="296">
        <f>EXTEMPORANEOS!B135</f>
        <v>0</v>
      </c>
      <c r="C136" s="176">
        <f>EXTEMPORANEOS!C135</f>
        <v>2026102</v>
      </c>
      <c r="D136" s="177">
        <f>EXTEMPORANEOS!D135</f>
        <v>0</v>
      </c>
      <c r="E136" s="178" t="str">
        <f>EXTEMPORANEOS!E135</f>
        <v>23D</v>
      </c>
      <c r="F136" s="175" t="str">
        <f>EXTEMPORANEOS!F135</f>
        <v>Occidente - Directa</v>
      </c>
      <c r="G136" s="178">
        <f>EXTEMPORANEOS!G135</f>
        <v>13</v>
      </c>
      <c r="H136" s="175" t="str">
        <f>EXTEMPORANEOS!H135</f>
        <v>T23 Directa - Transferencias</v>
      </c>
      <c r="I136" s="175">
        <f>EXTEMPORANEOS!I135</f>
        <v>230887267</v>
      </c>
      <c r="J136" s="179">
        <f>EXTEMPORANEOS!J135</f>
        <v>0</v>
      </c>
      <c r="K136" s="179">
        <f>EXTEMPORANEOS!K135</f>
        <v>0</v>
      </c>
      <c r="L136" s="179">
        <f>EXTEMPORANEOS!L135</f>
        <v>0</v>
      </c>
      <c r="M136" s="179">
        <f>EXTEMPORANEOS!M135</f>
        <v>0</v>
      </c>
      <c r="N136" s="179">
        <f>EXTEMPORANEOS!N135</f>
        <v>0</v>
      </c>
      <c r="O136" s="179">
        <f>EXTEMPORANEOS!O135</f>
        <v>0</v>
      </c>
      <c r="P136" s="179">
        <f>EXTEMPORANEOS!P135</f>
        <v>0</v>
      </c>
      <c r="Q136" s="179">
        <f>EXTEMPORANEOS!Q135</f>
        <v>0</v>
      </c>
      <c r="R136" s="180">
        <f>EXTEMPORANEOS!R135</f>
        <v>0</v>
      </c>
      <c r="S136" s="180">
        <f>EXTEMPORANEOS!S135</f>
        <v>0</v>
      </c>
      <c r="T136" s="181">
        <f>EXTEMPORANEOS!T135</f>
        <v>0</v>
      </c>
      <c r="U136" s="182">
        <f>EXTEMPORANEOS!U135</f>
        <v>0</v>
      </c>
      <c r="V136" s="179">
        <f>EXTEMPORANEOS!V135</f>
        <v>0</v>
      </c>
      <c r="W136" s="179">
        <f>EXTEMPORANEOS!W135</f>
        <v>0</v>
      </c>
      <c r="X136" s="182">
        <f>EXTEMPORANEOS!X135</f>
        <v>0</v>
      </c>
      <c r="Y136" s="297">
        <f>EXTEMPORANEOS!Y135</f>
        <v>0</v>
      </c>
      <c r="AA136" s="138"/>
    </row>
    <row r="137" spans="2:27" ht="12.95" customHeight="1" x14ac:dyDescent="0.2">
      <c r="B137" s="296">
        <f>EXTEMPORANEOS!B136</f>
        <v>0</v>
      </c>
      <c r="C137" s="176">
        <f>EXTEMPORANEOS!C136</f>
        <v>2026102</v>
      </c>
      <c r="D137" s="177">
        <f>EXTEMPORANEOS!D136</f>
        <v>0</v>
      </c>
      <c r="E137" s="178" t="str">
        <f>EXTEMPORANEOS!E136</f>
        <v>23D</v>
      </c>
      <c r="F137" s="175" t="str">
        <f>EXTEMPORANEOS!F136</f>
        <v>Occidente - Directa</v>
      </c>
      <c r="G137" s="178">
        <f>EXTEMPORANEOS!G136</f>
        <v>13</v>
      </c>
      <c r="H137" s="175" t="str">
        <f>EXTEMPORANEOS!H136</f>
        <v>T23 Directa - Transferencias</v>
      </c>
      <c r="I137" s="175">
        <f>EXTEMPORANEOS!I136</f>
        <v>230887267</v>
      </c>
      <c r="J137" s="179">
        <f>EXTEMPORANEOS!J136</f>
        <v>0</v>
      </c>
      <c r="K137" s="179">
        <f>EXTEMPORANEOS!K136</f>
        <v>0</v>
      </c>
      <c r="L137" s="179">
        <f>EXTEMPORANEOS!L136</f>
        <v>0</v>
      </c>
      <c r="M137" s="179">
        <f>EXTEMPORANEOS!M136</f>
        <v>0</v>
      </c>
      <c r="N137" s="179">
        <f>EXTEMPORANEOS!N136</f>
        <v>0</v>
      </c>
      <c r="O137" s="179">
        <f>EXTEMPORANEOS!O136</f>
        <v>0</v>
      </c>
      <c r="P137" s="179">
        <f>EXTEMPORANEOS!P136</f>
        <v>0</v>
      </c>
      <c r="Q137" s="179">
        <f>EXTEMPORANEOS!Q136</f>
        <v>0</v>
      </c>
      <c r="R137" s="180">
        <f>EXTEMPORANEOS!R136</f>
        <v>0</v>
      </c>
      <c r="S137" s="180">
        <f>EXTEMPORANEOS!S136</f>
        <v>0</v>
      </c>
      <c r="T137" s="181">
        <f>EXTEMPORANEOS!T136</f>
        <v>0</v>
      </c>
      <c r="U137" s="182">
        <f>EXTEMPORANEOS!U136</f>
        <v>0</v>
      </c>
      <c r="V137" s="179">
        <f>EXTEMPORANEOS!V136</f>
        <v>0</v>
      </c>
      <c r="W137" s="179">
        <f>EXTEMPORANEOS!W136</f>
        <v>0</v>
      </c>
      <c r="X137" s="182">
        <f>EXTEMPORANEOS!X136</f>
        <v>0</v>
      </c>
      <c r="Y137" s="297">
        <f>EXTEMPORANEOS!Y136</f>
        <v>0</v>
      </c>
      <c r="AA137" s="138"/>
    </row>
    <row r="138" spans="2:27" ht="12.95" customHeight="1" x14ac:dyDescent="0.2">
      <c r="B138" s="296">
        <f>EXTEMPORANEOS!B137</f>
        <v>0</v>
      </c>
      <c r="C138" s="176">
        <f>EXTEMPORANEOS!C137</f>
        <v>2026102</v>
      </c>
      <c r="D138" s="177">
        <f>EXTEMPORANEOS!D137</f>
        <v>0</v>
      </c>
      <c r="E138" s="178" t="str">
        <f>EXTEMPORANEOS!E137</f>
        <v>23D</v>
      </c>
      <c r="F138" s="175" t="str">
        <f>EXTEMPORANEOS!F137</f>
        <v>Occidente - Directa</v>
      </c>
      <c r="G138" s="178">
        <f>EXTEMPORANEOS!G137</f>
        <v>13</v>
      </c>
      <c r="H138" s="175" t="str">
        <f>EXTEMPORANEOS!H137</f>
        <v>T23 Directa - Transferencias</v>
      </c>
      <c r="I138" s="175">
        <f>EXTEMPORANEOS!I137</f>
        <v>230887267</v>
      </c>
      <c r="J138" s="179">
        <f>EXTEMPORANEOS!J137</f>
        <v>0</v>
      </c>
      <c r="K138" s="179">
        <f>EXTEMPORANEOS!K137</f>
        <v>0</v>
      </c>
      <c r="L138" s="179">
        <f>EXTEMPORANEOS!L137</f>
        <v>0</v>
      </c>
      <c r="M138" s="179">
        <f>EXTEMPORANEOS!M137</f>
        <v>0</v>
      </c>
      <c r="N138" s="179">
        <f>EXTEMPORANEOS!N137</f>
        <v>0</v>
      </c>
      <c r="O138" s="179">
        <f>EXTEMPORANEOS!O137</f>
        <v>0</v>
      </c>
      <c r="P138" s="179">
        <f>EXTEMPORANEOS!P137</f>
        <v>0</v>
      </c>
      <c r="Q138" s="179">
        <f>EXTEMPORANEOS!Q137</f>
        <v>0</v>
      </c>
      <c r="R138" s="180">
        <f>EXTEMPORANEOS!R137</f>
        <v>0</v>
      </c>
      <c r="S138" s="180">
        <f>EXTEMPORANEOS!S137</f>
        <v>0</v>
      </c>
      <c r="T138" s="181">
        <f>EXTEMPORANEOS!T137</f>
        <v>0</v>
      </c>
      <c r="U138" s="182">
        <f>EXTEMPORANEOS!U137</f>
        <v>0</v>
      </c>
      <c r="V138" s="179">
        <f>EXTEMPORANEOS!V137</f>
        <v>0</v>
      </c>
      <c r="W138" s="179">
        <f>EXTEMPORANEOS!W137</f>
        <v>0</v>
      </c>
      <c r="X138" s="182">
        <f>EXTEMPORANEOS!X137</f>
        <v>0</v>
      </c>
      <c r="Y138" s="297">
        <f>EXTEMPORANEOS!Y137</f>
        <v>0</v>
      </c>
      <c r="AA138" s="138"/>
    </row>
    <row r="139" spans="2:27" ht="12.95" customHeight="1" x14ac:dyDescent="0.2">
      <c r="B139" s="296">
        <f>EXTEMPORANEOS!B138</f>
        <v>0</v>
      </c>
      <c r="C139" s="176">
        <f>EXTEMPORANEOS!C138</f>
        <v>2026102</v>
      </c>
      <c r="D139" s="177">
        <f>EXTEMPORANEOS!D138</f>
        <v>0</v>
      </c>
      <c r="E139" s="178" t="str">
        <f>EXTEMPORANEOS!E138</f>
        <v>23D</v>
      </c>
      <c r="F139" s="175" t="str">
        <f>EXTEMPORANEOS!F138</f>
        <v>Occidente - Directa</v>
      </c>
      <c r="G139" s="178">
        <f>EXTEMPORANEOS!G138</f>
        <v>13</v>
      </c>
      <c r="H139" s="175" t="str">
        <f>EXTEMPORANEOS!H138</f>
        <v>T23 Directa - Transferencias</v>
      </c>
      <c r="I139" s="175">
        <f>EXTEMPORANEOS!I138</f>
        <v>230887267</v>
      </c>
      <c r="J139" s="179">
        <f>EXTEMPORANEOS!J138</f>
        <v>0</v>
      </c>
      <c r="K139" s="179">
        <f>EXTEMPORANEOS!K138</f>
        <v>0</v>
      </c>
      <c r="L139" s="179">
        <f>EXTEMPORANEOS!L138</f>
        <v>0</v>
      </c>
      <c r="M139" s="179">
        <f>EXTEMPORANEOS!M138</f>
        <v>0</v>
      </c>
      <c r="N139" s="179">
        <f>EXTEMPORANEOS!N138</f>
        <v>0</v>
      </c>
      <c r="O139" s="179">
        <f>EXTEMPORANEOS!O138</f>
        <v>0</v>
      </c>
      <c r="P139" s="179">
        <f>EXTEMPORANEOS!P138</f>
        <v>0</v>
      </c>
      <c r="Q139" s="179">
        <f>EXTEMPORANEOS!Q138</f>
        <v>0</v>
      </c>
      <c r="R139" s="180">
        <f>EXTEMPORANEOS!R138</f>
        <v>0</v>
      </c>
      <c r="S139" s="180">
        <f>EXTEMPORANEOS!S138</f>
        <v>0</v>
      </c>
      <c r="T139" s="181">
        <f>EXTEMPORANEOS!T138</f>
        <v>0</v>
      </c>
      <c r="U139" s="182">
        <f>EXTEMPORANEOS!U138</f>
        <v>0</v>
      </c>
      <c r="V139" s="179">
        <f>EXTEMPORANEOS!V138</f>
        <v>0</v>
      </c>
      <c r="W139" s="179">
        <f>EXTEMPORANEOS!W138</f>
        <v>0</v>
      </c>
      <c r="X139" s="182">
        <f>EXTEMPORANEOS!X138</f>
        <v>0</v>
      </c>
      <c r="Y139" s="297">
        <f>EXTEMPORANEOS!Y138</f>
        <v>0</v>
      </c>
      <c r="AA139" s="138"/>
    </row>
    <row r="140" spans="2:27" ht="12.95" customHeight="1" x14ac:dyDescent="0.2">
      <c r="B140" s="296">
        <f>EXTEMPORANEOS!B139</f>
        <v>0</v>
      </c>
      <c r="C140" s="176">
        <f>EXTEMPORANEOS!C139</f>
        <v>2026102</v>
      </c>
      <c r="D140" s="177">
        <f>EXTEMPORANEOS!D139</f>
        <v>0</v>
      </c>
      <c r="E140" s="178" t="str">
        <f>EXTEMPORANEOS!E139</f>
        <v>23D</v>
      </c>
      <c r="F140" s="175" t="str">
        <f>EXTEMPORANEOS!F139</f>
        <v>Occidente - Directa</v>
      </c>
      <c r="G140" s="178">
        <f>EXTEMPORANEOS!G139</f>
        <v>13</v>
      </c>
      <c r="H140" s="175" t="str">
        <f>EXTEMPORANEOS!H139</f>
        <v>T23 Directa - Transferencias</v>
      </c>
      <c r="I140" s="175">
        <f>EXTEMPORANEOS!I139</f>
        <v>230887267</v>
      </c>
      <c r="J140" s="179">
        <f>EXTEMPORANEOS!J139</f>
        <v>0</v>
      </c>
      <c r="K140" s="179">
        <f>EXTEMPORANEOS!K139</f>
        <v>0</v>
      </c>
      <c r="L140" s="179">
        <f>EXTEMPORANEOS!L139</f>
        <v>0</v>
      </c>
      <c r="M140" s="179">
        <f>EXTEMPORANEOS!M139</f>
        <v>0</v>
      </c>
      <c r="N140" s="179">
        <f>EXTEMPORANEOS!N139</f>
        <v>0</v>
      </c>
      <c r="O140" s="179">
        <f>EXTEMPORANEOS!O139</f>
        <v>0</v>
      </c>
      <c r="P140" s="179">
        <f>EXTEMPORANEOS!P139</f>
        <v>0</v>
      </c>
      <c r="Q140" s="179">
        <f>EXTEMPORANEOS!Q139</f>
        <v>0</v>
      </c>
      <c r="R140" s="180">
        <f>EXTEMPORANEOS!R139</f>
        <v>0</v>
      </c>
      <c r="S140" s="180">
        <f>EXTEMPORANEOS!S139</f>
        <v>0</v>
      </c>
      <c r="T140" s="181">
        <f>EXTEMPORANEOS!T139</f>
        <v>0</v>
      </c>
      <c r="U140" s="182">
        <f>EXTEMPORANEOS!U139</f>
        <v>0</v>
      </c>
      <c r="V140" s="179">
        <f>EXTEMPORANEOS!V139</f>
        <v>0</v>
      </c>
      <c r="W140" s="179">
        <f>EXTEMPORANEOS!W139</f>
        <v>0</v>
      </c>
      <c r="X140" s="182">
        <f>EXTEMPORANEOS!X139</f>
        <v>0</v>
      </c>
      <c r="Y140" s="297">
        <f>EXTEMPORANEOS!Y139</f>
        <v>0</v>
      </c>
      <c r="AA140" s="138"/>
    </row>
    <row r="141" spans="2:27" ht="12.95" customHeight="1" x14ac:dyDescent="0.2">
      <c r="B141" s="296">
        <f>EXTEMPORANEOS!B140</f>
        <v>0</v>
      </c>
      <c r="C141" s="176">
        <f>EXTEMPORANEOS!C140</f>
        <v>2026102</v>
      </c>
      <c r="D141" s="177">
        <f>EXTEMPORANEOS!D140</f>
        <v>0</v>
      </c>
      <c r="E141" s="178" t="str">
        <f>EXTEMPORANEOS!E140</f>
        <v>23D</v>
      </c>
      <c r="F141" s="175" t="str">
        <f>EXTEMPORANEOS!F140</f>
        <v>Occidente - Directa</v>
      </c>
      <c r="G141" s="178">
        <f>EXTEMPORANEOS!G140</f>
        <v>13</v>
      </c>
      <c r="H141" s="175" t="str">
        <f>EXTEMPORANEOS!H140</f>
        <v>T23 Directa - Transferencias</v>
      </c>
      <c r="I141" s="175">
        <f>EXTEMPORANEOS!I140</f>
        <v>230887267</v>
      </c>
      <c r="J141" s="179">
        <f>EXTEMPORANEOS!J140</f>
        <v>0</v>
      </c>
      <c r="K141" s="179">
        <f>EXTEMPORANEOS!K140</f>
        <v>0</v>
      </c>
      <c r="L141" s="179">
        <f>EXTEMPORANEOS!L140</f>
        <v>0</v>
      </c>
      <c r="M141" s="179">
        <f>EXTEMPORANEOS!M140</f>
        <v>0</v>
      </c>
      <c r="N141" s="179">
        <f>EXTEMPORANEOS!N140</f>
        <v>0</v>
      </c>
      <c r="O141" s="179">
        <f>EXTEMPORANEOS!O140</f>
        <v>0</v>
      </c>
      <c r="P141" s="179">
        <f>EXTEMPORANEOS!P140</f>
        <v>0</v>
      </c>
      <c r="Q141" s="179">
        <f>EXTEMPORANEOS!Q140</f>
        <v>0</v>
      </c>
      <c r="R141" s="180">
        <f>EXTEMPORANEOS!R140</f>
        <v>0</v>
      </c>
      <c r="S141" s="180">
        <f>EXTEMPORANEOS!S140</f>
        <v>0</v>
      </c>
      <c r="T141" s="181">
        <f>EXTEMPORANEOS!T140</f>
        <v>0</v>
      </c>
      <c r="U141" s="182">
        <f>EXTEMPORANEOS!U140</f>
        <v>0</v>
      </c>
      <c r="V141" s="179">
        <f>EXTEMPORANEOS!V140</f>
        <v>0</v>
      </c>
      <c r="W141" s="179">
        <f>EXTEMPORANEOS!W140</f>
        <v>0</v>
      </c>
      <c r="X141" s="182">
        <f>EXTEMPORANEOS!X140</f>
        <v>0</v>
      </c>
      <c r="Y141" s="297">
        <f>EXTEMPORANEOS!Y140</f>
        <v>0</v>
      </c>
      <c r="AA141" s="138"/>
    </row>
    <row r="142" spans="2:27" ht="12.95" customHeight="1" x14ac:dyDescent="0.2">
      <c r="B142" s="296">
        <f>EXTEMPORANEOS!B141</f>
        <v>0</v>
      </c>
      <c r="C142" s="176">
        <f>EXTEMPORANEOS!C141</f>
        <v>2026102</v>
      </c>
      <c r="D142" s="177">
        <f>EXTEMPORANEOS!D141</f>
        <v>0</v>
      </c>
      <c r="E142" s="178" t="str">
        <f>EXTEMPORANEOS!E141</f>
        <v>23D</v>
      </c>
      <c r="F142" s="175" t="str">
        <f>EXTEMPORANEOS!F141</f>
        <v>Occidente - Directa</v>
      </c>
      <c r="G142" s="178">
        <f>EXTEMPORANEOS!G141</f>
        <v>13</v>
      </c>
      <c r="H142" s="175" t="str">
        <f>EXTEMPORANEOS!H141</f>
        <v>T23 Directa - Transferencias</v>
      </c>
      <c r="I142" s="175">
        <f>EXTEMPORANEOS!I141</f>
        <v>230887267</v>
      </c>
      <c r="J142" s="179">
        <f>EXTEMPORANEOS!J141</f>
        <v>0</v>
      </c>
      <c r="K142" s="179">
        <f>EXTEMPORANEOS!K141</f>
        <v>0</v>
      </c>
      <c r="L142" s="179">
        <f>EXTEMPORANEOS!L141</f>
        <v>0</v>
      </c>
      <c r="M142" s="179">
        <f>EXTEMPORANEOS!M141</f>
        <v>0</v>
      </c>
      <c r="N142" s="179">
        <f>EXTEMPORANEOS!N141</f>
        <v>0</v>
      </c>
      <c r="O142" s="179">
        <f>EXTEMPORANEOS!O141</f>
        <v>0</v>
      </c>
      <c r="P142" s="179">
        <f>EXTEMPORANEOS!P141</f>
        <v>0</v>
      </c>
      <c r="Q142" s="179">
        <f>EXTEMPORANEOS!Q141</f>
        <v>0</v>
      </c>
      <c r="R142" s="180">
        <f>EXTEMPORANEOS!R141</f>
        <v>0</v>
      </c>
      <c r="S142" s="180">
        <f>EXTEMPORANEOS!S141</f>
        <v>0</v>
      </c>
      <c r="T142" s="181">
        <f>EXTEMPORANEOS!T141</f>
        <v>0</v>
      </c>
      <c r="U142" s="182">
        <f>EXTEMPORANEOS!U141</f>
        <v>0</v>
      </c>
      <c r="V142" s="179">
        <f>EXTEMPORANEOS!V141</f>
        <v>0</v>
      </c>
      <c r="W142" s="179">
        <f>EXTEMPORANEOS!W141</f>
        <v>0</v>
      </c>
      <c r="X142" s="182">
        <f>EXTEMPORANEOS!X141</f>
        <v>0</v>
      </c>
      <c r="Y142" s="297">
        <f>EXTEMPORANEOS!Y141</f>
        <v>0</v>
      </c>
      <c r="AA142" s="138"/>
    </row>
    <row r="143" spans="2:27" ht="12.95" customHeight="1" x14ac:dyDescent="0.2">
      <c r="B143" s="296">
        <f>EXTEMPORANEOS!B142</f>
        <v>0</v>
      </c>
      <c r="C143" s="176">
        <f>EXTEMPORANEOS!C142</f>
        <v>2026102</v>
      </c>
      <c r="D143" s="177">
        <f>EXTEMPORANEOS!D142</f>
        <v>0</v>
      </c>
      <c r="E143" s="178" t="str">
        <f>EXTEMPORANEOS!E142</f>
        <v>23D</v>
      </c>
      <c r="F143" s="175" t="str">
        <f>EXTEMPORANEOS!F142</f>
        <v>Occidente - Directa</v>
      </c>
      <c r="G143" s="178">
        <f>EXTEMPORANEOS!G142</f>
        <v>13</v>
      </c>
      <c r="H143" s="175" t="str">
        <f>EXTEMPORANEOS!H142</f>
        <v>T23 Directa - Transferencias</v>
      </c>
      <c r="I143" s="175">
        <f>EXTEMPORANEOS!I142</f>
        <v>230887267</v>
      </c>
      <c r="J143" s="179">
        <f>EXTEMPORANEOS!J142</f>
        <v>0</v>
      </c>
      <c r="K143" s="179">
        <f>EXTEMPORANEOS!K142</f>
        <v>0</v>
      </c>
      <c r="L143" s="179">
        <f>EXTEMPORANEOS!L142</f>
        <v>0</v>
      </c>
      <c r="M143" s="179">
        <f>EXTEMPORANEOS!M142</f>
        <v>0</v>
      </c>
      <c r="N143" s="179">
        <f>EXTEMPORANEOS!N142</f>
        <v>0</v>
      </c>
      <c r="O143" s="179">
        <f>EXTEMPORANEOS!O142</f>
        <v>0</v>
      </c>
      <c r="P143" s="179">
        <f>EXTEMPORANEOS!P142</f>
        <v>0</v>
      </c>
      <c r="Q143" s="179">
        <f>EXTEMPORANEOS!Q142</f>
        <v>0</v>
      </c>
      <c r="R143" s="180">
        <f>EXTEMPORANEOS!R142</f>
        <v>0</v>
      </c>
      <c r="S143" s="180">
        <f>EXTEMPORANEOS!S142</f>
        <v>0</v>
      </c>
      <c r="T143" s="181">
        <f>EXTEMPORANEOS!T142</f>
        <v>0</v>
      </c>
      <c r="U143" s="182">
        <f>EXTEMPORANEOS!U142</f>
        <v>0</v>
      </c>
      <c r="V143" s="179">
        <f>EXTEMPORANEOS!V142</f>
        <v>0</v>
      </c>
      <c r="W143" s="179">
        <f>EXTEMPORANEOS!W142</f>
        <v>0</v>
      </c>
      <c r="X143" s="182">
        <f>EXTEMPORANEOS!X142</f>
        <v>0</v>
      </c>
      <c r="Y143" s="297">
        <f>EXTEMPORANEOS!Y142</f>
        <v>0</v>
      </c>
      <c r="AA143" s="138"/>
    </row>
    <row r="144" spans="2:27" ht="12.95" customHeight="1" x14ac:dyDescent="0.2">
      <c r="B144" s="296">
        <f>EXTEMPORANEOS!B143</f>
        <v>0</v>
      </c>
      <c r="C144" s="176">
        <f>EXTEMPORANEOS!C143</f>
        <v>2026102</v>
      </c>
      <c r="D144" s="177">
        <f>EXTEMPORANEOS!D143</f>
        <v>0</v>
      </c>
      <c r="E144" s="178" t="str">
        <f>EXTEMPORANEOS!E143</f>
        <v>23D</v>
      </c>
      <c r="F144" s="175" t="str">
        <f>EXTEMPORANEOS!F143</f>
        <v>Occidente - Directa</v>
      </c>
      <c r="G144" s="178">
        <f>EXTEMPORANEOS!G143</f>
        <v>13</v>
      </c>
      <c r="H144" s="175" t="str">
        <f>EXTEMPORANEOS!H143</f>
        <v>T23 Directa - Transferencias</v>
      </c>
      <c r="I144" s="175">
        <f>EXTEMPORANEOS!I143</f>
        <v>230887267</v>
      </c>
      <c r="J144" s="179">
        <f>EXTEMPORANEOS!J143</f>
        <v>0</v>
      </c>
      <c r="K144" s="179">
        <f>EXTEMPORANEOS!K143</f>
        <v>0</v>
      </c>
      <c r="L144" s="179">
        <f>EXTEMPORANEOS!L143</f>
        <v>0</v>
      </c>
      <c r="M144" s="179">
        <f>EXTEMPORANEOS!M143</f>
        <v>0</v>
      </c>
      <c r="N144" s="179">
        <f>EXTEMPORANEOS!N143</f>
        <v>0</v>
      </c>
      <c r="O144" s="179">
        <f>EXTEMPORANEOS!O143</f>
        <v>0</v>
      </c>
      <c r="P144" s="179">
        <f>EXTEMPORANEOS!P143</f>
        <v>0</v>
      </c>
      <c r="Q144" s="179">
        <f>EXTEMPORANEOS!Q143</f>
        <v>0</v>
      </c>
      <c r="R144" s="180">
        <f>EXTEMPORANEOS!R143</f>
        <v>0</v>
      </c>
      <c r="S144" s="180">
        <f>EXTEMPORANEOS!S143</f>
        <v>0</v>
      </c>
      <c r="T144" s="181">
        <f>EXTEMPORANEOS!T143</f>
        <v>0</v>
      </c>
      <c r="U144" s="182">
        <f>EXTEMPORANEOS!U143</f>
        <v>0</v>
      </c>
      <c r="V144" s="179">
        <f>EXTEMPORANEOS!V143</f>
        <v>0</v>
      </c>
      <c r="W144" s="179">
        <f>EXTEMPORANEOS!W143</f>
        <v>0</v>
      </c>
      <c r="X144" s="182">
        <f>EXTEMPORANEOS!X143</f>
        <v>0</v>
      </c>
      <c r="Y144" s="297">
        <f>EXTEMPORANEOS!Y143</f>
        <v>0</v>
      </c>
      <c r="AA144" s="138"/>
    </row>
    <row r="145" spans="2:27" ht="12.95" customHeight="1" x14ac:dyDescent="0.2">
      <c r="B145" s="296">
        <f>EXTEMPORANEOS!B144</f>
        <v>0</v>
      </c>
      <c r="C145" s="176">
        <f>EXTEMPORANEOS!C144</f>
        <v>2026102</v>
      </c>
      <c r="D145" s="177">
        <f>EXTEMPORANEOS!D144</f>
        <v>0</v>
      </c>
      <c r="E145" s="178" t="str">
        <f>EXTEMPORANEOS!E144</f>
        <v>23D</v>
      </c>
      <c r="F145" s="175" t="str">
        <f>EXTEMPORANEOS!F144</f>
        <v>Occidente - Directa</v>
      </c>
      <c r="G145" s="178">
        <f>EXTEMPORANEOS!G144</f>
        <v>13</v>
      </c>
      <c r="H145" s="175" t="str">
        <f>EXTEMPORANEOS!H144</f>
        <v>T23 Directa - Transferencias</v>
      </c>
      <c r="I145" s="175">
        <f>EXTEMPORANEOS!I144</f>
        <v>230887267</v>
      </c>
      <c r="J145" s="179">
        <f>EXTEMPORANEOS!J144</f>
        <v>0</v>
      </c>
      <c r="K145" s="179">
        <f>EXTEMPORANEOS!K144</f>
        <v>0</v>
      </c>
      <c r="L145" s="179">
        <f>EXTEMPORANEOS!L144</f>
        <v>0</v>
      </c>
      <c r="M145" s="179">
        <f>EXTEMPORANEOS!M144</f>
        <v>0</v>
      </c>
      <c r="N145" s="179">
        <f>EXTEMPORANEOS!N144</f>
        <v>0</v>
      </c>
      <c r="O145" s="179">
        <f>EXTEMPORANEOS!O144</f>
        <v>0</v>
      </c>
      <c r="P145" s="179">
        <f>EXTEMPORANEOS!P144</f>
        <v>0</v>
      </c>
      <c r="Q145" s="179">
        <f>EXTEMPORANEOS!Q144</f>
        <v>0</v>
      </c>
      <c r="R145" s="180">
        <f>EXTEMPORANEOS!R144</f>
        <v>0</v>
      </c>
      <c r="S145" s="180">
        <f>EXTEMPORANEOS!S144</f>
        <v>0</v>
      </c>
      <c r="T145" s="181">
        <f>EXTEMPORANEOS!T144</f>
        <v>0</v>
      </c>
      <c r="U145" s="182">
        <f>EXTEMPORANEOS!U144</f>
        <v>0</v>
      </c>
      <c r="V145" s="179">
        <f>EXTEMPORANEOS!V144</f>
        <v>0</v>
      </c>
      <c r="W145" s="179">
        <f>EXTEMPORANEOS!W144</f>
        <v>0</v>
      </c>
      <c r="X145" s="182">
        <f>EXTEMPORANEOS!X144</f>
        <v>0</v>
      </c>
      <c r="Y145" s="297">
        <f>EXTEMPORANEOS!Y144</f>
        <v>0</v>
      </c>
      <c r="AA145" s="138"/>
    </row>
    <row r="146" spans="2:27" ht="12.95" customHeight="1" x14ac:dyDescent="0.2">
      <c r="B146" s="296">
        <f>EXTEMPORANEOS!B145</f>
        <v>0</v>
      </c>
      <c r="C146" s="176">
        <f>EXTEMPORANEOS!C145</f>
        <v>2026102</v>
      </c>
      <c r="D146" s="177">
        <f>EXTEMPORANEOS!D145</f>
        <v>0</v>
      </c>
      <c r="E146" s="178" t="str">
        <f>EXTEMPORANEOS!E145</f>
        <v>23D</v>
      </c>
      <c r="F146" s="175" t="str">
        <f>EXTEMPORANEOS!F145</f>
        <v>Occidente - Directa</v>
      </c>
      <c r="G146" s="178">
        <f>EXTEMPORANEOS!G145</f>
        <v>13</v>
      </c>
      <c r="H146" s="175" t="str">
        <f>EXTEMPORANEOS!H145</f>
        <v>T23 Directa - Transferencias</v>
      </c>
      <c r="I146" s="175">
        <f>EXTEMPORANEOS!I145</f>
        <v>230887267</v>
      </c>
      <c r="J146" s="179">
        <f>EXTEMPORANEOS!J145</f>
        <v>0</v>
      </c>
      <c r="K146" s="179">
        <f>EXTEMPORANEOS!K145</f>
        <v>0</v>
      </c>
      <c r="L146" s="179">
        <f>EXTEMPORANEOS!L145</f>
        <v>0</v>
      </c>
      <c r="M146" s="179">
        <f>EXTEMPORANEOS!M145</f>
        <v>0</v>
      </c>
      <c r="N146" s="179">
        <f>EXTEMPORANEOS!N145</f>
        <v>0</v>
      </c>
      <c r="O146" s="179">
        <f>EXTEMPORANEOS!O145</f>
        <v>0</v>
      </c>
      <c r="P146" s="179">
        <f>EXTEMPORANEOS!P145</f>
        <v>0</v>
      </c>
      <c r="Q146" s="179">
        <f>EXTEMPORANEOS!Q145</f>
        <v>0</v>
      </c>
      <c r="R146" s="180">
        <f>EXTEMPORANEOS!R145</f>
        <v>0</v>
      </c>
      <c r="S146" s="180">
        <f>EXTEMPORANEOS!S145</f>
        <v>0</v>
      </c>
      <c r="T146" s="181">
        <f>EXTEMPORANEOS!T145</f>
        <v>0</v>
      </c>
      <c r="U146" s="182">
        <f>EXTEMPORANEOS!U145</f>
        <v>0</v>
      </c>
      <c r="V146" s="179">
        <f>EXTEMPORANEOS!V145</f>
        <v>0</v>
      </c>
      <c r="W146" s="179">
        <f>EXTEMPORANEOS!W145</f>
        <v>0</v>
      </c>
      <c r="X146" s="182">
        <f>EXTEMPORANEOS!X145</f>
        <v>0</v>
      </c>
      <c r="Y146" s="297">
        <f>EXTEMPORANEOS!Y145</f>
        <v>0</v>
      </c>
      <c r="AA146" s="138"/>
    </row>
    <row r="147" spans="2:27" ht="12.95" customHeight="1" x14ac:dyDescent="0.2">
      <c r="B147" s="296">
        <f>EXTEMPORANEOS!B146</f>
        <v>0</v>
      </c>
      <c r="C147" s="176">
        <f>EXTEMPORANEOS!C146</f>
        <v>2026102</v>
      </c>
      <c r="D147" s="177">
        <f>EXTEMPORANEOS!D146</f>
        <v>0</v>
      </c>
      <c r="E147" s="178" t="str">
        <f>EXTEMPORANEOS!E146</f>
        <v>23D</v>
      </c>
      <c r="F147" s="175" t="str">
        <f>EXTEMPORANEOS!F146</f>
        <v>Occidente - Directa</v>
      </c>
      <c r="G147" s="178">
        <f>EXTEMPORANEOS!G146</f>
        <v>13</v>
      </c>
      <c r="H147" s="175" t="str">
        <f>EXTEMPORANEOS!H146</f>
        <v>T23 Directa - Transferencias</v>
      </c>
      <c r="I147" s="175">
        <f>EXTEMPORANEOS!I146</f>
        <v>230887267</v>
      </c>
      <c r="J147" s="179">
        <f>EXTEMPORANEOS!J146</f>
        <v>0</v>
      </c>
      <c r="K147" s="179">
        <f>EXTEMPORANEOS!K146</f>
        <v>0</v>
      </c>
      <c r="L147" s="179">
        <f>EXTEMPORANEOS!L146</f>
        <v>0</v>
      </c>
      <c r="M147" s="179">
        <f>EXTEMPORANEOS!M146</f>
        <v>0</v>
      </c>
      <c r="N147" s="179">
        <f>EXTEMPORANEOS!N146</f>
        <v>0</v>
      </c>
      <c r="O147" s="179">
        <f>EXTEMPORANEOS!O146</f>
        <v>0</v>
      </c>
      <c r="P147" s="179">
        <f>EXTEMPORANEOS!P146</f>
        <v>0</v>
      </c>
      <c r="Q147" s="179">
        <f>EXTEMPORANEOS!Q146</f>
        <v>0</v>
      </c>
      <c r="R147" s="180">
        <f>EXTEMPORANEOS!R146</f>
        <v>0</v>
      </c>
      <c r="S147" s="180">
        <f>EXTEMPORANEOS!S146</f>
        <v>0</v>
      </c>
      <c r="T147" s="181">
        <f>EXTEMPORANEOS!T146</f>
        <v>0</v>
      </c>
      <c r="U147" s="182">
        <f>EXTEMPORANEOS!U146</f>
        <v>0</v>
      </c>
      <c r="V147" s="179">
        <f>EXTEMPORANEOS!V146</f>
        <v>0</v>
      </c>
      <c r="W147" s="179">
        <f>EXTEMPORANEOS!W146</f>
        <v>0</v>
      </c>
      <c r="X147" s="182">
        <f>EXTEMPORANEOS!X146</f>
        <v>0</v>
      </c>
      <c r="Y147" s="297">
        <f>EXTEMPORANEOS!Y146</f>
        <v>0</v>
      </c>
      <c r="AA147" s="138"/>
    </row>
    <row r="148" spans="2:27" ht="12.95" customHeight="1" x14ac:dyDescent="0.2">
      <c r="B148" s="296">
        <f>EXTEMPORANEOS!B147</f>
        <v>0</v>
      </c>
      <c r="C148" s="176">
        <f>EXTEMPORANEOS!C147</f>
        <v>2026102</v>
      </c>
      <c r="D148" s="177">
        <f>EXTEMPORANEOS!D147</f>
        <v>0</v>
      </c>
      <c r="E148" s="178" t="str">
        <f>EXTEMPORANEOS!E147</f>
        <v>23D</v>
      </c>
      <c r="F148" s="175" t="str">
        <f>EXTEMPORANEOS!F147</f>
        <v>Occidente - Directa</v>
      </c>
      <c r="G148" s="178">
        <f>EXTEMPORANEOS!G147</f>
        <v>13</v>
      </c>
      <c r="H148" s="175" t="str">
        <f>EXTEMPORANEOS!H147</f>
        <v>T23 Directa - Transferencias</v>
      </c>
      <c r="I148" s="175">
        <f>EXTEMPORANEOS!I147</f>
        <v>230887267</v>
      </c>
      <c r="J148" s="179">
        <f>EXTEMPORANEOS!J147</f>
        <v>0</v>
      </c>
      <c r="K148" s="179">
        <f>EXTEMPORANEOS!K147</f>
        <v>0</v>
      </c>
      <c r="L148" s="179">
        <f>EXTEMPORANEOS!L147</f>
        <v>0</v>
      </c>
      <c r="M148" s="179">
        <f>EXTEMPORANEOS!M147</f>
        <v>0</v>
      </c>
      <c r="N148" s="179">
        <f>EXTEMPORANEOS!N147</f>
        <v>0</v>
      </c>
      <c r="O148" s="179">
        <f>EXTEMPORANEOS!O147</f>
        <v>0</v>
      </c>
      <c r="P148" s="179">
        <f>EXTEMPORANEOS!P147</f>
        <v>0</v>
      </c>
      <c r="Q148" s="179">
        <f>EXTEMPORANEOS!Q147</f>
        <v>0</v>
      </c>
      <c r="R148" s="180">
        <f>EXTEMPORANEOS!R147</f>
        <v>0</v>
      </c>
      <c r="S148" s="180">
        <f>EXTEMPORANEOS!S147</f>
        <v>0</v>
      </c>
      <c r="T148" s="181">
        <f>EXTEMPORANEOS!T147</f>
        <v>0</v>
      </c>
      <c r="U148" s="182">
        <f>EXTEMPORANEOS!U147</f>
        <v>0</v>
      </c>
      <c r="V148" s="179">
        <f>EXTEMPORANEOS!V147</f>
        <v>0</v>
      </c>
      <c r="W148" s="179">
        <f>EXTEMPORANEOS!W147</f>
        <v>0</v>
      </c>
      <c r="X148" s="182">
        <f>EXTEMPORANEOS!X147</f>
        <v>0</v>
      </c>
      <c r="Y148" s="297">
        <f>EXTEMPORANEOS!Y147</f>
        <v>0</v>
      </c>
      <c r="AA148" s="138"/>
    </row>
    <row r="149" spans="2:27" ht="12.95" customHeight="1" x14ac:dyDescent="0.2">
      <c r="B149" s="296">
        <f>EXTEMPORANEOS!B148</f>
        <v>0</v>
      </c>
      <c r="C149" s="176">
        <f>EXTEMPORANEOS!C148</f>
        <v>2026102</v>
      </c>
      <c r="D149" s="177">
        <f>EXTEMPORANEOS!D148</f>
        <v>0</v>
      </c>
      <c r="E149" s="178" t="str">
        <f>EXTEMPORANEOS!E148</f>
        <v>23D</v>
      </c>
      <c r="F149" s="175" t="str">
        <f>EXTEMPORANEOS!F148</f>
        <v>Occidente - Directa</v>
      </c>
      <c r="G149" s="178">
        <f>EXTEMPORANEOS!G148</f>
        <v>13</v>
      </c>
      <c r="H149" s="175" t="str">
        <f>EXTEMPORANEOS!H148</f>
        <v>T23 Directa - Transferencias</v>
      </c>
      <c r="I149" s="175">
        <f>EXTEMPORANEOS!I148</f>
        <v>230887267</v>
      </c>
      <c r="J149" s="179">
        <f>EXTEMPORANEOS!J148</f>
        <v>0</v>
      </c>
      <c r="K149" s="179">
        <f>EXTEMPORANEOS!K148</f>
        <v>0</v>
      </c>
      <c r="L149" s="179">
        <f>EXTEMPORANEOS!L148</f>
        <v>0</v>
      </c>
      <c r="M149" s="179">
        <f>EXTEMPORANEOS!M148</f>
        <v>0</v>
      </c>
      <c r="N149" s="179">
        <f>EXTEMPORANEOS!N148</f>
        <v>0</v>
      </c>
      <c r="O149" s="179">
        <f>EXTEMPORANEOS!O148</f>
        <v>0</v>
      </c>
      <c r="P149" s="179">
        <f>EXTEMPORANEOS!P148</f>
        <v>0</v>
      </c>
      <c r="Q149" s="179">
        <f>EXTEMPORANEOS!Q148</f>
        <v>0</v>
      </c>
      <c r="R149" s="180">
        <f>EXTEMPORANEOS!R148</f>
        <v>0</v>
      </c>
      <c r="S149" s="180">
        <f>EXTEMPORANEOS!S148</f>
        <v>0</v>
      </c>
      <c r="T149" s="181">
        <f>EXTEMPORANEOS!T148</f>
        <v>0</v>
      </c>
      <c r="U149" s="182">
        <f>EXTEMPORANEOS!U148</f>
        <v>0</v>
      </c>
      <c r="V149" s="179">
        <f>EXTEMPORANEOS!V148</f>
        <v>0</v>
      </c>
      <c r="W149" s="179">
        <f>EXTEMPORANEOS!W148</f>
        <v>0</v>
      </c>
      <c r="X149" s="182">
        <f>EXTEMPORANEOS!X148</f>
        <v>0</v>
      </c>
      <c r="Y149" s="297">
        <f>EXTEMPORANEOS!Y148</f>
        <v>0</v>
      </c>
      <c r="AA149" s="138"/>
    </row>
    <row r="150" spans="2:27" ht="12.95" customHeight="1" x14ac:dyDescent="0.2">
      <c r="B150" s="296">
        <f>EXTEMPORANEOS!B149</f>
        <v>0</v>
      </c>
      <c r="C150" s="176">
        <f>EXTEMPORANEOS!C149</f>
        <v>2026102</v>
      </c>
      <c r="D150" s="177">
        <f>EXTEMPORANEOS!D149</f>
        <v>0</v>
      </c>
      <c r="E150" s="178" t="str">
        <f>EXTEMPORANEOS!E149</f>
        <v>23D</v>
      </c>
      <c r="F150" s="175" t="str">
        <f>EXTEMPORANEOS!F149</f>
        <v>Occidente - Directa</v>
      </c>
      <c r="G150" s="178">
        <f>EXTEMPORANEOS!G149</f>
        <v>13</v>
      </c>
      <c r="H150" s="175" t="str">
        <f>EXTEMPORANEOS!H149</f>
        <v>T23 Directa - Transferencias</v>
      </c>
      <c r="I150" s="175">
        <f>EXTEMPORANEOS!I149</f>
        <v>230887267</v>
      </c>
      <c r="J150" s="179">
        <f>EXTEMPORANEOS!J149</f>
        <v>0</v>
      </c>
      <c r="K150" s="179">
        <f>EXTEMPORANEOS!K149</f>
        <v>0</v>
      </c>
      <c r="L150" s="179">
        <f>EXTEMPORANEOS!L149</f>
        <v>0</v>
      </c>
      <c r="M150" s="179">
        <f>EXTEMPORANEOS!M149</f>
        <v>0</v>
      </c>
      <c r="N150" s="179">
        <f>EXTEMPORANEOS!N149</f>
        <v>0</v>
      </c>
      <c r="O150" s="179">
        <f>EXTEMPORANEOS!O149</f>
        <v>0</v>
      </c>
      <c r="P150" s="179">
        <f>EXTEMPORANEOS!P149</f>
        <v>0</v>
      </c>
      <c r="Q150" s="179">
        <f>EXTEMPORANEOS!Q149</f>
        <v>0</v>
      </c>
      <c r="R150" s="180">
        <f>EXTEMPORANEOS!R149</f>
        <v>0</v>
      </c>
      <c r="S150" s="180">
        <f>EXTEMPORANEOS!S149</f>
        <v>0</v>
      </c>
      <c r="T150" s="181">
        <f>EXTEMPORANEOS!T149</f>
        <v>0</v>
      </c>
      <c r="U150" s="182">
        <f>EXTEMPORANEOS!U149</f>
        <v>0</v>
      </c>
      <c r="V150" s="179">
        <f>EXTEMPORANEOS!V149</f>
        <v>0</v>
      </c>
      <c r="W150" s="179">
        <f>EXTEMPORANEOS!W149</f>
        <v>0</v>
      </c>
      <c r="X150" s="182">
        <f>EXTEMPORANEOS!X149</f>
        <v>0</v>
      </c>
      <c r="Y150" s="297">
        <f>EXTEMPORANEOS!Y149</f>
        <v>0</v>
      </c>
      <c r="AA150" s="138"/>
    </row>
    <row r="151" spans="2:27" ht="12.95" customHeight="1" x14ac:dyDescent="0.2">
      <c r="B151" s="296">
        <f>EXTEMPORANEOS!B150</f>
        <v>0</v>
      </c>
      <c r="C151" s="176">
        <f>EXTEMPORANEOS!C150</f>
        <v>2026102</v>
      </c>
      <c r="D151" s="177">
        <f>EXTEMPORANEOS!D150</f>
        <v>0</v>
      </c>
      <c r="E151" s="178" t="str">
        <f>EXTEMPORANEOS!E150</f>
        <v>23D</v>
      </c>
      <c r="F151" s="175" t="str">
        <f>EXTEMPORANEOS!F150</f>
        <v>Occidente - Directa</v>
      </c>
      <c r="G151" s="178">
        <f>EXTEMPORANEOS!G150</f>
        <v>13</v>
      </c>
      <c r="H151" s="175" t="str">
        <f>EXTEMPORANEOS!H150</f>
        <v>T23 Directa - Transferencias</v>
      </c>
      <c r="I151" s="175">
        <f>EXTEMPORANEOS!I150</f>
        <v>230887267</v>
      </c>
      <c r="J151" s="179">
        <f>EXTEMPORANEOS!J150</f>
        <v>0</v>
      </c>
      <c r="K151" s="179">
        <f>EXTEMPORANEOS!K150</f>
        <v>0</v>
      </c>
      <c r="L151" s="179">
        <f>EXTEMPORANEOS!L150</f>
        <v>0</v>
      </c>
      <c r="M151" s="179">
        <f>EXTEMPORANEOS!M150</f>
        <v>0</v>
      </c>
      <c r="N151" s="179">
        <f>EXTEMPORANEOS!N150</f>
        <v>0</v>
      </c>
      <c r="O151" s="179">
        <f>EXTEMPORANEOS!O150</f>
        <v>0</v>
      </c>
      <c r="P151" s="179">
        <f>EXTEMPORANEOS!P150</f>
        <v>0</v>
      </c>
      <c r="Q151" s="179">
        <f>EXTEMPORANEOS!Q150</f>
        <v>0</v>
      </c>
      <c r="R151" s="180">
        <f>EXTEMPORANEOS!R150</f>
        <v>0</v>
      </c>
      <c r="S151" s="180">
        <f>EXTEMPORANEOS!S150</f>
        <v>0</v>
      </c>
      <c r="T151" s="181">
        <f>EXTEMPORANEOS!T150</f>
        <v>0</v>
      </c>
      <c r="U151" s="182">
        <f>EXTEMPORANEOS!U150</f>
        <v>0</v>
      </c>
      <c r="V151" s="179">
        <f>EXTEMPORANEOS!V150</f>
        <v>0</v>
      </c>
      <c r="W151" s="179">
        <f>EXTEMPORANEOS!W150</f>
        <v>0</v>
      </c>
      <c r="X151" s="182">
        <f>EXTEMPORANEOS!X150</f>
        <v>0</v>
      </c>
      <c r="Y151" s="297">
        <f>EXTEMPORANEOS!Y150</f>
        <v>0</v>
      </c>
      <c r="AA151" s="138"/>
    </row>
    <row r="152" spans="2:27" ht="12.95" customHeight="1" x14ac:dyDescent="0.2">
      <c r="B152" s="296">
        <f>EXTEMPORANEOS!B151</f>
        <v>0</v>
      </c>
      <c r="C152" s="176">
        <f>EXTEMPORANEOS!C151</f>
        <v>2026102</v>
      </c>
      <c r="D152" s="177">
        <f>EXTEMPORANEOS!D151</f>
        <v>0</v>
      </c>
      <c r="E152" s="178" t="str">
        <f>EXTEMPORANEOS!E151</f>
        <v>23D</v>
      </c>
      <c r="F152" s="175" t="str">
        <f>EXTEMPORANEOS!F151</f>
        <v>Occidente - Directa</v>
      </c>
      <c r="G152" s="178">
        <f>EXTEMPORANEOS!G151</f>
        <v>13</v>
      </c>
      <c r="H152" s="175" t="str">
        <f>EXTEMPORANEOS!H151</f>
        <v>T23 Directa - Transferencias</v>
      </c>
      <c r="I152" s="175">
        <f>EXTEMPORANEOS!I151</f>
        <v>230887267</v>
      </c>
      <c r="J152" s="179">
        <f>EXTEMPORANEOS!J151</f>
        <v>0</v>
      </c>
      <c r="K152" s="179">
        <f>EXTEMPORANEOS!K151</f>
        <v>0</v>
      </c>
      <c r="L152" s="179">
        <f>EXTEMPORANEOS!L151</f>
        <v>0</v>
      </c>
      <c r="M152" s="179">
        <f>EXTEMPORANEOS!M151</f>
        <v>0</v>
      </c>
      <c r="N152" s="179">
        <f>EXTEMPORANEOS!N151</f>
        <v>0</v>
      </c>
      <c r="O152" s="179">
        <f>EXTEMPORANEOS!O151</f>
        <v>0</v>
      </c>
      <c r="P152" s="179">
        <f>EXTEMPORANEOS!P151</f>
        <v>0</v>
      </c>
      <c r="Q152" s="179">
        <f>EXTEMPORANEOS!Q151</f>
        <v>0</v>
      </c>
      <c r="R152" s="180">
        <f>EXTEMPORANEOS!R151</f>
        <v>0</v>
      </c>
      <c r="S152" s="180">
        <f>EXTEMPORANEOS!S151</f>
        <v>0</v>
      </c>
      <c r="T152" s="181">
        <f>EXTEMPORANEOS!T151</f>
        <v>0</v>
      </c>
      <c r="U152" s="182">
        <f>EXTEMPORANEOS!U151</f>
        <v>0</v>
      </c>
      <c r="V152" s="179">
        <f>EXTEMPORANEOS!V151</f>
        <v>0</v>
      </c>
      <c r="W152" s="179">
        <f>EXTEMPORANEOS!W151</f>
        <v>0</v>
      </c>
      <c r="X152" s="182">
        <f>EXTEMPORANEOS!X151</f>
        <v>0</v>
      </c>
      <c r="Y152" s="297">
        <f>EXTEMPORANEOS!Y151</f>
        <v>0</v>
      </c>
      <c r="AA152" s="138"/>
    </row>
    <row r="153" spans="2:27" ht="12.95" customHeight="1" x14ac:dyDescent="0.2">
      <c r="B153" s="296">
        <f>EXTEMPORANEOS!B152</f>
        <v>0</v>
      </c>
      <c r="C153" s="176">
        <f>EXTEMPORANEOS!C152</f>
        <v>2026102</v>
      </c>
      <c r="D153" s="177">
        <f>EXTEMPORANEOS!D152</f>
        <v>0</v>
      </c>
      <c r="E153" s="178" t="str">
        <f>EXTEMPORANEOS!E152</f>
        <v>23D</v>
      </c>
      <c r="F153" s="175" t="str">
        <f>EXTEMPORANEOS!F152</f>
        <v>Occidente - Directa</v>
      </c>
      <c r="G153" s="178">
        <f>EXTEMPORANEOS!G152</f>
        <v>13</v>
      </c>
      <c r="H153" s="175" t="str">
        <f>EXTEMPORANEOS!H152</f>
        <v>T23 Directa - Transferencias</v>
      </c>
      <c r="I153" s="175">
        <f>EXTEMPORANEOS!I152</f>
        <v>230887267</v>
      </c>
      <c r="J153" s="179">
        <f>EXTEMPORANEOS!J152</f>
        <v>0</v>
      </c>
      <c r="K153" s="179">
        <f>EXTEMPORANEOS!K152</f>
        <v>0</v>
      </c>
      <c r="L153" s="179">
        <f>EXTEMPORANEOS!L152</f>
        <v>0</v>
      </c>
      <c r="M153" s="179">
        <f>EXTEMPORANEOS!M152</f>
        <v>0</v>
      </c>
      <c r="N153" s="179">
        <f>EXTEMPORANEOS!N152</f>
        <v>0</v>
      </c>
      <c r="O153" s="179">
        <f>EXTEMPORANEOS!O152</f>
        <v>0</v>
      </c>
      <c r="P153" s="179">
        <f>EXTEMPORANEOS!P152</f>
        <v>0</v>
      </c>
      <c r="Q153" s="179">
        <f>EXTEMPORANEOS!Q152</f>
        <v>0</v>
      </c>
      <c r="R153" s="180">
        <f>EXTEMPORANEOS!R152</f>
        <v>0</v>
      </c>
      <c r="S153" s="180">
        <f>EXTEMPORANEOS!S152</f>
        <v>0</v>
      </c>
      <c r="T153" s="181">
        <f>EXTEMPORANEOS!T152</f>
        <v>0</v>
      </c>
      <c r="U153" s="182">
        <f>EXTEMPORANEOS!U152</f>
        <v>0</v>
      </c>
      <c r="V153" s="179">
        <f>EXTEMPORANEOS!V152</f>
        <v>0</v>
      </c>
      <c r="W153" s="179">
        <f>EXTEMPORANEOS!W152</f>
        <v>0</v>
      </c>
      <c r="X153" s="182">
        <f>EXTEMPORANEOS!X152</f>
        <v>0</v>
      </c>
      <c r="Y153" s="297">
        <f>EXTEMPORANEOS!Y152</f>
        <v>0</v>
      </c>
      <c r="AA153" s="138"/>
    </row>
    <row r="154" spans="2:27" ht="12.95" customHeight="1" x14ac:dyDescent="0.2">
      <c r="B154" s="296">
        <f>EXTEMPORANEOS!B153</f>
        <v>0</v>
      </c>
      <c r="C154" s="176">
        <f>EXTEMPORANEOS!C153</f>
        <v>2026102</v>
      </c>
      <c r="D154" s="177">
        <f>EXTEMPORANEOS!D153</f>
        <v>0</v>
      </c>
      <c r="E154" s="178" t="str">
        <f>EXTEMPORANEOS!E153</f>
        <v>23D</v>
      </c>
      <c r="F154" s="175" t="str">
        <f>EXTEMPORANEOS!F153</f>
        <v>Occidente - Directa</v>
      </c>
      <c r="G154" s="178">
        <f>EXTEMPORANEOS!G153</f>
        <v>13</v>
      </c>
      <c r="H154" s="175" t="str">
        <f>EXTEMPORANEOS!H153</f>
        <v>T23 Directa - Transferencias</v>
      </c>
      <c r="I154" s="175">
        <f>EXTEMPORANEOS!I153</f>
        <v>230887267</v>
      </c>
      <c r="J154" s="179">
        <f>EXTEMPORANEOS!J153</f>
        <v>0</v>
      </c>
      <c r="K154" s="179">
        <f>EXTEMPORANEOS!K153</f>
        <v>0</v>
      </c>
      <c r="L154" s="179">
        <f>EXTEMPORANEOS!L153</f>
        <v>0</v>
      </c>
      <c r="M154" s="179">
        <f>EXTEMPORANEOS!M153</f>
        <v>0</v>
      </c>
      <c r="N154" s="179">
        <f>EXTEMPORANEOS!N153</f>
        <v>0</v>
      </c>
      <c r="O154" s="179">
        <f>EXTEMPORANEOS!O153</f>
        <v>0</v>
      </c>
      <c r="P154" s="179">
        <f>EXTEMPORANEOS!P153</f>
        <v>0</v>
      </c>
      <c r="Q154" s="179">
        <f>EXTEMPORANEOS!Q153</f>
        <v>0</v>
      </c>
      <c r="R154" s="180">
        <f>EXTEMPORANEOS!R153</f>
        <v>0</v>
      </c>
      <c r="S154" s="180">
        <f>EXTEMPORANEOS!S153</f>
        <v>0</v>
      </c>
      <c r="T154" s="181">
        <f>EXTEMPORANEOS!T153</f>
        <v>0</v>
      </c>
      <c r="U154" s="182">
        <f>EXTEMPORANEOS!U153</f>
        <v>0</v>
      </c>
      <c r="V154" s="179">
        <f>EXTEMPORANEOS!V153</f>
        <v>0</v>
      </c>
      <c r="W154" s="179">
        <f>EXTEMPORANEOS!W153</f>
        <v>0</v>
      </c>
      <c r="X154" s="182">
        <f>EXTEMPORANEOS!X153</f>
        <v>0</v>
      </c>
      <c r="Y154" s="297">
        <f>EXTEMPORANEOS!Y153</f>
        <v>0</v>
      </c>
      <c r="AA154" s="138"/>
    </row>
    <row r="155" spans="2:27" ht="12.95" customHeight="1" x14ac:dyDescent="0.2">
      <c r="B155" s="296">
        <f>EXTEMPORANEOS!B154</f>
        <v>0</v>
      </c>
      <c r="C155" s="176">
        <f>EXTEMPORANEOS!C154</f>
        <v>2026102</v>
      </c>
      <c r="D155" s="177">
        <f>EXTEMPORANEOS!D154</f>
        <v>0</v>
      </c>
      <c r="E155" s="178" t="str">
        <f>EXTEMPORANEOS!E154</f>
        <v>23D</v>
      </c>
      <c r="F155" s="175" t="str">
        <f>EXTEMPORANEOS!F154</f>
        <v>Occidente - Directa</v>
      </c>
      <c r="G155" s="178">
        <f>EXTEMPORANEOS!G154</f>
        <v>13</v>
      </c>
      <c r="H155" s="175" t="str">
        <f>EXTEMPORANEOS!H154</f>
        <v>T23 Directa - Transferencias</v>
      </c>
      <c r="I155" s="175">
        <f>EXTEMPORANEOS!I154</f>
        <v>230887267</v>
      </c>
      <c r="J155" s="179">
        <f>EXTEMPORANEOS!J154</f>
        <v>0</v>
      </c>
      <c r="K155" s="179">
        <f>EXTEMPORANEOS!K154</f>
        <v>0</v>
      </c>
      <c r="L155" s="179">
        <f>EXTEMPORANEOS!L154</f>
        <v>0</v>
      </c>
      <c r="M155" s="179">
        <f>EXTEMPORANEOS!M154</f>
        <v>0</v>
      </c>
      <c r="N155" s="179">
        <f>EXTEMPORANEOS!N154</f>
        <v>0</v>
      </c>
      <c r="O155" s="179">
        <f>EXTEMPORANEOS!O154</f>
        <v>0</v>
      </c>
      <c r="P155" s="179">
        <f>EXTEMPORANEOS!P154</f>
        <v>0</v>
      </c>
      <c r="Q155" s="179">
        <f>EXTEMPORANEOS!Q154</f>
        <v>0</v>
      </c>
      <c r="R155" s="180">
        <f>EXTEMPORANEOS!R154</f>
        <v>0</v>
      </c>
      <c r="S155" s="180">
        <f>EXTEMPORANEOS!S154</f>
        <v>0</v>
      </c>
      <c r="T155" s="181">
        <f>EXTEMPORANEOS!T154</f>
        <v>0</v>
      </c>
      <c r="U155" s="182">
        <f>EXTEMPORANEOS!U154</f>
        <v>0</v>
      </c>
      <c r="V155" s="179">
        <f>EXTEMPORANEOS!V154</f>
        <v>0</v>
      </c>
      <c r="W155" s="179">
        <f>EXTEMPORANEOS!W154</f>
        <v>0</v>
      </c>
      <c r="X155" s="182">
        <f>EXTEMPORANEOS!X154</f>
        <v>0</v>
      </c>
      <c r="Y155" s="297">
        <f>EXTEMPORANEOS!Y154</f>
        <v>0</v>
      </c>
      <c r="AA155" s="138"/>
    </row>
    <row r="156" spans="2:27" ht="12.95" customHeight="1" x14ac:dyDescent="0.2">
      <c r="B156" s="296">
        <f>EXTEMPORANEOS!B155</f>
        <v>0</v>
      </c>
      <c r="C156" s="176">
        <f>EXTEMPORANEOS!C155</f>
        <v>2026102</v>
      </c>
      <c r="D156" s="177">
        <f>EXTEMPORANEOS!D155</f>
        <v>0</v>
      </c>
      <c r="E156" s="178" t="str">
        <f>EXTEMPORANEOS!E155</f>
        <v>23D</v>
      </c>
      <c r="F156" s="175" t="str">
        <f>EXTEMPORANEOS!F155</f>
        <v>Occidente - Directa</v>
      </c>
      <c r="G156" s="178">
        <f>EXTEMPORANEOS!G155</f>
        <v>13</v>
      </c>
      <c r="H156" s="175" t="str">
        <f>EXTEMPORANEOS!H155</f>
        <v>T23 Directa - Transferencias</v>
      </c>
      <c r="I156" s="175">
        <f>EXTEMPORANEOS!I155</f>
        <v>230887267</v>
      </c>
      <c r="J156" s="179">
        <f>EXTEMPORANEOS!J155</f>
        <v>0</v>
      </c>
      <c r="K156" s="179">
        <f>EXTEMPORANEOS!K155</f>
        <v>0</v>
      </c>
      <c r="L156" s="179">
        <f>EXTEMPORANEOS!L155</f>
        <v>0</v>
      </c>
      <c r="M156" s="179">
        <f>EXTEMPORANEOS!M155</f>
        <v>0</v>
      </c>
      <c r="N156" s="179">
        <f>EXTEMPORANEOS!N155</f>
        <v>0</v>
      </c>
      <c r="O156" s="179">
        <f>EXTEMPORANEOS!O155</f>
        <v>0</v>
      </c>
      <c r="P156" s="179">
        <f>EXTEMPORANEOS!P155</f>
        <v>0</v>
      </c>
      <c r="Q156" s="179">
        <f>EXTEMPORANEOS!Q155</f>
        <v>0</v>
      </c>
      <c r="R156" s="180">
        <f>EXTEMPORANEOS!R155</f>
        <v>0</v>
      </c>
      <c r="S156" s="180">
        <f>EXTEMPORANEOS!S155</f>
        <v>0</v>
      </c>
      <c r="T156" s="181">
        <f>EXTEMPORANEOS!T155</f>
        <v>0</v>
      </c>
      <c r="U156" s="182">
        <f>EXTEMPORANEOS!U155</f>
        <v>0</v>
      </c>
      <c r="V156" s="179">
        <f>EXTEMPORANEOS!V155</f>
        <v>0</v>
      </c>
      <c r="W156" s="179">
        <f>EXTEMPORANEOS!W155</f>
        <v>0</v>
      </c>
      <c r="X156" s="182">
        <f>EXTEMPORANEOS!X155</f>
        <v>0</v>
      </c>
      <c r="Y156" s="297">
        <f>EXTEMPORANEOS!Y155</f>
        <v>0</v>
      </c>
      <c r="AA156" s="138"/>
    </row>
    <row r="157" spans="2:27" ht="12.95" customHeight="1" x14ac:dyDescent="0.2">
      <c r="B157" s="296">
        <f>EXTEMPORANEOS!B156</f>
        <v>0</v>
      </c>
      <c r="C157" s="176">
        <f>EXTEMPORANEOS!C156</f>
        <v>2026102</v>
      </c>
      <c r="D157" s="177">
        <f>EXTEMPORANEOS!D156</f>
        <v>0</v>
      </c>
      <c r="E157" s="178" t="str">
        <f>EXTEMPORANEOS!E156</f>
        <v>23D</v>
      </c>
      <c r="F157" s="175" t="str">
        <f>EXTEMPORANEOS!F156</f>
        <v>Occidente - Directa</v>
      </c>
      <c r="G157" s="178">
        <f>EXTEMPORANEOS!G156</f>
        <v>13</v>
      </c>
      <c r="H157" s="175" t="str">
        <f>EXTEMPORANEOS!H156</f>
        <v>T23 Directa - Transferencias</v>
      </c>
      <c r="I157" s="175">
        <f>EXTEMPORANEOS!I156</f>
        <v>230887267</v>
      </c>
      <c r="J157" s="179">
        <f>EXTEMPORANEOS!J156</f>
        <v>0</v>
      </c>
      <c r="K157" s="179">
        <f>EXTEMPORANEOS!K156</f>
        <v>0</v>
      </c>
      <c r="L157" s="179">
        <f>EXTEMPORANEOS!L156</f>
        <v>0</v>
      </c>
      <c r="M157" s="179">
        <f>EXTEMPORANEOS!M156</f>
        <v>0</v>
      </c>
      <c r="N157" s="179">
        <f>EXTEMPORANEOS!N156</f>
        <v>0</v>
      </c>
      <c r="O157" s="179">
        <f>EXTEMPORANEOS!O156</f>
        <v>0</v>
      </c>
      <c r="P157" s="179">
        <f>EXTEMPORANEOS!P156</f>
        <v>0</v>
      </c>
      <c r="Q157" s="179">
        <f>EXTEMPORANEOS!Q156</f>
        <v>0</v>
      </c>
      <c r="R157" s="180">
        <f>EXTEMPORANEOS!R156</f>
        <v>0</v>
      </c>
      <c r="S157" s="180">
        <f>EXTEMPORANEOS!S156</f>
        <v>0</v>
      </c>
      <c r="T157" s="181">
        <f>EXTEMPORANEOS!T156</f>
        <v>0</v>
      </c>
      <c r="U157" s="182">
        <f>EXTEMPORANEOS!U156</f>
        <v>0</v>
      </c>
      <c r="V157" s="179">
        <f>EXTEMPORANEOS!V156</f>
        <v>0</v>
      </c>
      <c r="W157" s="179">
        <f>EXTEMPORANEOS!W156</f>
        <v>0</v>
      </c>
      <c r="X157" s="182">
        <f>EXTEMPORANEOS!X156</f>
        <v>0</v>
      </c>
      <c r="Y157" s="297">
        <f>EXTEMPORANEOS!Y156</f>
        <v>0</v>
      </c>
      <c r="AA157" s="138"/>
    </row>
    <row r="158" spans="2:27" ht="12.95" customHeight="1" x14ac:dyDescent="0.2">
      <c r="B158" s="296">
        <f>EXTEMPORANEOS!B157</f>
        <v>0</v>
      </c>
      <c r="C158" s="176">
        <f>EXTEMPORANEOS!C157</f>
        <v>2026102</v>
      </c>
      <c r="D158" s="177">
        <f>EXTEMPORANEOS!D157</f>
        <v>0</v>
      </c>
      <c r="E158" s="178" t="str">
        <f>EXTEMPORANEOS!E157</f>
        <v>23D</v>
      </c>
      <c r="F158" s="175" t="str">
        <f>EXTEMPORANEOS!F157</f>
        <v>Occidente - Directa</v>
      </c>
      <c r="G158" s="178">
        <f>EXTEMPORANEOS!G157</f>
        <v>13</v>
      </c>
      <c r="H158" s="175" t="str">
        <f>EXTEMPORANEOS!H157</f>
        <v>T23 Directa - Transferencias</v>
      </c>
      <c r="I158" s="175">
        <f>EXTEMPORANEOS!I157</f>
        <v>230887267</v>
      </c>
      <c r="J158" s="179">
        <f>EXTEMPORANEOS!J157</f>
        <v>0</v>
      </c>
      <c r="K158" s="179">
        <f>EXTEMPORANEOS!K157</f>
        <v>0</v>
      </c>
      <c r="L158" s="179">
        <f>EXTEMPORANEOS!L157</f>
        <v>0</v>
      </c>
      <c r="M158" s="179">
        <f>EXTEMPORANEOS!M157</f>
        <v>0</v>
      </c>
      <c r="N158" s="179">
        <f>EXTEMPORANEOS!N157</f>
        <v>0</v>
      </c>
      <c r="O158" s="179">
        <f>EXTEMPORANEOS!O157</f>
        <v>0</v>
      </c>
      <c r="P158" s="179">
        <f>EXTEMPORANEOS!P157</f>
        <v>0</v>
      </c>
      <c r="Q158" s="179">
        <f>EXTEMPORANEOS!Q157</f>
        <v>0</v>
      </c>
      <c r="R158" s="180">
        <f>EXTEMPORANEOS!R157</f>
        <v>0</v>
      </c>
      <c r="S158" s="180">
        <f>EXTEMPORANEOS!S157</f>
        <v>0</v>
      </c>
      <c r="T158" s="181">
        <f>EXTEMPORANEOS!T157</f>
        <v>0</v>
      </c>
      <c r="U158" s="182">
        <f>EXTEMPORANEOS!U157</f>
        <v>0</v>
      </c>
      <c r="V158" s="179">
        <f>EXTEMPORANEOS!V157</f>
        <v>0</v>
      </c>
      <c r="W158" s="179">
        <f>EXTEMPORANEOS!W157</f>
        <v>0</v>
      </c>
      <c r="X158" s="182">
        <f>EXTEMPORANEOS!X157</f>
        <v>0</v>
      </c>
      <c r="Y158" s="297">
        <f>EXTEMPORANEOS!Y157</f>
        <v>0</v>
      </c>
      <c r="AA158" s="138"/>
    </row>
    <row r="159" spans="2:27" ht="12.95" customHeight="1" x14ac:dyDescent="0.2">
      <c r="B159" s="296">
        <f>EXTEMPORANEOS!B158</f>
        <v>0</v>
      </c>
      <c r="C159" s="176">
        <f>EXTEMPORANEOS!C158</f>
        <v>2026102</v>
      </c>
      <c r="D159" s="177">
        <f>EXTEMPORANEOS!D158</f>
        <v>0</v>
      </c>
      <c r="E159" s="178" t="str">
        <f>EXTEMPORANEOS!E158</f>
        <v>23D</v>
      </c>
      <c r="F159" s="175" t="str">
        <f>EXTEMPORANEOS!F158</f>
        <v>Occidente - Directa</v>
      </c>
      <c r="G159" s="178">
        <f>EXTEMPORANEOS!G158</f>
        <v>0</v>
      </c>
      <c r="H159" s="175" t="e">
        <f>EXTEMPORANEOS!H158</f>
        <v>#N/A</v>
      </c>
      <c r="I159" s="175">
        <f>EXTEMPORANEOS!I158</f>
        <v>230887267</v>
      </c>
      <c r="J159" s="179">
        <f>EXTEMPORANEOS!J158</f>
        <v>0</v>
      </c>
      <c r="K159" s="179">
        <f>EXTEMPORANEOS!K158</f>
        <v>0</v>
      </c>
      <c r="L159" s="179">
        <f>EXTEMPORANEOS!L158</f>
        <v>0</v>
      </c>
      <c r="M159" s="179">
        <f>EXTEMPORANEOS!M158</f>
        <v>0</v>
      </c>
      <c r="N159" s="179">
        <f>EXTEMPORANEOS!N158</f>
        <v>0</v>
      </c>
      <c r="O159" s="179">
        <f>EXTEMPORANEOS!O158</f>
        <v>0</v>
      </c>
      <c r="P159" s="179">
        <f>EXTEMPORANEOS!P158</f>
        <v>0</v>
      </c>
      <c r="Q159" s="179">
        <f>EXTEMPORANEOS!Q158</f>
        <v>0</v>
      </c>
      <c r="R159" s="180">
        <f>EXTEMPORANEOS!R158</f>
        <v>0</v>
      </c>
      <c r="S159" s="180">
        <f>EXTEMPORANEOS!S158</f>
        <v>0</v>
      </c>
      <c r="T159" s="181">
        <f>EXTEMPORANEOS!T158</f>
        <v>0</v>
      </c>
      <c r="U159" s="182">
        <f>EXTEMPORANEOS!U158</f>
        <v>0</v>
      </c>
      <c r="V159" s="179">
        <f>EXTEMPORANEOS!V158</f>
        <v>0</v>
      </c>
      <c r="W159" s="179">
        <f>EXTEMPORANEOS!W158</f>
        <v>0</v>
      </c>
      <c r="X159" s="182">
        <f>EXTEMPORANEOS!X158</f>
        <v>0</v>
      </c>
      <c r="Y159" s="297">
        <f>EXTEMPORANEOS!Y158</f>
        <v>0</v>
      </c>
      <c r="AA159" s="138"/>
    </row>
    <row r="160" spans="2:27" ht="12.95" customHeight="1" x14ac:dyDescent="0.2">
      <c r="B160" s="296">
        <f>EXTEMPORANEOS!B159</f>
        <v>0</v>
      </c>
      <c r="C160" s="176">
        <f>EXTEMPORANEOS!C159</f>
        <v>2026102</v>
      </c>
      <c r="D160" s="177">
        <f>EXTEMPORANEOS!D159</f>
        <v>0</v>
      </c>
      <c r="E160" s="178" t="str">
        <f>EXTEMPORANEOS!E159</f>
        <v>23D</v>
      </c>
      <c r="F160" s="175" t="str">
        <f>EXTEMPORANEOS!F159</f>
        <v>Occidente - Directa</v>
      </c>
      <c r="G160" s="178">
        <f>EXTEMPORANEOS!G159</f>
        <v>0</v>
      </c>
      <c r="H160" s="175" t="e">
        <f>EXTEMPORANEOS!H159</f>
        <v>#N/A</v>
      </c>
      <c r="I160" s="175">
        <f>EXTEMPORANEOS!I159</f>
        <v>230887267</v>
      </c>
      <c r="J160" s="179">
        <f>EXTEMPORANEOS!J159</f>
        <v>0</v>
      </c>
      <c r="K160" s="179">
        <f>EXTEMPORANEOS!K159</f>
        <v>0</v>
      </c>
      <c r="L160" s="179">
        <f>EXTEMPORANEOS!L159</f>
        <v>0</v>
      </c>
      <c r="M160" s="179">
        <f>EXTEMPORANEOS!M159</f>
        <v>0</v>
      </c>
      <c r="N160" s="179">
        <f>EXTEMPORANEOS!N159</f>
        <v>0</v>
      </c>
      <c r="O160" s="179">
        <f>EXTEMPORANEOS!O159</f>
        <v>0</v>
      </c>
      <c r="P160" s="179">
        <f>EXTEMPORANEOS!P159</f>
        <v>0</v>
      </c>
      <c r="Q160" s="179">
        <f>EXTEMPORANEOS!Q159</f>
        <v>0</v>
      </c>
      <c r="R160" s="180">
        <f>EXTEMPORANEOS!R159</f>
        <v>0</v>
      </c>
      <c r="S160" s="180">
        <f>EXTEMPORANEOS!S159</f>
        <v>0</v>
      </c>
      <c r="T160" s="181">
        <f>EXTEMPORANEOS!T159</f>
        <v>0</v>
      </c>
      <c r="U160" s="182">
        <f>EXTEMPORANEOS!U159</f>
        <v>0</v>
      </c>
      <c r="V160" s="179">
        <f>EXTEMPORANEOS!V159</f>
        <v>0</v>
      </c>
      <c r="W160" s="179">
        <f>EXTEMPORANEOS!W159</f>
        <v>0</v>
      </c>
      <c r="X160" s="182">
        <f>EXTEMPORANEOS!X159</f>
        <v>0</v>
      </c>
      <c r="Y160" s="297">
        <f>EXTEMPORANEOS!Y159</f>
        <v>0</v>
      </c>
      <c r="AA160" s="138"/>
    </row>
    <row r="161" spans="1:27" ht="12.95" customHeight="1" x14ac:dyDescent="0.2">
      <c r="B161" s="296">
        <f>EXTEMPORANEOS!B160</f>
        <v>0</v>
      </c>
      <c r="C161" s="176">
        <f>EXTEMPORANEOS!C160</f>
        <v>2026102</v>
      </c>
      <c r="D161" s="177">
        <f>EXTEMPORANEOS!D160</f>
        <v>0</v>
      </c>
      <c r="E161" s="178" t="str">
        <f>EXTEMPORANEOS!E160</f>
        <v>23D</v>
      </c>
      <c r="F161" s="175" t="str">
        <f>EXTEMPORANEOS!F160</f>
        <v>Occidente - Directa</v>
      </c>
      <c r="G161" s="178">
        <f>EXTEMPORANEOS!G160</f>
        <v>0</v>
      </c>
      <c r="H161" s="175" t="e">
        <f>EXTEMPORANEOS!H160</f>
        <v>#N/A</v>
      </c>
      <c r="I161" s="175">
        <f>EXTEMPORANEOS!I160</f>
        <v>230887267</v>
      </c>
      <c r="J161" s="179">
        <f>EXTEMPORANEOS!J160</f>
        <v>0</v>
      </c>
      <c r="K161" s="179">
        <f>EXTEMPORANEOS!K160</f>
        <v>0</v>
      </c>
      <c r="L161" s="179">
        <f>EXTEMPORANEOS!L160</f>
        <v>0</v>
      </c>
      <c r="M161" s="179">
        <f>EXTEMPORANEOS!M160</f>
        <v>0</v>
      </c>
      <c r="N161" s="179">
        <f>EXTEMPORANEOS!N160</f>
        <v>0</v>
      </c>
      <c r="O161" s="179">
        <f>EXTEMPORANEOS!O160</f>
        <v>0</v>
      </c>
      <c r="P161" s="179">
        <f>EXTEMPORANEOS!P160</f>
        <v>0</v>
      </c>
      <c r="Q161" s="179">
        <f>EXTEMPORANEOS!Q160</f>
        <v>0</v>
      </c>
      <c r="R161" s="180">
        <f>EXTEMPORANEOS!R160</f>
        <v>0</v>
      </c>
      <c r="S161" s="180">
        <f>EXTEMPORANEOS!S160</f>
        <v>0</v>
      </c>
      <c r="T161" s="181">
        <f>EXTEMPORANEOS!T160</f>
        <v>0</v>
      </c>
      <c r="U161" s="182">
        <f>EXTEMPORANEOS!U160</f>
        <v>0</v>
      </c>
      <c r="V161" s="179">
        <f>EXTEMPORANEOS!V160</f>
        <v>0</v>
      </c>
      <c r="W161" s="179">
        <f>EXTEMPORANEOS!W160</f>
        <v>0</v>
      </c>
      <c r="X161" s="182">
        <f>EXTEMPORANEOS!X160</f>
        <v>0</v>
      </c>
      <c r="Y161" s="297">
        <f>EXTEMPORANEOS!Y160</f>
        <v>0</v>
      </c>
      <c r="AA161" s="138"/>
    </row>
    <row r="162" spans="1:27" ht="12.95" customHeight="1" x14ac:dyDescent="0.2">
      <c r="B162" s="296">
        <f>EXTEMPORANEOS!B161</f>
        <v>0</v>
      </c>
      <c r="C162" s="176">
        <f>EXTEMPORANEOS!C161</f>
        <v>2026102</v>
      </c>
      <c r="D162" s="177">
        <f>EXTEMPORANEOS!D161</f>
        <v>0</v>
      </c>
      <c r="E162" s="178" t="str">
        <f>EXTEMPORANEOS!E161</f>
        <v>23D</v>
      </c>
      <c r="F162" s="175" t="str">
        <f>EXTEMPORANEOS!F161</f>
        <v>Occidente - Directa</v>
      </c>
      <c r="G162" s="178">
        <f>EXTEMPORANEOS!G161</f>
        <v>0</v>
      </c>
      <c r="H162" s="175" t="e">
        <f>EXTEMPORANEOS!H161</f>
        <v>#N/A</v>
      </c>
      <c r="I162" s="175">
        <f>EXTEMPORANEOS!I161</f>
        <v>230887267</v>
      </c>
      <c r="J162" s="179">
        <f>EXTEMPORANEOS!J161</f>
        <v>0</v>
      </c>
      <c r="K162" s="179">
        <f>EXTEMPORANEOS!K161</f>
        <v>0</v>
      </c>
      <c r="L162" s="179">
        <f>EXTEMPORANEOS!L161</f>
        <v>0</v>
      </c>
      <c r="M162" s="179">
        <f>EXTEMPORANEOS!M161</f>
        <v>0</v>
      </c>
      <c r="N162" s="179">
        <f>EXTEMPORANEOS!N161</f>
        <v>0</v>
      </c>
      <c r="O162" s="179">
        <f>EXTEMPORANEOS!O161</f>
        <v>0</v>
      </c>
      <c r="P162" s="179">
        <f>EXTEMPORANEOS!P161</f>
        <v>0</v>
      </c>
      <c r="Q162" s="179">
        <f>EXTEMPORANEOS!Q161</f>
        <v>0</v>
      </c>
      <c r="R162" s="180">
        <f>EXTEMPORANEOS!R161</f>
        <v>0</v>
      </c>
      <c r="S162" s="180">
        <f>EXTEMPORANEOS!S161</f>
        <v>0</v>
      </c>
      <c r="T162" s="181">
        <f>EXTEMPORANEOS!T161</f>
        <v>0</v>
      </c>
      <c r="U162" s="182">
        <f>EXTEMPORANEOS!U161</f>
        <v>0</v>
      </c>
      <c r="V162" s="179">
        <f>EXTEMPORANEOS!V161</f>
        <v>0</v>
      </c>
      <c r="W162" s="179">
        <f>EXTEMPORANEOS!W161</f>
        <v>0</v>
      </c>
      <c r="X162" s="182">
        <f>EXTEMPORANEOS!X161</f>
        <v>0</v>
      </c>
      <c r="Y162" s="297">
        <f>EXTEMPORANEOS!Y161</f>
        <v>0</v>
      </c>
      <c r="AA162" s="138"/>
    </row>
    <row r="163" spans="1:27" ht="12.95" customHeight="1" x14ac:dyDescent="0.2">
      <c r="B163" s="296">
        <f>EXTEMPORANEOS!B162</f>
        <v>0</v>
      </c>
      <c r="C163" s="176">
        <f>EXTEMPORANEOS!C162</f>
        <v>2026102</v>
      </c>
      <c r="D163" s="177">
        <f>EXTEMPORANEOS!D162</f>
        <v>0</v>
      </c>
      <c r="E163" s="178" t="str">
        <f>EXTEMPORANEOS!E162</f>
        <v>23D</v>
      </c>
      <c r="F163" s="175" t="str">
        <f>EXTEMPORANEOS!F162</f>
        <v>Occidente - Directa</v>
      </c>
      <c r="G163" s="178">
        <f>EXTEMPORANEOS!G162</f>
        <v>0</v>
      </c>
      <c r="H163" s="175" t="e">
        <f>EXTEMPORANEOS!H162</f>
        <v>#N/A</v>
      </c>
      <c r="I163" s="175">
        <f>EXTEMPORANEOS!I162</f>
        <v>230887267</v>
      </c>
      <c r="J163" s="179">
        <f>EXTEMPORANEOS!J162</f>
        <v>0</v>
      </c>
      <c r="K163" s="179">
        <f>EXTEMPORANEOS!K162</f>
        <v>0</v>
      </c>
      <c r="L163" s="179">
        <f>EXTEMPORANEOS!L162</f>
        <v>0</v>
      </c>
      <c r="M163" s="179">
        <f>EXTEMPORANEOS!M162</f>
        <v>0</v>
      </c>
      <c r="N163" s="179">
        <f>EXTEMPORANEOS!N162</f>
        <v>0</v>
      </c>
      <c r="O163" s="179">
        <f>EXTEMPORANEOS!O162</f>
        <v>0</v>
      </c>
      <c r="P163" s="179">
        <f>EXTEMPORANEOS!P162</f>
        <v>0</v>
      </c>
      <c r="Q163" s="179">
        <f>EXTEMPORANEOS!Q162</f>
        <v>0</v>
      </c>
      <c r="R163" s="180">
        <f>EXTEMPORANEOS!R162</f>
        <v>0</v>
      </c>
      <c r="S163" s="180">
        <f>EXTEMPORANEOS!S162</f>
        <v>0</v>
      </c>
      <c r="T163" s="181">
        <f>EXTEMPORANEOS!T162</f>
        <v>0</v>
      </c>
      <c r="U163" s="182">
        <f>EXTEMPORANEOS!U162</f>
        <v>0</v>
      </c>
      <c r="V163" s="179">
        <f>EXTEMPORANEOS!V162</f>
        <v>0</v>
      </c>
      <c r="W163" s="179">
        <f>EXTEMPORANEOS!W162</f>
        <v>0</v>
      </c>
      <c r="X163" s="182">
        <f>EXTEMPORANEOS!X162</f>
        <v>0</v>
      </c>
      <c r="Y163" s="297">
        <f>EXTEMPORANEOS!Y162</f>
        <v>0</v>
      </c>
      <c r="AA163" s="138"/>
    </row>
    <row r="164" spans="1:27" ht="12.95" customHeight="1" x14ac:dyDescent="0.2">
      <c r="B164" s="296">
        <f>EXTEMPORANEOS!B163</f>
        <v>0</v>
      </c>
      <c r="C164" s="176">
        <f>EXTEMPORANEOS!C163</f>
        <v>2026102</v>
      </c>
      <c r="D164" s="177">
        <f>EXTEMPORANEOS!D163</f>
        <v>0</v>
      </c>
      <c r="E164" s="178" t="str">
        <f>EXTEMPORANEOS!E163</f>
        <v>23D</v>
      </c>
      <c r="F164" s="175" t="str">
        <f>EXTEMPORANEOS!F163</f>
        <v>Occidente - Directa</v>
      </c>
      <c r="G164" s="178">
        <f>EXTEMPORANEOS!G163</f>
        <v>0</v>
      </c>
      <c r="H164" s="175" t="e">
        <f>EXTEMPORANEOS!H163</f>
        <v>#N/A</v>
      </c>
      <c r="I164" s="175">
        <f>EXTEMPORANEOS!I163</f>
        <v>230887267</v>
      </c>
      <c r="J164" s="179">
        <f>EXTEMPORANEOS!J163</f>
        <v>0</v>
      </c>
      <c r="K164" s="179">
        <f>EXTEMPORANEOS!K163</f>
        <v>0</v>
      </c>
      <c r="L164" s="179">
        <f>EXTEMPORANEOS!L163</f>
        <v>0</v>
      </c>
      <c r="M164" s="179">
        <f>EXTEMPORANEOS!M163</f>
        <v>0</v>
      </c>
      <c r="N164" s="179">
        <f>EXTEMPORANEOS!N163</f>
        <v>0</v>
      </c>
      <c r="O164" s="179">
        <f>EXTEMPORANEOS!O163</f>
        <v>0</v>
      </c>
      <c r="P164" s="179">
        <f>EXTEMPORANEOS!P163</f>
        <v>0</v>
      </c>
      <c r="Q164" s="179">
        <f>EXTEMPORANEOS!Q163</f>
        <v>0</v>
      </c>
      <c r="R164" s="180">
        <f>EXTEMPORANEOS!R163</f>
        <v>0</v>
      </c>
      <c r="S164" s="180">
        <f>EXTEMPORANEOS!S163</f>
        <v>0</v>
      </c>
      <c r="T164" s="181">
        <f>EXTEMPORANEOS!T163</f>
        <v>0</v>
      </c>
      <c r="U164" s="182">
        <f>EXTEMPORANEOS!U163</f>
        <v>0</v>
      </c>
      <c r="V164" s="179">
        <f>EXTEMPORANEOS!V163</f>
        <v>0</v>
      </c>
      <c r="W164" s="179">
        <f>EXTEMPORANEOS!W163</f>
        <v>0</v>
      </c>
      <c r="X164" s="182">
        <f>EXTEMPORANEOS!X163</f>
        <v>0</v>
      </c>
      <c r="Y164" s="297">
        <f>EXTEMPORANEOS!Y163</f>
        <v>0</v>
      </c>
      <c r="AA164" s="138"/>
    </row>
    <row r="165" spans="1:27" ht="12.95" customHeight="1" x14ac:dyDescent="0.2">
      <c r="B165" s="185"/>
      <c r="C165" s="149"/>
      <c r="D165" s="186"/>
      <c r="E165" s="187"/>
      <c r="F165" s="188"/>
      <c r="G165" s="187"/>
      <c r="H165" s="188"/>
      <c r="I165" s="188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90"/>
      <c r="U165" s="189"/>
      <c r="V165" s="189"/>
      <c r="W165" s="189"/>
      <c r="X165" s="189"/>
      <c r="Y165" s="189"/>
      <c r="AA165" s="138"/>
    </row>
    <row r="166" spans="1:27" ht="12.95" customHeight="1" x14ac:dyDescent="0.2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spans="1:27" ht="12.95" customHeight="1" x14ac:dyDescent="0.2">
      <c r="AA167" s="138"/>
    </row>
    <row r="168" spans="1:27" ht="12.95" customHeight="1" x14ac:dyDescent="0.2">
      <c r="AA168" s="138"/>
    </row>
    <row r="169" spans="1:27" ht="12.95" customHeight="1" x14ac:dyDescent="0.2">
      <c r="AA169" s="138"/>
    </row>
    <row r="170" spans="1:27" ht="12.95" customHeight="1" x14ac:dyDescent="0.2">
      <c r="AA170" s="138"/>
    </row>
    <row r="171" spans="1:27" ht="12.95" customHeight="1" x14ac:dyDescent="0.2">
      <c r="AA171" s="138"/>
    </row>
    <row r="172" spans="1:27" ht="12.95" customHeight="1" x14ac:dyDescent="0.2">
      <c r="AA172" s="138"/>
    </row>
    <row r="173" spans="1:27" ht="12.95" customHeight="1" x14ac:dyDescent="0.2">
      <c r="AA173" s="138"/>
    </row>
    <row r="174" spans="1:27" ht="12.95" customHeight="1" x14ac:dyDescent="0.2">
      <c r="AA174" s="138"/>
    </row>
    <row r="175" spans="1:27" ht="12.95" customHeight="1" x14ac:dyDescent="0.2">
      <c r="AA175" s="138"/>
    </row>
    <row r="176" spans="1:27" ht="12.95" customHeight="1" x14ac:dyDescent="0.2">
      <c r="AA176" s="138"/>
    </row>
    <row r="177" spans="27:27" ht="12.95" customHeight="1" x14ac:dyDescent="0.2">
      <c r="AA177" s="138"/>
    </row>
    <row r="178" spans="27:27" ht="12.95" customHeight="1" x14ac:dyDescent="0.2">
      <c r="AA178" s="138"/>
    </row>
    <row r="179" spans="27:27" ht="12.95" customHeight="1" x14ac:dyDescent="0.2">
      <c r="AA179" s="138"/>
    </row>
    <row r="180" spans="27:27" ht="12.95" customHeight="1" x14ac:dyDescent="0.2">
      <c r="AA180" s="138"/>
    </row>
    <row r="181" spans="27:27" ht="12.95" customHeight="1" x14ac:dyDescent="0.2">
      <c r="AA181" s="138"/>
    </row>
    <row r="182" spans="27:27" ht="12.95" customHeight="1" x14ac:dyDescent="0.2">
      <c r="AA182" s="138"/>
    </row>
    <row r="183" spans="27:27" ht="12.95" customHeight="1" x14ac:dyDescent="0.2">
      <c r="AA183" s="138"/>
    </row>
    <row r="184" spans="27:27" ht="12.95" customHeight="1" x14ac:dyDescent="0.2"/>
    <row r="185" spans="27:27" ht="12.95" customHeight="1" x14ac:dyDescent="0.2"/>
    <row r="186" spans="27:27" ht="12.95" customHeight="1" x14ac:dyDescent="0.2"/>
    <row r="187" spans="27:27" ht="12.95" customHeight="1" x14ac:dyDescent="0.2"/>
    <row r="188" spans="27:27" ht="12.95" customHeight="1" x14ac:dyDescent="0.2"/>
    <row r="189" spans="27:27" ht="12.95" customHeight="1" x14ac:dyDescent="0.2"/>
    <row r="190" spans="27:27" ht="12.95" customHeight="1" x14ac:dyDescent="0.2"/>
    <row r="191" spans="27:27" ht="12.95" customHeight="1" x14ac:dyDescent="0.2"/>
    <row r="192" spans="27:27" ht="12.95" customHeight="1" x14ac:dyDescent="0.2"/>
    <row r="193" ht="12.95" customHeight="1" x14ac:dyDescent="0.2"/>
    <row r="194" ht="12.95" customHeight="1" x14ac:dyDescent="0.2"/>
    <row r="195" ht="12.95" customHeight="1" x14ac:dyDescent="0.2"/>
    <row r="196" ht="12.95" customHeight="1" x14ac:dyDescent="0.2"/>
    <row r="197" ht="12.95" customHeight="1" x14ac:dyDescent="0.2"/>
    <row r="198" ht="12.95" customHeight="1" x14ac:dyDescent="0.2"/>
    <row r="199" ht="12.95" customHeight="1" x14ac:dyDescent="0.2"/>
    <row r="200" ht="12.95" customHeight="1" x14ac:dyDescent="0.2"/>
    <row r="201" ht="12.95" customHeight="1" x14ac:dyDescent="0.2"/>
    <row r="202" ht="12.95" customHeight="1" x14ac:dyDescent="0.2"/>
    <row r="1048576" spans="2:2" x14ac:dyDescent="0.2">
      <c r="B1048576" s="174"/>
    </row>
  </sheetData>
  <conditionalFormatting sqref="AD1:AZ3">
    <cfRule type="cellIs" dxfId="0" priority="1" operator="notEqual">
      <formula>TRUE</formula>
    </cfRule>
  </conditionalFormatting>
  <pageMargins left="0" right="0" top="0.74803149606299213" bottom="0.74803149606299213" header="0.31496062992125984" footer="0.31496062992125984"/>
  <pageSetup scale="1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OPORTUNO</vt:lpstr>
      <vt:lpstr>EXTEMPORANEOS</vt:lpstr>
      <vt:lpstr>RESUMEN MES</vt:lpstr>
      <vt:lpstr>Pendientes por Identificar</vt:lpstr>
      <vt:lpstr>Reversiones</vt:lpstr>
      <vt:lpstr>Códigos Banco</vt:lpstr>
      <vt:lpstr>Conciliación</vt:lpstr>
      <vt:lpstr>1_Oportuno Directa Bco Occident</vt:lpstr>
      <vt:lpstr>2_Extemporaneo Directa Bco Occi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Plata Maldonado Maryury</cp:lastModifiedBy>
  <cp:lastPrinted>2019-11-18T22:30:08Z</cp:lastPrinted>
  <dcterms:created xsi:type="dcterms:W3CDTF">2019-04-16T23:30:27Z</dcterms:created>
  <dcterms:modified xsi:type="dcterms:W3CDTF">2026-10-20T21:47:42Z</dcterms:modified>
</cp:coreProperties>
</file>