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A376A982-D23D-482E-BE0C-EEADC22F44C3}" xr6:coauthVersionLast="46" xr6:coauthVersionMax="47" xr10:uidLastSave="{00000000-0000-0000-0000-000000000000}"/>
  <x:bookViews>
    <x:workbookView xWindow="-120" yWindow="-120" windowWidth="20730" windowHeight="11160" tabRatio="780" firstSheet="17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8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82" sheetId="93" r:id="rId36"/>
    <x:sheet name="DetValiRetri202608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<x:sst xmlns:x="http://schemas.openxmlformats.org/spreadsheetml/2006/main" count="7772" uniqueCount="345">
  <x:si>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</x:si>
  <x:si>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</x:si>
  <x:si>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</x:si>
  <x:si>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</x:si>
  <x:si>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</x:si>
  <x:si>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</x:si>
  <x:si>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</x:si>
  <x:si>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</x:si>
  <x:si>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</x:si>
  <x:si>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</x:si>
  <x:si>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</x:si>
  <x:si>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</x:si>
  <x:si>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</x:si>
  <x:si>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</x:si>
  <x:si>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</x:si>
  <x:si>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</x:si>
  <x:si>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</x:si>
  <x:si>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</x:si>
  <x:si>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</x:si>
  <x:si>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</x:si>
  <x:si>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</x:si>
  <x:si>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</x:si>
  <x:si>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</x:si>
  <x:si>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</x:si>
  <x:si>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</x:si>
  <x:si>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</x:si>
  <x:si>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</x:si>
  <x:si>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</x:si>
  <x:si>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</x:si>
  <x:si>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</x:si>
  <x:si>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</x:si>
  <x:si>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</x:si>
  <x:si>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</x:si>
  <x:si>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</x:si>
  <x:si>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</x:si>
  <x:si>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</x:si>
  <x:si>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</x:si>
  <x:si>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</x:si>
  <x:si>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</x:si>
  <x:si>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</x:si>
  <x:si>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</x:si>
  <x:si>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</x:si>
  <x:si>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</x:si>
  <x:si>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</x:si>
  <x:si>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</x:si>
  <x:si>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</x:si>
  <x:si>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</x:si>
  <x:si>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</x:si>
  <x:si>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</x:si>
  <x:si>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</x:si>
  <x:si>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</x:si>
  <x:si>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</x:si>
  <x:si>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</x:si>
  <x:si>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</x:si>
  <x:si>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</x:si>
  <x:si>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</x:si>
  <x:si>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</x:si>
  <x:si>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</x:si>
  <x:si>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</x:si>
  <x:si>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</x:si>
  <x:si>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</x:si>
  <x:si>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</x:si>
  <x:si>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</x:si>
  <x:si>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</x:si>
  <x:si>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</x:si>
  <x:si>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</x:si>
  <x:si>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</x:si>
  <x:si>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</x:si>
  <x:si>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</x:si>
  <x:si>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</x:si>
  <x:si>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</x:si>
  <x:si>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</x:si>
  <x:si>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</x:si>
  <x:si>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</x:si>
  <x:si>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</x:si>
  <x:si>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</x:si>
  <x:si>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</x:si>
  <x:si>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</x:si>
  <x:si>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</x:si>
  <x:si>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</x:si>
  <x:si>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</x:si>
  <x:si>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</x:si>
  <x:si>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</x:si>
  <x:si>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</x:si>
  <x:si>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</x:si>
  <x:si>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</x:si>
  <x:si>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</x:si>
  <x:si>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</x:si>
  <x:si>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</x:si>
  <x:si>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</x:si>
  <x:si>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</x:si>
  <x:si>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</x:si>
  <x:si>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</x:si>
  <x:si>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</x:si>
  <x:si>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</x:si>
  <x:si>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</x:si>
  <x:si>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</x:si>
  <x:si>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</x:si>
  <x:si>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</x:si>
  <x:si>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</x:si>
  <x:si>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</x:si>
  <x:si>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</x:si>
  <x:si>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</x:si>
  <x:si>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</x:si>
  <x:si>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</x:si>
  <x:si>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</x:si>
  <x:si>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</x:si>
  <x:si>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</x:si>
  <x:si>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</x:si>
  <x:si>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</x:si>
  <x:si>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</x:si>
  <x:si>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</x:si>
  <x:si>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</x:si>
  <x:si>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</x:si>
  <x:si>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</x:si>
  <x:si>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</x:si>
  <x:si>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</x:si>
  <x:si>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</x:si>
  <x:si>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</x:si>
  <x:si>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</x:si>
  <x:si>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</x:si>
  <x:si>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</x:si>
  <x:si>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</x:si>
  <x:si>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</x:si>
  <x:si>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</x:si>
  <x:si>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</x:si>
  <x:si>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</x:si>
  <x:si>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</x:si>
  <x:si>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</x:si>
  <x:si>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</x:si>
  <x:si>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</x:si>
  <x:si>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</x:si>
  <x:si>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</x:si>
  <x:si>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</x:si>
  <x:si>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</x:si>
  <x:si>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</x:si>
  <x:si>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</x:si>
  <x:si>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</x:si>
  <x:si>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</x:si>
  <x:si>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</x:si>
  <x:si>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</x:si>
  <x:si>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</x:si>
  <x:si>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</x:si>
  <x:si>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</x:si>
  <x:si>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</x:si>
  <x:si>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</x:si>
  <x:si>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</x:si>
  <x:si>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</x:si>
  <x:si>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</x:si>
  <x:si>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</x:si>
  <x:si>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</x:si>
  <x:si>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</x:si>
  <x:si>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</x:si>
  <x:si>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</x:si>
  <x:si>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</x:si>
  <x:si>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</x:si>
  <x:si>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</x:si>
  <x:si>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</x:si>
  <x:si>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</x:si>
  <x:si>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</x:si>
  <x:si>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</x:si>
  <x:si>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</x:si>
  <x:si>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</x:si>
  <x:si>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</x:si>
  <x:si>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</x:si>
  <x:si>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</x:si>
  <x:si>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</x:si>
  <x:si>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</x:si>
  <x:si>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</x:si>
  <x:si>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</x:si>
  <x:si>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</x:si>
  <x:si>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</x:si>
  <x:si>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</x:si>
  <x:si>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</x:si>
  <x:si>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</x:si>
  <x:si>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</x:si>
  <x:si>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</x:si>
  <x:si>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</x:si>
  <x:si>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</x:si>
  <x:si>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</x:si>
  <x:si>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</x:si>
  <x:si>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</x:si>
  <x:si>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</x:si>
  <x:si>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</x:si>
  <x:si>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</x:si>
  <x:si>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</x:si>
  <x:si>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</x:si>
  <x:si>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</x:si>
  <x:si>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</x:si>
  <x:si>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</x:si>
  <x:si>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</x:si>
  <x:si>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</x:si>
  <x:si>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</x:si>
  <x:si>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</x:si>
  <x:si>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</x:si>
  <x:si>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</x:si>
  <x:si>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</x:si>
  <x:si>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</x:si>
  <x:si>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</x:si>
  <x:si>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</x:si>
  <x:si>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</x:si>
  <x:si>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</x:si>
  <x:si>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</x:si>
  <x:si>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</x:si>
  <x:si>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</x:si>
  <x:si>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</x:si>
  <x:si>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</x:si>
  <x:si>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</x:si>
  <x:si>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</x:si>
  <x:si>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</x:si>
  <x:si>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</x:si>
  <x:si>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</x:si>
  <x:si>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</x:si>
  <x:si>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</x:si>
  <x:si>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</x:si>
  <x:si>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</x:si>
  <x:si>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</x:si>
  <x:si>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</x:si>
  <x:si>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</x:si>
  <x:si>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</x:si>
  <x:si>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</x:si>
  <x:si>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</x:si>
  <x:si>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</x:si>
  <x:si>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</x:si>
  <x:si>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</x:si>
  <x:si>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</x:si>
  <x:si>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</x:si>
  <x:si>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</x:si>
  <x:si>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</x:si>
  <x:si>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</x:si>
  <x:si>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</x:si>
  <x:si>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</x:si>
  <x:si>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</x:si>
  <x:si>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</x:si>
  <x:si>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</x:si>
  <x:si>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</x:si>
  <x:si>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</x:si>
  <x:si>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</x:si>
  <x:si>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</x:si>
  <x:si>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</x:si>
  <x:si>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</x:si>
  <x:si>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</x:si>
  <x:si>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</x:si>
  <x:si>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</x:si>
  <x:si>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</x:si>
  <x:si>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</x:si>
  <x:si>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</x:si>
  <x:si>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</x:si>
  <x:si>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</x:si>
  <x:si>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</x:si>
  <x:si>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</x:si>
  <x:si>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</x:si>
  <x:si>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</x:si>
  <x:si>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</x:si>
  <x:si>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</x:si>
  <x:si>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</x:si>
  <x:si>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</x:si>
  <x:si>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</x:si>
  <x:si>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</x:si>
  <x:si>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</x:si>
  <x:si>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</x:si>
  <x:si>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</x:si>
  <x:si>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</x:si>
  <x:si>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</x:si>
  <x:si>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</x:si>
  <x:si>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</x:si>
  <x:si>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</x:si>
  <x:si>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</x:si>
  <x:si>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</x:si>
  <x:si>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</x:si>
  <x:si>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</x:si>
  <x:si>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</x:si>
  <x:si>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</x:si>
  <x:si>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</x:si>
  <x:si>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</x:si>
  <x:si>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</x:si>
  <x:si>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</x:si>
  <x:si>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</x:si>
  <x:si>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</x:si>
  <x:si>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</x:si>
  <x:si>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</x:si>
  <x:si>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</x:si>
  <x:si>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</x:si>
  <x:si>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</x:si>
  <x:si>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</x:si>
  <x:si>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</x:si>
  <x:si>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</x:si>
  <x:si>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</x:si>
  <x:si>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</x:si>
  <x:si>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</x:si>
  <x:si>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</x:si>
  <x:si>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</x:si>
  <x:si>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</x:si>
  <x:si>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</x:si>
  <x:si>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</x:si>
  <x:si>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</x:si>
  <x:si>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</x:si>
  <x:si>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</x:si>
  <x:si>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</x:si>
  <x:si>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</x:si>
  <x:si>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</x:si>
  <x:si>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</x:si>
  <x:si>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</x:si>
  <x:si>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</x:si>
  <x:si>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</x:si>
  <x:si>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</x:si>
  <x:si>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</x:si>
  <x:si>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</x:si>
  <x:si>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</x:si>
  <x:si>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</x:si>
  <x:si>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</x:si>
  <x:si>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</x:si>
  <x:si>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</x:si>
  <x:si>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</x:si>
  <x:si>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</x:si>
  <x:si>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</x:si>
  <x:si>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</x:si>
  <x:si>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</x:si>
  <x:si>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</x:si>
  <x:si>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</x:si>
  <x:si>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</x:si>
  <x:si>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</x:si>
  <x:si>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</x:si>
  <x:si>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</x:si>
  <x:si>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</x:si>
  <x:si>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</x:si>
  <x:si>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</x:si>
  <x:si>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</x:si>
  <x:si>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</x:si>
  <x:si>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</x:si>
  <x:si>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</x:si>
  <x:si>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</x:si>
  <x:si>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</x:si>
  <x:si>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</x:si>
  <x:si>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</x:si>
  <x:si>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</x:si>
  <x:si>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</x:si>
  <x:si>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</x:si>
  <x:si>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</x:si>
  <x:si>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</x:si>
  <x:si>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2026082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</x:si>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</x:sst>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3.5" thickBot="1" x14ac:dyDescent="0.25"/>
    <x:row r="2" spans="2:13" s="102" customFormat="1" ht="13.5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">
      <x:c r="C4" s="178">
        <x:v>2</x:v>
      </x:c>
      <x:c r="D4" s="179">
        <x:v>0</x:v>
      </x:c>
      <x:c r="E4" s="180">
        <x:v>0</x:v>
      </x:c>
      <x:c r="F4" s="180" t="n">
        <x:v>18262430</x:v>
      </x:c>
      <x:c r="G4" s="181" t="n">
        <x:v>217</x:v>
      </x:c>
      <x:c r="J4" s="728"/>
    </x:row>
    <x:row r="5" spans="2:13" x14ac:dyDescent="0.2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">
      <x:c r="C6" s="178">
        <x:v>4</x:v>
      </x:c>
      <x:c r="D6" s="179">
        <x:v>0</x:v>
      </x:c>
      <x:c r="E6" s="180">
        <x:v>0</x:v>
      </x:c>
      <x:c r="F6" s="180" t="n">
        <x:v>8615850</x:v>
      </x:c>
      <x:c r="G6" s="181" t="n">
        <x:v>64</x:v>
      </x:c>
      <x:c r="J6" s="728"/>
    </x:row>
    <x:row r="7" spans="2:13" ht="13.5" customHeight="1" x14ac:dyDescent="0.2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5" thickBot="1" x14ac:dyDescent="0.25">
      <x:c r="C8" s="182" t="s">
        <x:v>89</x:v>
      </x:c>
      <x:c r="D8" s="183"/>
      <x:c r="E8" s="184"/>
      <x:c r="F8" s="184"/>
      <x:c r="G8" s="185"/>
      <x:c r="J8" s="728"/>
    </x:row>
    <x:row r="9" spans="2:13" ht="13.5" thickBot="1" x14ac:dyDescent="0.25">
      <x:c r="D9" s="186">
        <x:v>0</x:v>
      </x:c>
      <x:c r="E9" s="186">
        <x:v>0</x:v>
      </x:c>
      <x:c r="F9" s="186" t="n">
        <x:v>26878280</x:v>
      </x:c>
      <x:c r="G9" s="186" t="n">
        <x:v>281</x:v>
      </x:c>
      <x:c r="J9" s="728"/>
    </x:row>
    <x:row r="10" spans="2:13" ht="13.5" thickBot="1" x14ac:dyDescent="0.25"/>
    <x:row r="11" spans="2:13" s="102" customFormat="1" ht="13.5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">
      <x:c r="C13" s="178">
        <x:v>2</x:v>
      </x:c>
      <x:c r="D13" s="179">
        <x:v>0</x:v>
      </x:c>
      <x:c r="E13" s="180">
        <x:v>0</x:v>
      </x:c>
      <x:c r="F13" s="180" t="n">
        <x:v>798760</x:v>
      </x:c>
      <x:c r="G13" s="181" t="n">
        <x:v>7</x:v>
      </x:c>
    </x:row>
    <x:row r="14" spans="2:13" x14ac:dyDescent="0.2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">
      <x:c r="C15" s="178">
        <x:v>4</x:v>
      </x:c>
      <x:c r="D15" s="179">
        <x:v>0</x:v>
      </x:c>
      <x:c r="E15" s="180">
        <x:v>0</x:v>
      </x:c>
      <x:c r="F15" s="180" t="n">
        <x:v>228530</x:v>
      </x:c>
      <x:c r="G15" s="181" t="n">
        <x:v>1</x:v>
      </x:c>
    </x:row>
    <x:row r="16" spans="2:13" x14ac:dyDescent="0.2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5" thickBot="1" x14ac:dyDescent="0.25">
      <x:c r="C17" s="182" t="s">
        <x:v>89</x:v>
      </x:c>
      <x:c r="D17" s="183"/>
      <x:c r="E17" s="184"/>
      <x:c r="F17" s="184"/>
      <x:c r="G17" s="185"/>
    </x:row>
    <x:row r="18" spans="1:11" ht="13.5" thickBot="1" x14ac:dyDescent="0.25">
      <x:c r="D18" s="186">
        <x:v>0</x:v>
      </x:c>
      <x:c r="E18" s="186">
        <x:v>0</x:v>
      </x:c>
      <x:c r="F18" s="186" t="n">
        <x:v>1027290</x:v>
      </x:c>
      <x:c r="G18" s="186" t="n">
        <x:v>8</x:v>
      </x:c>
    </x:row>
    <x:row r="19" spans="1:11" ht="13.5" thickBot="1" x14ac:dyDescent="0.25"/>
    <x:row r="20" spans="1:11" ht="13.5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19061190</x:v>
      </x:c>
      <x:c r="G22" s="181" t="n">
        <x:v>224</x:v>
      </x:c>
      <x:c r="I22" s="179">
        <x:v>0</x:v>
      </x:c>
      <x:c r="J22" s="181">
        <x:v>0</x:v>
      </x:c>
    </x:row>
    <x:row r="23" spans="1:11" s="167" customForma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8844380</x:v>
      </x:c>
      <x:c r="G24" s="181" t="n">
        <x:v>65</x:v>
      </x:c>
      <x:c r="I24" s="179">
        <x:v>0</x:v>
      </x:c>
      <x:c r="J24" s="181">
        <x:v>0</x:v>
      </x:c>
    </x:row>
    <x:row r="25" spans="1:11" s="167" customForma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5" thickBot="1" x14ac:dyDescent="0.25">
      <x:c r="D27" s="186">
        <x:v>0</x:v>
      </x:c>
      <x:c r="E27" s="186">
        <x:v>0</x:v>
      </x:c>
      <x:c r="F27" s="186" t="n">
        <x:v>27905570</x:v>
      </x:c>
      <x:c r="G27" s="186" t="n">
        <x:v>289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>
        <x:v>0</x:v>
      </x:c>
      <x:c r="E3" s="176">
        <x:v>0</x:v>
      </x:c>
      <x:c r="F3" s="176" t="n">
        <x:v>17277226302</x:v>
      </x:c>
      <x:c r="G3" s="177" t="n">
        <x:v>316936</x:v>
      </x:c>
      <x:c r="J3" s="728"/>
    </x:row>
    <x:row r="4" spans="2:13" ht="12.6" customHeight="1" x14ac:dyDescent="0.2">
      <x:c r="C4" s="178">
        <x:v>2</x:v>
      </x:c>
      <x:c r="D4" s="179">
        <x:v>0</x:v>
      </x:c>
      <x:c r="E4" s="180">
        <x:v>0</x:v>
      </x:c>
      <x:c r="F4" s="180" t="n">
        <x:v>19264884848</x:v>
      </x:c>
      <x:c r="G4" s="181" t="n">
        <x:v>396694</x:v>
      </x:c>
      <x:c r="J4" s="728"/>
    </x:row>
    <x:row r="5" spans="2:13" ht="12.6" customHeight="1" x14ac:dyDescent="0.2">
      <x:c r="C5" s="178">
        <x:v>3</x:v>
      </x:c>
      <x:c r="D5" s="179">
        <x:v>0</x:v>
      </x:c>
      <x:c r="E5" s="180">
        <x:v>0</x:v>
      </x:c>
      <x:c r="F5" s="180" t="n">
        <x:v>15047689272</x:v>
      </x:c>
      <x:c r="G5" s="181" t="n">
        <x:v>273948</x:v>
      </x:c>
      <x:c r="J5" s="728"/>
    </x:row>
    <x:row r="6" spans="2:13" ht="12.6" customHeight="1" x14ac:dyDescent="0.2">
      <x:c r="C6" s="178">
        <x:v>4</x:v>
      </x:c>
      <x:c r="D6" s="179">
        <x:v>0</x:v>
      </x:c>
      <x:c r="E6" s="180">
        <x:v>0</x:v>
      </x:c>
      <x:c r="F6" s="180" t="n">
        <x:v>7298795841</x:v>
      </x:c>
      <x:c r="G6" s="181" t="n">
        <x:v>142161</x:v>
      </x:c>
    </x:row>
    <x:row r="7" spans="2:13" ht="12.6" customHeight="1" x14ac:dyDescent="0.2">
      <x:c r="C7" s="178">
        <x:v>5</x:v>
      </x:c>
      <x:c r="D7" s="179">
        <x:v>0</x:v>
      </x:c>
      <x:c r="E7" s="180">
        <x:v>0</x:v>
      </x:c>
      <x:c r="F7" s="180" t="n">
        <x:v>11700424846</x:v>
      </x:c>
      <x:c r="G7" s="181" t="n">
        <x:v>249311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>
        <x:v>0</x:v>
      </x:c>
      <x:c r="E9" s="186">
        <x:v>0</x:v>
      </x:c>
      <x:c r="F9" s="186" t="n">
        <x:v>70589021109</x:v>
      </x:c>
      <x:c r="G9" s="186" t="n">
        <x:v>1379050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208241806</x:v>
      </x:c>
      <x:c r="G12" s="177" t="n">
        <x:v>4505</x:v>
      </x:c>
    </x:row>
    <x:row r="13" spans="2:13" ht="12.6" customHeight="1" x14ac:dyDescent="0.2">
      <x:c r="C13" s="178">
        <x:v>2</x:v>
      </x:c>
      <x:c r="D13" s="179">
        <x:v>0</x:v>
      </x:c>
      <x:c r="E13" s="180">
        <x:v>0</x:v>
      </x:c>
      <x:c r="F13" s="180" t="n">
        <x:v>47318959</x:v>
      </x:c>
      <x:c r="G13" s="181" t="n">
        <x:v>914</x:v>
      </x:c>
    </x:row>
    <x:row r="14" spans="2:13" ht="12.6" customHeight="1" x14ac:dyDescent="0.2">
      <x:c r="C14" s="178">
        <x:v>3</x:v>
      </x:c>
      <x:c r="D14" s="179">
        <x:v>0</x:v>
      </x:c>
      <x:c r="E14" s="180">
        <x:v>0</x:v>
      </x:c>
      <x:c r="F14" s="180" t="n">
        <x:v>96850450</x:v>
      </x:c>
      <x:c r="G14" s="181" t="n">
        <x:v>2077</x:v>
      </x:c>
    </x:row>
    <x:row r="15" spans="2:13" ht="12.6" customHeight="1" x14ac:dyDescent="0.2">
      <x:c r="C15" s="178">
        <x:v>4</x:v>
      </x:c>
      <x:c r="D15" s="179">
        <x:v>0</x:v>
      </x:c>
      <x:c r="E15" s="180">
        <x:v>0</x:v>
      </x:c>
      <x:c r="F15" s="180" t="n">
        <x:v>96874840</x:v>
      </x:c>
      <x:c r="G15" s="181" t="n">
        <x:v>2369</x:v>
      </x:c>
    </x:row>
    <x:row r="16" spans="2:13" ht="12.6" customHeight="1" x14ac:dyDescent="0.2">
      <x:c r="C16" s="178">
        <x:v>5</x:v>
      </x:c>
      <x:c r="D16" s="179">
        <x:v>0</x:v>
      </x:c>
      <x:c r="E16" s="180">
        <x:v>0</x:v>
      </x:c>
      <x:c r="F16" s="180" t="n">
        <x:v>80297730</x:v>
      </x:c>
      <x:c r="G16" s="181" t="n">
        <x:v>1887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>
        <x:v>0</x:v>
      </x:c>
      <x:c r="E18" s="186">
        <x:v>0</x:v>
      </x:c>
      <x:c r="F18" s="186" t="n">
        <x:v>529583785</x:v>
      </x:c>
      <x:c r="G18" s="186" t="n">
        <x:v>11752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17485468108</x:v>
      </x:c>
      <x:c r="G21" s="177" t="n">
        <x:v>321441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19312203807</x:v>
      </x:c>
      <x:c r="G22" s="181" t="n">
        <x:v>397608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15144539722</x:v>
      </x:c>
      <x:c r="G23" s="181" t="n">
        <x:v>276025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7395670681</x:v>
      </x:c>
      <x:c r="G24" s="181" t="n">
        <x:v>144530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11780722576</x:v>
      </x:c>
      <x:c r="G25" s="181" t="n">
        <x:v>251198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>
        <x:v>0</x:v>
      </x:c>
      <x:c r="E27" s="186">
        <x:v>0</x:v>
      </x:c>
      <x:c r="F27" s="186" t="n">
        <x:v>71118604894</x:v>
      </x:c>
      <x:c r="G27" s="186" t="n">
        <x:v>1390802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">
      <x:c r="C7" s="178">
        <x:v>5</x:v>
      </x:c>
      <x:c r="D7" s="179">
        <x:v>0</x:v>
      </x:c>
      <x:c r="E7" s="180">
        <x:v>0</x:v>
      </x:c>
      <x:c r="F7" s="180" t="n">
        <x:v>32068500</x:v>
      </x:c>
      <x:c r="G7" s="181" t="n">
        <x:v>539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>
        <x:v>0</x:v>
      </x:c>
      <x:c r="E9" s="186">
        <x:v>0</x:v>
      </x:c>
      <x:c r="F9" s="186" t="n">
        <x:v>32068500</x:v>
      </x:c>
      <x:c r="G9" s="186" t="n">
        <x:v>539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">
      <x:c r="C16" s="178">
        <x:v>5</x:v>
      </x:c>
      <x:c r="D16" s="179">
        <x:v>0</x:v>
      </x:c>
      <x:c r="E16" s="180">
        <x:v>0</x:v>
      </x:c>
      <x:c r="F16" s="180" t="n">
        <x:v>488120</x:v>
      </x:c>
      <x:c r="G16" s="181" t="n">
        <x:v>11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>
        <x:v>0</x:v>
      </x:c>
      <x:c r="E18" s="186">
        <x:v>0</x:v>
      </x:c>
      <x:c r="F18" s="186" t="n">
        <x:v>488120</x:v>
      </x:c>
      <x:c r="G18" s="186" t="n">
        <x:v>11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32556620</x:v>
      </x:c>
      <x:c r="G25" s="181" t="n">
        <x:v>550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>
        <x:v>0</x:v>
      </x:c>
      <x:c r="E27" s="186">
        <x:v>0</x:v>
      </x:c>
      <x:c r="F27" s="186" t="n">
        <x:v>32556620</x:v>
      </x:c>
      <x:c r="G27" s="186" t="n">
        <x:v>550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2578125" defaultRowHeight="12.75" x14ac:dyDescent="0.2"/>
  <x:cols>
    <x:col min="1" max="1" width="2.140625" style="213" customWidth="1"/>
    <x:col min="2" max="2" width="25" style="213" bestFit="1" customWidth="1"/>
    <x:col min="3" max="3" width="4.85546875" style="213" bestFit="1" customWidth="1"/>
    <x:col min="4" max="4" width="13.85546875" style="167" bestFit="1" customWidth="1"/>
    <x:col min="5" max="5" width="19" style="167" bestFit="1" customWidth="1"/>
    <x:col min="6" max="6" width="13.85546875" style="167" bestFit="1" customWidth="1"/>
    <x:col min="7" max="7" width="19" style="167" bestFit="1" customWidth="1"/>
    <x:col min="8" max="8" width="3.85546875" style="167" customWidth="1"/>
    <x:col min="9" max="9" width="20" style="167" bestFit="1" customWidth="1"/>
    <x:col min="10" max="10" width="26.5703125" style="167" bestFit="1" customWidth="1"/>
    <x:col min="11" max="13" width="19.85546875" style="167" customWidth="1"/>
    <x:col min="14" max="16384" width="11.42578125" style="213"/>
  </x:cols>
  <x:sheetData>
    <x:row r="1" spans="2:13" ht="13.5" thickBot="1" x14ac:dyDescent="0.25"/>
    <x:row r="2" spans="2:13" s="214" customFormat="1" ht="13.5" thickBot="1" x14ac:dyDescent="0.2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5" thickBot="1" x14ac:dyDescent="0.25">
      <x:c r="C8" s="182" t="s">
        <x:v>89</x:v>
      </x:c>
      <x:c r="D8" s="183"/>
      <x:c r="E8" s="184"/>
      <x:c r="F8" s="184"/>
      <x:c r="G8" s="185"/>
    </x:row>
    <x:row r="9" spans="2:13" ht="13.5" thickBot="1" x14ac:dyDescent="0.25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5" thickBot="1" x14ac:dyDescent="0.25"/>
    <x:row r="11" spans="2:13" s="214" customFormat="1" ht="13.5" thickBot="1" x14ac:dyDescent="0.2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5" thickBot="1" x14ac:dyDescent="0.25">
      <x:c r="C17" s="182" t="s">
        <x:v>89</x:v>
      </x:c>
      <x:c r="D17" s="183"/>
      <x:c r="E17" s="184"/>
      <x:c r="F17" s="184"/>
      <x:c r="G17" s="185"/>
    </x:row>
    <x:row r="18" spans="1:13" ht="13.5" thickBot="1" x14ac:dyDescent="0.2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5" thickBot="1" x14ac:dyDescent="0.25"/>
    <x:row r="20" spans="1:13" ht="13.5" thickBot="1" x14ac:dyDescent="0.2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5" thickBot="1" x14ac:dyDescent="0.25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2578125" defaultRowHeight="12.75" x14ac:dyDescent="0.2"/>
  <x:cols>
    <x:col min="1" max="1" width="2.140625" style="166" customWidth="1"/>
    <x:col min="2" max="2" width="12.85546875" style="166" bestFit="1" customWidth="1"/>
    <x:col min="3" max="3" width="7.140625" style="166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  <x:col min="14" max="16384" width="11.42578125" style="166"/>
  </x:cols>
  <x:sheetData>
    <x:row r="1" spans="2:13" ht="13.5" thickBot="1" x14ac:dyDescent="0.25"/>
    <x:row r="2" spans="2:13" s="168" customFormat="1" ht="13.5" thickBot="1" x14ac:dyDescent="0.2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277">
        <x:v>0</x:v>
      </x:c>
      <x:c r="E3" s="176">
        <x:v>0</x:v>
      </x:c>
      <x:c r="F3" s="176" t="n">
        <x:v>708118766</x:v>
      </x:c>
      <x:c r="G3" s="177" t="n">
        <x:v>2516</x:v>
      </x:c>
      <x:c r="J3" s="728"/>
    </x:row>
    <x:row r="4" spans="2:13" x14ac:dyDescent="0.2">
      <x:c r="C4" s="178">
        <x:v>2</x:v>
      </x:c>
      <x:c r="D4" s="278">
        <x:v>0</x:v>
      </x:c>
      <x:c r="E4" s="180">
        <x:v>0</x:v>
      </x:c>
      <x:c r="F4" s="180" t="n">
        <x:v>2044964380</x:v>
      </x:c>
      <x:c r="G4" s="181" t="n">
        <x:v>10424</x:v>
      </x:c>
      <x:c r="J4" s="728"/>
    </x:row>
    <x:row r="5" spans="2:13" x14ac:dyDescent="0.2">
      <x:c r="C5" s="178">
        <x:v>3</x:v>
      </x:c>
      <x:c r="D5" s="278">
        <x:v>0</x:v>
      </x:c>
      <x:c r="E5" s="180">
        <x:v>0</x:v>
      </x:c>
      <x:c r="F5" s="180" t="n">
        <x:v>799641564</x:v>
      </x:c>
      <x:c r="G5" s="181" t="n">
        <x:v>2133</x:v>
      </x:c>
      <x:c r="J5" s="728"/>
    </x:row>
    <x:row r="6" spans="2:13" x14ac:dyDescent="0.2">
      <x:c r="C6" s="178">
        <x:v>4</x:v>
      </x:c>
      <x:c r="D6" s="278">
        <x:v>0</x:v>
      </x:c>
      <x:c r="E6" s="180">
        <x:v>0</x:v>
      </x:c>
      <x:c r="F6" s="180" t="n">
        <x:v>769620840</x:v>
      </x:c>
      <x:c r="G6" s="181" t="n">
        <x:v>4462</x:v>
      </x:c>
    </x:row>
    <x:row r="7" spans="2:13" x14ac:dyDescent="0.2">
      <x:c r="C7" s="178">
        <x:v>5</x:v>
      </x:c>
      <x:c r="D7" s="278">
        <x:v>0</x:v>
      </x:c>
      <x:c r="E7" s="180">
        <x:v>0</x:v>
      </x:c>
      <x:c r="F7" s="180" t="n">
        <x:v>305626540</x:v>
      </x:c>
      <x:c r="G7" s="181" t="n">
        <x:v>1484</x:v>
      </x:c>
    </x:row>
    <x:row r="8" spans="2:13" ht="13.5" thickBot="1" x14ac:dyDescent="0.25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5" thickBot="1" x14ac:dyDescent="0.25">
      <x:c r="D9" s="186">
        <x:v>0</x:v>
      </x:c>
      <x:c r="E9" s="186">
        <x:v>0</x:v>
      </x:c>
      <x:c r="F9" s="186" t="n">
        <x:v>4627972090</x:v>
      </x:c>
      <x:c r="G9" s="186" t="n">
        <x:v>21019</x:v>
      </x:c>
    </x:row>
    <x:row r="10" spans="2:13" ht="13.5" thickBot="1" x14ac:dyDescent="0.25">
      <x:c r="D10" s="280"/>
    </x:row>
    <x:row r="11" spans="2:13" s="168" customFormat="1" ht="13.5" thickBot="1" x14ac:dyDescent="0.2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202466152</x:v>
      </x:c>
      <x:c r="G12" s="192" t="n">
        <x:v>535</x:v>
      </x:c>
    </x:row>
    <x:row r="13" spans="2:13" x14ac:dyDescent="0.2">
      <x:c r="C13" s="193">
        <x:v>2</x:v>
      </x:c>
      <x:c r="D13" s="278">
        <x:v>0</x:v>
      </x:c>
      <x:c r="E13" s="180">
        <x:v>0</x:v>
      </x:c>
      <x:c r="F13" s="180" t="n">
        <x:v>341841786</x:v>
      </x:c>
      <x:c r="G13" s="181" t="n">
        <x:v>623</x:v>
      </x:c>
    </x:row>
    <x:row r="14" spans="2:13" x14ac:dyDescent="0.2">
      <x:c r="C14" s="193">
        <x:v>3</x:v>
      </x:c>
      <x:c r="D14" s="278">
        <x:v>0</x:v>
      </x:c>
      <x:c r="E14" s="180">
        <x:v>0</x:v>
      </x:c>
      <x:c r="F14" s="180" t="n">
        <x:v>469277064</x:v>
      </x:c>
      <x:c r="G14" s="181" t="n">
        <x:v>248</x:v>
      </x:c>
    </x:row>
    <x:row r="15" spans="2:13" x14ac:dyDescent="0.2">
      <x:c r="C15" s="193">
        <x:v>4</x:v>
      </x:c>
      <x:c r="D15" s="278">
        <x:v>0</x:v>
      </x:c>
      <x:c r="E15" s="180">
        <x:v>0</x:v>
      </x:c>
      <x:c r="F15" s="180" t="n">
        <x:v>208355087</x:v>
      </x:c>
      <x:c r="G15" s="181" t="n">
        <x:v>216</x:v>
      </x:c>
    </x:row>
    <x:row r="16" spans="2:13" x14ac:dyDescent="0.2">
      <x:c r="C16" s="193">
        <x:v>5</x:v>
      </x:c>
      <x:c r="D16" s="278">
        <x:v>0</x:v>
      </x:c>
      <x:c r="E16" s="180">
        <x:v>0</x:v>
      </x:c>
      <x:c r="F16" s="180" t="n">
        <x:v>35584035</x:v>
      </x:c>
      <x:c r="G16" s="181" t="n">
        <x:v>152</x:v>
      </x:c>
    </x:row>
    <x:row r="17" spans="1:13" ht="13.5" thickBot="1" x14ac:dyDescent="0.25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5" thickBot="1" x14ac:dyDescent="0.25">
      <x:c r="D18" s="198">
        <x:v>0</x:v>
      </x:c>
      <x:c r="E18" s="198">
        <x:v>0</x:v>
      </x:c>
      <x:c r="F18" s="198" t="n">
        <x:v>1257524124</x:v>
      </x:c>
      <x:c r="G18" s="198" t="n">
        <x:v>1774</x:v>
      </x:c>
    </x:row>
    <x:row r="19" spans="1:13" ht="13.5" thickBot="1" x14ac:dyDescent="0.25"/>
    <x:row r="20" spans="1:13" ht="13.5" thickBot="1" x14ac:dyDescent="0.2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910584918</x:v>
      </x:c>
      <x:c r="G21" s="177" t="n">
        <x:v>3051</x:v>
      </x:c>
      <x:c r="I21" s="175">
        <x:v>0</x:v>
      </x:c>
      <x:c r="J21" s="177">
        <x:v>0</x:v>
      </x:c>
    </x:row>
    <x:row r="22" spans="1:13" s="167" customFormat="1" x14ac:dyDescent="0.2">
      <x:c r="B22" s="166"/>
      <x:c r="C22" s="178">
        <x:v>2</x:v>
      </x:c>
      <x:c r="D22" s="278">
        <x:v>0</x:v>
      </x:c>
      <x:c r="E22" s="283">
        <x:v>0</x:v>
      </x:c>
      <x:c r="F22" s="180" t="n">
        <x:v>2386806166</x:v>
      </x:c>
      <x:c r="G22" s="181" t="n">
        <x:v>11047</x:v>
      </x:c>
      <x:c r="I22" s="179">
        <x:v>0</x:v>
      </x:c>
      <x:c r="J22" s="181">
        <x:v>0</x:v>
      </x:c>
    </x:row>
    <x:row r="23" spans="1:13" s="167" customFormat="1" x14ac:dyDescent="0.2">
      <x:c r="B23" s="166"/>
      <x:c r="C23" s="178">
        <x:v>3</x:v>
      </x:c>
      <x:c r="D23" s="278">
        <x:v>0</x:v>
      </x:c>
      <x:c r="E23" s="283">
        <x:v>0</x:v>
      </x:c>
      <x:c r="F23" s="180" t="n">
        <x:v>1268918628</x:v>
      </x:c>
      <x:c r="G23" s="181" t="n">
        <x:v>2381</x:v>
      </x:c>
      <x:c r="I23" s="179">
        <x:v>0</x:v>
      </x:c>
      <x:c r="J23" s="181">
        <x:v>0</x:v>
      </x:c>
    </x:row>
    <x:row r="24" spans="1:13" s="167" customFormat="1" x14ac:dyDescent="0.2">
      <x:c r="B24" s="166"/>
      <x:c r="C24" s="178">
        <x:v>4</x:v>
      </x:c>
      <x:c r="D24" s="278">
        <x:v>0</x:v>
      </x:c>
      <x:c r="E24" s="283">
        <x:v>0</x:v>
      </x:c>
      <x:c r="F24" s="180" t="n">
        <x:v>977975927</x:v>
      </x:c>
      <x:c r="G24" s="181" t="n">
        <x:v>4678</x:v>
      </x:c>
      <x:c r="I24" s="179">
        <x:v>0</x:v>
      </x:c>
      <x:c r="J24" s="181">
        <x:v>0</x:v>
      </x:c>
    </x:row>
    <x:row r="25" spans="1:13" s="167" customFormat="1" x14ac:dyDescent="0.2">
      <x:c r="B25" s="166"/>
      <x:c r="C25" s="178">
        <x:v>5</x:v>
      </x:c>
      <x:c r="D25" s="278">
        <x:v>0</x:v>
      </x:c>
      <x:c r="E25" s="283">
        <x:v>0</x:v>
      </x:c>
      <x:c r="F25" s="180" t="n">
        <x:v>341210575</x:v>
      </x:c>
      <x:c r="G25" s="181" t="n">
        <x:v>1636</x:v>
      </x:c>
      <x:c r="I25" s="179">
        <x:v>0</x:v>
      </x:c>
      <x:c r="J25" s="181">
        <x:v>0</x:v>
      </x:c>
    </x:row>
    <x:row r="26" spans="1:13" ht="13.5" thickBot="1" x14ac:dyDescent="0.25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5" thickBot="1" x14ac:dyDescent="0.25">
      <x:c r="D27" s="186">
        <x:v>0</x:v>
      </x:c>
      <x:c r="E27" s="186">
        <x:v>0</x:v>
      </x:c>
      <x:c r="F27" s="186" t="n">
        <x:v>5885496214</x:v>
      </x:c>
      <x:c r="G27" s="186" t="n">
        <x:v>22793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75" x14ac:dyDescent="0.2"/>
  <x:cols>
    <x:col min="1" max="1" width="6" customWidth="1"/>
    <x:col min="2" max="2" width="47.85546875" bestFit="1" customWidth="1"/>
    <x:col min="3" max="9" width="22.7109375" customWidth="1"/>
    <x:col min="10" max="10" width="17.85546875" customWidth="1"/>
  </x:cols>
  <x:sheetData>
    <x:row r="1" spans="1:10" x14ac:dyDescent="0.2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">
      <x:c r="B10" s="97" t="s">
        <x:v>99</x:v>
      </x:c>
      <x:c r="H10" s="212"/>
    </x:row>
    <x:row r="11" spans="1:10" x14ac:dyDescent="0.2">
      <x:c r="B11" s="114" t="s">
        <x:v>96</x:v>
      </x:c>
    </x:row>
    <x:row r="12" spans="1:10" x14ac:dyDescent="0.2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">
      <x:c r="B13" t="s">
        <x:v>97</x:v>
      </x:c>
      <x:c r="C13" s="244" t="n">
        <x:v>17445127414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878866230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">
      <x:c r="B14" s="89" t="s">
        <x:v>98</x:v>
      </x:c>
      <x:c r="C14" s="244" t="n">
        <x:v>40340694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20016520.48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11702167.52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">
      <x:c r="C19" s="143"/>
      <x:c r="D19" s="212"/>
      <x:c r="I19" s="212"/>
    </x:row>
    <x:row r="20" spans="2:11" x14ac:dyDescent="0.2">
      <x:c r="B20" t="s">
        <x:v>100</x:v>
      </x:c>
    </x:row>
    <x:row r="21" spans="2:11" x14ac:dyDescent="0.2">
      <x:c r="B21" s="114" t="s">
        <x:v>96</x:v>
      </x:c>
    </x:row>
    <x:row r="22" spans="2:11" x14ac:dyDescent="0.2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">
      <x:c r="B23" t="s">
        <x:v>97</x:v>
      </x:c>
      <x:c r="C23" s="244" t="n">
        <x:v>19260091230.78</x:v>
      </x:c>
      <x:c r="D23" s="244">
        <x:v>0</x:v>
      </x:c>
      <x:c r="E23" s="244">
        <x:v>0</x:v>
      </x:c>
      <x:c r="F23" s="244" t="n">
        <x:v>9350210</x:v>
      </x:c>
      <x:c r="G23" s="244">
        <x:v>0</x:v>
      </x:c>
      <x:c r="H23" s="244" t="n">
        <x:v>2260522795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">
      <x:c r="B24" s="89" t="s">
        <x:v>98</x:v>
      </x:c>
      <x:c r="C24" s="244" t="n">
        <x:v>53772356.22</x:v>
      </x:c>
      <x:c r="D24" s="244">
        <x:v>0</x:v>
      </x:c>
      <x:c r="E24" s="244">
        <x:v>0</x:v>
      </x:c>
      <x:c r="F24" s="244" t="n">
        <x:v>9710980</x:v>
      </x:c>
      <x:c r="G24" s="244">
        <x:v>0</x:v>
      </x:c>
      <x:c r="H24" s="244" t="n">
        <x:v>126283371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">
      <x:c r="B29" t="s">
        <x:v>101</x:v>
      </x:c>
      <x:c r="H29" s="212"/>
      <x:c r="I29" s="212"/>
    </x:row>
    <x:row r="30" spans="2:11" x14ac:dyDescent="0.2">
      <x:c r="B30" s="114" t="s">
        <x:v>96</x:v>
      </x:c>
    </x:row>
    <x:row r="31" spans="2:11" x14ac:dyDescent="0.2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">
      <x:c r="B32" s="89" t="s">
        <x:v>97</x:v>
      </x:c>
      <x:c r="C32" s="244" t="n">
        <x:v>15124893786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1255924231.01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">
      <x:c r="B33" s="89" t="s">
        <x:v>98</x:v>
      </x:c>
      <x:c r="C33" s="244" t="n">
        <x:v>20418516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10719555.23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2274841.76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">
      <x:c r="B38" t="s">
        <x:v>102</x:v>
      </x:c>
    </x:row>
    <x:row r="39" spans="2:10" x14ac:dyDescent="0.2">
      <x:c r="B39" s="114" t="s">
        <x:v>96</x:v>
      </x:c>
    </x:row>
    <x:row r="40" spans="2:10" x14ac:dyDescent="0.2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">
      <x:c r="B41" s="89" t="s">
        <x:v>97</x:v>
      </x:c>
      <x:c r="C41" s="244" t="n">
        <x:v>7358390426</x:v>
      </x:c>
      <x:c r="D41" s="244">
        <x:v>0</x:v>
      </x:c>
      <x:c r="E41" s="244">
        <x:v>0</x:v>
      </x:c>
      <x:c r="F41" s="244" t="n">
        <x:v>4363050</x:v>
      </x:c>
      <x:c r="G41" s="244">
        <x:v>0</x:v>
      </x:c>
      <x:c r="H41" s="244" t="n">
        <x:v>908362098.18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">
      <x:c r="B42" s="89" t="s">
        <x:v>98</x:v>
      </x:c>
      <x:c r="C42" s="244" t="n">
        <x:v>37713515</x:v>
      </x:c>
      <x:c r="D42" s="244">
        <x:v>0</x:v>
      </x:c>
      <x:c r="E42" s="244">
        <x:v>0</x:v>
      </x:c>
      <x:c r="F42" s="244" t="n">
        <x:v>4481330</x:v>
      </x:c>
      <x:c r="G42" s="244">
        <x:v>0</x:v>
      </x:c>
      <x:c r="H42" s="244" t="n">
        <x:v>57223143.46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12390685.36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">
      <x:c r="B46" s="89"/>
      <x:c r="C46" s="113"/>
      <x:c r="D46" s="113"/>
      <x:c r="E46" s="113"/>
      <x:c r="F46" s="113"/>
      <x:c r="G46" s="113"/>
      <x:c r="H46" s="113"/>
    </x:row>
    <x:row r="47" spans="2:10" x14ac:dyDescent="0.2">
      <x:c r="F47" s="212"/>
      <x:c r="G47" s="212"/>
    </x:row>
    <x:row r="48" spans="2:10" x14ac:dyDescent="0.2">
      <x:c r="B48" t="s">
        <x:v>103</x:v>
      </x:c>
    </x:row>
    <x:row r="49" spans="2:10" x14ac:dyDescent="0.2">
      <x:c r="B49" s="114" t="s">
        <x:v>96</x:v>
      </x:c>
    </x:row>
    <x:row r="50" spans="2:10" x14ac:dyDescent="0.2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">
      <x:c r="B51" t="s">
        <x:v>97</x:v>
      </x:c>
      <x:c r="C51" s="590" t="n">
        <x:v>11757334219</x:v>
      </x:c>
      <x:c r="D51" s="244">
        <x:v>0</x:v>
      </x:c>
      <x:c r="E51" s="244">
        <x:v>0</x:v>
      </x:c>
      <x:c r="F51" s="244">
        <x:v>0</x:v>
      </x:c>
      <x:c r="G51" s="244" t="n">
        <x:v>28784210</x:v>
      </x:c>
      <x:c r="H51" s="590" t="n">
        <x:v>328895723.05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">
      <x:c r="B52" s="89" t="s">
        <x:v>98</x:v>
      </x:c>
      <x:c r="C52" s="590" t="n">
        <x:v>23895807</x:v>
      </x:c>
      <x:c r="D52" s="244">
        <x:v>0</x:v>
      </x:c>
      <x:c r="E52" s="244">
        <x:v>0</x:v>
      </x:c>
      <x:c r="F52" s="244">
        <x:v>0</x:v>
      </x:c>
      <x:c r="G52" s="244" t="n">
        <x:v>3772410</x:v>
      </x:c>
      <x:c r="H52" s="590" t="n">
        <x:v>11551639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763212.95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">
      <x:c r="H57" s="212"/>
      <x:c r="I57" s="212"/>
    </x:row>
    <x:row r="58" spans="2:10" x14ac:dyDescent="0.2">
      <x:c r="F58" s="212"/>
      <x:c r="G58" s="212"/>
      <x:c r="H58" s="212"/>
      <x:c r="I58" s="212"/>
    </x:row>
    <x:row r="59" spans="2:10" x14ac:dyDescent="0.2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">
      <x:c r="H60" s="212"/>
    </x:row>
    <x:row r="61" spans="2:10" x14ac:dyDescent="0.2">
      <x:c r="B61" t="s">
        <x:v>1</x:v>
      </x:c>
      <x:c r="C61" s="143"/>
      <x:c r="E61" s="142"/>
    </x:row>
    <x:row r="62" spans="2:10" x14ac:dyDescent="0.2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">
      <x:c r="C74" s="167"/>
    </x:row>
    <x:row r="75" spans="2:7" x14ac:dyDescent="0.2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75" x14ac:dyDescent="0.2"/>
  <x:cols>
    <x:col min="1" max="1" width="3.42578125" customWidth="1"/>
    <x:col min="2" max="2" width="20.85546875" bestFit="1" customWidth="1"/>
    <x:col min="3" max="3" width="13.140625" bestFit="1" customWidth="1"/>
    <x:col min="4" max="6" width="12.85546875" bestFit="1" customWidth="1"/>
    <x:col min="7" max="7" width="12.5703125" customWidth="1"/>
    <x:col min="8" max="14" width="12.85546875" bestFit="1" customWidth="1"/>
    <x:col min="16" max="16" width="12.85546875" bestFit="1" customWidth="1"/>
  </x:cols>
  <x:sheetData>
    <x:row r="1" spans="1:16" ht="13.5" thickBot="1" x14ac:dyDescent="0.25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2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5" thickBot="1" x14ac:dyDescent="0.2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5" thickBot="1" x14ac:dyDescent="0.2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5" x14ac:dyDescent="0.25">
      <x:c r="B8" s="208" t="s">
        <x:v>148</x:v>
      </x:c>
      <x:c r="C8" s="209"/>
    </x:row>
    <x:row r="9" spans="1:16" x14ac:dyDescent="0.2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2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">
      <x:c r="E14" s="212"/>
    </x:row>
    <x:row r="16" spans="1:16" ht="15" x14ac:dyDescent="0.25">
      <x:c r="B16" s="208" t="s">
        <x:v>153</x:v>
      </x:c>
      <x:c r="C16" s="209"/>
    </x:row>
    <x:row r="17" spans="2:14" x14ac:dyDescent="0.2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2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5" x14ac:dyDescent="0.25">
      <x:c r="B24" s="208" t="s">
        <x:v>154</x:v>
      </x:c>
      <x:c r="C24" s="209"/>
    </x:row>
    <x:row r="25" spans="2:14" x14ac:dyDescent="0.2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2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">
      <x:c r="B32" s="209" t="s">
        <x:v>155</x:v>
      </x:c>
    </x:row>
    <x:row r="33" spans="2:14" x14ac:dyDescent="0.2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2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">
      <x:c r="L39" s="212"/>
    </x:row>
    <x:row r="40" spans="2:14" x14ac:dyDescent="0.2">
      <x:c r="B40" s="742" t="s">
        <x:v>326</x:v>
      </x:c>
    </x:row>
    <x:row r="41" spans="2:14" x14ac:dyDescent="0.2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2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33:N33"/>
    <x:mergeCell ref="C33:D33"/>
    <x:mergeCell ref="E33:F33"/>
    <x:mergeCell ref="G33:H33"/>
    <x:mergeCell ref="I33:J33"/>
    <x:mergeCell ref="K33:L33"/>
    <x:mergeCell ref="M9:N9"/>
    <x:mergeCell ref="C9:D9"/>
    <x:mergeCell ref="E9:F9"/>
    <x:mergeCell ref="G9:H9"/>
    <x:mergeCell ref="I9:J9"/>
    <x:mergeCell ref="K9:L9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1:N1"/>
    <x:mergeCell ref="C1:D1"/>
    <x:mergeCell ref="E1:F1"/>
    <x:mergeCell ref="G1:H1"/>
    <x:mergeCell ref="I1:J1"/>
    <x:mergeCell ref="K1:L1"/>
    <x:mergeCell ref="M41:N41"/>
    <x:mergeCell ref="C41:D41"/>
    <x:mergeCell ref="E41:F41"/>
    <x:mergeCell ref="G41:H41"/>
    <x:mergeCell ref="I41:J41"/>
    <x:mergeCell ref="K41:L41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85546875" bestFit="1" customWidth="1"/>
    <x:col min="4" max="4" width="1.85546875" style="238" customWidth="1"/>
    <x:col min="5" max="5" width="14.85546875" customWidth="1"/>
    <x:col min="6" max="6" width="15.85546875" bestFit="1" customWidth="1"/>
    <x:col min="7" max="7" width="1.85546875" style="238" customWidth="1"/>
    <x:col min="8" max="8" width="9.140625" customWidth="1"/>
    <x:col min="9" max="9" width="15.85546875" bestFit="1" customWidth="1"/>
    <x:col min="10" max="10" width="1.85546875" style="238" customWidth="1"/>
    <x:col min="11" max="11" width="14.140625" customWidth="1"/>
    <x:col min="12" max="12" width="17.42578125" customWidth="1"/>
    <x:col min="13" max="13" width="1.85546875" style="238" customWidth="1"/>
    <x:col min="14" max="14" width="14.140625" customWidth="1"/>
    <x:col min="15" max="15" width="17.42578125" customWidth="1"/>
    <x:col min="16" max="16" width="1.85546875" style="238" customWidth="1"/>
    <x:col min="17" max="17" width="20.140625" customWidth="1"/>
    <x:col min="18" max="18" width="15.85546875" bestFit="1" customWidth="1"/>
    <x:col min="19" max="19" width="3.5703125" customWidth="1"/>
    <x:col min="20" max="20" width="48.42578125" bestFit="1" customWidth="1"/>
  </x:cols>
  <x:sheetData>
    <x:row r="1" spans="2:20" ht="13.5" thickBot="1" x14ac:dyDescent="0.2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75" thickBot="1" x14ac:dyDescent="0.2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5" thickBot="1" x14ac:dyDescent="0.25"/>
    <x:row r="11" spans="2:20" ht="48.75" thickBot="1" x14ac:dyDescent="0.2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5" thickBot="1" x14ac:dyDescent="0.25"/>
    <x:row r="20" spans="2:20" ht="36.75" thickBot="1" x14ac:dyDescent="0.2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75" x14ac:dyDescent="0.2"/>
  <x:cols>
    <x:col min="3" max="3" width="11.42578125" style="123"/>
    <x:col min="4" max="4" width="19.140625" customWidth="1"/>
    <x:col min="5" max="5" width="18.140625" customWidth="1"/>
    <x:col min="6" max="7" width="18" customWidth="1"/>
    <x:col min="8" max="8" width="27.85546875" customWidth="1"/>
    <x:col min="9" max="9" width="33.5703125" customWidth="1"/>
    <x:col min="13" max="13" width="28.42578125" customWidth="1"/>
    <x:col min="17" max="17" width="12.85546875" bestFit="1" customWidth="1"/>
  </x:cols>
  <x:sheetData>
    <x:row r="1" spans="1:17" ht="13.5" thickBot="1" x14ac:dyDescent="0.25">
      <x:c r="H1" s="503" t="s">
        <x:v>1</x:v>
      </x:c>
    </x:row>
    <x:row r="2" spans="1:17" ht="15.75" thickBot="1" x14ac:dyDescent="0.3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">
      <x:c r="C3" s="126">
        <x:v>1</x:v>
      </x:c>
      <x:c r="D3" s="592" t="n">
        <x:v>-6202728417.6</x:v>
      </x:c>
      <x:c r="E3" s="592" t="n">
        <x:v>2592514668.33</x:v>
      </x:c>
      <x:c r="F3" s="593">
        <x:f>D3+E3</x:f>
        <x:v>0</x:v>
      </x:c>
      <x:c r="G3" s="499"/>
      <x:c r="H3" s="612">
        <x:f>DetRetri2026082!J9</x:f>
        <x:v>0</x:v>
      </x:c>
      <x:c r="I3" s="276">
        <x:f>F3-H3</x:f>
        <x:v>0</x:v>
      </x:c>
    </x:row>
    <x:row r="4" spans="1:17" x14ac:dyDescent="0.2">
      <x:c r="C4" s="124">
        <x:v>2</x:v>
      </x:c>
      <x:c r="D4" s="602" t="n">
        <x:v>-6674386829.58</x:v>
      </x:c>
      <x:c r="E4" s="602" t="n">
        <x:v>2384510488.25</x:v>
      </x:c>
      <x:c r="F4" s="593">
        <x:f>D4+E4</x:f>
        <x:v>0</x:v>
      </x:c>
      <x:c r="G4" s="499"/>
      <x:c r="H4" s="613">
        <x:f>DetRetri2026082!J10</x:f>
        <x:v>0</x:v>
      </x:c>
      <x:c r="I4" s="276">
        <x:f t="shared" ref="I4:I7" si="0">F4-H4</x:f>
        <x:v>0</x:v>
      </x:c>
    </x:row>
    <x:row r="5" spans="1:17" x14ac:dyDescent="0.2">
      <x:c r="C5" s="124">
        <x:v>3</x:v>
      </x:c>
      <x:c r="D5" s="602" t="n">
        <x:v>-2191389399.81</x:v>
      </x:c>
      <x:c r="E5" s="602" t="n">
        <x:v>1362127166.51</x:v>
      </x:c>
      <x:c r="F5" s="593">
        <x:f>D5+E5</x:f>
        <x:v>0</x:v>
      </x:c>
      <x:c r="G5" s="499"/>
      <x:c r="H5" s="613">
        <x:f>DetRetri2026082!J11</x:f>
        <x:v>0</x:v>
      </x:c>
      <x:c r="I5" s="276">
        <x:f t="shared" si="0"/>
        <x:v>0</x:v>
      </x:c>
    </x:row>
    <x:row r="6" spans="1:17" x14ac:dyDescent="0.2">
      <x:c r="C6" s="124">
        <x:v>4</x:v>
      </x:c>
      <x:c r="D6" s="602" t="n">
        <x:v>-2584194619.01</x:v>
      </x:c>
      <x:c r="E6" s="602" t="n">
        <x:v>1877958693.8</x:v>
      </x:c>
      <x:c r="F6" s="593">
        <x:f>D6+E6</x:f>
        <x:v>0</x:v>
      </x:c>
      <x:c r="G6" s="499"/>
      <x:c r="H6" s="613">
        <x:f>DetRetri2026082!J12</x:f>
        <x:v>0</x:v>
      </x:c>
      <x:c r="I6" s="276">
        <x:f t="shared" si="0"/>
        <x:v>0</x:v>
      </x:c>
    </x:row>
    <x:row r="7" spans="1:17" ht="13.5" thickBot="1" x14ac:dyDescent="0.25">
      <x:c r="C7" s="125">
        <x:v>5</x:v>
      </x:c>
      <x:c r="D7" s="603" t="n">
        <x:v>-1237570991.61</x:v>
      </x:c>
      <x:c r="E7" s="603" t="n">
        <x:v>1214167050.3</x:v>
      </x:c>
      <x:c r="F7" s="594">
        <x:f>D7+E7</x:f>
        <x:v>0</x:v>
      </x:c>
      <x:c r="G7" s="499"/>
      <x:c r="H7" s="614">
        <x:f>DetRetri2026082!J13</x:f>
        <x:v>0</x:v>
      </x:c>
      <x:c r="I7" s="276">
        <x:f t="shared" si="0"/>
        <x:v>0</x:v>
      </x:c>
    </x:row>
    <x:row r="8" spans="1:17" ht="13.5" thickBot="1" x14ac:dyDescent="0.25">
      <x:c r="D8" s="144"/>
      <x:c r="E8" s="144"/>
      <x:c r="F8" s="144"/>
      <x:c r="G8" s="500"/>
      <x:c r="H8" s="143"/>
      <x:c r="I8" s="276"/>
    </x:row>
    <x:row r="9" spans="1:17" ht="13.5" thickBot="1" x14ac:dyDescent="0.2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5" thickBot="1" x14ac:dyDescent="0.25">
      <x:c r="D10" s="144"/>
      <x:c r="E10" s="144"/>
      <x:c r="F10" s="144"/>
      <x:c r="G10" s="500"/>
      <x:c r="H10" s="265" t="b">
        <x:f>H9=DetRetri2026082!J14</x:f>
        <x:v>1</x:v>
      </x:c>
    </x:row>
    <x:row r="11" spans="1:17" ht="13.5" thickBot="1" x14ac:dyDescent="0.2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">
      <x:c r="D12" s="144"/>
      <x:c r="E12" s="144"/>
      <x:c r="F12" s="265" t="b">
        <x:f>ROUND(F11,2)=ROUND(F9,2)</x:f>
        <x:v>1</x:v>
      </x:c>
      <x:c r="H12" s="144"/>
    </x:row>
    <x:row r="13" spans="1:17" x14ac:dyDescent="0.2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">
      <x:c r="H14" s="143"/>
      <x:c r="I14" s="137"/>
    </x:row>
    <x:row r="15" spans="1:17" x14ac:dyDescent="0.2">
      <x:c r="H15" s="143"/>
      <x:c r="I15" s="137"/>
    </x:row>
    <x:row r="16" spans="1:17" x14ac:dyDescent="0.2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5" thickBot="1" x14ac:dyDescent="0.25">
      <x:c r="D17" s="266"/>
      <x:c r="E17" s="266"/>
      <x:c r="F17" s="266"/>
      <x:c r="G17" s="266"/>
      <x:c r="H17" s="143"/>
      <x:c r="I17" s="137"/>
    </x:row>
    <x:row r="18" spans="4:9" ht="15.75" thickBot="1" x14ac:dyDescent="0.3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5" thickBot="1" x14ac:dyDescent="0.2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5" thickBot="1" x14ac:dyDescent="0.2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">
      <x:c r="F26" s="137"/>
    </x:row>
    <x:row r="28" spans="4:9" x14ac:dyDescent="0.2">
      <x:c r="F28" s="266"/>
    </x:row>
    <x:row r="29" spans="4:9" x14ac:dyDescent="0.2">
      <x:c r="F29" s="266"/>
    </x:row>
    <x:row r="30" spans="4:9" x14ac:dyDescent="0.2">
      <x:c r="F30" s="266"/>
    </x:row>
    <x:row r="31" spans="4:9" x14ac:dyDescent="0.2">
      <x:c r="F31" s="266"/>
    </x:row>
    <x:row r="32" spans="4:9" x14ac:dyDescent="0.2">
      <x:c r="F32" s="266"/>
    </x:row>
    <x:row r="33" spans="6:7" x14ac:dyDescent="0.2">
      <x:c r="F33" s="266"/>
    </x:row>
    <x:row r="34" spans="6:7" x14ac:dyDescent="0.2">
      <x:c r="F34" s="266"/>
      <x:c r="G34" s="137"/>
    </x:row>
    <x:row r="35" spans="6:7" x14ac:dyDescent="0.2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zoomScale="90" zoomScaleNormal="90" workbookViewId="0">
      <x:pane ySplit="5" topLeftCell="A177" activePane="bottomLeft" state="frozen"/>
      <x:selection activeCell="D22" sqref="D22"/>
      <x:selection pane="bottomLeft" activeCell="A6" sqref="A6"/>
    </x:sheetView>
  </x:sheetViews>
  <x:sheetFormatPr baseColWidth="10" defaultRowHeight="12.75" x14ac:dyDescent="0.2"/>
  <x:cols>
    <x:col min="1" max="1" width="13.85546875" customWidth="1"/>
    <x:col min="2" max="2" width="16.85546875" customWidth="1"/>
    <x:col min="3" max="3" width="15.85546875" bestFit="1" customWidth="1"/>
    <x:col min="4" max="4" width="16.85546875" bestFit="1" customWidth="1"/>
    <x:col min="5" max="5" width="17" bestFit="1" customWidth="1"/>
    <x:col min="6" max="6" width="17.42578125" bestFit="1" customWidth="1"/>
    <x:col min="7" max="7" width="16.85546875" bestFit="1" customWidth="1"/>
    <x:col min="8" max="8" width="16.140625" bestFit="1" customWidth="1"/>
    <x:col min="9" max="9" width="19.140625" customWidth="1"/>
    <x:col min="10" max="10" width="17" customWidth="1"/>
    <x:col min="11" max="11" width="17.140625" bestFit="1" customWidth="1"/>
    <x:col min="12" max="12" width="22.42578125" bestFit="1" customWidth="1"/>
    <x:col min="13" max="13" width="16.85546875" bestFit="1" customWidth="1"/>
    <x:col min="14" max="14" width="20.42578125" bestFit="1" customWidth="1"/>
    <x:col min="15" max="15" width="20.42578125" customWidth="1"/>
    <x:col min="16" max="16" width="20.42578125" bestFit="1" customWidth="1"/>
    <x:col min="17" max="17" width="25.140625" customWidth="1"/>
    <x:col min="18" max="18" width="17.140625" customWidth="1"/>
    <x:col min="19" max="19" width="24" customWidth="1"/>
    <x:col min="20" max="22" width="23.85546875" customWidth="1"/>
    <x:col min="23" max="24" width="20" bestFit="1" customWidth="1"/>
    <x:col min="25" max="25" width="18.85546875" customWidth="1"/>
    <x:col min="26" max="26" width="14.140625" bestFit="1" customWidth="1"/>
  </x:cols>
  <x:sheetData>
    <x:row r="1" spans="2:26" x14ac:dyDescent="0.2">
      <x:c r="F1" s="638"/>
    </x:row>
    <x:row r="3" spans="2:26" s="238" customFormat="1" x14ac:dyDescent="0.2"/>
    <x:row r="4" spans="2:26" ht="13.5" customHeight="1" x14ac:dyDescent="0.2">
      <x:c r="B4" s="97" t="s">
        <x:v>74</x:v>
      </x:c>
    </x:row>
    <x:row r="5" spans="2:26" ht="12" customHeight="1" x14ac:dyDescent="0.2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">
      <x:c r="E6" t="s">
        <x:v>72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  <x:c r="P6" s="90">
        <x:v>0</x:v>
      </x:c>
      <x:c r="Q6" s="90">
        <x:v>0</x:v>
      </x:c>
      <x:c r="R6" s="90">
        <x:v>0</x:v>
      </x:c>
      <x:c r="S6" s="90">
        <x:v>0</x:v>
      </x:c>
      <x:c r="T6" s="90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>
        <x:v>0</x:v>
      </x:c>
    </x:row>
    <x:row r="7" spans="2:26" x14ac:dyDescent="0.2">
      <x:c r="D7" t="s">
        <x:v>156</x:v>
      </x:c>
      <x:c r="E7" t="s">
        <x:v>70</x:v>
      </x:c>
      <x:c r="F7" s="90">
        <x:v>0</x:v>
      </x:c>
      <x:c r="G7" s="90">
        <x:v>0</x:v>
      </x:c>
      <x:c r="H7" s="90">
        <x:v>0</x:v>
      </x:c>
      <x:c r="I7" s="90">
        <x:v>0</x:v>
      </x:c>
      <x:c r="J7" s="90">
        <x:v>0</x:v>
      </x:c>
      <x:c r="K7" s="90">
        <x:v>0</x:v>
      </x:c>
      <x:c r="L7" s="90">
        <x:v>0</x:v>
      </x:c>
      <x:c r="M7" s="90">
        <x:v>0</x:v>
      </x:c>
      <x:c r="N7" s="90">
        <x:v>0</x:v>
      </x:c>
      <x:c r="O7" s="90">
        <x:v>0</x:v>
      </x:c>
      <x:c r="P7" s="90">
        <x:v>0</x:v>
      </x:c>
      <x:c r="Q7" s="90">
        <x:v>0</x:v>
      </x:c>
      <x:c r="R7" s="90">
        <x:v>0</x:v>
      </x:c>
      <x:c r="S7" s="90">
        <x:v>0</x:v>
      </x:c>
      <x:c r="T7" s="90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>
        <x:v>0</x:v>
      </x:c>
    </x:row>
    <x:row r="8" spans="2:26" s="286" customFormat="1" x14ac:dyDescent="0.2">
      <x:c r="C8" s="286" t="s">
        <x:v>155</x:v>
      </x:c>
      <x:c r="D8" s="286" t="s">
        <x:v>70</x:v>
      </x:c>
      <x:c r="F8" s="230">
        <x:v>0</x:v>
      </x:c>
      <x:c r="G8" s="230">
        <x:v>0</x:v>
      </x:c>
      <x:c r="H8" s="230">
        <x:v>0</x:v>
      </x:c>
      <x:c r="I8" s="230">
        <x:v>0</x:v>
      </x:c>
      <x:c r="J8" s="230">
        <x:v>0</x:v>
      </x:c>
      <x:c r="K8" s="230">
        <x:v>0</x:v>
      </x:c>
      <x:c r="L8" s="230">
        <x:v>0</x:v>
      </x:c>
      <x:c r="M8" s="230">
        <x:v>0</x:v>
      </x:c>
      <x:c r="N8" s="230">
        <x:v>0</x:v>
      </x:c>
      <x:c r="O8" s="230">
        <x:v>0</x:v>
      </x:c>
      <x:c r="P8" s="230">
        <x:v>0</x:v>
      </x:c>
      <x:c r="Q8" s="230">
        <x:v>0</x:v>
      </x:c>
      <x:c r="R8" s="230">
        <x:v>0</x:v>
      </x:c>
      <x:c r="S8" s="230">
        <x:v>0</x:v>
      </x:c>
      <x:c r="T8" s="230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>
        <x:v>0</x:v>
      </x:c>
    </x:row>
    <x:row r="9" spans="2:26" ht="12.75" customHeight="1" x14ac:dyDescent="0.2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">
      <x:c r="E11" s="89" t="s">
        <x:v>72</x:v>
      </x:c>
      <x:c r="F11" s="371" t="n">
        <x:v>-9123.9</x:v>
      </x:c>
      <x:c r="G11" s="90" t="n">
        <x:v>-625.08</x:v>
      </x:c>
      <x:c r="H11" s="90" t="n">
        <x:v>-265.56</x:v>
      </x:c>
      <x:c r="I11" s="90" t="n">
        <x:v>-115.95</x:v>
      </x:c>
      <x:c r="J11" s="90" t="n">
        <x:v>-1600.92</x:v>
      </x:c>
      <x:c r="K11" s="90" t="n">
        <x:v>-103.46</x:v>
      </x:c>
      <x:c r="L11" s="90" t="n">
        <x:v>0</x:v>
      </x:c>
      <x:c r="M11" s="90" t="n">
        <x:v>-907.42</x:v>
      </x:c>
      <x:c r="N11" s="90" t="n">
        <x:v>-759.41</x:v>
      </x:c>
      <x:c r="O11" s="90" t="n">
        <x:v>-3031.34</x:v>
      </x:c>
      <x:c r="P11" s="90" t="n">
        <x:v>-1545.97</x:v>
      </x:c>
      <x:c r="Q11" s="90" t="n">
        <x:v>-168.79</x:v>
      </x:c>
      <x:c r="R11" s="90" t="n">
        <x:v>0</x:v>
      </x:c>
      <x:c r="S11" s="90" t="n">
        <x:v>0</x:v>
      </x:c>
      <x:c r="T11" s="90" t="n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 t="n">
        <x:v>0</x:v>
      </x:c>
    </x:row>
    <x:row r="12" spans="2:26" ht="12.75" customHeight="1" x14ac:dyDescent="0.2">
      <x:c r="D12" t="s">
        <x:v>86</x:v>
      </x:c>
      <x:c r="E12" s="89" t="s">
        <x:v>70</x:v>
      </x:c>
      <x:c r="F12" s="371" t="n">
        <x:v>-9123.9</x:v>
      </x:c>
      <x:c r="G12" s="90" t="n">
        <x:v>-625.08</x:v>
      </x:c>
      <x:c r="H12" s="90" t="n">
        <x:v>-265.56</x:v>
      </x:c>
      <x:c r="I12" s="90" t="n">
        <x:v>-115.95</x:v>
      </x:c>
      <x:c r="J12" s="90" t="n">
        <x:v>-1600.92</x:v>
      </x:c>
      <x:c r="K12" s="90" t="n">
        <x:v>-103.46</x:v>
      </x:c>
      <x:c r="L12" s="90" t="n">
        <x:v>0</x:v>
      </x:c>
      <x:c r="M12" s="90" t="n">
        <x:v>-907.42</x:v>
      </x:c>
      <x:c r="N12" s="90" t="n">
        <x:v>-759.41</x:v>
      </x:c>
      <x:c r="O12" s="90" t="n">
        <x:v>-3031.34</x:v>
      </x:c>
      <x:c r="P12" s="90" t="n">
        <x:v>-1545.97</x:v>
      </x:c>
      <x:c r="Q12" s="90" t="n">
        <x:v>-168.79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2:26" ht="12.75" customHeight="1" x14ac:dyDescent="0.2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">
      <x:c r="C15" s="101" t="s">
        <x:v>119</x:v>
      </x:c>
      <x:c r="D15" s="101" t="s">
        <x:v>70</x:v>
      </x:c>
      <x:c r="F15" s="93" t="n">
        <x:v>-9123.9</x:v>
      </x:c>
      <x:c r="G15" s="93" t="n">
        <x:v>-625.08</x:v>
      </x:c>
      <x:c r="H15" s="93" t="n">
        <x:v>-265.56</x:v>
      </x:c>
      <x:c r="I15" s="93" t="n">
        <x:v>-115.95</x:v>
      </x:c>
      <x:c r="J15" s="93" t="n">
        <x:v>-1600.92</x:v>
      </x:c>
      <x:c r="K15" s="93" t="n">
        <x:v>-103.46</x:v>
      </x:c>
      <x:c r="L15" s="93" t="n">
        <x:v>0</x:v>
      </x:c>
      <x:c r="M15" s="93" t="n">
        <x:v>-907.42</x:v>
      </x:c>
      <x:c r="N15" s="93" t="n">
        <x:v>-759.41</x:v>
      </x:c>
      <x:c r="O15" s="93" t="n">
        <x:v>-3031.34</x:v>
      </x:c>
      <x:c r="P15" s="93" t="n">
        <x:v>-1545.97</x:v>
      </x:c>
      <x:c r="Q15" s="93" t="n">
        <x:v>-168.79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 t="n">
        <x:v>0</x:v>
      </x:c>
    </x:row>
    <x:row r="16" spans="2:26" ht="12.75" customHeight="1" x14ac:dyDescent="0.2">
      <x:c r="B16" t="s">
        <x:v>112</x:v>
      </x:c>
      <x:c r="C16" t="s">
        <x:v>70</x:v>
      </x:c>
      <x:c r="E16" s="89"/>
      <x:c r="F16" s="371" t="n">
        <x:v>-9123.9</x:v>
      </x:c>
      <x:c r="G16" s="90" t="n">
        <x:v>-625.08</x:v>
      </x:c>
      <x:c r="H16" s="90" t="n">
        <x:v>-265.56</x:v>
      </x:c>
      <x:c r="I16" s="90" t="n">
        <x:v>-115.95</x:v>
      </x:c>
      <x:c r="J16" s="90" t="n">
        <x:v>-1600.92</x:v>
      </x:c>
      <x:c r="K16" s="90" t="n">
        <x:v>-103.46</x:v>
      </x:c>
      <x:c r="L16" s="90" t="n">
        <x:v>0</x:v>
      </x:c>
      <x:c r="M16" s="90" t="n">
        <x:v>-907.42</x:v>
      </x:c>
      <x:c r="N16" s="90" t="n">
        <x:v>-759.41</x:v>
      </x:c>
      <x:c r="O16" s="90" t="n">
        <x:v>-3031.34</x:v>
      </x:c>
      <x:c r="P16" s="90" t="n">
        <x:v>-1545.97</x:v>
      </x:c>
      <x:c r="Q16" s="90" t="n">
        <x:v>-168.79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">
      <x:c r="A17" s="458" t="s">
        <x:v>186</x:v>
      </x:c>
      <x:c r="B17" s="458" t="s">
        <x:v>70</x:v>
      </x:c>
      <x:c r="F17" s="458" t="n">
        <x:v>-9123.9</x:v>
      </x:c>
      <x:c r="G17" s="458" t="n">
        <x:v>-625.08</x:v>
      </x:c>
      <x:c r="H17" s="458" t="n">
        <x:v>-265.56</x:v>
      </x:c>
      <x:c r="I17" s="458" t="n">
        <x:v>-115.95</x:v>
      </x:c>
      <x:c r="J17" s="458" t="n">
        <x:v>-1600.92</x:v>
      </x:c>
      <x:c r="K17" s="458" t="n">
        <x:v>-103.46</x:v>
      </x:c>
      <x:c r="L17" s="458" t="n">
        <x:v>0</x:v>
      </x:c>
      <x:c r="M17" s="458" t="n">
        <x:v>-907.42</x:v>
      </x:c>
      <x:c r="N17" s="458" t="n">
        <x:v>-759.41</x:v>
      </x:c>
      <x:c r="O17" s="458" t="n">
        <x:v>-3031.34</x:v>
      </x:c>
      <x:c r="P17" s="458" t="n">
        <x:v>-1545.97</x:v>
      </x:c>
      <x:c r="Q17" s="458" t="n">
        <x:v>-168.79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">
      <x:c r="E18" t="s">
        <x:v>72</x:v>
      </x:c>
      <x:c r="F18" s="90" t="n">
        <x:v>42369.42</x:v>
      </x:c>
      <x:c r="G18" s="90" t="n">
        <x:v>2242.46</x:v>
      </x:c>
      <x:c r="H18" s="90" t="n">
        <x:v>1266.09</x:v>
      </x:c>
      <x:c r="I18" s="90" t="n">
        <x:v>664.53</x:v>
      </x:c>
      <x:c r="J18" s="90" t="n">
        <x:v>10026.01</x:v>
      </x:c>
      <x:c r="K18" s="90" t="n">
        <x:v>372.31</x:v>
      </x:c>
      <x:c r="L18" s="90" t="n">
        <x:v>0</x:v>
      </x:c>
      <x:c r="M18" s="90" t="n">
        <x:v>3265.88</x:v>
      </x:c>
      <x:c r="N18" s="90" t="n">
        <x:v>3109.1</x:v>
      </x:c>
      <x:c r="O18" s="90" t="n">
        <x:v>14722.61</x:v>
      </x:c>
      <x:c r="P18" s="90" t="n">
        <x:v>6097.75</x:v>
      </x:c>
      <x:c r="Q18" s="90" t="n">
        <x:v>607.45</x:v>
      </x:c>
      <x:c r="R18" s="90" t="n">
        <x:v>-4.77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2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">
      <x:c r="D20" t="s">
        <x:v>156</x:v>
      </x:c>
      <x:c r="E20" t="s">
        <x:v>70</x:v>
      </x:c>
      <x:c r="F20" s="90" t="n">
        <x:v>42369.42</x:v>
      </x:c>
      <x:c r="G20" s="90" t="n">
        <x:v>2242.46</x:v>
      </x:c>
      <x:c r="H20" s="90" t="n">
        <x:v>1266.09</x:v>
      </x:c>
      <x:c r="I20" s="90" t="n">
        <x:v>664.53</x:v>
      </x:c>
      <x:c r="J20" s="90" t="n">
        <x:v>10026.01</x:v>
      </x:c>
      <x:c r="K20" s="90" t="n">
        <x:v>372.31</x:v>
      </x:c>
      <x:c r="L20" s="90" t="n">
        <x:v>0</x:v>
      </x:c>
      <x:c r="M20" s="90" t="n">
        <x:v>3265.88</x:v>
      </x:c>
      <x:c r="N20" s="90" t="n">
        <x:v>3109.1</x:v>
      </x:c>
      <x:c r="O20" s="90" t="n">
        <x:v>14722.61</x:v>
      </x:c>
      <x:c r="P20" s="90" t="n">
        <x:v>6097.75</x:v>
      </x:c>
      <x:c r="Q20" s="90" t="n">
        <x:v>607.45</x:v>
      </x:c>
      <x:c r="R20" s="90" t="n">
        <x:v>-4.77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2">
      <x:c r="C21" s="286" t="s">
        <x:v>155</x:v>
      </x:c>
      <x:c r="D21" s="286" t="s">
        <x:v>70</x:v>
      </x:c>
      <x:c r="F21" s="230" t="n">
        <x:v>42369.42</x:v>
      </x:c>
      <x:c r="G21" s="230" t="n">
        <x:v>2242.46</x:v>
      </x:c>
      <x:c r="H21" s="230" t="n">
        <x:v>1266.09</x:v>
      </x:c>
      <x:c r="I21" s="230" t="n">
        <x:v>664.53</x:v>
      </x:c>
      <x:c r="J21" s="230" t="n">
        <x:v>10026.01</x:v>
      </x:c>
      <x:c r="K21" s="230" t="n">
        <x:v>372.31</x:v>
      </x:c>
      <x:c r="L21" s="230" t="n">
        <x:v>0</x:v>
      </x:c>
      <x:c r="M21" s="230" t="n">
        <x:v>3265.88</x:v>
      </x:c>
      <x:c r="N21" s="230" t="n">
        <x:v>3109.1</x:v>
      </x:c>
      <x:c r="O21" s="230" t="n">
        <x:v>14722.61</x:v>
      </x:c>
      <x:c r="P21" s="230" t="n">
        <x:v>6097.75</x:v>
      </x:c>
      <x:c r="Q21" s="230" t="n">
        <x:v>607.45</x:v>
      </x:c>
      <x:c r="R21" s="230" t="n">
        <x:v>-4.77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2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">
      <x:c r="D24" t="s">
        <x:v>82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2">
      <x:c r="E25" t="s">
        <x:v>72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2">
      <x:c r="E26" t="s">
        <x:v>81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">
      <x:c r="D27" t="s">
        <x:v>86</x:v>
      </x:c>
      <x:c r="E27" t="s">
        <x:v>70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2">
      <x:c r="E28" s="89" t="s">
        <x:v>72</x:v>
      </x:c>
      <x:c r="F28" s="371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 s="90">
        <x:v>0</x:v>
      </x:c>
      <x:c r="S28" s="90">
        <x:v>0</x:v>
      </x:c>
      <x:c r="T28" s="90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>
        <x:v>0</x:v>
      </x:c>
    </x:row>
    <x:row r="29" spans="1:26" x14ac:dyDescent="0.2">
      <x:c r="E29" t="s">
        <x:v>81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 s="90">
        <x:v>0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ht="12.75" customHeight="1" x14ac:dyDescent="0.2">
      <x:c r="D30" t="s">
        <x:v>87</x:v>
      </x:c>
      <x:c r="E30" s="89" t="s">
        <x:v>70</x:v>
      </x:c>
      <x:c r="F30" s="371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 s="90">
        <x:v>0</x:v>
      </x:c>
      <x:c r="S30" s="90">
        <x:v>0</x:v>
      </x:c>
      <x:c r="T30" s="90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>
        <x:v>0</x:v>
      </x:c>
    </x:row>
    <x:row r="31" spans="1:26" s="94" customFormat="1" ht="12.75" customHeight="1" x14ac:dyDescent="0.2">
      <x:c r="C31" s="101" t="s">
        <x:v>119</x:v>
      </x:c>
      <x:c r="D31" s="101" t="s">
        <x:v>70</x:v>
      </x:c>
      <x:c r="F31" s="93">
        <x:v>0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>
        <x:v>0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3">
        <x:v>0</x:v>
      </x:c>
      <x:c r="S31" s="93">
        <x:v>0</x:v>
      </x:c>
      <x:c r="T31" s="93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>
        <x:v>0</x:v>
      </x:c>
    </x:row>
    <x:row r="32" spans="1:26" s="378" customFormat="1" ht="12.75" customHeight="1" x14ac:dyDescent="0.2">
      <x:c r="B32" s="378" t="s">
        <x:v>122</x:v>
      </x:c>
      <x:c r="C32" s="378" t="s">
        <x:v>70</x:v>
      </x:c>
      <x:c r="E32" s="376"/>
      <x:c r="F32" s="710" t="n">
        <x:v>42369.42</x:v>
      </x:c>
      <x:c r="G32" s="377" t="n">
        <x:v>2242.46</x:v>
      </x:c>
      <x:c r="H32" s="377" t="n">
        <x:v>1266.09</x:v>
      </x:c>
      <x:c r="I32" s="377" t="n">
        <x:v>664.53</x:v>
      </x:c>
      <x:c r="J32" s="377" t="n">
        <x:v>10026.01</x:v>
      </x:c>
      <x:c r="K32" s="377" t="n">
        <x:v>372.31</x:v>
      </x:c>
      <x:c r="L32" s="377" t="n">
        <x:v>0</x:v>
      </x:c>
      <x:c r="M32" s="377" t="n">
        <x:v>3265.88</x:v>
      </x:c>
      <x:c r="N32" s="377" t="n">
        <x:v>3109.1</x:v>
      </x:c>
      <x:c r="O32" s="377" t="n">
        <x:v>14722.61</x:v>
      </x:c>
      <x:c r="P32" s="377" t="n">
        <x:v>6097.75</x:v>
      </x:c>
      <x:c r="Q32" s="377" t="n">
        <x:v>607.45</x:v>
      </x:c>
      <x:c r="R32" s="377" t="n">
        <x:v>-4.77</x:v>
      </x:c>
      <x:c r="S32" s="377" t="n">
        <x:v>0</x:v>
      </x:c>
      <x:c r="T32" s="377" t="n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 t="n">
        <x:v>0</x:v>
      </x:c>
    </x:row>
    <x:row r="33" spans="1:26" ht="12.75" customHeight="1" x14ac:dyDescent="0.2">
      <x:c r="E33" s="89" t="s">
        <x:v>72</x:v>
      </x:c>
      <x:c r="F33" s="371" t="n">
        <x:v>17290064314.52</x:v>
      </x:c>
      <x:c r="G33" s="90" t="n">
        <x:v>875679227.56</x:v>
      </x:c>
      <x:c r="H33" s="90" t="n">
        <x:v>493761649.64</x:v>
      </x:c>
      <x:c r="I33" s="90" t="n">
        <x:v>259701349.31</x:v>
      </x:c>
      <x:c r="J33" s="90" t="n">
        <x:v>4120776478.59</x:v>
      </x:c>
      <x:c r="K33" s="90" t="n">
        <x:v>154423786.41</x:v>
      </x:c>
      <x:c r="L33" s="90" t="n">
        <x:v>16025087.76</x:v>
      </x:c>
      <x:c r="M33" s="90" t="n">
        <x:v>1357666964.54</x:v>
      </x:c>
      <x:c r="N33" s="90" t="n">
        <x:v>1287591861.95</x:v>
      </x:c>
      <x:c r="O33" s="90" t="n">
        <x:v>6093979781.14</x:v>
      </x:c>
      <x:c r="P33" s="90" t="n">
        <x:v>2378368882.03</x:v>
      </x:c>
      <x:c r="Q33" s="90" t="n">
        <x:v>252086089.09</x:v>
      </x:c>
      <x:c r="R33" s="90" t="n">
        <x:v>3156.5</x:v>
      </x:c>
      <x:c r="S33" s="90" t="n">
        <x:v>0</x:v>
      </x:c>
      <x:c r="T33" s="90" t="n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 t="n">
        <x:v>0</x:v>
      </x:c>
    </x:row>
    <x:row r="34" spans="1:26" ht="12.75" customHeight="1" x14ac:dyDescent="0.2">
      <x:c r="E34" s="89" t="s">
        <x:v>81</x:v>
      </x:c>
      <x:c r="F34" s="90" t="n">
        <x:v>3168870.32</x:v>
      </x:c>
      <x:c r="G34" s="90" t="n">
        <x:v>181699.71</x:v>
      </x:c>
      <x:c r="H34" s="90" t="n">
        <x:v>94563.09</x:v>
      </x:c>
      <x:c r="I34" s="90" t="n">
        <x:v>50842.1</x:v>
      </x:c>
      <x:c r="J34" s="90" t="n">
        <x:v>719172.29</x:v>
      </x:c>
      <x:c r="K34" s="90" t="n">
        <x:v>28488.91</x:v>
      </x:c>
      <x:c r="L34" s="90" t="n">
        <x:v>600.77</x:v>
      </x:c>
      <x:c r="M34" s="90" t="n">
        <x:v>251707.71</x:v>
      </x:c>
      <x:c r="N34" s="90" t="n">
        <x:v>231457.21</x:v>
      </x:c>
      <x:c r="O34" s="90" t="n">
        <x:v>1072357.84</x:v>
      </x:c>
      <x:c r="P34" s="90" t="n">
        <x:v>490967.89</x:v>
      </x:c>
      <x:c r="Q34" s="90" t="n">
        <x:v>46457.99</x:v>
      </x:c>
      <x:c r="R34" s="90" t="n">
        <x:v>253.72</x:v>
      </x:c>
      <x:c r="S34" s="90" t="n">
        <x:v>0</x:v>
      </x:c>
      <x:c r="T34" s="90" t="n">
        <x:v>301.09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0</x:v>
      </x:c>
    </x:row>
    <x:row r="35" spans="1:26" ht="12.75" customHeight="1" x14ac:dyDescent="0.2">
      <x:c r="D35" t="s">
        <x:v>156</x:v>
      </x:c>
      <x:c r="E35" s="89" t="s">
        <x:v>70</x:v>
      </x:c>
      <x:c r="F35" s="89" t="n">
        <x:v>17293233184.84</x:v>
      </x:c>
      <x:c r="G35" s="90" t="n">
        <x:v>875860927.27</x:v>
      </x:c>
      <x:c r="H35" s="90" t="n">
        <x:v>493856212.73</x:v>
      </x:c>
      <x:c r="I35" s="90" t="n">
        <x:v>259752191.41</x:v>
      </x:c>
      <x:c r="J35" s="90" t="n">
        <x:v>4121495650.88</x:v>
      </x:c>
      <x:c r="K35" s="90" t="n">
        <x:v>154452275.32</x:v>
      </x:c>
      <x:c r="L35" s="90" t="n">
        <x:v>16025688.53</x:v>
      </x:c>
      <x:c r="M35" s="90" t="n">
        <x:v>1357918672.25</x:v>
      </x:c>
      <x:c r="N35" s="90" t="n">
        <x:v>1287823319.16</x:v>
      </x:c>
      <x:c r="O35" s="90" t="n">
        <x:v>6095052138.98</x:v>
      </x:c>
      <x:c r="P35" s="90" t="n">
        <x:v>2378859849.92</x:v>
      </x:c>
      <x:c r="Q35" s="90" t="n">
        <x:v>252132547.08</x:v>
      </x:c>
      <x:c r="R35" s="90" t="n">
        <x:v>3410.22</x:v>
      </x:c>
      <x:c r="S35" s="90" t="n">
        <x:v>0</x:v>
      </x:c>
      <x:c r="T35" s="90" t="n">
        <x:v>301.09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 t="n">
        <x:v>0</x:v>
      </x:c>
    </x:row>
    <x:row r="36" spans="1:26" s="286" customFormat="1" ht="12.75" customHeight="1" x14ac:dyDescent="0.2">
      <x:c r="C36" s="286" t="s">
        <x:v>155</x:v>
      </x:c>
      <x:c r="D36" s="286" t="s">
        <x:v>70</x:v>
      </x:c>
      <x:c r="E36" s="229"/>
      <x:c r="F36" s="229" t="n">
        <x:v>17293233184.84</x:v>
      </x:c>
      <x:c r="G36" s="230" t="n">
        <x:v>875860927.27</x:v>
      </x:c>
      <x:c r="H36" s="230" t="n">
        <x:v>493856212.73</x:v>
      </x:c>
      <x:c r="I36" s="230" t="n">
        <x:v>259752191.41</x:v>
      </x:c>
      <x:c r="J36" s="230" t="n">
        <x:v>4121495650.88</x:v>
      </x:c>
      <x:c r="K36" s="230" t="n">
        <x:v>154452275.32</x:v>
      </x:c>
      <x:c r="L36" s="230" t="n">
        <x:v>16025688.53</x:v>
      </x:c>
      <x:c r="M36" s="230" t="n">
        <x:v>1357918672.25</x:v>
      </x:c>
      <x:c r="N36" s="230" t="n">
        <x:v>1287823319.16</x:v>
      </x:c>
      <x:c r="O36" s="230" t="n">
        <x:v>6095052138.98</x:v>
      </x:c>
      <x:c r="P36" s="230" t="n">
        <x:v>2378859849.92</x:v>
      </x:c>
      <x:c r="Q36" s="230" t="n">
        <x:v>252132547.08</x:v>
      </x:c>
      <x:c r="R36" s="230" t="n">
        <x:v>3410.22</x:v>
      </x:c>
      <x:c r="S36" s="230" t="n">
        <x:v>0</x:v>
      </x:c>
      <x:c r="T36" s="230" t="n">
        <x:v>301.09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 t="n">
        <x:v>0</x:v>
      </x:c>
    </x:row>
    <x:row r="37" spans="1:26" ht="12.75" customHeight="1" x14ac:dyDescent="0.2">
      <x:c r="E37" s="89" t="s">
        <x:v>72</x:v>
      </x:c>
      <x:c r="F37" s="89" t="n">
        <x:v>31630649.03</x:v>
      </x:c>
      <x:c r="G37" s="90" t="n">
        <x:v>2116281.49</x:v>
      </x:c>
      <x:c r="H37" s="90" t="n">
        <x:v>1170722.51</x:v>
      </x:c>
      <x:c r="I37" s="90" t="n">
        <x:v>622287.66</x:v>
      </x:c>
      <x:c r="J37" s="90" t="n">
        <x:v>6853780.13</x:v>
      </x:c>
      <x:c r="K37" s="90" t="n">
        <x:v>205254.36</x:v>
      </x:c>
      <x:c r="L37" s="90" t="n">
        <x:v>0</x:v>
      </x:c>
      <x:c r="M37" s="90" t="n">
        <x:v>1791021.46</x:v>
      </x:c>
      <x:c r="N37" s="90" t="n">
        <x:v>2239705.04</x:v>
      </x:c>
      <x:c r="O37" s="90" t="n">
        <x:v>10554766.18</x:v>
      </x:c>
      <x:c r="P37" s="90" t="n">
        <x:v>5742154.81</x:v>
      </x:c>
      <x:c r="Q37" s="90" t="n">
        <x:v>334770.08</x:v>
      </x:c>
      <x:c r="R37" s="90" t="n">
        <x:v>-94.69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1:26" ht="12.75" customHeight="1" x14ac:dyDescent="0.2">
      <x:c r="E38" s="89" t="s">
        <x:v>81</x:v>
      </x:c>
      <x:c r="F38" s="90" t="n">
        <x:v>56566.94</x:v>
      </x:c>
      <x:c r="G38" s="90" t="n">
        <x:v>3153.2</x:v>
      </x:c>
      <x:c r="H38" s="90" t="n">
        <x:v>1630.48</x:v>
      </x:c>
      <x:c r="I38" s="90" t="n">
        <x:v>910.69</x:v>
      </x:c>
      <x:c r="J38" s="90" t="n">
        <x:v>14196.75</x:v>
      </x:c>
      <x:c r="K38" s="90" t="n">
        <x:v>404.44</x:v>
      </x:c>
      <x:c r="L38" s="90" t="n">
        <x:v>0</x:v>
      </x:c>
      <x:c r="M38" s="90" t="n">
        <x:v>3503.55</x:v>
      </x:c>
      <x:c r="N38" s="90" t="n">
        <x:v>4189.5</x:v>
      </x:c>
      <x:c r="O38" s="90" t="n">
        <x:v>19352.39</x:v>
      </x:c>
      <x:c r="P38" s="90" t="n">
        <x:v>8568.43</x:v>
      </x:c>
      <x:c r="Q38" s="90" t="n">
        <x:v>658.34</x:v>
      </x:c>
      <x:c r="R38" s="90" t="n">
        <x:v>-0.86</x:v>
      </x:c>
      <x:c r="S38" s="90" t="n">
        <x:v>0</x:v>
      </x:c>
      <x:c r="T38" s="90" t="n">
        <x:v>0.03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0</x:v>
      </x:c>
    </x:row>
    <x:row r="39" spans="1:26" ht="12.75" customHeight="1" x14ac:dyDescent="0.2">
      <x:c r="D39" s="89" t="s">
        <x:v>82</x:v>
      </x:c>
      <x:c r="E39" s="89" t="s">
        <x:v>70</x:v>
      </x:c>
      <x:c r="F39" s="90" t="n">
        <x:v>31687215.97</x:v>
      </x:c>
      <x:c r="G39" s="90" t="n">
        <x:v>2119434.69</x:v>
      </x:c>
      <x:c r="H39" s="90" t="n">
        <x:v>1172352.99</x:v>
      </x:c>
      <x:c r="I39" s="90" t="n">
        <x:v>623198.35</x:v>
      </x:c>
      <x:c r="J39" s="90" t="n">
        <x:v>6867976.88</x:v>
      </x:c>
      <x:c r="K39" s="90" t="n">
        <x:v>205658.8</x:v>
      </x:c>
      <x:c r="L39" s="90" t="n">
        <x:v>0</x:v>
      </x:c>
      <x:c r="M39" s="90" t="n">
        <x:v>1794525.01</x:v>
      </x:c>
      <x:c r="N39" s="90" t="n">
        <x:v>2243894.54</x:v>
      </x:c>
      <x:c r="O39" s="90" t="n">
        <x:v>10574118.57</x:v>
      </x:c>
      <x:c r="P39" s="90" t="n">
        <x:v>5750723.24</x:v>
      </x:c>
      <x:c r="Q39" s="90" t="n">
        <x:v>335428.42</x:v>
      </x:c>
      <x:c r="R39" s="90" t="n">
        <x:v>-95.55</x:v>
      </x:c>
      <x:c r="S39" s="90" t="n">
        <x:v>0</x:v>
      </x:c>
      <x:c r="T39" s="90" t="n">
        <x:v>0.03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0</x:v>
      </x:c>
    </x:row>
    <x:row r="40" spans="1:26" ht="12.75" customHeight="1" x14ac:dyDescent="0.2">
      <x:c r="E40" s="89" t="s">
        <x:v>72</x:v>
      </x:c>
      <x:c r="F40" s="90" t="n">
        <x:v>116689234.32</x:v>
      </x:c>
      <x:c r="G40" s="90" t="n">
        <x:v>12754733.99</x:v>
      </x:c>
      <x:c r="H40" s="90" t="n">
        <x:v>7083985.99</x:v>
      </x:c>
      <x:c r="I40" s="90" t="n">
        <x:v>3721696.38</x:v>
      </x:c>
      <x:c r="J40" s="90" t="n">
        <x:v>14791579.29</x:v>
      </x:c>
      <x:c r="K40" s="90" t="n">
        <x:v>679432.2</x:v>
      </x:c>
      <x:c r="L40" s="90" t="n">
        <x:v>200407</x:v>
      </x:c>
      <x:c r="M40" s="90" t="n">
        <x:v>5966168.71</x:v>
      </x:c>
      <x:c r="N40" s="90" t="n">
        <x:v>6324114.46</x:v>
      </x:c>
      <x:c r="O40" s="90" t="n">
        <x:v>29397613.74</x:v>
      </x:c>
      <x:c r="P40" s="90" t="n">
        <x:v>34660611.57</x:v>
      </x:c>
      <x:c r="Q40" s="90" t="n">
        <x:v>1109795.57</x:v>
      </x:c>
      <x:c r="R40" s="90" t="n">
        <x:v>-904.58</x:v>
      </x:c>
      <x:c r="S40" s="90" t="n">
        <x:v>0</x:v>
      </x:c>
      <x:c r="T40" s="90" t="n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 t="n">
        <x:v>0</x:v>
      </x:c>
    </x:row>
    <x:row r="41" spans="1:26" ht="12.75" customHeight="1" x14ac:dyDescent="0.2">
      <x:c r="E41" s="89" t="s">
        <x:v>81</x:v>
      </x:c>
      <x:c r="F41" s="90" t="n">
        <x:v>298459.58</x:v>
      </x:c>
      <x:c r="G41" s="90" t="n">
        <x:v>17963.04</x:v>
      </x:c>
      <x:c r="H41" s="90" t="n">
        <x:v>7955.38</x:v>
      </x:c>
      <x:c r="I41" s="90" t="n">
        <x:v>3775.96</x:v>
      </x:c>
      <x:c r="J41" s="90" t="n">
        <x:v>65367.19</x:v>
      </x:c>
      <x:c r="K41" s="90" t="n">
        <x:v>2954.14</x:v>
      </x:c>
      <x:c r="L41" s="90" t="n">
        <x:v>175.21</x:v>
      </x:c>
      <x:c r="M41" s="90" t="n">
        <x:v>26504.61</x:v>
      </x:c>
      <x:c r="N41" s="90" t="n">
        <x:v>23098.54</x:v>
      </x:c>
      <x:c r="O41" s="90" t="n">
        <x:v>96645.91</x:v>
      </x:c>
      <x:c r="P41" s="90" t="n">
        <x:v>49317.74</x:v>
      </x:c>
      <x:c r="Q41" s="90" t="n">
        <x:v>4814.6</x:v>
      </x:c>
      <x:c r="R41" s="90" t="n">
        <x:v>-5.81</x:v>
      </x:c>
      <x:c r="S41" s="90" t="n">
        <x:v>0</x:v>
      </x:c>
      <x:c r="T41" s="90" t="n">
        <x:v>0.13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 t="n">
        <x:v>-107.06</x:v>
      </x:c>
    </x:row>
    <x:row r="42" spans="1:26" ht="12.75" customHeight="1" x14ac:dyDescent="0.2">
      <x:c r="D42" s="89" t="s">
        <x:v>86</x:v>
      </x:c>
      <x:c r="E42" s="89" t="s">
        <x:v>70</x:v>
      </x:c>
      <x:c r="F42" s="90" t="n">
        <x:v>116987693.9</x:v>
      </x:c>
      <x:c r="G42" s="90" t="n">
        <x:v>12772697.03</x:v>
      </x:c>
      <x:c r="H42" s="90" t="n">
        <x:v>7091941.37</x:v>
      </x:c>
      <x:c r="I42" s="90" t="n">
        <x:v>3725472.34</x:v>
      </x:c>
      <x:c r="J42" s="90" t="n">
        <x:v>14856946.48</x:v>
      </x:c>
      <x:c r="K42" s="90" t="n">
        <x:v>682386.34</x:v>
      </x:c>
      <x:c r="L42" s="90" t="n">
        <x:v>200582.21</x:v>
      </x:c>
      <x:c r="M42" s="90" t="n">
        <x:v>5992673.32</x:v>
      </x:c>
      <x:c r="N42" s="90" t="n">
        <x:v>6347213</x:v>
      </x:c>
      <x:c r="O42" s="90" t="n">
        <x:v>29494259.65</x:v>
      </x:c>
      <x:c r="P42" s="90" t="n">
        <x:v>34709929.31</x:v>
      </x:c>
      <x:c r="Q42" s="90" t="n">
        <x:v>1114610.17</x:v>
      </x:c>
      <x:c r="R42" s="90" t="n">
        <x:v>-910.39</x:v>
      </x:c>
      <x:c r="S42" s="90" t="n">
        <x:v>0</x:v>
      </x:c>
      <x:c r="T42" s="90" t="n">
        <x:v>0.13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 t="n">
        <x:v>-107.06</x:v>
      </x:c>
    </x:row>
    <x:row r="43" spans="1:26" ht="12.75" customHeight="1" x14ac:dyDescent="0.2">
      <x:c r="C43" s="89"/>
      <x:c r="D43" s="89"/>
      <x:c r="E43" t="s">
        <x:v>72</x:v>
      </x:c>
      <x:c r="F43" s="90" t="n">
        <x:v>533963464.75</x:v>
      </x:c>
      <x:c r="G43" s="90" t="n">
        <x:v>84240997.33</x:v>
      </x:c>
      <x:c r="H43" s="90" t="n">
        <x:v>47757391.7</x:v>
      </x:c>
      <x:c r="I43" s="90" t="n">
        <x:v>25132510.24</x:v>
      </x:c>
      <x:c r="J43" s="90" t="n">
        <x:v>41404004.22</x:v>
      </x:c>
      <x:c r="K43" s="90" t="n">
        <x:v>1121828.41</x:v>
      </x:c>
      <x:c r="L43" s="90" t="n">
        <x:v>20785144</x:v>
      </x:c>
      <x:c r="M43" s="90" t="n">
        <x:v>9808677.13</x:v>
      </x:c>
      <x:c r="N43" s="90" t="n">
        <x:v>12792123</x:v>
      </x:c>
      <x:c r="O43" s="90" t="n">
        <x:v>60185506.18</x:v>
      </x:c>
      <x:c r="P43" s="90" t="n">
        <x:v>228905204.69</x:v>
      </x:c>
      <x:c r="Q43" s="90" t="n">
        <x:v>1830367.32</x:v>
      </x:c>
      <x:c r="R43" s="90" t="n">
        <x:v>-289.47</x:v>
      </x:c>
      <x:c r="S43" s="90" t="n">
        <x:v>0</x:v>
      </x:c>
      <x:c r="T43" s="90" t="n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 t="n">
        <x:v>0</x:v>
      </x:c>
    </x:row>
    <x:row r="44" spans="1:26" ht="12.75" customHeight="1" x14ac:dyDescent="0.2">
      <x:c r="B44" s="89"/>
      <x:c r="C44" s="89"/>
      <x:c r="E44" t="s">
        <x:v>81</x:v>
      </x:c>
      <x:c r="F44" s="90" t="n">
        <x:v>1648345.42</x:v>
      </x:c>
      <x:c r="G44" s="90" t="n">
        <x:v>174887.74</x:v>
      </x:c>
      <x:c r="H44" s="90" t="n">
        <x:v>87267.15</x:v>
      </x:c>
      <x:c r="I44" s="90" t="n">
        <x:v>44237.05</x:v>
      </x:c>
      <x:c r="J44" s="90" t="n">
        <x:v>278588.77</x:v>
      </x:c>
      <x:c r="K44" s="90" t="n">
        <x:v>9930.26</x:v>
      </x:c>
      <x:c r="L44" s="90" t="n">
        <x:v>13403.82</x:v>
      </x:c>
      <x:c r="M44" s="90" t="n">
        <x:v>86925</x:v>
      </x:c>
      <x:c r="N44" s="90" t="n">
        <x:v>89458.52</x:v>
      </x:c>
      <x:c r="O44" s="90" t="n">
        <x:v>385189.1</x:v>
      </x:c>
      <x:c r="P44" s="90" t="n">
        <x:v>462280.45</x:v>
      </x:c>
      <x:c r="Q44" s="90" t="n">
        <x:v>16184.13</x:v>
      </x:c>
      <x:c r="R44" s="90" t="n">
        <x:v>-6.73</x:v>
      </x:c>
      <x:c r="S44" s="90" t="n">
        <x:v>0.08</x:v>
      </x:c>
      <x:c r="T44" s="90" t="n">
        <x:v>0.08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 t="n">
        <x:v>0</x:v>
      </x:c>
    </x:row>
    <x:row r="45" spans="1:26" ht="12.75" customHeight="1" x14ac:dyDescent="0.2">
      <x:c r="C45" s="89"/>
      <x:c r="D45" s="89" t="s">
        <x:v>87</x:v>
      </x:c>
      <x:c r="E45" t="s">
        <x:v>70</x:v>
      </x:c>
      <x:c r="F45" s="90" t="n">
        <x:v>535611810.17</x:v>
      </x:c>
      <x:c r="G45" s="90" t="n">
        <x:v>84415885.07</x:v>
      </x:c>
      <x:c r="H45" s="90" t="n">
        <x:v>47844658.85</x:v>
      </x:c>
      <x:c r="I45" s="90" t="n">
        <x:v>25176747.29</x:v>
      </x:c>
      <x:c r="J45" s="90" t="n">
        <x:v>41682592.99</x:v>
      </x:c>
      <x:c r="K45" s="90" t="n">
        <x:v>1131758.67</x:v>
      </x:c>
      <x:c r="L45" s="90" t="n">
        <x:v>20798547.82</x:v>
      </x:c>
      <x:c r="M45" s="90" t="n">
        <x:v>9895602.13</x:v>
      </x:c>
      <x:c r="N45" s="90" t="n">
        <x:v>12881581.52</x:v>
      </x:c>
      <x:c r="O45" s="90" t="n">
        <x:v>60570695.28</x:v>
      </x:c>
      <x:c r="P45" s="90" t="n">
        <x:v>229367485.14</x:v>
      </x:c>
      <x:c r="Q45" s="90" t="n">
        <x:v>1846551.45</x:v>
      </x:c>
      <x:c r="R45" s="90" t="n">
        <x:v>-296.2</x:v>
      </x:c>
      <x:c r="S45" s="90" t="n">
        <x:v>0.08</x:v>
      </x:c>
      <x:c r="T45" s="90" t="n">
        <x:v>0.08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1:26" s="94" customFormat="1" ht="12.75" customHeight="1" x14ac:dyDescent="0.2">
      <x:c r="C46" s="101" t="s">
        <x:v>119</x:v>
      </x:c>
      <x:c r="D46" s="101" t="s">
        <x:v>70</x:v>
      </x:c>
      <x:c r="F46" s="93" t="n">
        <x:v>684286720.04</x:v>
      </x:c>
      <x:c r="G46" s="93" t="n">
        <x:v>99308016.79</x:v>
      </x:c>
      <x:c r="H46" s="93" t="n">
        <x:v>56108953.21</x:v>
      </x:c>
      <x:c r="I46" s="93" t="n">
        <x:v>29525417.98</x:v>
      </x:c>
      <x:c r="J46" s="93" t="n">
        <x:v>63407516.35</x:v>
      </x:c>
      <x:c r="K46" s="93" t="n">
        <x:v>2019803.81</x:v>
      </x:c>
      <x:c r="L46" s="93" t="n">
        <x:v>20999130.03</x:v>
      </x:c>
      <x:c r="M46" s="93" t="n">
        <x:v>17682800.46</x:v>
      </x:c>
      <x:c r="N46" s="93" t="n">
        <x:v>21472689.06</x:v>
      </x:c>
      <x:c r="O46" s="93" t="n">
        <x:v>100639073.5</x:v>
      </x:c>
      <x:c r="P46" s="93" t="n">
        <x:v>269828137.69</x:v>
      </x:c>
      <x:c r="Q46" s="93" t="n">
        <x:v>3296590.04</x:v>
      </x:c>
      <x:c r="R46" s="93" t="n">
        <x:v>-1302.14</x:v>
      </x:c>
      <x:c r="S46" s="93" t="n">
        <x:v>0.08</x:v>
      </x:c>
      <x:c r="T46" s="93" t="n">
        <x:v>0.24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 t="n">
        <x:v>-107.06</x:v>
      </x:c>
    </x:row>
    <x:row r="47" spans="1:26" s="226" customFormat="1" ht="12.75" customHeight="1" x14ac:dyDescent="0.2">
      <x:c r="B47" s="98" t="s">
        <x:v>112</x:v>
      </x:c>
      <x:c r="C47" s="98" t="s">
        <x:v>70</x:v>
      </x:c>
      <x:c r="F47" s="100" t="n">
        <x:v>17977519904.88</x:v>
      </x:c>
      <x:c r="G47" s="100" t="n">
        <x:v>975168944.06</x:v>
      </x:c>
      <x:c r="H47" s="100" t="n">
        <x:v>549965165.94</x:v>
      </x:c>
      <x:c r="I47" s="100" t="n">
        <x:v>289277609.39</x:v>
      </x:c>
      <x:c r="J47" s="100" t="n">
        <x:v>4184903167.23</x:v>
      </x:c>
      <x:c r="K47" s="100" t="n">
        <x:v>156472079.13</x:v>
      </x:c>
      <x:c r="L47" s="100" t="n">
        <x:v>37024818.56</x:v>
      </x:c>
      <x:c r="M47" s="100" t="n">
        <x:v>1375601472.71</x:v>
      </x:c>
      <x:c r="N47" s="100" t="n">
        <x:v>1309296008.22</x:v>
      </x:c>
      <x:c r="O47" s="100" t="n">
        <x:v>6195691212.48</x:v>
      </x:c>
      <x:c r="P47" s="100" t="n">
        <x:v>2648687987.61</x:v>
      </x:c>
      <x:c r="Q47" s="100" t="n">
        <x:v>255429137.12</x:v>
      </x:c>
      <x:c r="R47" s="100" t="n">
        <x:v>2108.08</x:v>
      </x:c>
      <x:c r="S47" s="100" t="n">
        <x:v>0.08</x:v>
      </x:c>
      <x:c r="T47" s="100" t="n">
        <x:v>301.33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 t="n">
        <x:v>-107.06</x:v>
      </x:c>
    </x:row>
    <x:row r="48" spans="1:26" ht="12.6" customHeight="1" x14ac:dyDescent="0.2">
      <x:c r="A48" t="s">
        <x:v>78</x:v>
      </x:c>
      <x:c r="B48" t="s">
        <x:v>70</x:v>
      </x:c>
      <x:c r="E48" s="89"/>
      <x:c r="F48" s="89" t="n">
        <x:v>17977562274.3</x:v>
      </x:c>
      <x:c r="G48" s="90" t="n">
        <x:v>975171186.52</x:v>
      </x:c>
      <x:c r="H48" s="90" t="n">
        <x:v>549966432.03</x:v>
      </x:c>
      <x:c r="I48" s="90" t="n">
        <x:v>289278273.92</x:v>
      </x:c>
      <x:c r="J48" s="90" t="n">
        <x:v>4184913193.24</x:v>
      </x:c>
      <x:c r="K48" s="90" t="n">
        <x:v>156472451.44</x:v>
      </x:c>
      <x:c r="L48" s="90" t="n">
        <x:v>37024818.56</x:v>
      </x:c>
      <x:c r="M48" s="90" t="n">
        <x:v>1375604738.59</x:v>
      </x:c>
      <x:c r="N48" s="90" t="n">
        <x:v>1309299117.32</x:v>
      </x:c>
      <x:c r="O48" s="90" t="n">
        <x:v>6195705935.09</x:v>
      </x:c>
      <x:c r="P48" s="90" t="n">
        <x:v>2648694085.36</x:v>
      </x:c>
      <x:c r="Q48" s="90" t="n">
        <x:v>255429744.57</x:v>
      </x:c>
      <x:c r="R48" s="90" t="n">
        <x:v>2103.31</x:v>
      </x:c>
      <x:c r="S48" s="90" t="n">
        <x:v>0.08</x:v>
      </x:c>
      <x:c r="T48" s="90" t="n">
        <x:v>301.33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-107.06</x:v>
      </x:c>
    </x:row>
    <x:row r="49" spans="2:26" x14ac:dyDescent="0.2">
      <x:c r="E49" t="s">
        <x:v>73</x:v>
      </x:c>
      <x:c r="F49" s="90" t="n">
        <x:v>21200.58</x:v>
      </x:c>
      <x:c r="G49" s="90" t="n">
        <x:v>1121.23</x:v>
      </x:c>
      <x:c r="H49" s="90" t="n">
        <x:v>633.05</x:v>
      </x:c>
      <x:c r="I49" s="90" t="n">
        <x:v>332.27</x:v>
      </x:c>
      <x:c r="J49" s="90" t="n">
        <x:v>5013.01</x:v>
      </x:c>
      <x:c r="K49" s="90" t="n">
        <x:v>186.15</x:v>
      </x:c>
      <x:c r="L49" s="90" t="n">
        <x:v>0</x:v>
      </x:c>
      <x:c r="M49" s="90" t="n">
        <x:v>1632.95</x:v>
      </x:c>
      <x:c r="N49" s="90" t="n">
        <x:v>1554.55</x:v>
      </x:c>
      <x:c r="O49" s="90" t="n">
        <x:v>7361.31</x:v>
      </x:c>
      <x:c r="P49" s="90" t="n">
        <x:v>3062.34</x:v>
      </x:c>
      <x:c r="Q49" s="90" t="n">
        <x:v>303.72</x:v>
      </x:c>
      <x:c r="R49" s="90" t="n">
        <x:v>0</x:v>
      </x:c>
      <x:c r="S49" s="90" t="n">
        <x:v>0</x:v>
      </x:c>
      <x:c r="T49" s="90" t="n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 t="n">
        <x:v>0</x:v>
      </x:c>
    </x:row>
    <x:row r="50" spans="2:26" x14ac:dyDescent="0.2">
      <x:c r="D50" t="s">
        <x:v>156</x:v>
      </x:c>
      <x:c r="E50" t="s">
        <x:v>70</x:v>
      </x:c>
      <x:c r="F50" s="90" t="n">
        <x:v>21200.58</x:v>
      </x:c>
      <x:c r="G50" s="90" t="n">
        <x:v>1121.23</x:v>
      </x:c>
      <x:c r="H50" s="90" t="n">
        <x:v>633.05</x:v>
      </x:c>
      <x:c r="I50" s="90" t="n">
        <x:v>332.27</x:v>
      </x:c>
      <x:c r="J50" s="90" t="n">
        <x:v>5013.01</x:v>
      </x:c>
      <x:c r="K50" s="90" t="n">
        <x:v>186.15</x:v>
      </x:c>
      <x:c r="L50" s="90" t="n">
        <x:v>0</x:v>
      </x:c>
      <x:c r="M50" s="90" t="n">
        <x:v>1632.95</x:v>
      </x:c>
      <x:c r="N50" s="90" t="n">
        <x:v>1554.55</x:v>
      </x:c>
      <x:c r="O50" s="90" t="n">
        <x:v>7361.31</x:v>
      </x:c>
      <x:c r="P50" s="90" t="n">
        <x:v>3062.34</x:v>
      </x:c>
      <x:c r="Q50" s="90" t="n">
        <x:v>303.72</x:v>
      </x:c>
      <x:c r="R50" s="90" t="n">
        <x:v>0</x:v>
      </x:c>
      <x:c r="S50" s="90" t="n">
        <x:v>0</x:v>
      </x:c>
      <x:c r="T50" s="90" t="n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 t="n">
        <x:v>0</x:v>
      </x:c>
    </x:row>
    <x:row r="51" spans="2:26" s="286" customFormat="1" ht="12.75" customHeight="1" x14ac:dyDescent="0.2">
      <x:c r="C51" s="286" t="s">
        <x:v>155</x:v>
      </x:c>
      <x:c r="D51" s="286" t="s">
        <x:v>70</x:v>
      </x:c>
      <x:c r="E51" s="229"/>
      <x:c r="F51" s="229" t="n">
        <x:v>21200.58</x:v>
      </x:c>
      <x:c r="G51" s="230" t="n">
        <x:v>1121.23</x:v>
      </x:c>
      <x:c r="H51" s="230" t="n">
        <x:v>633.05</x:v>
      </x:c>
      <x:c r="I51" s="230" t="n">
        <x:v>332.27</x:v>
      </x:c>
      <x:c r="J51" s="230" t="n">
        <x:v>5013.01</x:v>
      </x:c>
      <x:c r="K51" s="230" t="n">
        <x:v>186.15</x:v>
      </x:c>
      <x:c r="L51" s="230" t="n">
        <x:v>0</x:v>
      </x:c>
      <x:c r="M51" s="230" t="n">
        <x:v>1632.95</x:v>
      </x:c>
      <x:c r="N51" s="230" t="n">
        <x:v>1554.55</x:v>
      </x:c>
      <x:c r="O51" s="230" t="n">
        <x:v>7361.31</x:v>
      </x:c>
      <x:c r="P51" s="230" t="n">
        <x:v>3062.34</x:v>
      </x:c>
      <x:c r="Q51" s="230" t="n">
        <x:v>303.72</x:v>
      </x:c>
      <x:c r="R51" s="230" t="n">
        <x:v>0</x:v>
      </x:c>
      <x:c r="S51" s="230" t="n">
        <x:v>0</x:v>
      </x:c>
      <x:c r="T51" s="230" t="n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 t="n">
        <x:v>0</x:v>
      </x:c>
    </x:row>
    <x:row r="52" spans="2:26" x14ac:dyDescent="0.2">
      <x:c r="E52" t="s">
        <x:v>73</x:v>
      </x:c>
      <x:c r="F52" s="90">
        <x:v>0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2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2">
      <x:c r="E54" t="s">
        <x:v>73</x:v>
      </x:c>
      <x:c r="F54" s="90">
        <x:v>0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2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2">
      <x:c r="E56" t="s">
        <x:v>73</x:v>
      </x:c>
      <x:c r="F56" s="90">
        <x:v>0</x:v>
      </x:c>
      <x:c r="G56" s="90">
        <x:v>0</x:v>
      </x:c>
      <x:c r="H56" s="90">
        <x:v>0</x:v>
      </x:c>
      <x:c r="I56" s="90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  <x:c r="P56" s="90">
        <x:v>0</x:v>
      </x:c>
      <x:c r="Q56" s="90">
        <x:v>0</x:v>
      </x:c>
      <x:c r="R56" s="90">
        <x:v>0</x:v>
      </x:c>
      <x:c r="S56" s="90">
        <x:v>0</x:v>
      </x:c>
      <x:c r="T56" s="90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>
        <x:v>0</x:v>
      </x:c>
    </x:row>
    <x:row r="57" spans="2:26" x14ac:dyDescent="0.2">
      <x:c r="D57" t="s">
        <x:v>87</x:v>
      </x:c>
      <x:c r="E57" t="s">
        <x:v>70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2:26" s="94" customFormat="1" ht="12.75" customHeight="1" x14ac:dyDescent="0.2">
      <x:c r="C58" s="101" t="s">
        <x:v>119</x:v>
      </x:c>
      <x:c r="D58" s="101" t="s">
        <x:v>70</x:v>
      </x:c>
      <x:c r="F58" s="93">
        <x:v>0</x:v>
      </x:c>
      <x:c r="G58" s="93">
        <x:v>0</x:v>
      </x:c>
      <x:c r="H58" s="93">
        <x:v>0</x:v>
      </x:c>
      <x:c r="I58" s="93">
        <x:v>0</x:v>
      </x:c>
      <x:c r="J58" s="93">
        <x:v>0</x:v>
      </x:c>
      <x:c r="K58" s="93">
        <x:v>0</x:v>
      </x:c>
      <x:c r="L58" s="93">
        <x:v>0</x:v>
      </x:c>
      <x:c r="M58" s="93">
        <x:v>0</x:v>
      </x:c>
      <x:c r="N58" s="93">
        <x:v>0</x:v>
      </x:c>
      <x:c r="O58" s="93">
        <x:v>0</x:v>
      </x:c>
      <x:c r="P58" s="93">
        <x:v>0</x:v>
      </x:c>
      <x:c r="Q58" s="93">
        <x:v>0</x:v>
      </x:c>
      <x:c r="R58" s="93">
        <x:v>0</x:v>
      </x:c>
      <x:c r="S58" s="93">
        <x:v>0</x:v>
      </x:c>
      <x:c r="T58" s="93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>
        <x:v>0</x:v>
      </x:c>
    </x:row>
    <x:row r="59" spans="2:26" s="378" customFormat="1" ht="12.75" customHeight="1" x14ac:dyDescent="0.2">
      <x:c r="B59" s="378" t="s">
        <x:v>122</x:v>
      </x:c>
      <x:c r="C59" s="378" t="s">
        <x:v>70</x:v>
      </x:c>
      <x:c r="E59" s="376"/>
      <x:c r="F59" s="710" t="n">
        <x:v>21200.58</x:v>
      </x:c>
      <x:c r="G59" s="377" t="n">
        <x:v>1121.23</x:v>
      </x:c>
      <x:c r="H59" s="377" t="n">
        <x:v>633.05</x:v>
      </x:c>
      <x:c r="I59" s="377" t="n">
        <x:v>332.27</x:v>
      </x:c>
      <x:c r="J59" s="377" t="n">
        <x:v>5013.01</x:v>
      </x:c>
      <x:c r="K59" s="377" t="n">
        <x:v>186.15</x:v>
      </x:c>
      <x:c r="L59" s="377" t="n">
        <x:v>0</x:v>
      </x:c>
      <x:c r="M59" s="377" t="n">
        <x:v>1632.95</x:v>
      </x:c>
      <x:c r="N59" s="377" t="n">
        <x:v>1554.55</x:v>
      </x:c>
      <x:c r="O59" s="377" t="n">
        <x:v>7361.31</x:v>
      </x:c>
      <x:c r="P59" s="377" t="n">
        <x:v>3062.34</x:v>
      </x:c>
      <x:c r="Q59" s="377" t="n">
        <x:v>303.72</x:v>
      </x:c>
      <x:c r="R59" s="377" t="n">
        <x:v>0</x:v>
      </x:c>
      <x:c r="S59" s="377" t="n">
        <x:v>0</x:v>
      </x:c>
      <x:c r="T59" s="377" t="n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 t="n">
        <x:v>0</x:v>
      </x:c>
    </x:row>
    <x:row r="60" spans="2:26" ht="12.75" customHeight="1" x14ac:dyDescent="0.2">
      <x:c r="E60" s="89" t="s">
        <x:v>73</x:v>
      </x:c>
      <x:c r="F60" s="384" t="n">
        <x:v>151894229.16</x:v>
      </x:c>
      <x:c r="G60" s="90" t="n">
        <x:v>90683812.03</x:v>
      </x:c>
      <x:c r="H60" s="90" t="n">
        <x:v>51049001.82</x:v>
      </x:c>
      <x:c r="I60" s="90" t="n">
        <x:v>26794377.77</x:v>
      </x:c>
      <x:c r="J60" s="90" t="n">
        <x:v>-86416492.86</x:v>
      </x:c>
      <x:c r="K60" s="90" t="n">
        <x:v>-3024948.55</x:v>
      </x:c>
      <x:c r="L60" s="90" t="n">
        <x:v>0</x:v>
      </x:c>
      <x:c r="M60" s="90" t="n">
        <x:v>-27764105.78</x:v>
      </x:c>
      <x:c r="N60" s="90" t="n">
        <x:v>-25271107.74</x:v>
      </x:c>
      <x:c r="O60" s="90" t="n">
        <x:v>-120395616.61</x:v>
      </x:c>
      <x:c r="P60" s="90" t="n">
        <x:v>251159209.43</x:v>
      </x:c>
      <x:c r="Q60" s="90" t="n">
        <x:v>-4919900.35</x:v>
      </x:c>
      <x:c r="R60" s="90" t="n">
        <x:v>0</x:v>
      </x:c>
      <x:c r="S60" s="90" t="n">
        <x:v>0</x:v>
      </x:c>
      <x:c r="T60" s="90" t="n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 t="n">
        <x:v>0</x:v>
      </x:c>
    </x:row>
    <x:row r="61" spans="2:26" ht="12.75" customHeight="1" x14ac:dyDescent="0.2">
      <x:c r="D61" t="s">
        <x:v>156</x:v>
      </x:c>
      <x:c r="E61" s="89" t="s">
        <x:v>70</x:v>
      </x:c>
      <x:c r="F61" s="384" t="n">
        <x:v>151894229.16</x:v>
      </x:c>
      <x:c r="G61" s="90" t="n">
        <x:v>90683812.03</x:v>
      </x:c>
      <x:c r="H61" s="90" t="n">
        <x:v>51049001.82</x:v>
      </x:c>
      <x:c r="I61" s="90" t="n">
        <x:v>26794377.77</x:v>
      </x:c>
      <x:c r="J61" s="90" t="n">
        <x:v>-86416492.86</x:v>
      </x:c>
      <x:c r="K61" s="90" t="n">
        <x:v>-3024948.55</x:v>
      </x:c>
      <x:c r="L61" s="90" t="n">
        <x:v>0</x:v>
      </x:c>
      <x:c r="M61" s="90" t="n">
        <x:v>-27764105.78</x:v>
      </x:c>
      <x:c r="N61" s="90" t="n">
        <x:v>-25271107.74</x:v>
      </x:c>
      <x:c r="O61" s="90" t="n">
        <x:v>-120395616.61</x:v>
      </x:c>
      <x:c r="P61" s="90" t="n">
        <x:v>251159209.43</x:v>
      </x:c>
      <x:c r="Q61" s="90" t="n">
        <x:v>-4919900.35</x:v>
      </x:c>
      <x:c r="R61" s="90" t="n">
        <x:v>0</x:v>
      </x:c>
      <x:c r="S61" s="90" t="n">
        <x:v>0</x:v>
      </x:c>
      <x:c r="T61" s="90" t="n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 t="n">
        <x:v>0</x:v>
      </x:c>
    </x:row>
    <x:row r="62" spans="2:26" s="286" customFormat="1" ht="12.75" customHeight="1" x14ac:dyDescent="0.2">
      <x:c r="C62" s="286" t="s">
        <x:v>155</x:v>
      </x:c>
      <x:c r="D62" s="286" t="s">
        <x:v>70</x:v>
      </x:c>
      <x:c r="E62" s="229"/>
      <x:c r="F62" s="229" t="n">
        <x:v>151894229.16</x:v>
      </x:c>
      <x:c r="G62" s="230" t="n">
        <x:v>90683812.03</x:v>
      </x:c>
      <x:c r="H62" s="230" t="n">
        <x:v>51049001.82</x:v>
      </x:c>
      <x:c r="I62" s="230" t="n">
        <x:v>26794377.77</x:v>
      </x:c>
      <x:c r="J62" s="230" t="n">
        <x:v>-86416492.86</x:v>
      </x:c>
      <x:c r="K62" s="230" t="n">
        <x:v>-3024948.55</x:v>
      </x:c>
      <x:c r="L62" s="230" t="n">
        <x:v>0</x:v>
      </x:c>
      <x:c r="M62" s="230" t="n">
        <x:v>-27764105.78</x:v>
      </x:c>
      <x:c r="N62" s="230" t="n">
        <x:v>-25271107.74</x:v>
      </x:c>
      <x:c r="O62" s="230" t="n">
        <x:v>-120395616.61</x:v>
      </x:c>
      <x:c r="P62" s="230" t="n">
        <x:v>251159209.43</x:v>
      </x:c>
      <x:c r="Q62" s="230" t="n">
        <x:v>-4919900.35</x:v>
      </x:c>
      <x:c r="R62" s="230" t="n">
        <x:v>0</x:v>
      </x:c>
      <x:c r="S62" s="230" t="n">
        <x:v>0</x:v>
      </x:c>
      <x:c r="T62" s="230" t="n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 t="n">
        <x:v>0</x:v>
      </x:c>
    </x:row>
    <x:row r="63" spans="2:26" ht="12.75" customHeight="1" x14ac:dyDescent="0.2">
      <x:c r="D63" s="89"/>
      <x:c r="E63" s="89" t="s">
        <x:v>73</x:v>
      </x:c>
      <x:c r="F63" s="90" t="n">
        <x:v>2021483.03</x:v>
      </x:c>
      <x:c r="G63" s="90" t="n">
        <x:v>707748.14</x:v>
      </x:c>
      <x:c r="H63" s="90" t="n">
        <x:v>403617.61</x:v>
      </x:c>
      <x:c r="I63" s="90" t="n">
        <x:v>212434.65</x:v>
      </x:c>
      <x:c r="J63" s="90" t="n">
        <x:v>-402532.63</x:v>
      </x:c>
      <x:c r="K63" s="90" t="n">
        <x:v>-15766.67</x:v>
      </x:c>
      <x:c r="L63" s="90" t="n">
        <x:v>0</x:v>
      </x:c>
      <x:c r="M63" s="90" t="n">
        <x:v>-141242.42</x:v>
      </x:c>
      <x:c r="N63" s="90" t="n">
        <x:v>-116984.96</x:v>
      </x:c>
      <x:c r="O63" s="90" t="n">
        <x:v>-532807.93</x:v>
      </x:c>
      <x:c r="P63" s="90" t="n">
        <x:v>1932740.99</x:v>
      </x:c>
      <x:c r="Q63" s="90" t="n">
        <x:v>-25723.75</x:v>
      </x:c>
      <x:c r="R63" s="90" t="n">
        <x:v>0</x:v>
      </x:c>
      <x:c r="S63" s="90" t="n">
        <x:v>0</x:v>
      </x:c>
      <x:c r="T63" s="90" t="n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 t="n">
        <x:v>0</x:v>
      </x:c>
    </x:row>
    <x:row r="64" spans="2:26" ht="12.75" customHeight="1" x14ac:dyDescent="0.2">
      <x:c r="D64" t="s">
        <x:v>82</x:v>
      </x:c>
      <x:c r="E64" s="89" t="s">
        <x:v>70</x:v>
      </x:c>
      <x:c r="F64" s="90" t="n">
        <x:v>2021483.03</x:v>
      </x:c>
      <x:c r="G64" s="90" t="n">
        <x:v>707748.14</x:v>
      </x:c>
      <x:c r="H64" s="90" t="n">
        <x:v>403617.61</x:v>
      </x:c>
      <x:c r="I64" s="90" t="n">
        <x:v>212434.65</x:v>
      </x:c>
      <x:c r="J64" s="90" t="n">
        <x:v>-402532.63</x:v>
      </x:c>
      <x:c r="K64" s="90" t="n">
        <x:v>-15766.67</x:v>
      </x:c>
      <x:c r="L64" s="90" t="n">
        <x:v>0</x:v>
      </x:c>
      <x:c r="M64" s="90" t="n">
        <x:v>-141242.42</x:v>
      </x:c>
      <x:c r="N64" s="90" t="n">
        <x:v>-116984.96</x:v>
      </x:c>
      <x:c r="O64" s="90" t="n">
        <x:v>-532807.93</x:v>
      </x:c>
      <x:c r="P64" s="90" t="n">
        <x:v>1932740.99</x:v>
      </x:c>
      <x:c r="Q64" s="90" t="n">
        <x:v>-25723.75</x:v>
      </x:c>
      <x:c r="R64" s="90" t="n">
        <x:v>0</x:v>
      </x:c>
      <x:c r="S64" s="90" t="n">
        <x:v>0</x:v>
      </x:c>
      <x:c r="T64" s="90" t="n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 t="n">
        <x:v>0</x:v>
      </x:c>
    </x:row>
    <x:row r="65" spans="1:42" ht="12.75" customHeight="1" x14ac:dyDescent="0.2">
      <x:c r="D65" s="89"/>
      <x:c r="E65" s="89" t="s">
        <x:v>73</x:v>
      </x:c>
      <x:c r="F65" s="90" t="n">
        <x:v>13967365.52</x:v>
      </x:c>
      <x:c r="G65" s="90" t="n">
        <x:v>2999538.79</x:v>
      </x:c>
      <x:c r="H65" s="90" t="n">
        <x:v>1727763.65</x:v>
      </x:c>
      <x:c r="I65" s="90" t="n">
        <x:v>908877.93</x:v>
      </x:c>
      <x:c r="J65" s="90" t="n">
        <x:v>-376035.93</x:v>
      </x:c>
      <x:c r="K65" s="90" t="n">
        <x:v>-21939.23</x:v>
      </x:c>
      <x:c r="L65" s="90" t="n">
        <x:v>0</x:v>
      </x:c>
      <x:c r="M65" s="90" t="n">
        <x:v>-193832.61</x:v>
      </x:c>
      <x:c r="N65" s="90" t="n">
        <x:v>102993.61</x:v>
      </x:c>
      <x:c r="O65" s="90" t="n">
        <x:v>642642.72</x:v>
      </x:c>
      <x:c r="P65" s="90" t="n">
        <x:v>8213151.12</x:v>
      </x:c>
      <x:c r="Q65" s="90" t="n">
        <x:v>-35794.53</x:v>
      </x:c>
      <x:c r="R65" s="90" t="n">
        <x:v>0</x:v>
      </x:c>
      <x:c r="S65" s="90" t="n">
        <x:v>0</x:v>
      </x:c>
      <x:c r="T65" s="90" t="n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 t="n">
        <x:v>0</x:v>
      </x:c>
    </x:row>
    <x:row r="66" spans="1:42" ht="12.75" customHeight="1" x14ac:dyDescent="0.2">
      <x:c r="D66" t="s">
        <x:v>86</x:v>
      </x:c>
      <x:c r="E66" s="89" t="s">
        <x:v>70</x:v>
      </x:c>
      <x:c r="F66" s="90" t="n">
        <x:v>13967365.52</x:v>
      </x:c>
      <x:c r="G66" s="90" t="n">
        <x:v>2999538.79</x:v>
      </x:c>
      <x:c r="H66" s="90" t="n">
        <x:v>1727763.65</x:v>
      </x:c>
      <x:c r="I66" s="90" t="n">
        <x:v>908877.93</x:v>
      </x:c>
      <x:c r="J66" s="90" t="n">
        <x:v>-376035.93</x:v>
      </x:c>
      <x:c r="K66" s="90" t="n">
        <x:v>-21939.23</x:v>
      </x:c>
      <x:c r="L66" s="90" t="n">
        <x:v>0</x:v>
      </x:c>
      <x:c r="M66" s="90" t="n">
        <x:v>-193832.61</x:v>
      </x:c>
      <x:c r="N66" s="90" t="n">
        <x:v>102993.61</x:v>
      </x:c>
      <x:c r="O66" s="90" t="n">
        <x:v>642642.72</x:v>
      </x:c>
      <x:c r="P66" s="90" t="n">
        <x:v>8213151.12</x:v>
      </x:c>
      <x:c r="Q66" s="90" t="n">
        <x:v>-35794.53</x:v>
      </x:c>
      <x:c r="R66" s="90" t="n">
        <x:v>0</x:v>
      </x:c>
      <x:c r="S66" s="90" t="n">
        <x:v>0</x:v>
      </x:c>
      <x:c r="T66" s="90" t="n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 t="n">
        <x:v>0</x:v>
      </x:c>
    </x:row>
    <x:row r="67" spans="1:42" ht="12.75" customHeight="1" x14ac:dyDescent="0.2">
      <x:c r="D67" s="89"/>
      <x:c r="E67" s="89" t="s">
        <x:v>73</x:v>
      </x:c>
      <x:c r="F67" s="90" t="n">
        <x:v>190301952.83</x:v>
      </x:c>
      <x:c r="G67" s="90" t="n">
        <x:v>34107615.44</x:v>
      </x:c>
      <x:c r="H67" s="90" t="n">
        <x:v>19171703.53</x:v>
      </x:c>
      <x:c r="I67" s="90" t="n">
        <x:v>10096437.05</x:v>
      </x:c>
      <x:c r="J67" s="90" t="n">
        <x:v>10987895.11</x:v>
      </x:c>
      <x:c r="K67" s="90" t="n">
        <x:v>313087.53</x:v>
      </x:c>
      <x:c r="L67" s="90" t="n">
        <x:v>0</x:v>
      </x:c>
      <x:c r="M67" s="90" t="n">
        <x:v>2737745.54</x:v>
      </x:c>
      <x:c r="N67" s="90" t="n">
        <x:v>3379843.01</x:v>
      </x:c>
      <x:c r="O67" s="90" t="n">
        <x:v>15862576.49</x:v>
      </x:c>
      <x:c r="P67" s="90" t="n">
        <x:v>93134787.32</x:v>
      </x:c>
      <x:c r="Q67" s="90" t="n">
        <x:v>510261.81</x:v>
      </x:c>
      <x:c r="R67" s="90" t="n">
        <x:v>0</x:v>
      </x:c>
      <x:c r="S67" s="90" t="n">
        <x:v>0</x:v>
      </x:c>
      <x:c r="T67" s="90" t="n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 t="n">
        <x:v>0</x:v>
      </x:c>
    </x:row>
    <x:row r="68" spans="1:42" ht="12.75" customHeight="1" x14ac:dyDescent="0.2">
      <x:c r="C68" s="89"/>
      <x:c r="D68" s="89" t="s">
        <x:v>87</x:v>
      </x:c>
      <x:c r="E68" t="s">
        <x:v>70</x:v>
      </x:c>
      <x:c r="F68" s="90" t="n">
        <x:v>190301952.83</x:v>
      </x:c>
      <x:c r="G68" s="90" t="n">
        <x:v>34107615.44</x:v>
      </x:c>
      <x:c r="H68" s="90" t="n">
        <x:v>19171703.53</x:v>
      </x:c>
      <x:c r="I68" s="90" t="n">
        <x:v>10096437.05</x:v>
      </x:c>
      <x:c r="J68" s="90" t="n">
        <x:v>10987895.11</x:v>
      </x:c>
      <x:c r="K68" s="90" t="n">
        <x:v>313087.53</x:v>
      </x:c>
      <x:c r="L68" s="90" t="n">
        <x:v>0</x:v>
      </x:c>
      <x:c r="M68" s="90" t="n">
        <x:v>2737745.54</x:v>
      </x:c>
      <x:c r="N68" s="90" t="n">
        <x:v>3379843.01</x:v>
      </x:c>
      <x:c r="O68" s="90" t="n">
        <x:v>15862576.49</x:v>
      </x:c>
      <x:c r="P68" s="90" t="n">
        <x:v>93134787.32</x:v>
      </x:c>
      <x:c r="Q68" s="90" t="n">
        <x:v>510261.81</x:v>
      </x:c>
      <x:c r="R68" s="90" t="n">
        <x:v>0</x:v>
      </x:c>
      <x:c r="S68" s="90" t="n">
        <x:v>0</x:v>
      </x:c>
      <x:c r="T68" s="90" t="n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 t="n">
        <x:v>0</x:v>
      </x:c>
    </x:row>
    <x:row r="69" spans="1:42" s="94" customFormat="1" ht="12.75" customHeight="1" x14ac:dyDescent="0.2">
      <x:c r="C69" s="101" t="s">
        <x:v>119</x:v>
      </x:c>
      <x:c r="D69" s="101" t="s">
        <x:v>70</x:v>
      </x:c>
      <x:c r="F69" s="93" t="n">
        <x:v>206290801.38</x:v>
      </x:c>
      <x:c r="G69" s="93" t="n">
        <x:v>37814902.37</x:v>
      </x:c>
      <x:c r="H69" s="93" t="n">
        <x:v>21303084.79</x:v>
      </x:c>
      <x:c r="I69" s="93" t="n">
        <x:v>11217749.63</x:v>
      </x:c>
      <x:c r="J69" s="93" t="n">
        <x:v>10209326.55</x:v>
      </x:c>
      <x:c r="K69" s="93" t="n">
        <x:v>275381.63</x:v>
      </x:c>
      <x:c r="L69" s="93" t="n">
        <x:v>0</x:v>
      </x:c>
      <x:c r="M69" s="93" t="n">
        <x:v>2402670.51</x:v>
      </x:c>
      <x:c r="N69" s="93" t="n">
        <x:v>3365851.66</x:v>
      </x:c>
      <x:c r="O69" s="93" t="n">
        <x:v>15972411.28</x:v>
      </x:c>
      <x:c r="P69" s="93" t="n">
        <x:v>103280679.43</x:v>
      </x:c>
      <x:c r="Q69" s="93" t="n">
        <x:v>448743.53</x:v>
      </x:c>
      <x:c r="R69" s="93" t="n">
        <x:v>0</x:v>
      </x:c>
      <x:c r="S69" s="93" t="n">
        <x:v>0</x:v>
      </x:c>
      <x:c r="T69" s="93" t="n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 t="n">
        <x:v>0</x:v>
      </x:c>
    </x:row>
    <x:row r="70" spans="1:42" s="226" customFormat="1" ht="12.75" customHeight="1" x14ac:dyDescent="0.2">
      <x:c r="B70" s="98" t="s">
        <x:v>112</x:v>
      </x:c>
      <x:c r="C70" s="98" t="s">
        <x:v>70</x:v>
      </x:c>
      <x:c r="F70" s="100" t="n">
        <x:v>358185030.54</x:v>
      </x:c>
      <x:c r="G70" s="100" t="n">
        <x:v>128498714.4</x:v>
      </x:c>
      <x:c r="H70" s="100" t="n">
        <x:v>72352086.61</x:v>
      </x:c>
      <x:c r="I70" s="100" t="n">
        <x:v>38012127.4</x:v>
      </x:c>
      <x:c r="J70" s="100" t="n">
        <x:v>-76207166.31</x:v>
      </x:c>
      <x:c r="K70" s="100" t="n">
        <x:v>-2749566.92</x:v>
      </x:c>
      <x:c r="L70" s="100" t="n">
        <x:v>0</x:v>
      </x:c>
      <x:c r="M70" s="100" t="n">
        <x:v>-25361435.27</x:v>
      </x:c>
      <x:c r="N70" s="100" t="n">
        <x:v>-21905256.08</x:v>
      </x:c>
      <x:c r="O70" s="100" t="n">
        <x:v>-104423205.33</x:v>
      </x:c>
      <x:c r="P70" s="100" t="n">
        <x:v>354439888.86</x:v>
      </x:c>
      <x:c r="Q70" s="100" t="n">
        <x:v>-4471156.82</x:v>
      </x:c>
      <x:c r="R70" s="100" t="n">
        <x:v>0</x:v>
      </x:c>
      <x:c r="S70" s="100" t="n">
        <x:v>0</x:v>
      </x:c>
      <x:c r="T70" s="100" t="n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 t="n">
        <x:v>0</x:v>
      </x:c>
    </x:row>
    <x:row r="71" spans="1:42" ht="12.75" customHeight="1" x14ac:dyDescent="0.2">
      <x:c r="A71" s="89" t="s">
        <x:v>79</x:v>
      </x:c>
      <x:c r="B71" t="s">
        <x:v>70</x:v>
      </x:c>
      <x:c r="F71" s="90" t="n">
        <x:v>358206231.12</x:v>
      </x:c>
      <x:c r="G71" s="90" t="n">
        <x:v>128499835.63</x:v>
      </x:c>
      <x:c r="H71" s="90" t="n">
        <x:v>72352719.66</x:v>
      </x:c>
      <x:c r="I71" s="90" t="n">
        <x:v>38012459.67</x:v>
      </x:c>
      <x:c r="J71" s="90" t="n">
        <x:v>-76202153.3</x:v>
      </x:c>
      <x:c r="K71" s="90" t="n">
        <x:v>-2749380.77</x:v>
      </x:c>
      <x:c r="L71" s="90" t="n">
        <x:v>0</x:v>
      </x:c>
      <x:c r="M71" s="90" t="n">
        <x:v>-25359802.32</x:v>
      </x:c>
      <x:c r="N71" s="90" t="n">
        <x:v>-21903701.53</x:v>
      </x:c>
      <x:c r="O71" s="90" t="n">
        <x:v>-104415844.02</x:v>
      </x:c>
      <x:c r="P71" s="90" t="n">
        <x:v>354442951.2</x:v>
      </x:c>
      <x:c r="Q71" s="90" t="n">
        <x:v>-4470853.1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1:42" ht="12.75" customHeight="1" x14ac:dyDescent="0.2">
      <x:c r="A72" s="89" t="s">
        <x:v>70</x:v>
      </x:c>
      <x:c r="F72" s="90" t="n">
        <x:v>18335759381.52</x:v>
      </x:c>
      <x:c r="G72" s="90" t="n">
        <x:v>1103670397.07</x:v>
      </x:c>
      <x:c r="H72" s="90" t="n">
        <x:v>622318886.13</x:v>
      </x:c>
      <x:c r="I72" s="90" t="n">
        <x:v>327290617.64</x:v>
      </x:c>
      <x:c r="J72" s="90" t="n">
        <x:v>4108709439.02</x:v>
      </x:c>
      <x:c r="K72" s="90" t="n">
        <x:v>153722967.21</x:v>
      </x:c>
      <x:c r="L72" s="90" t="n">
        <x:v>37024818.56</x:v>
      </x:c>
      <x:c r="M72" s="90" t="n">
        <x:v>1350244028.85</x:v>
      </x:c>
      <x:c r="N72" s="90" t="n">
        <x:v>1287394656.38</x:v>
      </x:c>
      <x:c r="O72" s="90" t="n">
        <x:v>6091287059.73</x:v>
      </x:c>
      <x:c r="P72" s="90" t="n">
        <x:v>3003135490.59</x:v>
      </x:c>
      <x:c r="Q72" s="90" t="n">
        <x:v>250958722.68</x:v>
      </x:c>
      <x:c r="R72" s="90" t="n">
        <x:v>2103.31</x:v>
      </x:c>
      <x:c r="S72" s="90" t="n">
        <x:v>0.08</x:v>
      </x:c>
      <x:c r="T72" t="n">
        <x:v>301.33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 t="n">
        <x:v>-107.06</x:v>
      </x:c>
    </x:row>
    <x:row r="73" spans="1:42" ht="12.75" customHeight="1" x14ac:dyDescent="0.2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2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2">
      <x:c r="C75" s="778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2">
      <x:c r="C76" s="778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2">
      <x:c r="C77" s="778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2">
      <x:c r="C78" s="778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2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2">
      <x:c r="C80" s="778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2">
      <x:c r="C81" s="778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2">
      <x:c r="C82" s="778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2">
      <x:c r="C83" s="778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2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2">
      <x:c r="C85" s="778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2">
      <x:c r="C86" s="778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2">
      <x:c r="B87" s="150"/>
      <x:c r="C87" s="778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2">
      <x:c r="B88" s="150"/>
      <x:c r="C88" s="778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2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2">
      <x:c r="C90" s="776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2">
      <x:c r="C91" s="776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2">
      <x:c r="C92" s="776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2">
      <x:c r="C93" s="776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2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2">
      <x:c r="C95" s="778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2">
      <x:c r="C96" s="778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2">
      <x:c r="C97" s="778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2">
      <x:c r="C98" s="778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2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2">
      <x:c r="C100" s="777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2">
      <x:c r="C101" s="777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2">
      <x:c r="C102" s="777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2">
      <x:c r="C103" s="777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2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2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2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2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2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" customHeight="1" x14ac:dyDescent="0.2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2">
      <x:c r="E110" t="s">
        <x:v>72</x:v>
      </x:c>
      <x:c r="F110" s="384" t="n">
        <x:v>-1414859.14</x:v>
      </x:c>
      <x:c r="G110" s="89" t="n">
        <x:v>-123592.91</x:v>
      </x:c>
      <x:c r="H110" s="89" t="n">
        <x:v>-52505.96</x:v>
      </x:c>
      <x:c r="I110" s="664" t="n">
        <x:v>-22930.17</x:v>
      </x:c>
      <x:c r="J110" s="89" t="n">
        <x:v>-283718.29</x:v>
      </x:c>
      <x:c r="K110" s="89" t="n">
        <x:v>-11813.11</x:v>
      </x:c>
      <x:c r="L110" s="89" t="n">
        <x:v>0</x:v>
      </x:c>
      <x:c r="M110" s="89" t="n">
        <x:v>-103626.9</x:v>
      </x:c>
      <x:c r="N110" s="89" t="n">
        <x:v>-129894.77</x:v>
      </x:c>
      <x:c r="O110" s="89" t="n">
        <x:v>-436317.84</x:v>
      </x:c>
      <x:c r="P110" s="89" t="n">
        <x:v>-231183.82</x:v>
      </x:c>
      <x:c r="Q110" s="89" t="n">
        <x:v>-19275.37</x:v>
      </x:c>
      <x:c r="R110" s="89" t="n">
        <x:v>0</x:v>
      </x:c>
      <x:c r="S110" s="89" t="n">
        <x:v>0</x:v>
      </x:c>
      <x:c r="T110" s="89" t="n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 t="n">
        <x:v>0</x:v>
      </x:c>
    </x:row>
    <x:row r="111" spans="1:42" ht="12.75" customHeight="1" x14ac:dyDescent="0.2">
      <x:c r="D111" t="s">
        <x:v>156</x:v>
      </x:c>
      <x:c r="E111" t="s">
        <x:v>70</x:v>
      </x:c>
      <x:c r="F111" s="384" t="n">
        <x:v>-1414859.14</x:v>
      </x:c>
      <x:c r="G111" s="89" t="n">
        <x:v>-123592.91</x:v>
      </x:c>
      <x:c r="H111" s="89" t="n">
        <x:v>-52505.96</x:v>
      </x:c>
      <x:c r="I111" s="664" t="n">
        <x:v>-22930.17</x:v>
      </x:c>
      <x:c r="J111" s="89" t="n">
        <x:v>-283718.29</x:v>
      </x:c>
      <x:c r="K111" s="89" t="n">
        <x:v>-11813.11</x:v>
      </x:c>
      <x:c r="L111" s="89" t="n">
        <x:v>0</x:v>
      </x:c>
      <x:c r="M111" s="89" t="n">
        <x:v>-103626.9</x:v>
      </x:c>
      <x:c r="N111" s="89" t="n">
        <x:v>-129894.77</x:v>
      </x:c>
      <x:c r="O111" s="89" t="n">
        <x:v>-436317.84</x:v>
      </x:c>
      <x:c r="P111" s="89" t="n">
        <x:v>-231183.82</x:v>
      </x:c>
      <x:c r="Q111" s="89" t="n">
        <x:v>-19275.37</x:v>
      </x:c>
      <x:c r="R111" s="89" t="n">
        <x:v>0</x:v>
      </x:c>
      <x:c r="S111" s="89" t="n">
        <x:v>0</x:v>
      </x:c>
      <x:c r="T111" s="89" t="n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 t="n">
        <x:v>0</x:v>
      </x:c>
    </x:row>
    <x:row r="112" spans="1:42" s="656" customFormat="1" ht="12.75" customHeight="1" x14ac:dyDescent="0.2">
      <x:c r="C112" s="656" t="s">
        <x:v>155</x:v>
      </x:c>
      <x:c r="D112" s="656" t="s">
        <x:v>70</x:v>
      </x:c>
      <x:c r="F112" s="736" t="n">
        <x:v>-1414859.14</x:v>
      </x:c>
      <x:c r="G112" s="657" t="n">
        <x:v>-123592.91</x:v>
      </x:c>
      <x:c r="H112" s="657" t="n">
        <x:v>-52505.96</x:v>
      </x:c>
      <x:c r="I112" s="737" t="n">
        <x:v>-22930.17</x:v>
      </x:c>
      <x:c r="J112" s="657" t="n">
        <x:v>-283718.29</x:v>
      </x:c>
      <x:c r="K112" s="657" t="n">
        <x:v>-11813.11</x:v>
      </x:c>
      <x:c r="L112" s="657" t="n">
        <x:v>0</x:v>
      </x:c>
      <x:c r="M112" s="657" t="n">
        <x:v>-103626.9</x:v>
      </x:c>
      <x:c r="N112" s="657" t="n">
        <x:v>-129894.77</x:v>
      </x:c>
      <x:c r="O112" s="657" t="n">
        <x:v>-436317.84</x:v>
      </x:c>
      <x:c r="P112" s="657" t="n">
        <x:v>-231183.82</x:v>
      </x:c>
      <x:c r="Q112" s="657" t="n">
        <x:v>-19275.37</x:v>
      </x:c>
      <x:c r="R112" s="657" t="n">
        <x:v>0</x:v>
      </x:c>
      <x:c r="S112" s="657" t="n">
        <x:v>0</x:v>
      </x:c>
      <x:c r="T112" s="657" t="n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 t="n">
        <x:v>0</x:v>
      </x:c>
    </x:row>
    <x:row r="113" spans="1:26" ht="12.75" customHeight="1" x14ac:dyDescent="0.2">
      <x:c r="E113" s="89" t="s">
        <x:v>72</x:v>
      </x:c>
      <x:c r="F113" s="90" t="n">
        <x:v>-20998.87</x:v>
      </x:c>
      <x:c r="G113" s="90" t="n">
        <x:v>-1840.53</x:v>
      </x:c>
      <x:c r="H113" s="90" t="n">
        <x:v>-781.92</x:v>
      </x:c>
      <x:c r="I113" s="90" t="n">
        <x:v>-341.46</x:v>
      </x:c>
      <x:c r="J113" s="90" t="n">
        <x:v>-4232.84</x:v>
      </x:c>
      <x:c r="K113" s="90" t="n">
        <x:v>-174.41</x:v>
      </x:c>
      <x:c r="L113" s="90" t="n">
        <x:v>0</x:v>
      </x:c>
      <x:c r="M113" s="90" t="n">
        <x:v>-1529.91</x:v>
      </x:c>
      <x:c r="N113" s="90" t="n">
        <x:v>-1917.75</x:v>
      </x:c>
      <x:c r="O113" s="90" t="n">
        <x:v>-6441.6</x:v>
      </x:c>
      <x:c r="P113" s="90" t="n">
        <x:v>-3453.9</x:v>
      </x:c>
      <x:c r="Q113" s="90" t="n">
        <x:v>-284.55</x:v>
      </x:c>
      <x:c r="R113" s="90" t="n">
        <x:v>0</x:v>
      </x:c>
      <x:c r="S113" s="90" t="n">
        <x:v>0</x:v>
      </x:c>
      <x:c r="T113" s="90" t="n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 t="n">
        <x:v>0</x:v>
      </x:c>
    </x:row>
    <x:row r="114" spans="1:26" ht="12.75" customHeight="1" x14ac:dyDescent="0.2">
      <x:c r="D114" t="s">
        <x:v>82</x:v>
      </x:c>
      <x:c r="E114" s="89" t="s">
        <x:v>70</x:v>
      </x:c>
      <x:c r="F114" s="371" t="n">
        <x:v>-20998.87</x:v>
      </x:c>
      <x:c r="G114" s="90" t="n">
        <x:v>-1840.53</x:v>
      </x:c>
      <x:c r="H114" s="90" t="n">
        <x:v>-781.92</x:v>
      </x:c>
      <x:c r="I114" s="90" t="n">
        <x:v>-341.46</x:v>
      </x:c>
      <x:c r="J114" s="90" t="n">
        <x:v>-4232.84</x:v>
      </x:c>
      <x:c r="K114" s="90" t="n">
        <x:v>-174.41</x:v>
      </x:c>
      <x:c r="L114" s="90" t="n">
        <x:v>0</x:v>
      </x:c>
      <x:c r="M114" s="90" t="n">
        <x:v>-1529.91</x:v>
      </x:c>
      <x:c r="N114" s="90" t="n">
        <x:v>-1917.75</x:v>
      </x:c>
      <x:c r="O114" s="90" t="n">
        <x:v>-6441.6</x:v>
      </x:c>
      <x:c r="P114" s="90" t="n">
        <x:v>-3453.9</x:v>
      </x:c>
      <x:c r="Q114" s="90" t="n">
        <x:v>-284.55</x:v>
      </x:c>
      <x:c r="R114" s="90" t="n">
        <x:v>0</x:v>
      </x:c>
      <x:c r="S114" s="90" t="n">
        <x:v>0</x:v>
      </x:c>
      <x:c r="T114" s="90" t="n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 t="n">
        <x:v>0</x:v>
      </x:c>
    </x:row>
    <x:row r="115" spans="1:26" ht="12.75" customHeight="1" x14ac:dyDescent="0.2">
      <x:c r="E115" s="89" t="s">
        <x:v>72</x:v>
      </x:c>
      <x:c r="F115" s="371" t="n">
        <x:v>-7651.97</x:v>
      </x:c>
      <x:c r="G115" s="90" t="n">
        <x:v>-673.86</x:v>
      </x:c>
      <x:c r="H115" s="90" t="n">
        <x:v>-286.26</x:v>
      </x:c>
      <x:c r="I115" s="90" t="n">
        <x:v>-125.04</x:v>
      </x:c>
      <x:c r="J115" s="90" t="n">
        <x:v>-1539.21</x:v>
      </x:c>
      <x:c r="K115" s="90" t="n">
        <x:v>-63.42</x:v>
      </x:c>
      <x:c r="L115" s="90" t="n">
        <x:v>0</x:v>
      </x:c>
      <x:c r="M115" s="90" t="n">
        <x:v>-556.33</x:v>
      </x:c>
      <x:c r="N115" s="90" t="n">
        <x:v>-697.38</x:v>
      </x:c>
      <x:c r="O115" s="90" t="n">
        <x:v>-2342.4</x:v>
      </x:c>
      <x:c r="P115" s="90" t="n">
        <x:v>-1264.56</x:v>
      </x:c>
      <x:c r="Q115" s="90" t="n">
        <x:v>-103.51</x:v>
      </x:c>
      <x:c r="R115" s="90" t="n">
        <x:v>0</x:v>
      </x:c>
      <x:c r="S115" s="90" t="n">
        <x:v>0</x:v>
      </x:c>
      <x:c r="T115" s="90" t="n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 t="n">
        <x:v>0</x:v>
      </x:c>
    </x:row>
    <x:row r="116" spans="1:26" ht="12.75" customHeight="1" x14ac:dyDescent="0.2">
      <x:c r="D116" t="s">
        <x:v>86</x:v>
      </x:c>
      <x:c r="E116" s="89" t="s">
        <x:v>70</x:v>
      </x:c>
      <x:c r="F116" s="371" t="n">
        <x:v>-7651.97</x:v>
      </x:c>
      <x:c r="G116" s="90" t="n">
        <x:v>-673.86</x:v>
      </x:c>
      <x:c r="H116" s="90" t="n">
        <x:v>-286.26</x:v>
      </x:c>
      <x:c r="I116" s="90" t="n">
        <x:v>-125.04</x:v>
      </x:c>
      <x:c r="J116" s="90" t="n">
        <x:v>-1539.21</x:v>
      </x:c>
      <x:c r="K116" s="90" t="n">
        <x:v>-63.42</x:v>
      </x:c>
      <x:c r="L116" s="90" t="n">
        <x:v>0</x:v>
      </x:c>
      <x:c r="M116" s="90" t="n">
        <x:v>-556.33</x:v>
      </x:c>
      <x:c r="N116" s="90" t="n">
        <x:v>-697.38</x:v>
      </x:c>
      <x:c r="O116" s="90" t="n">
        <x:v>-2342.4</x:v>
      </x:c>
      <x:c r="P116" s="90" t="n">
        <x:v>-1264.56</x:v>
      </x:c>
      <x:c r="Q116" s="90" t="n">
        <x:v>-103.51</x:v>
      </x:c>
      <x:c r="R116" s="90" t="n">
        <x:v>0</x:v>
      </x:c>
      <x:c r="S116" s="90" t="n">
        <x:v>0</x:v>
      </x:c>
      <x:c r="T116" s="90" t="n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 t="n">
        <x:v>0</x:v>
      </x:c>
    </x:row>
    <x:row r="117" spans="1:26" ht="12.75" customHeight="1" x14ac:dyDescent="0.2">
      <x:c r="E117" s="89" t="s">
        <x:v>72</x:v>
      </x:c>
      <x:c r="F117" s="371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2">
      <x:c r="D118" t="s">
        <x:v>87</x:v>
      </x:c>
      <x:c r="E118" s="89" t="s">
        <x:v>70</x:v>
      </x:c>
      <x:c r="F118" s="371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2">
      <x:c r="C119" s="94" t="s">
        <x:v>119</x:v>
      </x:c>
      <x:c r="D119" s="94" t="s">
        <x:v>70</x:v>
      </x:c>
      <x:c r="E119" s="101"/>
      <x:c r="F119" s="93" t="n">
        <x:v>-28650.84</x:v>
      </x:c>
      <x:c r="G119" s="93" t="n">
        <x:v>-2514.39</x:v>
      </x:c>
      <x:c r="H119" s="93" t="n">
        <x:v>-1068.18</x:v>
      </x:c>
      <x:c r="I119" s="93" t="n">
        <x:v>-466.5</x:v>
      </x:c>
      <x:c r="J119" s="93" t="n">
        <x:v>-5772.05</x:v>
      </x:c>
      <x:c r="K119" s="93" t="n">
        <x:v>-237.83</x:v>
      </x:c>
      <x:c r="L119" s="93" t="n">
        <x:v>0</x:v>
      </x:c>
      <x:c r="M119" s="93" t="n">
        <x:v>-2086.24</x:v>
      </x:c>
      <x:c r="N119" s="93" t="n">
        <x:v>-2615.13</x:v>
      </x:c>
      <x:c r="O119" s="93" t="n">
        <x:v>-8784</x:v>
      </x:c>
      <x:c r="P119" s="93" t="n">
        <x:v>-4718.46</x:v>
      </x:c>
      <x:c r="Q119" s="93" t="n">
        <x:v>-388.06</x:v>
      </x:c>
      <x:c r="R119" s="93" t="n">
        <x:v>0</x:v>
      </x:c>
      <x:c r="S119" s="93" t="n">
        <x:v>0</x:v>
      </x:c>
      <x:c r="T119" s="93" t="n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 t="n">
        <x:v>0</x:v>
      </x:c>
    </x:row>
    <x:row r="120" spans="1:26" ht="12.75" customHeight="1" x14ac:dyDescent="0.2">
      <x:c r="B120" s="89" t="s">
        <x:v>112</x:v>
      </x:c>
      <x:c r="C120" s="89" t="s">
        <x:v>70</x:v>
      </x:c>
      <x:c r="F120" s="90" t="n">
        <x:v>-1443509.98</x:v>
      </x:c>
      <x:c r="G120" s="90" t="n">
        <x:v>-126107.3</x:v>
      </x:c>
      <x:c r="H120" s="90" t="n">
        <x:v>-53574.14</x:v>
      </x:c>
      <x:c r="I120" s="90" t="n">
        <x:v>-23396.67</x:v>
      </x:c>
      <x:c r="J120" s="90" t="n">
        <x:v>-289490.34</x:v>
      </x:c>
      <x:c r="K120" s="90" t="n">
        <x:v>-12050.94</x:v>
      </x:c>
      <x:c r="L120" s="90" t="n">
        <x:v>0</x:v>
      </x:c>
      <x:c r="M120" s="90" t="n">
        <x:v>-105713.14</x:v>
      </x:c>
      <x:c r="N120" s="90" t="n">
        <x:v>-132509.9</x:v>
      </x:c>
      <x:c r="O120" s="90" t="n">
        <x:v>-445101.84</x:v>
      </x:c>
      <x:c r="P120" s="90" t="n">
        <x:v>-235902.28</x:v>
      </x:c>
      <x:c r="Q120" s="90" t="n">
        <x:v>-19663.43</x:v>
      </x:c>
      <x:c r="R120" s="90" t="n">
        <x:v>0</x:v>
      </x:c>
      <x:c r="S120" s="90" t="n">
        <x:v>0</x:v>
      </x:c>
      <x:c r="T120" t="n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 t="n">
        <x:v>0</x:v>
      </x:c>
    </x:row>
    <x:row r="121" spans="1:26" s="458" customFormat="1" x14ac:dyDescent="0.2">
      <x:c r="A121" s="458" t="s">
        <x:v>186</x:v>
      </x:c>
      <x:c r="B121" s="459" t="s">
        <x:v>70</x:v>
      </x:c>
      <x:c r="C121" s="459"/>
      <x:c r="F121" s="460" t="n">
        <x:v>-1443509.98</x:v>
      </x:c>
      <x:c r="G121" s="460" t="n">
        <x:v>-126107.3</x:v>
      </x:c>
      <x:c r="H121" s="460" t="n">
        <x:v>-53574.14</x:v>
      </x:c>
      <x:c r="I121" s="460" t="n">
        <x:v>-23396.67</x:v>
      </x:c>
      <x:c r="J121" s="460" t="n">
        <x:v>-289490.34</x:v>
      </x:c>
      <x:c r="K121" s="460" t="n">
        <x:v>-12050.94</x:v>
      </x:c>
      <x:c r="L121" s="460" t="n">
        <x:v>0</x:v>
      </x:c>
      <x:c r="M121" s="460" t="n">
        <x:v>-105713.14</x:v>
      </x:c>
      <x:c r="N121" s="460" t="n">
        <x:v>-132509.9</x:v>
      </x:c>
      <x:c r="O121" s="460" t="n">
        <x:v>-445101.84</x:v>
      </x:c>
      <x:c r="P121" s="460" t="n">
        <x:v>-235902.28</x:v>
      </x:c>
      <x:c r="Q121" s="460" t="n">
        <x:v>-19663.43</x:v>
      </x:c>
      <x:c r="R121" s="460" t="n">
        <x:v>0</x:v>
      </x:c>
      <x:c r="S121" s="460" t="n">
        <x:v>0</x:v>
      </x:c>
      <x:c r="T121" s="460" t="n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 t="n">
        <x:v>0</x:v>
      </x:c>
    </x:row>
    <x:row r="122" spans="1:26" ht="12.75" customHeight="1" x14ac:dyDescent="0.2">
      <x:c r="E122" s="89" t="s">
        <x:v>72</x:v>
      </x:c>
      <x:c r="F122" s="371" t="n">
        <x:v>131543.19</x:v>
      </x:c>
      <x:c r="G122" s="90" t="n">
        <x:v>13093.19</x:v>
      </x:c>
      <x:c r="H122" s="90" t="n">
        <x:v>7370.27</x:v>
      </x:c>
      <x:c r="I122" s="90" t="n">
        <x:v>4474.7</x:v>
      </x:c>
      <x:c r="J122" s="90" t="n">
        <x:v>25771.56</x:v>
      </x:c>
      <x:c r="K122" s="90" t="n">
        <x:v>925.74</x:v>
      </x:c>
      <x:c r="L122" s="90" t="n">
        <x:v>0</x:v>
      </x:c>
      <x:c r="M122" s="90" t="n">
        <x:v>8109.96</x:v>
      </x:c>
      <x:c r="N122" s="90" t="n">
        <x:v>7930.91</x:v>
      </x:c>
      <x:c r="O122" s="90" t="n">
        <x:v>37461.59</x:v>
      </x:c>
      <x:c r="P122" s="90" t="n">
        <x:v>24418.29</x:v>
      </x:c>
      <x:c r="Q122" s="90" t="n">
        <x:v>1987.26</x:v>
      </x:c>
      <x:c r="R122" s="90" t="n">
        <x:v>-0.28</x:v>
      </x:c>
      <x:c r="S122" s="90" t="n">
        <x:v>0</x:v>
      </x:c>
      <x:c r="T122" s="90" t="n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 t="n">
        <x:v>0</x:v>
      </x:c>
    </x:row>
    <x:row r="123" spans="1:26" ht="12.75" customHeight="1" x14ac:dyDescent="0.2">
      <x:c r="E123" s="89" t="s">
        <x:v>81</x:v>
      </x:c>
      <x:c r="F123" s="371">
        <x:v>0</x:v>
      </x:c>
      <x:c r="G123" s="90">
        <x:v>0</x:v>
      </x:c>
      <x:c r="H123" s="90">
        <x:v>0</x:v>
      </x:c>
      <x:c r="I123" s="90">
        <x:v>0</x:v>
      </x:c>
      <x:c r="J123" s="90">
        <x:v>0</x:v>
      </x:c>
      <x:c r="K123" s="90">
        <x:v>0</x:v>
      </x:c>
      <x:c r="L123" s="90">
        <x:v>0</x:v>
      </x:c>
      <x:c r="M123" s="90">
        <x:v>0</x:v>
      </x:c>
      <x:c r="N123" s="90">
        <x:v>0</x:v>
      </x:c>
      <x:c r="O123" s="90">
        <x:v>0</x:v>
      </x:c>
      <x:c r="P123" s="90">
        <x:v>0</x:v>
      </x:c>
      <x:c r="Q123" s="90">
        <x:v>0</x:v>
      </x:c>
      <x:c r="R123" s="90">
        <x:v>0</x:v>
      </x:c>
      <x:c r="S123" s="90">
        <x:v>0</x:v>
      </x:c>
      <x:c r="T123" s="90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>
        <x:v>0</x:v>
      </x:c>
    </x:row>
    <x:row r="124" spans="1:26" ht="12.75" customHeight="1" x14ac:dyDescent="0.2">
      <x:c r="D124" t="s">
        <x:v>156</x:v>
      </x:c>
      <x:c r="E124" t="s">
        <x:v>70</x:v>
      </x:c>
      <x:c r="F124" s="384" t="n">
        <x:v>131543.19</x:v>
      </x:c>
      <x:c r="G124" s="89" t="n">
        <x:v>13093.19</x:v>
      </x:c>
      <x:c r="H124" s="89" t="n">
        <x:v>7370.27</x:v>
      </x:c>
      <x:c r="I124" s="664" t="n">
        <x:v>4474.7</x:v>
      </x:c>
      <x:c r="J124" s="89" t="n">
        <x:v>25771.56</x:v>
      </x:c>
      <x:c r="K124" s="89" t="n">
        <x:v>925.74</x:v>
      </x:c>
      <x:c r="L124" s="89" t="n">
        <x:v>0</x:v>
      </x:c>
      <x:c r="M124" s="89" t="n">
        <x:v>8109.96</x:v>
      </x:c>
      <x:c r="N124" s="89" t="n">
        <x:v>7930.91</x:v>
      </x:c>
      <x:c r="O124" s="89" t="n">
        <x:v>37461.59</x:v>
      </x:c>
      <x:c r="P124" s="89" t="n">
        <x:v>24418.29</x:v>
      </x:c>
      <x:c r="Q124" s="89" t="n">
        <x:v>1987.26</x:v>
      </x:c>
      <x:c r="R124" s="89" t="n">
        <x:v>-0.28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26" s="656" customFormat="1" ht="12.75" customHeight="1" x14ac:dyDescent="0.2">
      <x:c r="C125" s="656" t="s">
        <x:v>155</x:v>
      </x:c>
      <x:c r="D125" s="656" t="s">
        <x:v>70</x:v>
      </x:c>
      <x:c r="F125" s="736" t="n">
        <x:v>131543.19</x:v>
      </x:c>
      <x:c r="G125" s="657" t="n">
        <x:v>13093.19</x:v>
      </x:c>
      <x:c r="H125" s="657" t="n">
        <x:v>7370.27</x:v>
      </x:c>
      <x:c r="I125" s="737" t="n">
        <x:v>4474.7</x:v>
      </x:c>
      <x:c r="J125" s="657" t="n">
        <x:v>25771.56</x:v>
      </x:c>
      <x:c r="K125" s="657" t="n">
        <x:v>925.74</x:v>
      </x:c>
      <x:c r="L125" s="657" t="n">
        <x:v>0</x:v>
      </x:c>
      <x:c r="M125" s="657" t="n">
        <x:v>8109.96</x:v>
      </x:c>
      <x:c r="N125" s="657" t="n">
        <x:v>7930.91</x:v>
      </x:c>
      <x:c r="O125" s="657" t="n">
        <x:v>37461.59</x:v>
      </x:c>
      <x:c r="P125" s="657" t="n">
        <x:v>24418.29</x:v>
      </x:c>
      <x:c r="Q125" s="657" t="n">
        <x:v>1987.26</x:v>
      </x:c>
      <x:c r="R125" s="657" t="n">
        <x:v>-0.28</x:v>
      </x:c>
      <x:c r="S125" s="657" t="n">
        <x:v>0</x:v>
      </x:c>
      <x:c r="T125" s="657" t="n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 t="n">
        <x:v>0</x:v>
      </x:c>
    </x:row>
    <x:row r="126" spans="1:26" ht="12.75" customHeight="1" x14ac:dyDescent="0.2">
      <x:c r="D126" s="89"/>
      <x:c r="E126" s="89" t="s">
        <x:v>72</x:v>
      </x:c>
      <x:c r="F126" s="371">
        <x:v>0</x:v>
      </x:c>
      <x:c r="G126" s="90">
        <x:v>0</x:v>
      </x:c>
      <x:c r="H126" s="90">
        <x:v>0</x:v>
      </x:c>
      <x:c r="I126" s="90">
        <x:v>0</x:v>
      </x:c>
      <x:c r="J126" s="90">
        <x:v>0</x:v>
      </x:c>
      <x:c r="K126" s="90">
        <x:v>0</x:v>
      </x:c>
      <x:c r="L126" s="90">
        <x:v>0</x:v>
      </x:c>
      <x:c r="M126" s="90">
        <x:v>0</x:v>
      </x:c>
      <x:c r="N126" s="90">
        <x:v>0</x:v>
      </x:c>
      <x:c r="O126" s="90">
        <x:v>0</x:v>
      </x:c>
      <x:c r="P126" s="90">
        <x:v>0</x:v>
      </x:c>
      <x:c r="Q126" s="90">
        <x:v>0</x:v>
      </x:c>
      <x:c r="R126" s="90">
        <x:v>0</x:v>
      </x:c>
      <x:c r="S126" s="90">
        <x:v>0</x:v>
      </x:c>
      <x:c r="T126" s="90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>
        <x:v>0</x:v>
      </x:c>
    </x:row>
    <x:row r="127" spans="1:26" ht="12.75" customHeight="1" x14ac:dyDescent="0.2">
      <x:c r="D127" s="89"/>
      <x:c r="E127" s="89" t="s">
        <x:v>81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26" ht="12.75" customHeight="1" x14ac:dyDescent="0.2">
      <x:c r="D128" s="89" t="s">
        <x:v>115</x:v>
      </x:c>
      <x:c r="E128" s="89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2">
      <x:c r="D129" s="89"/>
      <x:c r="E129" s="8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ht="12.75" customHeight="1" x14ac:dyDescent="0.2">
      <x:c r="D130" s="89"/>
      <x:c r="E130" s="89" t="s">
        <x:v>81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ht="12.75" customHeight="1" x14ac:dyDescent="0.2">
      <x:c r="D131" t="s">
        <x:v>116</x:v>
      </x:c>
      <x:c r="E131" s="89" t="s">
        <x:v>70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2">
      <x:c r="D132" s="89"/>
      <x:c r="E132" s="89" t="s">
        <x:v>72</x:v>
      </x:c>
      <x:c r="F132" s="90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2">
      <x:c r="E133" s="89" t="s">
        <x:v>81</x:v>
      </x:c>
      <x:c r="F133" s="90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2">
      <x:c r="D134" t="s">
        <x:v>118</x:v>
      </x:c>
      <x:c r="E134" s="89" t="s">
        <x:v>70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2">
      <x:c r="C135" s="223" t="s">
        <x:v>120</x:v>
      </x:c>
      <x:c r="D135" s="223" t="s">
        <x:v>70</x:v>
      </x:c>
      <x:c r="F135" s="225">
        <x:v>0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2">
      <x:c r="E136" s="89" t="s">
        <x:v>72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ht="12.75" customHeight="1" x14ac:dyDescent="0.2">
      <x:c r="E137" s="89" t="s">
        <x:v>81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2">
      <x:c r="D138" t="s">
        <x:v>82</x:v>
      </x:c>
      <x:c r="E138" s="89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ht="12.75" customHeight="1" x14ac:dyDescent="0.2">
      <x:c r="E139" s="89" t="s">
        <x:v>72</x:v>
      </x:c>
      <x:c r="F139" s="371" t="n">
        <x:v>24890</x:v>
      </x:c>
      <x:c r="G139" s="90" t="n">
        <x:v>0</x:v>
      </x:c>
      <x:c r="H139" s="90" t="n">
        <x:v>0</x:v>
      </x:c>
      <x:c r="I139" s="90" t="n">
        <x:v>567.09</x:v>
      </x:c>
      <x:c r="J139" s="90" t="n">
        <x:v>5122.93</x:v>
      </x:c>
      <x:c r="K139" s="90" t="n">
        <x:v>373.45</x:v>
      </x:c>
      <x:c r="L139" s="90" t="n">
        <x:v>0</x:v>
      </x:c>
      <x:c r="M139" s="90" t="n">
        <x:v>0</x:v>
      </x:c>
      <x:c r="N139" s="90" t="n">
        <x:v>3176.37</x:v>
      </x:c>
      <x:c r="O139" s="90" t="n">
        <x:v>15040.85</x:v>
      </x:c>
      <x:c r="P139" s="90" t="n">
        <x:v>0</x:v>
      </x:c>
      <x:c r="Q139" s="90" t="n">
        <x:v>609.31</x:v>
      </x:c>
      <x:c r="R139" s="90" t="n">
        <x:v>0</x:v>
      </x:c>
      <x:c r="S139" s="90" t="n">
        <x:v>0</x:v>
      </x:c>
      <x:c r="T139" s="90" t="n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 t="n">
        <x:v>0</x:v>
      </x:c>
    </x:row>
    <x:row r="140" spans="3:26" ht="12.75" customHeight="1" x14ac:dyDescent="0.2">
      <x:c r="E140" s="89" t="s">
        <x:v>81</x:v>
      </x:c>
      <x:c r="F140" s="371">
        <x:v>0</x:v>
      </x:c>
      <x:c r="G140" s="90">
        <x:v>0</x:v>
      </x:c>
      <x:c r="H140" s="90">
        <x:v>0</x:v>
      </x:c>
      <x:c r="I140" s="90">
        <x:v>0</x:v>
      </x:c>
      <x:c r="J140" s="90">
        <x:v>0</x:v>
      </x:c>
      <x:c r="K140" s="90">
        <x:v>0</x:v>
      </x:c>
      <x:c r="L140" s="90">
        <x:v>0</x:v>
      </x:c>
      <x:c r="M140" s="90">
        <x:v>0</x:v>
      </x:c>
      <x:c r="N140" s="90">
        <x:v>0</x:v>
      </x:c>
      <x:c r="O140" s="90">
        <x:v>0</x:v>
      </x:c>
      <x:c r="P140" s="90">
        <x:v>0</x:v>
      </x:c>
      <x:c r="Q140" s="90">
        <x:v>0</x:v>
      </x:c>
      <x:c r="R140" s="90">
        <x:v>0</x:v>
      </x:c>
      <x:c r="S140" s="90">
        <x:v>0</x:v>
      </x:c>
      <x:c r="T140" s="90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>
        <x:v>0</x:v>
      </x:c>
    </x:row>
    <x:row r="141" spans="3:26" ht="12.75" customHeight="1" x14ac:dyDescent="0.2">
      <x:c r="D141" t="s">
        <x:v>86</x:v>
      </x:c>
      <x:c r="E141" s="89" t="s">
        <x:v>70</x:v>
      </x:c>
      <x:c r="F141" s="371" t="n">
        <x:v>24890</x:v>
      </x:c>
      <x:c r="G141" s="90" t="n">
        <x:v>0</x:v>
      </x:c>
      <x:c r="H141" s="90" t="n">
        <x:v>0</x:v>
      </x:c>
      <x:c r="I141" s="90" t="n">
        <x:v>567.09</x:v>
      </x:c>
      <x:c r="J141" s="90" t="n">
        <x:v>5122.93</x:v>
      </x:c>
      <x:c r="K141" s="90" t="n">
        <x:v>373.45</x:v>
      </x:c>
      <x:c r="L141" s="90" t="n">
        <x:v>0</x:v>
      </x:c>
      <x:c r="M141" s="90" t="n">
        <x:v>0</x:v>
      </x:c>
      <x:c r="N141" s="90" t="n">
        <x:v>3176.37</x:v>
      </x:c>
      <x:c r="O141" s="90" t="n">
        <x:v>15040.85</x:v>
      </x:c>
      <x:c r="P141" s="90" t="n">
        <x:v>0</x:v>
      </x:c>
      <x:c r="Q141" s="90" t="n">
        <x:v>609.31</x:v>
      </x:c>
      <x:c r="R141" s="90" t="n">
        <x:v>0</x:v>
      </x:c>
      <x:c r="S141" s="90" t="n">
        <x:v>0</x:v>
      </x:c>
      <x:c r="T141" s="90" t="n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 t="n">
        <x:v>0</x:v>
      </x:c>
    </x:row>
    <x:row r="142" spans="3:26" ht="12.75" customHeight="1" x14ac:dyDescent="0.2">
      <x:c r="E142" s="89" t="s">
        <x:v>72</x:v>
      </x:c>
      <x:c r="F142" s="371">
        <x:v>0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>
        <x:v>0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>
        <x:v>0</x:v>
      </x:c>
    </x:row>
    <x:row r="143" spans="3:26" x14ac:dyDescent="0.2">
      <x:c r="E143" t="s">
        <x:v>81</x:v>
      </x:c>
      <x:c r="F143" s="90">
        <x:v>0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>
        <x:v>0</x:v>
      </x:c>
    </x:row>
    <x:row r="144" spans="3:26" ht="12.75" customHeight="1" x14ac:dyDescent="0.2">
      <x:c r="D144" t="s">
        <x:v>87</x:v>
      </x:c>
      <x:c r="E144" s="89" t="s">
        <x:v>70</x:v>
      </x:c>
      <x:c r="F144" s="371">
        <x:v>0</x:v>
      </x:c>
      <x:c r="G144" s="90">
        <x:v>0</x:v>
      </x:c>
      <x:c r="H144" s="90">
        <x:v>0</x:v>
      </x:c>
      <x:c r="I144" s="90">
        <x:v>0</x:v>
      </x:c>
      <x:c r="J144" s="90">
        <x:v>0</x:v>
      </x:c>
      <x:c r="K144" s="90">
        <x:v>0</x:v>
      </x:c>
      <x:c r="L144" s="90">
        <x:v>0</x:v>
      </x:c>
      <x:c r="M144" s="90">
        <x:v>0</x:v>
      </x:c>
      <x:c r="N144" s="90">
        <x:v>0</x:v>
      </x:c>
      <x:c r="O144" s="90">
        <x:v>0</x:v>
      </x:c>
      <x:c r="P144" s="90">
        <x:v>0</x:v>
      </x:c>
      <x:c r="Q144" s="90">
        <x:v>0</x:v>
      </x:c>
      <x:c r="R144" s="90">
        <x:v>0</x:v>
      </x:c>
      <x:c r="S144" s="90">
        <x:v>0</x:v>
      </x:c>
      <x:c r="T144" s="90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>
        <x:v>0</x:v>
      </x:c>
    </x:row>
    <x:row r="145" spans="2:26" s="94" customFormat="1" ht="12.75" customHeight="1" x14ac:dyDescent="0.2">
      <x:c r="C145" s="94" t="s">
        <x:v>119</x:v>
      </x:c>
      <x:c r="D145" s="94" t="s">
        <x:v>70</x:v>
      </x:c>
      <x:c r="E145" s="101"/>
      <x:c r="F145" s="93" t="n">
        <x:v>24890</x:v>
      </x:c>
      <x:c r="G145" s="93" t="n">
        <x:v>0</x:v>
      </x:c>
      <x:c r="H145" s="93" t="n">
        <x:v>0</x:v>
      </x:c>
      <x:c r="I145" s="93" t="n">
        <x:v>567.09</x:v>
      </x:c>
      <x:c r="J145" s="93" t="n">
        <x:v>5122.93</x:v>
      </x:c>
      <x:c r="K145" s="93" t="n">
        <x:v>373.45</x:v>
      </x:c>
      <x:c r="L145" s="93" t="n">
        <x:v>0</x:v>
      </x:c>
      <x:c r="M145" s="93" t="n">
        <x:v>0</x:v>
      </x:c>
      <x:c r="N145" s="93" t="n">
        <x:v>3176.37</x:v>
      </x:c>
      <x:c r="O145" s="93" t="n">
        <x:v>15040.85</x:v>
      </x:c>
      <x:c r="P145" s="93" t="n">
        <x:v>0</x:v>
      </x:c>
      <x:c r="Q145" s="93" t="n">
        <x:v>609.31</x:v>
      </x:c>
      <x:c r="R145" s="93" t="n">
        <x:v>0</x:v>
      </x:c>
      <x:c r="S145" s="93" t="n">
        <x:v>0</x:v>
      </x:c>
      <x:c r="T145" s="93" t="n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 t="n">
        <x:v>0</x:v>
      </x:c>
    </x:row>
    <x:row r="146" spans="2:26" s="378" customFormat="1" ht="12.75" customHeight="1" x14ac:dyDescent="0.2">
      <x:c r="B146" s="378" t="s">
        <x:v>122</x:v>
      </x:c>
      <x:c r="C146" s="378" t="s">
        <x:v>70</x:v>
      </x:c>
      <x:c r="E146" s="376"/>
      <x:c r="F146" s="710" t="n">
        <x:v>156433.19</x:v>
      </x:c>
      <x:c r="G146" s="377" t="n">
        <x:v>13093.19</x:v>
      </x:c>
      <x:c r="H146" s="377" t="n">
        <x:v>7370.27</x:v>
      </x:c>
      <x:c r="I146" s="377" t="n">
        <x:v>5041.79</x:v>
      </x:c>
      <x:c r="J146" s="377" t="n">
        <x:v>30894.49</x:v>
      </x:c>
      <x:c r="K146" s="377" t="n">
        <x:v>1299.19</x:v>
      </x:c>
      <x:c r="L146" s="377" t="n">
        <x:v>0</x:v>
      </x:c>
      <x:c r="M146" s="377" t="n">
        <x:v>8109.96</x:v>
      </x:c>
      <x:c r="N146" s="377" t="n">
        <x:v>11107.28</x:v>
      </x:c>
      <x:c r="O146" s="377" t="n">
        <x:v>52502.44</x:v>
      </x:c>
      <x:c r="P146" s="377" t="n">
        <x:v>24418.29</x:v>
      </x:c>
      <x:c r="Q146" s="377" t="n">
        <x:v>2596.57</x:v>
      </x:c>
      <x:c r="R146" s="377" t="n">
        <x:v>-0.28</x:v>
      </x:c>
      <x:c r="S146" s="377" t="n">
        <x:v>0</x:v>
      </x:c>
      <x:c r="T146" s="377" t="n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 t="n">
        <x:v>0</x:v>
      </x:c>
    </x:row>
    <x:row r="147" spans="2:26" ht="12.75" customHeight="1" x14ac:dyDescent="0.2">
      <x:c r="E147" s="89" t="s">
        <x:v>72</x:v>
      </x:c>
      <x:c r="F147" s="371" t="n">
        <x:v>24730940551.65</x:v>
      </x:c>
      <x:c r="G147" s="90" t="n">
        <x:v>1364112524.55</x:v>
      </x:c>
      <x:c r="H147" s="90" t="n">
        <x:v>761399187.9</x:v>
      </x:c>
      <x:c r="I147" s="90" t="n">
        <x:v>397562128.76</x:v>
      </x:c>
      <x:c r="J147" s="90" t="n">
        <x:v>6435626473.28</x:v>
      </x:c>
      <x:c r="K147" s="90" t="n">
        <x:v>215578294.58</x:v>
      </x:c>
      <x:c r="L147" s="90" t="n">
        <x:v>22415640.24</x:v>
      </x:c>
      <x:c r="M147" s="90" t="n">
        <x:v>1891782279.45</x:v>
      </x:c>
      <x:c r="N147" s="90" t="n">
        <x:v>1858318899.56</x:v>
      </x:c>
      <x:c r="O147" s="90" t="n">
        <x:v>8749864976.92</x:v>
      </x:c>
      <x:c r="P147" s="90" t="n">
        <x:v>2682322153.3</x:v>
      </x:c>
      <x:c r="Q147" s="90" t="n">
        <x:v>352178299.36</x:v>
      </x:c>
      <x:c r="R147" s="90" t="n">
        <x:v>-220306.25</x:v>
      </x:c>
      <x:c r="S147" s="90" t="n">
        <x:v>0</x:v>
      </x:c>
      <x:c r="T147" s="90" t="n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 t="n">
        <x:v>0</x:v>
      </x:c>
    </x:row>
    <x:row r="148" spans="2:26" ht="12.75" customHeight="1" x14ac:dyDescent="0.2">
      <x:c r="E148" s="89" t="s">
        <x:v>81</x:v>
      </x:c>
      <x:c r="F148" s="90" t="n">
        <x:v>105078851.29</x:v>
      </x:c>
      <x:c r="G148" s="90" t="n">
        <x:v>12373207.9</x:v>
      </x:c>
      <x:c r="H148" s="90" t="n">
        <x:v>5822118.44</x:v>
      </x:c>
      <x:c r="I148" s="90" t="n">
        <x:v>2557314.43</x:v>
      </x:c>
      <x:c r="J148" s="90" t="n">
        <x:v>19359151.93</x:v>
      </x:c>
      <x:c r="K148" s="90" t="n">
        <x:v>689674.86</x:v>
      </x:c>
      <x:c r="L148" s="90" t="n">
        <x:v>17502.71</x:v>
      </x:c>
      <x:c r="M148" s="90" t="n">
        <x:v>6029529.77</x:v>
      </x:c>
      <x:c r="N148" s="90" t="n">
        <x:v>7139477.92</x:v>
      </x:c>
      <x:c r="O148" s="90" t="n">
        <x:v>25859857.55</x:v>
      </x:c>
      <x:c r="P148" s="90" t="n">
        <x:v>24102912.74</x:v>
      </x:c>
      <x:c r="Q148" s="90" t="n">
        <x:v>1125547.59</x:v>
      </x:c>
      <x:c r="R148" s="90" t="n">
        <x:v>2527.3</x:v>
      </x:c>
      <x:c r="S148" s="90" t="n">
        <x:v>50.73</x:v>
      </x:c>
      <x:c r="T148" s="90" t="n">
        <x:v>0.9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 t="n">
        <x:v>-23.48</x:v>
      </x:c>
    </x:row>
    <x:row r="149" spans="2:26" ht="12.75" customHeight="1" x14ac:dyDescent="0.2">
      <x:c r="D149" t="s">
        <x:v>156</x:v>
      </x:c>
      <x:c r="E149" s="89" t="s">
        <x:v>70</x:v>
      </x:c>
      <x:c r="F149" s="90" t="n">
        <x:v>24836019402.94</x:v>
      </x:c>
      <x:c r="G149" s="90" t="n">
        <x:v>1376485732.45</x:v>
      </x:c>
      <x:c r="H149" s="90" t="n">
        <x:v>767221306.34</x:v>
      </x:c>
      <x:c r="I149" s="90" t="n">
        <x:v>400119443.19</x:v>
      </x:c>
      <x:c r="J149" s="90" t="n">
        <x:v>6454985625.21</x:v>
      </x:c>
      <x:c r="K149" s="90" t="n">
        <x:v>216267969.44</x:v>
      </x:c>
      <x:c r="L149" s="90" t="n">
        <x:v>22433142.95</x:v>
      </x:c>
      <x:c r="M149" s="90" t="n">
        <x:v>1897811809.22</x:v>
      </x:c>
      <x:c r="N149" s="90" t="n">
        <x:v>1865458377.48</x:v>
      </x:c>
      <x:c r="O149" s="90" t="n">
        <x:v>8775724834.47</x:v>
      </x:c>
      <x:c r="P149" s="90" t="n">
        <x:v>2706425066.04</x:v>
      </x:c>
      <x:c r="Q149" s="90" t="n">
        <x:v>353303846.95</x:v>
      </x:c>
      <x:c r="R149" s="90" t="n">
        <x:v>-217778.95</x:v>
      </x:c>
      <x:c r="S149" s="90" t="n">
        <x:v>50.73</x:v>
      </x:c>
      <x:c r="T149" s="90" t="n">
        <x:v>0.9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 t="n">
        <x:v>-23.48</x:v>
      </x:c>
    </x:row>
    <x:row r="150" spans="2:26" s="656" customFormat="1" ht="12.75" customHeight="1" x14ac:dyDescent="0.2">
      <x:c r="C150" s="656" t="s">
        <x:v>155</x:v>
      </x:c>
      <x:c r="D150" s="657" t="s">
        <x:v>70</x:v>
      </x:c>
      <x:c r="E150" s="657"/>
      <x:c r="F150" s="658" t="n">
        <x:v>24836019402.94</x:v>
      </x:c>
      <x:c r="G150" s="658" t="n">
        <x:v>1376485732.45</x:v>
      </x:c>
      <x:c r="H150" s="658" t="n">
        <x:v>767221306.34</x:v>
      </x:c>
      <x:c r="I150" s="658" t="n">
        <x:v>400119443.19</x:v>
      </x:c>
      <x:c r="J150" s="658" t="n">
        <x:v>6454985625.21</x:v>
      </x:c>
      <x:c r="K150" s="658" t="n">
        <x:v>216267969.44</x:v>
      </x:c>
      <x:c r="L150" s="658" t="n">
        <x:v>22433142.95</x:v>
      </x:c>
      <x:c r="M150" s="658" t="n">
        <x:v>1897811809.22</x:v>
      </x:c>
      <x:c r="N150" s="658" t="n">
        <x:v>1865458377.48</x:v>
      </x:c>
      <x:c r="O150" s="658" t="n">
        <x:v>8775724834.47</x:v>
      </x:c>
      <x:c r="P150" s="658" t="n">
        <x:v>2706425066.04</x:v>
      </x:c>
      <x:c r="Q150" s="658" t="n">
        <x:v>353303846.95</x:v>
      </x:c>
      <x:c r="R150" s="658" t="n">
        <x:v>-217778.95</x:v>
      </x:c>
      <x:c r="S150" s="658" t="n">
        <x:v>50.73</x:v>
      </x:c>
      <x:c r="T150" s="658" t="n">
        <x:v>0.9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 t="n">
        <x:v>-23.48</x:v>
      </x:c>
    </x:row>
    <x:row r="151" spans="2:26" ht="12.75" customHeight="1" x14ac:dyDescent="0.2">
      <x:c r="D151" s="89"/>
      <x:c r="E151" s="89" t="s">
        <x:v>72</x:v>
      </x:c>
      <x:c r="F151" s="371" t="n">
        <x:v>1148755.91</x:v>
      </x:c>
      <x:c r="G151" s="90" t="n">
        <x:v>103833.95</x:v>
      </x:c>
      <x:c r="H151" s="90" t="n">
        <x:v>50131.96</x:v>
      </x:c>
      <x:c r="I151" s="90" t="n">
        <x:v>27876.21</x:v>
      </x:c>
      <x:c r="J151" s="90" t="n">
        <x:v>257690.34</x:v>
      </x:c>
      <x:c r="K151" s="90" t="n">
        <x:v>6913.63</x:v>
      </x:c>
      <x:c r="L151" s="90" t="n">
        <x:v>0</x:v>
      </x:c>
      <x:c r="M151" s="90" t="n">
        <x:v>60980.16</x:v>
      </x:c>
      <x:c r="N151" s="90" t="n">
        <x:v>74702.16</x:v>
      </x:c>
      <x:c r="O151" s="90" t="n">
        <x:v>347093.13</x:v>
      </x:c>
      <x:c r="P151" s="90" t="n">
        <x:v>208245.74</x:v>
      </x:c>
      <x:c r="Q151" s="90" t="n">
        <x:v>11280.3</x:v>
      </x:c>
      <x:c r="R151" s="90" t="n">
        <x:v>8.33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2:26" ht="12.75" customHeight="1" x14ac:dyDescent="0.2">
      <x:c r="D152" s="89"/>
      <x:c r="E152" s="89" t="s">
        <x:v>81</x:v>
      </x:c>
      <x:c r="F152" s="371" t="n">
        <x:v>199642.47</x:v>
      </x:c>
      <x:c r="G152" s="90" t="n">
        <x:v>21039.28</x:v>
      </x:c>
      <x:c r="H152" s="90" t="n">
        <x:v>9401.54</x:v>
      </x:c>
      <x:c r="I152" s="90" t="n">
        <x:v>5415.39</x:v>
      </x:c>
      <x:c r="J152" s="90" t="n">
        <x:v>44862.35</x:v>
      </x:c>
      <x:c r="K152" s="90" t="n">
        <x:v>1038.88</x:v>
      </x:c>
      <x:c r="L152" s="90" t="n">
        <x:v>0</x:v>
      </x:c>
      <x:c r="M152" s="90" t="n">
        <x:v>9113.04</x:v>
      </x:c>
      <x:c r="N152" s="90" t="n">
        <x:v>11405.09</x:v>
      </x:c>
      <x:c r="O152" s="90" t="n">
        <x:v>53456.23</x:v>
      </x:c>
      <x:c r="P152" s="90" t="n">
        <x:v>42215.06</x:v>
      </x:c>
      <x:c r="Q152" s="90" t="n">
        <x:v>1695.12</x:v>
      </x:c>
      <x:c r="R152" s="90" t="n">
        <x:v>0.49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0</x:v>
      </x:c>
    </x:row>
    <x:row r="153" spans="2:26" ht="12.75" customHeight="1" x14ac:dyDescent="0.2">
      <x:c r="D153" s="89" t="s">
        <x:v>115</x:v>
      </x:c>
      <x:c r="E153" s="89" t="s">
        <x:v>70</x:v>
      </x:c>
      <x:c r="F153" s="371" t="n">
        <x:v>1348398.38</x:v>
      </x:c>
      <x:c r="G153" s="90" t="n">
        <x:v>124873.23</x:v>
      </x:c>
      <x:c r="H153" s="90" t="n">
        <x:v>59533.5</x:v>
      </x:c>
      <x:c r="I153" s="90" t="n">
        <x:v>33291.6</x:v>
      </x:c>
      <x:c r="J153" s="90" t="n">
        <x:v>302552.69</x:v>
      </x:c>
      <x:c r="K153" s="90" t="n">
        <x:v>7952.51</x:v>
      </x:c>
      <x:c r="L153" s="90" t="n">
        <x:v>0</x:v>
      </x:c>
      <x:c r="M153" s="90" t="n">
        <x:v>70093.2</x:v>
      </x:c>
      <x:c r="N153" s="90" t="n">
        <x:v>86107.25</x:v>
      </x:c>
      <x:c r="O153" s="90" t="n">
        <x:v>400549.36</x:v>
      </x:c>
      <x:c r="P153" s="90" t="n">
        <x:v>250460.8</x:v>
      </x:c>
      <x:c r="Q153" s="90" t="n">
        <x:v>12975.42</x:v>
      </x:c>
      <x:c r="R153" s="90" t="n">
        <x:v>8.82</x:v>
      </x:c>
      <x:c r="S153" s="90" t="n">
        <x:v>0</x:v>
      </x:c>
      <x:c r="T153" s="90" t="n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 t="n">
        <x:v>0</x:v>
      </x:c>
    </x:row>
    <x:row r="154" spans="2:26" ht="12.75" customHeight="1" x14ac:dyDescent="0.2">
      <x:c r="D154" s="89"/>
      <x:c r="E154" s="89" t="s">
        <x:v>72</x:v>
      </x:c>
      <x:c r="F154" s="371" t="n">
        <x:v>230376.22</x:v>
      </x:c>
      <x:c r="G154" s="90" t="n">
        <x:v>18333.27</x:v>
      </x:c>
      <x:c r="H154" s="90" t="n">
        <x:v>9782.29</x:v>
      </x:c>
      <x:c r="I154" s="90" t="n">
        <x:v>5319.95</x:v>
      </x:c>
      <x:c r="J154" s="90" t="n">
        <x:v>54717.31</x:v>
      </x:c>
      <x:c r="K154" s="90" t="n">
        <x:v>1624.1</x:v>
      </x:c>
      <x:c r="L154" s="90" t="n">
        <x:v>0</x:v>
      </x:c>
      <x:c r="M154" s="90" t="n">
        <x:v>14246.4</x:v>
      </x:c>
      <x:c r="N154" s="90" t="n">
        <x:v>15524.85</x:v>
      </x:c>
      <x:c r="O154" s="90" t="n">
        <x:v>70821.65</x:v>
      </x:c>
      <x:c r="P154" s="90" t="n">
        <x:v>37360.92</x:v>
      </x:c>
      <x:c r="Q154" s="90" t="n">
        <x:v>2649.83</x:v>
      </x:c>
      <x:c r="R154" s="90" t="n">
        <x:v>-4.35</x:v>
      </x:c>
      <x:c r="S154" s="90" t="n">
        <x:v>0</x:v>
      </x:c>
      <x:c r="T154" s="90" t="n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 t="n">
        <x:v>0</x:v>
      </x:c>
    </x:row>
    <x:row r="155" spans="2:26" ht="12.75" customHeight="1" x14ac:dyDescent="0.2">
      <x:c r="D155" s="89"/>
      <x:c r="E155" s="89" t="s">
        <x:v>81</x:v>
      </x:c>
      <x:c r="F155" s="90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2:26" ht="12.75" customHeight="1" x14ac:dyDescent="0.2">
      <x:c r="D156" t="s">
        <x:v>116</x:v>
      </x:c>
      <x:c r="E156" s="89" t="s">
        <x:v>70</x:v>
      </x:c>
      <x:c r="F156" s="90" t="n">
        <x:v>230376.22</x:v>
      </x:c>
      <x:c r="G156" s="90" t="n">
        <x:v>18333.27</x:v>
      </x:c>
      <x:c r="H156" s="90" t="n">
        <x:v>9782.29</x:v>
      </x:c>
      <x:c r="I156" s="90" t="n">
        <x:v>5319.95</x:v>
      </x:c>
      <x:c r="J156" s="90" t="n">
        <x:v>54717.31</x:v>
      </x:c>
      <x:c r="K156" s="90" t="n">
        <x:v>1624.1</x:v>
      </x:c>
      <x:c r="L156" s="90" t="n">
        <x:v>0</x:v>
      </x:c>
      <x:c r="M156" s="90" t="n">
        <x:v>14246.4</x:v>
      </x:c>
      <x:c r="N156" s="90" t="n">
        <x:v>15524.85</x:v>
      </x:c>
      <x:c r="O156" s="90" t="n">
        <x:v>70821.65</x:v>
      </x:c>
      <x:c r="P156" s="90" t="n">
        <x:v>37360.92</x:v>
      </x:c>
      <x:c r="Q156" s="90" t="n">
        <x:v>2649.83</x:v>
      </x:c>
      <x:c r="R156" s="90" t="n">
        <x:v>-4.35</x:v>
      </x:c>
      <x:c r="S156" s="90" t="n">
        <x:v>0</x:v>
      </x:c>
      <x:c r="T156" s="90" t="n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 t="n">
        <x:v>0</x:v>
      </x:c>
    </x:row>
    <x:row r="157" spans="2:26" ht="12.75" customHeight="1" x14ac:dyDescent="0.2">
      <x:c r="D157" s="89"/>
      <x:c r="E157" s="89" t="s">
        <x:v>72</x:v>
      </x:c>
      <x:c r="F157" s="90" t="n">
        <x:v>9689217.18</x:v>
      </x:c>
      <x:c r="G157" s="90" t="n">
        <x:v>518533.02</x:v>
      </x:c>
      <x:c r="H157" s="90" t="n">
        <x:v>287577.53</x:v>
      </x:c>
      <x:c r="I157" s="90" t="n">
        <x:v>156432.14</x:v>
      </x:c>
      <x:c r="J157" s="90" t="n">
        <x:v>2441050.67</x:v>
      </x:c>
      <x:c r="K157" s="90" t="n">
        <x:v>82298.98</x:v>
      </x:c>
      <x:c r="L157" s="90" t="n">
        <x:v>0</x:v>
      </x:c>
      <x:c r="M157" s="90" t="n">
        <x:v>728609.23</x:v>
      </x:c>
      <x:c r="N157" s="90" t="n">
        <x:v>748449.81</x:v>
      </x:c>
      <x:c r="O157" s="90" t="n">
        <x:v>3562346.91</x:v>
      </x:c>
      <x:c r="P157" s="90" t="n">
        <x:v>1027130.59</x:v>
      </x:c>
      <x:c r="Q157" s="90" t="n">
        <x:v>136840.93</x:v>
      </x:c>
      <x:c r="R157" s="90" t="n">
        <x:v>-52.63</x:v>
      </x:c>
      <x:c r="S157" s="90" t="n">
        <x:v>0</x:v>
      </x:c>
      <x:c r="T157" s="90" t="n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 t="n">
        <x:v>0</x:v>
      </x:c>
    </x:row>
    <x:row r="158" spans="2:26" ht="12.75" customHeight="1" x14ac:dyDescent="0.2">
      <x:c r="E158" s="89" t="s">
        <x:v>81</x:v>
      </x:c>
      <x:c r="F158" s="90" t="n">
        <x:v>217045.55</x:v>
      </x:c>
      <x:c r="G158" s="90" t="n">
        <x:v>12559.35</x:v>
      </x:c>
      <x:c r="H158" s="90" t="n">
        <x:v>6390.48</x:v>
      </x:c>
      <x:c r="I158" s="90" t="n">
        <x:v>3379.76</x:v>
      </x:c>
      <x:c r="J158" s="90" t="n">
        <x:v>55867.7</x:v>
      </x:c>
      <x:c r="K158" s="90" t="n">
        <x:v>1678.84</x:v>
      </x:c>
      <x:c r="L158" s="90" t="n">
        <x:v>0</x:v>
      </x:c>
      <x:c r="M158" s="90" t="n">
        <x:v>14715.14</x:v>
      </x:c>
      <x:c r="N158" s="90" t="n">
        <x:v>18428.22</x:v>
      </x:c>
      <x:c r="O158" s="90" t="n">
        <x:v>76574.75</x:v>
      </x:c>
      <x:c r="P158" s="90" t="n">
        <x:v>24706.8</x:v>
      </x:c>
      <x:c r="Q158" s="90" t="n">
        <x:v>2744.21</x:v>
      </x:c>
      <x:c r="R158" s="90" t="n">
        <x:v>0.42</x:v>
      </x:c>
      <x:c r="S158" s="90" t="n">
        <x:v>0</x:v>
      </x:c>
      <x:c r="T158" s="90" t="n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 t="n">
        <x:v>-0.12</x:v>
      </x:c>
    </x:row>
    <x:row r="159" spans="2:26" ht="12.75" customHeight="1" x14ac:dyDescent="0.2">
      <x:c r="D159" t="s">
        <x:v>118</x:v>
      </x:c>
      <x:c r="E159" s="89" t="s">
        <x:v>70</x:v>
      </x:c>
      <x:c r="F159" s="90" t="n">
        <x:v>9906262.73</x:v>
      </x:c>
      <x:c r="G159" s="90" t="n">
        <x:v>531092.37</x:v>
      </x:c>
      <x:c r="H159" s="90" t="n">
        <x:v>293968.01</x:v>
      </x:c>
      <x:c r="I159" s="90" t="n">
        <x:v>159811.9</x:v>
      </x:c>
      <x:c r="J159" s="90" t="n">
        <x:v>2496918.37</x:v>
      </x:c>
      <x:c r="K159" s="90" t="n">
        <x:v>83977.82</x:v>
      </x:c>
      <x:c r="L159" s="90" t="n">
        <x:v>0</x:v>
      </x:c>
      <x:c r="M159" s="90" t="n">
        <x:v>743324.37</x:v>
      </x:c>
      <x:c r="N159" s="90" t="n">
        <x:v>766878.03</x:v>
      </x:c>
      <x:c r="O159" s="90" t="n">
        <x:v>3638921.66</x:v>
      </x:c>
      <x:c r="P159" s="90" t="n">
        <x:v>1051837.39</x:v>
      </x:c>
      <x:c r="Q159" s="90" t="n">
        <x:v>139585.14</x:v>
      </x:c>
      <x:c r="R159" s="90" t="n">
        <x:v>-52.21</x:v>
      </x:c>
      <x:c r="S159" s="90" t="n">
        <x:v>0</x:v>
      </x:c>
      <x:c r="T159" s="90" t="n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 t="n">
        <x:v>-0.12</x:v>
      </x:c>
    </x:row>
    <x:row r="160" spans="2:26" s="224" customFormat="1" ht="12.75" customHeight="1" x14ac:dyDescent="0.2">
      <x:c r="C160" s="223" t="s">
        <x:v>120</x:v>
      </x:c>
      <x:c r="D160" s="223" t="s">
        <x:v>70</x:v>
      </x:c>
      <x:c r="F160" s="225" t="n">
        <x:v>11485037.33</x:v>
      </x:c>
      <x:c r="G160" s="225" t="n">
        <x:v>674298.87</x:v>
      </x:c>
      <x:c r="H160" s="225" t="n">
        <x:v>363283.8</x:v>
      </x:c>
      <x:c r="I160" s="225" t="n">
        <x:v>198423.45</x:v>
      </x:c>
      <x:c r="J160" s="225" t="n">
        <x:v>2854188.37</x:v>
      </x:c>
      <x:c r="K160" s="225" t="n">
        <x:v>93554.43</x:v>
      </x:c>
      <x:c r="L160" s="225" t="n">
        <x:v>0</x:v>
      </x:c>
      <x:c r="M160" s="225" t="n">
        <x:v>827663.97</x:v>
      </x:c>
      <x:c r="N160" s="225" t="n">
        <x:v>868510.13</x:v>
      </x:c>
      <x:c r="O160" s="225" t="n">
        <x:v>4110292.67</x:v>
      </x:c>
      <x:c r="P160" s="225" t="n">
        <x:v>1339659.11</x:v>
      </x:c>
      <x:c r="Q160" s="225" t="n">
        <x:v>155210.39</x:v>
      </x:c>
      <x:c r="R160" s="225" t="n">
        <x:v>-47.74</x:v>
      </x:c>
      <x:c r="S160" s="225" t="n">
        <x:v>0</x:v>
      </x:c>
      <x:c r="T160" s="225" t="n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 t="n">
        <x:v>-0.12</x:v>
      </x:c>
    </x:row>
    <x:row r="161" spans="1:26" ht="12.75" customHeight="1" x14ac:dyDescent="0.2">
      <x:c r="C161" s="89"/>
      <x:c r="D161" s="89"/>
      <x:c r="E161" t="s">
        <x:v>72</x:v>
      </x:c>
      <x:c r="F161" s="90" t="n">
        <x:v>849867693.02</x:v>
      </x:c>
      <x:c r="G161" s="90" t="n">
        <x:v>54948681.76</x:v>
      </x:c>
      <x:c r="H161" s="90" t="n">
        <x:v>30927411.8</x:v>
      </x:c>
      <x:c r="I161" s="90" t="n">
        <x:v>16373301.78</x:v>
      </x:c>
      <x:c r="J161" s="90" t="n">
        <x:v>204630030.11</x:v>
      </x:c>
      <x:c r="K161" s="90" t="n">
        <x:v>5205045.6</x:v>
      </x:c>
      <x:c r="L161" s="90" t="n">
        <x:v>673000</x:v>
      </x:c>
      <x:c r="M161" s="90" t="n">
        <x:v>45746296.7</x:v>
      </x:c>
      <x:c r="N161" s="90" t="n">
        <x:v>64731342.15</x:v>
      </x:c>
      <x:c r="O161" s="90" t="n">
        <x:v>309036244.22</x:v>
      </x:c>
      <x:c r="P161" s="90" t="n">
        <x:v>109057152.4</x:v>
      </x:c>
      <x:c r="Q161" s="90" t="n">
        <x:v>8539363</x:v>
      </x:c>
      <x:c r="R161" s="90" t="n">
        <x:v>-176.5</x:v>
      </x:c>
      <x:c r="S161" s="90" t="n">
        <x:v>0</x:v>
      </x:c>
      <x:c r="T161" s="90" t="n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 t="n">
        <x:v>0</x:v>
      </x:c>
    </x:row>
    <x:row r="162" spans="1:26" ht="12.75" customHeight="1" x14ac:dyDescent="0.2">
      <x:c r="C162" s="89"/>
      <x:c r="D162" s="89"/>
      <x:c r="E162" t="s">
        <x:v>81</x:v>
      </x:c>
      <x:c r="F162" s="90" t="n">
        <x:v>8247331.17</x:v>
      </x:c>
      <x:c r="G162" s="90" t="n">
        <x:v>759088.58</x:v>
      </x:c>
      <x:c r="H162" s="90" t="n">
        <x:v>410996.96</x:v>
      </x:c>
      <x:c r="I162" s="90" t="n">
        <x:v>215618.58</x:v>
      </x:c>
      <x:c r="J162" s="90" t="n">
        <x:v>1740497.9</x:v>
      </x:c>
      <x:c r="K162" s="90" t="n">
        <x:v>46283.83</x:v>
      </x:c>
      <x:c r="L162" s="90" t="n">
        <x:v>1155.91</x:v>
      </x:c>
      <x:c r="M162" s="90" t="n">
        <x:v>406506.42</x:v>
      </x:c>
      <x:c r="N162" s="90" t="n">
        <x:v>562874.1</x:v>
      </x:c>
      <x:c r="O162" s="90" t="n">
        <x:v>2504417.54</x:v>
      </x:c>
      <x:c r="P162" s="90" t="n">
        <x:v>1524265.47</x:v>
      </x:c>
      <x:c r="Q162" s="90" t="n">
        <x:v>75637.47</x:v>
      </x:c>
      <x:c r="R162" s="90" t="n">
        <x:v>-19.6</x:v>
      </x:c>
      <x:c r="S162" s="90" t="n">
        <x:v>8.07</x:v>
      </x:c>
      <x:c r="T162" s="90" t="n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 t="n">
        <x:v>-0.06</x:v>
      </x:c>
    </x:row>
    <x:row r="163" spans="1:26" ht="12.75" customHeight="1" x14ac:dyDescent="0.2">
      <x:c r="D163" t="s">
        <x:v>82</x:v>
      </x:c>
      <x:c r="E163" s="89" t="s">
        <x:v>70</x:v>
      </x:c>
      <x:c r="F163" s="90" t="n">
        <x:v>858115024.19</x:v>
      </x:c>
      <x:c r="G163" s="90" t="n">
        <x:v>55707770.34</x:v>
      </x:c>
      <x:c r="H163" s="90" t="n">
        <x:v>31338408.76</x:v>
      </x:c>
      <x:c r="I163" s="90" t="n">
        <x:v>16588920.36</x:v>
      </x:c>
      <x:c r="J163" s="90" t="n">
        <x:v>206370528.01</x:v>
      </x:c>
      <x:c r="K163" s="90" t="n">
        <x:v>5251329.43</x:v>
      </x:c>
      <x:c r="L163" s="90" t="n">
        <x:v>674155.91</x:v>
      </x:c>
      <x:c r="M163" s="90" t="n">
        <x:v>46152803.12</x:v>
      </x:c>
      <x:c r="N163" s="90" t="n">
        <x:v>65294216.25</x:v>
      </x:c>
      <x:c r="O163" s="90" t="n">
        <x:v>311540661.76</x:v>
      </x:c>
      <x:c r="P163" s="90" t="n">
        <x:v>110581417.87</x:v>
      </x:c>
      <x:c r="Q163" s="90" t="n">
        <x:v>8615000.47</x:v>
      </x:c>
      <x:c r="R163" s="90" t="n">
        <x:v>-196.1</x:v>
      </x:c>
      <x:c r="S163" s="90" t="n">
        <x:v>8.07</x:v>
      </x:c>
      <x:c r="T163" s="90" t="n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 t="n">
        <x:v>-0.06</x:v>
      </x:c>
    </x:row>
    <x:row r="164" spans="1:26" ht="12.75" customHeight="1" x14ac:dyDescent="0.2">
      <x:c r="E164" s="89" t="s">
        <x:v>72</x:v>
      </x:c>
      <x:c r="F164" s="90" t="n">
        <x:v>295886562.18</x:v>
      </x:c>
      <x:c r="G164" s="90" t="n">
        <x:v>29517675.83</x:v>
      </x:c>
      <x:c r="H164" s="90" t="n">
        <x:v>16386777.96</x:v>
      </x:c>
      <x:c r="I164" s="90" t="n">
        <x:v>8578454.35</x:v>
      </x:c>
      <x:c r="J164" s="90" t="n">
        <x:v>51586339.86</x:v>
      </x:c>
      <x:c r="K164" s="90" t="n">
        <x:v>1513601.47</x:v>
      </x:c>
      <x:c r="L164" s="90" t="n">
        <x:v>19313383.56</x:v>
      </x:c>
      <x:c r="M164" s="90" t="n">
        <x:v>13264846.22</x:v>
      </x:c>
      <x:c r="N164" s="90" t="n">
        <x:v>16618333.75</x:v>
      </x:c>
      <x:c r="O164" s="90" t="n">
        <x:v>77934436.87</x:v>
      </x:c>
      <x:c r="P164" s="90" t="n">
        <x:v>58698285.34</x:v>
      </x:c>
      <x:c r="Q164" s="90" t="n">
        <x:v>2474833.44</x:v>
      </x:c>
      <x:c r="R164" s="90" t="n">
        <x:v>-406.47</x:v>
      </x:c>
      <x:c r="S164" s="90" t="n">
        <x:v>0</x:v>
      </x:c>
      <x:c r="T164" s="90" t="n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 t="n">
        <x:v>0</x:v>
      </x:c>
    </x:row>
    <x:row r="165" spans="1:26" ht="12.75" customHeight="1" x14ac:dyDescent="0.2">
      <x:c r="D165" s="89"/>
      <x:c r="E165" s="89" t="s">
        <x:v>81</x:v>
      </x:c>
      <x:c r="F165" s="90" t="n">
        <x:v>11325633.79</x:v>
      </x:c>
      <x:c r="G165" s="90" t="n">
        <x:v>1576014.18</x:v>
      </x:c>
      <x:c r="H165" s="90" t="n">
        <x:v>801745.8</x:v>
      </x:c>
      <x:c r="I165" s="90" t="n">
        <x:v>381190.53</x:v>
      </x:c>
      <x:c r="J165" s="90" t="n">
        <x:v>1442587.85</x:v>
      </x:c>
      <x:c r="K165" s="90" t="n">
        <x:v>48878.89</x:v>
      </x:c>
      <x:c r="L165" s="90" t="n">
        <x:v>910795.42</x:v>
      </x:c>
      <x:c r="M165" s="90" t="n">
        <x:v>429267.26</x:v>
      </x:c>
      <x:c r="N165" s="90" t="n">
        <x:v>538325.67</x:v>
      </x:c>
      <x:c r="O165" s="90" t="n">
        <x:v>2011275.27</x:v>
      </x:c>
      <x:c r="P165" s="90" t="n">
        <x:v>3105732.13</x:v>
      </x:c>
      <x:c r="Q165" s="90" t="n">
        <x:v>79805.54</x:v>
      </x:c>
      <x:c r="R165" s="90" t="n">
        <x:v>11.95</x:v>
      </x:c>
      <x:c r="S165" s="90" t="n">
        <x:v>3.62</x:v>
      </x:c>
      <x:c r="T165" s="90" t="n">
        <x:v>0.11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 t="n">
        <x:v>-0.43</x:v>
      </x:c>
    </x:row>
    <x:row r="166" spans="1:26" ht="12.75" customHeight="1" x14ac:dyDescent="0.2">
      <x:c r="D166" t="s">
        <x:v>86</x:v>
      </x:c>
      <x:c r="E166" s="89" t="s">
        <x:v>70</x:v>
      </x:c>
      <x:c r="F166" s="90" t="n">
        <x:v>307212195.97</x:v>
      </x:c>
      <x:c r="G166" s="90" t="n">
        <x:v>31093690.01</x:v>
      </x:c>
      <x:c r="H166" s="90" t="n">
        <x:v>17188523.76</x:v>
      </x:c>
      <x:c r="I166" s="90" t="n">
        <x:v>8959644.88</x:v>
      </x:c>
      <x:c r="J166" s="90" t="n">
        <x:v>53028927.71</x:v>
      </x:c>
      <x:c r="K166" s="90" t="n">
        <x:v>1562480.36</x:v>
      </x:c>
      <x:c r="L166" s="90" t="n">
        <x:v>20224178.98</x:v>
      </x:c>
      <x:c r="M166" s="90" t="n">
        <x:v>13694113.48</x:v>
      </x:c>
      <x:c r="N166" s="90" t="n">
        <x:v>17156659.42</x:v>
      </x:c>
      <x:c r="O166" s="90" t="n">
        <x:v>79945712.14</x:v>
      </x:c>
      <x:c r="P166" s="90" t="n">
        <x:v>61804017.47</x:v>
      </x:c>
      <x:c r="Q166" s="90" t="n">
        <x:v>2554638.98</x:v>
      </x:c>
      <x:c r="R166" s="90" t="n">
        <x:v>-394.52</x:v>
      </x:c>
      <x:c r="S166" s="90" t="n">
        <x:v>3.62</x:v>
      </x:c>
      <x:c r="T166" s="90" t="n">
        <x:v>0.11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 t="n">
        <x:v>-0.43</x:v>
      </x:c>
    </x:row>
    <x:row r="167" spans="1:26" ht="12.75" customHeight="1" x14ac:dyDescent="0.2">
      <x:c r="E167" s="89" t="s">
        <x:v>72</x:v>
      </x:c>
      <x:c r="F167" s="90" t="n">
        <x:v>956486354.97</x:v>
      </x:c>
      <x:c r="G167" s="90" t="n">
        <x:v>178908073.68</x:v>
      </x:c>
      <x:c r="H167" s="90" t="n">
        <x:v>100746040.57</x:v>
      </x:c>
      <x:c r="I167" s="90" t="n">
        <x:v>53063769.32</x:v>
      </x:c>
      <x:c r="J167" s="90" t="n">
        <x:v>83199922.83</x:v>
      </x:c>
      <x:c r="K167" s="90" t="n">
        <x:v>2112137.6</x:v>
      </x:c>
      <x:c r="L167" s="90" t="n">
        <x:v>22121500</x:v>
      </x:c>
      <x:c r="M167" s="90" t="n">
        <x:v>18518451.05</x:v>
      </x:c>
      <x:c r="N167" s="90" t="n">
        <x:v>26067922.52</x:v>
      </x:c>
      <x:c r="O167" s="90" t="n">
        <x:v>126629527.24</x:v>
      </x:c>
      <x:c r="P167" s="90" t="n">
        <x:v>341652099.43</x:v>
      </x:c>
      <x:c r="Q167" s="90" t="n">
        <x:v>3468045</x:v>
      </x:c>
      <x:c r="R167" s="90" t="n">
        <x:v>-1134.27</x:v>
      </x:c>
      <x:c r="S167" s="90" t="n">
        <x:v>0</x:v>
      </x:c>
      <x:c r="T167" s="90" t="n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 t="n">
        <x:v>0</x:v>
      </x:c>
    </x:row>
    <x:row r="168" spans="1:26" ht="12.75" customHeight="1" x14ac:dyDescent="0.2">
      <x:c r="D168" s="89"/>
      <x:c r="E168" s="89" t="s">
        <x:v>81</x:v>
      </x:c>
      <x:c r="F168" s="90" t="n">
        <x:v>22524838.24</x:v>
      </x:c>
      <x:c r="G168" s="90" t="n">
        <x:v>4952770.15</x:v>
      </x:c>
      <x:c r="H168" s="90" t="n">
        <x:v>2755528.01</x:v>
      </x:c>
      <x:c r="I168" s="90" t="n">
        <x:v>1468280.39</x:v>
      </x:c>
      <x:c r="J168" s="90" t="n">
        <x:v>1122794.42</x:v>
      </x:c>
      <x:c r="K168" s="90" t="n">
        <x:v>28207.59</x:v>
      </x:c>
      <x:c r="L168" s="90" t="n">
        <x:v>222526.16</x:v>
      </x:c>
      <x:c r="M168" s="90" t="n">
        <x:v>246960.98</x:v>
      </x:c>
      <x:c r="N168" s="90" t="n">
        <x:v>346793.07</x:v>
      </x:c>
      <x:c r="O168" s="90" t="n">
        <x:v>1614571.03</x:v>
      </x:c>
      <x:c r="P168" s="90" t="n">
        <x:v>9720305.77</x:v>
      </x:c>
      <x:c r="Q168" s="90" t="n">
        <x:v>46107.8</x:v>
      </x:c>
      <x:c r="R168" s="90" t="n">
        <x:v>-7.11</x:v>
      </x:c>
      <x:c r="S168" s="90" t="n">
        <x:v>0.24</x:v>
      </x:c>
      <x:c r="T168" s="90" t="n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 t="n">
        <x:v>-0.26</x:v>
      </x:c>
    </x:row>
    <x:row r="169" spans="1:26" ht="12.75" customHeight="1" x14ac:dyDescent="0.2">
      <x:c r="D169" t="s">
        <x:v>87</x:v>
      </x:c>
      <x:c r="E169" s="89" t="s">
        <x:v>70</x:v>
      </x:c>
      <x:c r="F169" s="90" t="n">
        <x:v>979011193.21</x:v>
      </x:c>
      <x:c r="G169" s="90" t="n">
        <x:v>183860843.83</x:v>
      </x:c>
      <x:c r="H169" s="90" t="n">
        <x:v>103501568.58</x:v>
      </x:c>
      <x:c r="I169" s="90" t="n">
        <x:v>54532049.71</x:v>
      </x:c>
      <x:c r="J169" s="90" t="n">
        <x:v>84322717.25</x:v>
      </x:c>
      <x:c r="K169" s="90" t="n">
        <x:v>2140345.19</x:v>
      </x:c>
      <x:c r="L169" s="90" t="n">
        <x:v>22344026.16</x:v>
      </x:c>
      <x:c r="M169" s="90" t="n">
        <x:v>18765412.03</x:v>
      </x:c>
      <x:c r="N169" s="90" t="n">
        <x:v>26414715.59</x:v>
      </x:c>
      <x:c r="O169" s="90" t="n">
        <x:v>128244098.27</x:v>
      </x:c>
      <x:c r="P169" s="90" t="n">
        <x:v>351372405.2</x:v>
      </x:c>
      <x:c r="Q169" s="90" t="n">
        <x:v>3514152.8</x:v>
      </x:c>
      <x:c r="R169" s="90" t="n">
        <x:v>-1141.38</x:v>
      </x:c>
      <x:c r="S169" s="90" t="n">
        <x:v>0.24</x:v>
      </x:c>
      <x:c r="T169" s="90" t="n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 t="n">
        <x:v>-0.26</x:v>
      </x:c>
    </x:row>
    <x:row r="170" spans="1:26" s="94" customFormat="1" ht="12.75" customHeight="1" x14ac:dyDescent="0.2">
      <x:c r="C170" s="94" t="s">
        <x:v>119</x:v>
      </x:c>
      <x:c r="D170" s="94" t="s">
        <x:v>70</x:v>
      </x:c>
      <x:c r="E170" s="101"/>
      <x:c r="F170" s="93" t="n">
        <x:v>2144338413.37</x:v>
      </x:c>
      <x:c r="G170" s="93" t="n">
        <x:v>270662304.18</x:v>
      </x:c>
      <x:c r="H170" s="93" t="n">
        <x:v>152028501.1</x:v>
      </x:c>
      <x:c r="I170" s="93" t="n">
        <x:v>80080614.95</x:v>
      </x:c>
      <x:c r="J170" s="93" t="n">
        <x:v>343722172.97</x:v>
      </x:c>
      <x:c r="K170" s="93" t="n">
        <x:v>8954154.98</x:v>
      </x:c>
      <x:c r="L170" s="93" t="n">
        <x:v>43242361.05</x:v>
      </x:c>
      <x:c r="M170" s="93" t="n">
        <x:v>78612328.63</x:v>
      </x:c>
      <x:c r="N170" s="93" t="n">
        <x:v>108865591.26</x:v>
      </x:c>
      <x:c r="O170" s="93" t="n">
        <x:v>519730472.17</x:v>
      </x:c>
      <x:c r="P170" s="93" t="n">
        <x:v>523757840.54</x:v>
      </x:c>
      <x:c r="Q170" s="93" t="n">
        <x:v>14683792.25</x:v>
      </x:c>
      <x:c r="R170" s="93" t="n">
        <x:v>-1732</x:v>
      </x:c>
      <x:c r="S170" s="93" t="n">
        <x:v>11.93</x:v>
      </x:c>
      <x:c r="T170" s="93" t="n">
        <x:v>0.11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 t="n">
        <x:v>-0.75</x:v>
      </x:c>
    </x:row>
    <x:row r="171" spans="1:26" s="226" customFormat="1" ht="12.75" customHeight="1" x14ac:dyDescent="0.2">
      <x:c r="B171" s="98" t="s">
        <x:v>112</x:v>
      </x:c>
      <x:c r="C171" s="98" t="s">
        <x:v>70</x:v>
      </x:c>
      <x:c r="F171" s="100" t="n">
        <x:v>26991842853.64</x:v>
      </x:c>
      <x:c r="G171" s="100" t="n">
        <x:v>1647822335.5</x:v>
      </x:c>
      <x:c r="H171" s="100" t="n">
        <x:v>919613091.24</x:v>
      </x:c>
      <x:c r="I171" s="100" t="n">
        <x:v>480398481.59</x:v>
      </x:c>
      <x:c r="J171" s="100" t="n">
        <x:v>6801561986.55</x:v>
      </x:c>
      <x:c r="K171" s="100" t="n">
        <x:v>225315678.85</x:v>
      </x:c>
      <x:c r="L171" s="100" t="n">
        <x:v>65675504</x:v>
      </x:c>
      <x:c r="M171" s="100" t="n">
        <x:v>1977251801.82</x:v>
      </x:c>
      <x:c r="N171" s="100" t="n">
        <x:v>1975192478.87</x:v>
      </x:c>
      <x:c r="O171" s="100" t="n">
        <x:v>9299565599.31</x:v>
      </x:c>
      <x:c r="P171" s="100" t="n">
        <x:v>3231522565.69</x:v>
      </x:c>
      <x:c r="Q171" s="100" t="n">
        <x:v>368142849.59</x:v>
      </x:c>
      <x:c r="R171" s="100" t="n">
        <x:v>-219558.69</x:v>
      </x:c>
      <x:c r="S171" s="100" t="n">
        <x:v>62.66</x:v>
      </x:c>
      <x:c r="T171" s="100" t="n">
        <x:v>1.01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 t="n">
        <x:v>-24.35</x:v>
      </x:c>
    </x:row>
    <x:row r="172" spans="1:26" ht="12.75" customHeight="1" x14ac:dyDescent="0.2">
      <x:c r="A172" t="s">
        <x:v>78</x:v>
      </x:c>
      <x:c r="B172" s="89" t="s">
        <x:v>70</x:v>
      </x:c>
      <x:c r="C172" s="89"/>
      <x:c r="F172" s="90" t="n">
        <x:v>26991999286.83</x:v>
      </x:c>
      <x:c r="G172" s="90" t="n">
        <x:v>1647835428.69</x:v>
      </x:c>
      <x:c r="H172" s="90" t="n">
        <x:v>919620461.51</x:v>
      </x:c>
      <x:c r="I172" s="90" t="n">
        <x:v>480403523.38</x:v>
      </x:c>
      <x:c r="J172" s="90" t="n">
        <x:v>6801592881.04</x:v>
      </x:c>
      <x:c r="K172" s="90" t="n">
        <x:v>225316978.04</x:v>
      </x:c>
      <x:c r="L172" s="90" t="n">
        <x:v>65675504</x:v>
      </x:c>
      <x:c r="M172" s="90" t="n">
        <x:v>1977259911.78</x:v>
      </x:c>
      <x:c r="N172" s="90" t="n">
        <x:v>1975203586.15</x:v>
      </x:c>
      <x:c r="O172" s="90" t="n">
        <x:v>9299618101.75</x:v>
      </x:c>
      <x:c r="P172" s="90" t="n">
        <x:v>3231546983.98</x:v>
      </x:c>
      <x:c r="Q172" s="90" t="n">
        <x:v>368145446.16</x:v>
      </x:c>
      <x:c r="R172" s="90" t="n">
        <x:v>-219558.97</x:v>
      </x:c>
      <x:c r="S172" s="90" t="n">
        <x:v>62.66</x:v>
      </x:c>
      <x:c r="T172" s="90" t="n">
        <x:v>1.01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 t="n">
        <x:v>-24.35</x:v>
      </x:c>
    </x:row>
    <x:row r="173" spans="1:26" ht="12.75" customHeight="1" x14ac:dyDescent="0.2">
      <x:c r="B173" s="89"/>
      <x:c r="C173" s="89"/>
      <x:c r="E173" t="s">
        <x:v>73</x:v>
      </x:c>
      <x:c r="F173" s="90" t="n">
        <x:v>65196.81</x:v>
      </x:c>
      <x:c r="G173" s="90" t="n">
        <x:v>6546.6</x:v>
      </x:c>
      <x:c r="H173" s="90" t="n">
        <x:v>3685.14</x:v>
      </x:c>
      <x:c r="I173" s="90" t="n">
        <x:v>1939.87</x:v>
      </x:c>
      <x:c r="J173" s="90" t="n">
        <x:v>12877.56</x:v>
      </x:c>
      <x:c r="K173" s="90" t="n">
        <x:v>462.28</x:v>
      </x:c>
      <x:c r="L173" s="90" t="n">
        <x:v>0</x:v>
      </x:c>
      <x:c r="M173" s="90" t="n">
        <x:v>4054.99</x:v>
      </x:c>
      <x:c r="N173" s="90" t="n">
        <x:v>3960.35</x:v>
      </x:c>
      <x:c r="O173" s="90" t="n">
        <x:v>18706.63</x:v>
      </x:c>
      <x:c r="P173" s="90" t="n">
        <x:v>12209.15</x:v>
      </x:c>
      <x:c r="Q173" s="90" t="n">
        <x:v>754.24</x:v>
      </x:c>
      <x:c r="R173" s="90" t="n">
        <x:v>0</x:v>
      </x:c>
      <x:c r="S173" s="90" t="n">
        <x:v>0</x:v>
      </x:c>
      <x:c r="T173" s="90" t="n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 t="n">
        <x:v>0</x:v>
      </x:c>
    </x:row>
    <x:row r="174" spans="1:26" ht="12.75" customHeight="1" x14ac:dyDescent="0.2">
      <x:c r="B174" s="89"/>
      <x:c r="C174" s="89"/>
      <x:c r="D174" t="s">
        <x:v>156</x:v>
      </x:c>
      <x:c r="E174" t="s">
        <x:v>70</x:v>
      </x:c>
      <x:c r="F174" s="90" t="n">
        <x:v>65196.81</x:v>
      </x:c>
      <x:c r="G174" s="90" t="n">
        <x:v>6546.6</x:v>
      </x:c>
      <x:c r="H174" s="90" t="n">
        <x:v>3685.14</x:v>
      </x:c>
      <x:c r="I174" s="90" t="n">
        <x:v>1939.87</x:v>
      </x:c>
      <x:c r="J174" s="90" t="n">
        <x:v>12877.56</x:v>
      </x:c>
      <x:c r="K174" s="90" t="n">
        <x:v>462.28</x:v>
      </x:c>
      <x:c r="L174" s="90" t="n">
        <x:v>0</x:v>
      </x:c>
      <x:c r="M174" s="90" t="n">
        <x:v>4054.99</x:v>
      </x:c>
      <x:c r="N174" s="90" t="n">
        <x:v>3960.35</x:v>
      </x:c>
      <x:c r="O174" s="90" t="n">
        <x:v>18706.63</x:v>
      </x:c>
      <x:c r="P174" s="90" t="n">
        <x:v>12209.15</x:v>
      </x:c>
      <x:c r="Q174" s="90" t="n">
        <x:v>754.24</x:v>
      </x:c>
      <x:c r="R174" s="90" t="n">
        <x:v>0</x:v>
      </x:c>
      <x:c r="S174" s="90" t="n">
        <x:v>0</x:v>
      </x:c>
      <x:c r="T174" s="90" t="n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 t="n">
        <x:v>0</x:v>
      </x:c>
    </x:row>
    <x:row r="175" spans="1:26" s="656" customFormat="1" ht="12.75" customHeight="1" x14ac:dyDescent="0.2">
      <x:c r="C175" s="656" t="s">
        <x:v>155</x:v>
      </x:c>
      <x:c r="D175" s="657" t="s">
        <x:v>70</x:v>
      </x:c>
      <x:c r="E175" s="657"/>
      <x:c r="F175" s="658" t="n">
        <x:v>65196.81</x:v>
      </x:c>
      <x:c r="G175" s="658" t="n">
        <x:v>6546.6</x:v>
      </x:c>
      <x:c r="H175" s="658" t="n">
        <x:v>3685.14</x:v>
      </x:c>
      <x:c r="I175" s="658" t="n">
        <x:v>1939.87</x:v>
      </x:c>
      <x:c r="J175" s="658" t="n">
        <x:v>12877.56</x:v>
      </x:c>
      <x:c r="K175" s="658" t="n">
        <x:v>462.28</x:v>
      </x:c>
      <x:c r="L175" s="658" t="n">
        <x:v>0</x:v>
      </x:c>
      <x:c r="M175" s="658" t="n">
        <x:v>4054.99</x:v>
      </x:c>
      <x:c r="N175" s="658" t="n">
        <x:v>3960.35</x:v>
      </x:c>
      <x:c r="O175" s="658" t="n">
        <x:v>18706.63</x:v>
      </x:c>
      <x:c r="P175" s="658" t="n">
        <x:v>12209.15</x:v>
      </x:c>
      <x:c r="Q175" s="658" t="n">
        <x:v>754.24</x:v>
      </x:c>
      <x:c r="R175" s="658" t="n">
        <x:v>0</x:v>
      </x:c>
      <x:c r="S175" s="658" t="n">
        <x:v>0</x:v>
      </x:c>
      <x:c r="T175" s="658" t="n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 t="n">
        <x:v>0</x:v>
      </x:c>
    </x:row>
    <x:row r="176" spans="1:26" ht="12.75" customHeight="1" x14ac:dyDescent="0.2">
      <x:c r="E176" s="89" t="s">
        <x:v>73</x:v>
      </x:c>
      <x:c r="F176" s="90">
        <x:v>0</x:v>
      </x:c>
      <x:c r="G176" s="90">
        <x:v>0</x:v>
      </x:c>
      <x:c r="H176" s="90">
        <x:v>0</x:v>
      </x:c>
      <x:c r="I176" s="90">
        <x:v>0</x:v>
      </x:c>
      <x:c r="J176" s="90">
        <x:v>0</x:v>
      </x:c>
      <x:c r="K176" s="90">
        <x:v>0</x:v>
      </x:c>
      <x:c r="L176" s="90">
        <x:v>0</x:v>
      </x:c>
      <x:c r="M176" s="90">
        <x:v>0</x:v>
      </x:c>
      <x:c r="N176" s="90">
        <x:v>0</x:v>
      </x:c>
      <x:c r="O176" s="90">
        <x:v>0</x:v>
      </x:c>
      <x:c r="P176" s="90">
        <x:v>0</x:v>
      </x:c>
      <x:c r="Q176" s="90">
        <x:v>0</x:v>
      </x:c>
      <x:c r="R176" s="90">
        <x:v>0</x:v>
      </x:c>
      <x:c r="S176" s="90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>
        <x:v>0</x:v>
      </x:c>
    </x:row>
    <x:row r="177" spans="2:26" ht="12.75" customHeight="1" x14ac:dyDescent="0.2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2">
      <x:c r="E178" s="89" t="s">
        <x:v>73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>
        <x:v>0</x:v>
      </x:c>
    </x:row>
    <x:row r="179" spans="2:26" ht="12.75" customHeight="1" x14ac:dyDescent="0.2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2">
      <x:c r="E180" s="89" t="s">
        <x:v>73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2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2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2">
      <x:c r="D183" s="89"/>
      <x:c r="E183" s="89" t="s">
        <x:v>73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2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2">
      <x:c r="D185" s="89"/>
      <x:c r="E185" s="89" t="s">
        <x:v>73</x:v>
      </x:c>
      <x:c r="F185" s="371">
        <x:v>0</x:v>
      </x:c>
      <x:c r="G185" s="90">
        <x:v>0</x:v>
      </x:c>
      <x:c r="H185" s="90">
        <x:v>0</x:v>
      </x:c>
      <x:c r="I185" s="90">
        <x:v>0</x:v>
      </x:c>
      <x:c r="J185" s="90">
        <x:v>0</x:v>
      </x:c>
      <x:c r="K185" s="90">
        <x:v>0</x:v>
      </x:c>
      <x:c r="L185" s="90">
        <x:v>0</x:v>
      </x:c>
      <x:c r="M185" s="90">
        <x:v>0</x:v>
      </x:c>
      <x:c r="N185" s="90">
        <x:v>0</x:v>
      </x:c>
      <x:c r="O185" s="90">
        <x:v>0</x:v>
      </x:c>
      <x:c r="P185" s="90">
        <x:v>0</x:v>
      </x:c>
      <x:c r="Q185" s="90">
        <x:v>0</x:v>
      </x:c>
      <x:c r="R185" s="90">
        <x:v>0</x:v>
      </x:c>
      <x:c r="S185" s="90">
        <x:v>0</x:v>
      </x:c>
      <x:c r="T185" s="90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>
        <x:v>0</x:v>
      </x:c>
    </x:row>
    <x:row r="186" spans="2:26" ht="12.75" customHeight="1" x14ac:dyDescent="0.2">
      <x:c r="D186" s="89" t="s">
        <x:v>86</x:v>
      </x:c>
      <x:c r="E186" s="89" t="s">
        <x:v>70</x:v>
      </x:c>
      <x:c r="F186" s="371">
        <x:v>0</x:v>
      </x:c>
      <x:c r="G186" s="90">
        <x:v>0</x:v>
      </x:c>
      <x:c r="H186" s="90">
        <x:v>0</x:v>
      </x:c>
      <x:c r="I186" s="90">
        <x:v>0</x:v>
      </x:c>
      <x:c r="J186" s="90">
        <x:v>0</x:v>
      </x:c>
      <x:c r="K186" s="90">
        <x:v>0</x:v>
      </x:c>
      <x:c r="L186" s="90">
        <x:v>0</x:v>
      </x:c>
      <x:c r="M186" s="90">
        <x:v>0</x:v>
      </x:c>
      <x:c r="N186" s="90">
        <x:v>0</x:v>
      </x:c>
      <x:c r="O186" s="90">
        <x:v>0</x:v>
      </x:c>
      <x:c r="P186" s="90">
        <x:v>0</x:v>
      </x:c>
      <x:c r="Q186" s="90">
        <x:v>0</x:v>
      </x:c>
      <x:c r="R186" s="90">
        <x:v>0</x:v>
      </x:c>
      <x:c r="S186" s="90">
        <x:v>0</x:v>
      </x:c>
      <x:c r="T186" s="90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>
        <x:v>0</x:v>
      </x:c>
    </x:row>
    <x:row r="187" spans="2:26" x14ac:dyDescent="0.2">
      <x:c r="E187" t="s">
        <x:v>73</x:v>
      </x:c>
      <x:c r="F187" s="90">
        <x:v>0</x:v>
      </x:c>
      <x:c r="G187" s="90">
        <x:v>0</x:v>
      </x:c>
      <x:c r="H187" s="90">
        <x:v>0</x:v>
      </x:c>
      <x:c r="I187" s="90">
        <x:v>0</x:v>
      </x:c>
      <x:c r="J187" s="90">
        <x:v>0</x:v>
      </x:c>
      <x:c r="K187" s="90">
        <x:v>0</x:v>
      </x:c>
      <x:c r="L187" s="90">
        <x:v>0</x:v>
      </x:c>
      <x:c r="M187" s="90">
        <x:v>0</x:v>
      </x:c>
      <x:c r="N187" s="90">
        <x:v>0</x:v>
      </x:c>
      <x:c r="O187" s="90">
        <x:v>0</x:v>
      </x:c>
      <x:c r="P187" s="90">
        <x:v>0</x:v>
      </x:c>
      <x:c r="Q187" s="90">
        <x:v>0</x:v>
      </x:c>
      <x:c r="R187" s="90">
        <x:v>0</x:v>
      </x:c>
      <x:c r="S187" s="90">
        <x:v>0</x:v>
      </x:c>
      <x:c r="T187" s="90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>
        <x:v>0</x:v>
      </x:c>
    </x:row>
    <x:row r="188" spans="2:26" x14ac:dyDescent="0.2">
      <x:c r="D188" t="s">
        <x:v>87</x:v>
      </x:c>
      <x:c r="E188" t="s">
        <x:v>70</x:v>
      </x:c>
      <x:c r="F188" s="90">
        <x:v>0</x:v>
      </x:c>
      <x:c r="G188" s="90">
        <x:v>0</x:v>
      </x:c>
      <x:c r="H188" s="90">
        <x:v>0</x:v>
      </x:c>
      <x:c r="I188" s="90">
        <x:v>0</x:v>
      </x:c>
      <x:c r="J188" s="90">
        <x:v>0</x:v>
      </x:c>
      <x:c r="K188" s="90">
        <x:v>0</x:v>
      </x:c>
      <x:c r="L188" s="90">
        <x:v>0</x:v>
      </x:c>
      <x:c r="M188" s="90">
        <x:v>0</x:v>
      </x:c>
      <x:c r="N188" s="90">
        <x:v>0</x:v>
      </x:c>
      <x:c r="O188" s="90">
        <x:v>0</x:v>
      </x:c>
      <x:c r="P188" s="90">
        <x:v>0</x:v>
      </x:c>
      <x:c r="Q188" s="90">
        <x:v>0</x:v>
      </x:c>
      <x:c r="R188" s="90">
        <x:v>0</x:v>
      </x:c>
      <x:c r="S188" s="90">
        <x:v>0</x:v>
      </x:c>
      <x:c r="T188" s="90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>
        <x:v>0</x:v>
      </x:c>
    </x:row>
    <x:row r="189" spans="2:26" s="94" customFormat="1" ht="12.75" customHeight="1" x14ac:dyDescent="0.2">
      <x:c r="C189" s="94" t="s">
        <x:v>119</x:v>
      </x:c>
      <x:c r="D189" s="94" t="s">
        <x:v>70</x:v>
      </x:c>
      <x:c r="E189" s="101"/>
      <x:c r="F189" s="93">
        <x:v>0</x:v>
      </x:c>
      <x:c r="G189" s="93">
        <x:v>0</x:v>
      </x:c>
      <x:c r="H189" s="93">
        <x:v>0</x:v>
      </x:c>
      <x:c r="I189" s="93">
        <x:v>0</x:v>
      </x:c>
      <x:c r="J189" s="93">
        <x:v>0</x:v>
      </x:c>
      <x:c r="K189" s="93">
        <x:v>0</x:v>
      </x:c>
      <x:c r="L189" s="93">
        <x:v>0</x:v>
      </x:c>
      <x:c r="M189" s="93">
        <x:v>0</x:v>
      </x:c>
      <x:c r="N189" s="93">
        <x:v>0</x:v>
      </x:c>
      <x:c r="O189" s="93">
        <x:v>0</x:v>
      </x:c>
      <x:c r="P189" s="93">
        <x:v>0</x:v>
      </x:c>
      <x:c r="Q189" s="93">
        <x:v>0</x:v>
      </x:c>
      <x:c r="R189" s="93">
        <x:v>0</x:v>
      </x:c>
      <x:c r="S189" s="93">
        <x:v>0</x:v>
      </x:c>
      <x:c r="T189" s="93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>
        <x:v>0</x:v>
      </x:c>
    </x:row>
    <x:row r="190" spans="2:26" s="378" customFormat="1" ht="12.75" customHeight="1" x14ac:dyDescent="0.2">
      <x:c r="B190" s="378" t="s">
        <x:v>122</x:v>
      </x:c>
      <x:c r="C190" s="378" t="s">
        <x:v>70</x:v>
      </x:c>
      <x:c r="E190" s="376"/>
      <x:c r="F190" s="710" t="n">
        <x:v>65196.81</x:v>
      </x:c>
      <x:c r="G190" s="377" t="n">
        <x:v>6546.6</x:v>
      </x:c>
      <x:c r="H190" s="377" t="n">
        <x:v>3685.14</x:v>
      </x:c>
      <x:c r="I190" s="377" t="n">
        <x:v>1939.87</x:v>
      </x:c>
      <x:c r="J190" s="377" t="n">
        <x:v>12877.56</x:v>
      </x:c>
      <x:c r="K190" s="377" t="n">
        <x:v>462.28</x:v>
      </x:c>
      <x:c r="L190" s="377" t="n">
        <x:v>0</x:v>
      </x:c>
      <x:c r="M190" s="377" t="n">
        <x:v>4054.99</x:v>
      </x:c>
      <x:c r="N190" s="377" t="n">
        <x:v>3960.35</x:v>
      </x:c>
      <x:c r="O190" s="377" t="n">
        <x:v>18706.63</x:v>
      </x:c>
      <x:c r="P190" s="377" t="n">
        <x:v>12209.15</x:v>
      </x:c>
      <x:c r="Q190" s="377" t="n">
        <x:v>754.24</x:v>
      </x:c>
      <x:c r="R190" s="377" t="n">
        <x:v>0</x:v>
      </x:c>
      <x:c r="S190" s="377" t="n">
        <x:v>0</x:v>
      </x:c>
      <x:c r="T190" s="377" t="n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 t="n">
        <x:v>0</x:v>
      </x:c>
    </x:row>
    <x:row r="191" spans="2:26" ht="12.75" customHeight="1" x14ac:dyDescent="0.2">
      <x:c r="E191" s="89" t="s">
        <x:v>73</x:v>
      </x:c>
      <x:c r="F191" s="90" t="n">
        <x:v>-5574513313.02</x:v>
      </x:c>
      <x:c r="G191" s="90" t="n">
        <x:v>-142587049.96</x:v>
      </x:c>
      <x:c r="H191" s="90" t="n">
        <x:v>-77260837.58</x:v>
      </x:c>
      <x:c r="I191" s="90" t="n">
        <x:v>-40078326.58</x:v>
      </x:c>
      <x:c r="J191" s="90" t="n">
        <x:v>-1659794200.48</x:v>
      </x:c>
      <x:c r="K191" s="90" t="n">
        <x:v>-55669891.31</x:v>
      </x:c>
      <x:c r="L191" s="90" t="n">
        <x:v>0</x:v>
      </x:c>
      <x:c r="M191" s="90" t="n">
        <x:v>-488402705.69</x:v>
      </x:c>
      <x:c r="N191" s="90" t="n">
        <x:v>-486403545.59</x:v>
      </x:c>
      <x:c r="O191" s="90" t="n">
        <x:v>-2258121879.65</x:v>
      </x:c>
      <x:c r="P191" s="90" t="n">
        <x:v>-275363801.76</x:v>
      </x:c>
      <x:c r="Q191" s="90" t="n">
        <x:v>-90831074.42</x:v>
      </x:c>
      <x:c r="R191" s="90" t="n">
        <x:v>0</x:v>
      </x:c>
      <x:c r="S191" s="90" t="n">
        <x:v>0</x:v>
      </x:c>
      <x:c r="T191" s="90" t="n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 t="n">
        <x:v>0</x:v>
      </x:c>
    </x:row>
    <x:row r="192" spans="2:26" ht="12.75" customHeight="1" x14ac:dyDescent="0.2">
      <x:c r="D192" s="89" t="s">
        <x:v>156</x:v>
      </x:c>
      <x:c r="E192" s="89" t="s">
        <x:v>70</x:v>
      </x:c>
      <x:c r="F192" s="90" t="n">
        <x:v>-5574513313.02</x:v>
      </x:c>
      <x:c r="G192" s="90" t="n">
        <x:v>-142587049.96</x:v>
      </x:c>
      <x:c r="H192" s="90" t="n">
        <x:v>-77260837.58</x:v>
      </x:c>
      <x:c r="I192" s="90" t="n">
        <x:v>-40078326.58</x:v>
      </x:c>
      <x:c r="J192" s="90" t="n">
        <x:v>-1659794200.48</x:v>
      </x:c>
      <x:c r="K192" s="90" t="n">
        <x:v>-55669891.31</x:v>
      </x:c>
      <x:c r="L192" s="90" t="n">
        <x:v>0</x:v>
      </x:c>
      <x:c r="M192" s="90" t="n">
        <x:v>-488402705.69</x:v>
      </x:c>
      <x:c r="N192" s="90" t="n">
        <x:v>-486403545.59</x:v>
      </x:c>
      <x:c r="O192" s="90" t="n">
        <x:v>-2258121879.65</x:v>
      </x:c>
      <x:c r="P192" s="90" t="n">
        <x:v>-275363801.76</x:v>
      </x:c>
      <x:c r="Q192" s="90" t="n">
        <x:v>-90831074.42</x:v>
      </x:c>
      <x:c r="R192" s="90" t="n">
        <x:v>0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2:26" s="656" customFormat="1" ht="12.75" customHeight="1" x14ac:dyDescent="0.2">
      <x:c r="C193" s="656" t="s">
        <x:v>155</x:v>
      </x:c>
      <x:c r="D193" s="657" t="s">
        <x:v>70</x:v>
      </x:c>
      <x:c r="E193" s="657"/>
      <x:c r="F193" s="738" t="n">
        <x:v>-5574513313.02</x:v>
      </x:c>
      <x:c r="G193" s="658" t="n">
        <x:v>-142587049.96</x:v>
      </x:c>
      <x:c r="H193" s="658" t="n">
        <x:v>-77260837.58</x:v>
      </x:c>
      <x:c r="I193" s="658" t="n">
        <x:v>-40078326.58</x:v>
      </x:c>
      <x:c r="J193" s="658" t="n">
        <x:v>-1659794200.48</x:v>
      </x:c>
      <x:c r="K193" s="658" t="n">
        <x:v>-55669891.31</x:v>
      </x:c>
      <x:c r="L193" s="658" t="n">
        <x:v>0</x:v>
      </x:c>
      <x:c r="M193" s="658" t="n">
        <x:v>-488402705.69</x:v>
      </x:c>
      <x:c r="N193" s="658" t="n">
        <x:v>-486403545.59</x:v>
      </x:c>
      <x:c r="O193" s="658" t="n">
        <x:v>-2258121879.65</x:v>
      </x:c>
      <x:c r="P193" s="658" t="n">
        <x:v>-275363801.76</x:v>
      </x:c>
      <x:c r="Q193" s="658" t="n">
        <x:v>-90831074.42</x:v>
      </x:c>
      <x:c r="R193" s="658" t="n">
        <x:v>0</x:v>
      </x:c>
      <x:c r="S193" s="658" t="n">
        <x:v>0</x:v>
      </x:c>
      <x:c r="T193" s="658" t="n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 t="n">
        <x:v>0</x:v>
      </x:c>
    </x:row>
    <x:row r="194" spans="2:26" ht="12.75" customHeight="1" x14ac:dyDescent="0.2">
      <x:c r="D194" s="89"/>
      <x:c r="E194" s="89" t="s">
        <x:v>73</x:v>
      </x:c>
      <x:c r="F194" s="371" t="n">
        <x:v>364711.62</x:v>
      </x:c>
      <x:c r="G194" s="90" t="n">
        <x:v>42523.37</x:v>
      </x:c>
      <x:c r="H194" s="90" t="n">
        <x:v>19399.8</x:v>
      </x:c>
      <x:c r="I194" s="90" t="n">
        <x:v>11145.84</x:v>
      </x:c>
      <x:c r="J194" s="90" t="n">
        <x:v>76488.73</x:v>
      </x:c>
      <x:c r="K194" s="90" t="n">
        <x:v>1644.02</x:v>
      </x:c>
      <x:c r="L194" s="90" t="n">
        <x:v>0</x:v>
      </x:c>
      <x:c r="M194" s="90" t="n">
        <x:v>14420.95</x:v>
      </x:c>
      <x:c r="N194" s="90" t="n">
        <x:v>19608.24</x:v>
      </x:c>
      <x:c r="O194" s="90" t="n">
        <x:v>91459.93</x:v>
      </x:c>
      <x:c r="P194" s="90" t="n">
        <x:v>85338.37</x:v>
      </x:c>
      <x:c r="Q194" s="90" t="n">
        <x:v>2682.37</x:v>
      </x:c>
      <x:c r="R194" s="90" t="n">
        <x:v>0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0</x:v>
      </x:c>
    </x:row>
    <x:row r="195" spans="2:26" ht="12.75" customHeight="1" x14ac:dyDescent="0.2">
      <x:c r="D195" s="89" t="s">
        <x:v>115</x:v>
      </x:c>
      <x:c r="E195" s="89" t="s">
        <x:v>70</x:v>
      </x:c>
      <x:c r="F195" s="371" t="n">
        <x:v>364711.62</x:v>
      </x:c>
      <x:c r="G195" s="90" t="n">
        <x:v>42523.37</x:v>
      </x:c>
      <x:c r="H195" s="90" t="n">
        <x:v>19399.8</x:v>
      </x:c>
      <x:c r="I195" s="90" t="n">
        <x:v>11145.84</x:v>
      </x:c>
      <x:c r="J195" s="90" t="n">
        <x:v>76488.73</x:v>
      </x:c>
      <x:c r="K195" s="90" t="n">
        <x:v>1644.02</x:v>
      </x:c>
      <x:c r="L195" s="90" t="n">
        <x:v>0</x:v>
      </x:c>
      <x:c r="M195" s="90" t="n">
        <x:v>14420.95</x:v>
      </x:c>
      <x:c r="N195" s="90" t="n">
        <x:v>19608.24</x:v>
      </x:c>
      <x:c r="O195" s="90" t="n">
        <x:v>91459.93</x:v>
      </x:c>
      <x:c r="P195" s="90" t="n">
        <x:v>85338.37</x:v>
      </x:c>
      <x:c r="Q195" s="90" t="n">
        <x:v>2682.37</x:v>
      </x:c>
      <x:c r="R195" s="90" t="n">
        <x:v>0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2:26" ht="12.75" customHeight="1" x14ac:dyDescent="0.2">
      <x:c r="D196" s="89"/>
      <x:c r="E196" s="89" t="s">
        <x:v>73</x:v>
      </x:c>
      <x:c r="F196" s="371" t="n">
        <x:v>-12716.22</x:v>
      </x:c>
      <x:c r="G196" s="90" t="n">
        <x:v>-696.42</x:v>
      </x:c>
      <x:c r="H196" s="90" t="n">
        <x:v>-320.42</x:v>
      </x:c>
      <x:c r="I196" s="90" t="n">
        <x:v>-174.1</x:v>
      </x:c>
      <x:c r="J196" s="90" t="n">
        <x:v>-3726.43</x:v>
      </x:c>
      <x:c r="K196" s="90" t="n">
        <x:v>-89.68</x:v>
      </x:c>
      <x:c r="L196" s="90" t="n">
        <x:v>0</x:v>
      </x:c>
      <x:c r="M196" s="90" t="n">
        <x:v>-786.79</x:v>
      </x:c>
      <x:c r="N196" s="90" t="n">
        <x:v>-977.8</x:v>
      </x:c>
      <x:c r="O196" s="90" t="n">
        <x:v>-4383.22</x:v>
      </x:c>
      <x:c r="P196" s="90" t="n">
        <x:v>-1415.01</x:v>
      </x:c>
      <x:c r="Q196" s="90" t="n">
        <x:v>-146.35</x:v>
      </x:c>
      <x:c r="R196" s="90" t="n">
        <x:v>0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2:26" ht="12.75" customHeight="1" x14ac:dyDescent="0.2">
      <x:c r="D197" s="89" t="s">
        <x:v>116</x:v>
      </x:c>
      <x:c r="E197" s="89" t="s">
        <x:v>70</x:v>
      </x:c>
      <x:c r="F197" s="371" t="n">
        <x:v>-12716.22</x:v>
      </x:c>
      <x:c r="G197" s="90" t="n">
        <x:v>-696.42</x:v>
      </x:c>
      <x:c r="H197" s="90" t="n">
        <x:v>-320.42</x:v>
      </x:c>
      <x:c r="I197" s="90" t="n">
        <x:v>-174.1</x:v>
      </x:c>
      <x:c r="J197" s="90" t="n">
        <x:v>-3726.43</x:v>
      </x:c>
      <x:c r="K197" s="90" t="n">
        <x:v>-89.68</x:v>
      </x:c>
      <x:c r="L197" s="90" t="n">
        <x:v>0</x:v>
      </x:c>
      <x:c r="M197" s="90" t="n">
        <x:v>-786.79</x:v>
      </x:c>
      <x:c r="N197" s="90" t="n">
        <x:v>-977.8</x:v>
      </x:c>
      <x:c r="O197" s="90" t="n">
        <x:v>-4383.22</x:v>
      </x:c>
      <x:c r="P197" s="90" t="n">
        <x:v>-1415.01</x:v>
      </x:c>
      <x:c r="Q197" s="90" t="n">
        <x:v>-146.35</x:v>
      </x:c>
      <x:c r="R197" s="90" t="n">
        <x:v>0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2:26" ht="12.75" customHeight="1" x14ac:dyDescent="0.2">
      <x:c r="E198" s="89" t="s">
        <x:v>73</x:v>
      </x:c>
      <x:c r="F198" s="90" t="n">
        <x:v>-2486822.73</x:v>
      </x:c>
      <x:c r="G198" s="90" t="n">
        <x:v>-85228.71</x:v>
      </x:c>
      <x:c r="H198" s="90" t="n">
        <x:v>-47226.25</x:v>
      </x:c>
      <x:c r="I198" s="90" t="n">
        <x:v>-25296.05</x:v>
      </x:c>
      <x:c r="J198" s="90" t="n">
        <x:v>-681872.95</x:v>
      </x:c>
      <x:c r="K198" s="90" t="n">
        <x:v>-24041.32</x:v>
      </x:c>
      <x:c r="L198" s="90" t="n">
        <x:v>0</x:v>
      </x:c>
      <x:c r="M198" s="90" t="n">
        <x:v>-210886.27</x:v>
      </x:c>
      <x:c r="N198" s="90" t="n">
        <x:v>-212027.1</x:v>
      </x:c>
      <x:c r="O198" s="90" t="n">
        <x:v>-999338.13</x:v>
      </x:c>
      <x:c r="P198" s="90" t="n">
        <x:v>-161680.99</x:v>
      </x:c>
      <x:c r="Q198" s="90" t="n">
        <x:v>-39224.96</x:v>
      </x:c>
      <x:c r="R198" s="90" t="n">
        <x:v>0</x:v>
      </x:c>
      <x:c r="S198" s="90" t="n">
        <x:v>0</x:v>
      </x:c>
      <x:c r="T198" s="90" t="n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 t="n">
        <x:v>0</x:v>
      </x:c>
    </x:row>
    <x:row r="199" spans="2:26" ht="12.75" customHeight="1" x14ac:dyDescent="0.2">
      <x:c r="D199" s="89" t="s">
        <x:v>118</x:v>
      </x:c>
      <x:c r="E199" s="89" t="s">
        <x:v>70</x:v>
      </x:c>
      <x:c r="F199" s="90" t="n">
        <x:v>-2486822.73</x:v>
      </x:c>
      <x:c r="G199" s="90" t="n">
        <x:v>-85228.71</x:v>
      </x:c>
      <x:c r="H199" s="90" t="n">
        <x:v>-47226.25</x:v>
      </x:c>
      <x:c r="I199" s="90" t="n">
        <x:v>-25296.05</x:v>
      </x:c>
      <x:c r="J199" s="90" t="n">
        <x:v>-681872.95</x:v>
      </x:c>
      <x:c r="K199" s="90" t="n">
        <x:v>-24041.32</x:v>
      </x:c>
      <x:c r="L199" s="90" t="n">
        <x:v>0</x:v>
      </x:c>
      <x:c r="M199" s="90" t="n">
        <x:v>-210886.27</x:v>
      </x:c>
      <x:c r="N199" s="90" t="n">
        <x:v>-212027.1</x:v>
      </x:c>
      <x:c r="O199" s="90" t="n">
        <x:v>-999338.13</x:v>
      </x:c>
      <x:c r="P199" s="90" t="n">
        <x:v>-161680.99</x:v>
      </x:c>
      <x:c r="Q199" s="90" t="n">
        <x:v>-39224.96</x:v>
      </x:c>
      <x:c r="R199" s="90" t="n">
        <x:v>0</x:v>
      </x:c>
      <x:c r="S199" s="90" t="n">
        <x:v>0</x:v>
      </x:c>
      <x:c r="T199" s="90" t="n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 t="n">
        <x:v>0</x:v>
      </x:c>
    </x:row>
    <x:row r="200" spans="2:26" s="224" customFormat="1" ht="12.75" customHeight="1" x14ac:dyDescent="0.2">
      <x:c r="C200" s="223" t="s">
        <x:v>120</x:v>
      </x:c>
      <x:c r="D200" s="223" t="s">
        <x:v>70</x:v>
      </x:c>
      <x:c r="F200" s="225" t="n">
        <x:v>-2134827.33</x:v>
      </x:c>
      <x:c r="G200" s="225" t="n">
        <x:v>-43401.76</x:v>
      </x:c>
      <x:c r="H200" s="225" t="n">
        <x:v>-28146.87</x:v>
      </x:c>
      <x:c r="I200" s="225" t="n">
        <x:v>-14324.31</x:v>
      </x:c>
      <x:c r="J200" s="225" t="n">
        <x:v>-609110.65</x:v>
      </x:c>
      <x:c r="K200" s="225" t="n">
        <x:v>-22486.98</x:v>
      </x:c>
      <x:c r="L200" s="225" t="n">
        <x:v>0</x:v>
      </x:c>
      <x:c r="M200" s="225" t="n">
        <x:v>-197252.11</x:v>
      </x:c>
      <x:c r="N200" s="225" t="n">
        <x:v>-193396.66</x:v>
      </x:c>
      <x:c r="O200" s="225" t="n">
        <x:v>-912261.42</x:v>
      </x:c>
      <x:c r="P200" s="225" t="n">
        <x:v>-77757.63</x:v>
      </x:c>
      <x:c r="Q200" s="225" t="n">
        <x:v>-36688.94</x:v>
      </x:c>
      <x:c r="R200" s="225" t="n">
        <x:v>0</x:v>
      </x:c>
      <x:c r="S200" s="225" t="n">
        <x:v>0</x:v>
      </x:c>
      <x:c r="T200" s="225" t="n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 t="n">
        <x:v>0</x:v>
      </x:c>
    </x:row>
    <x:row r="201" spans="2:26" ht="12.75" customHeight="1" x14ac:dyDescent="0.2">
      <x:c r="E201" s="89" t="s">
        <x:v>73</x:v>
      </x:c>
      <x:c r="F201" s="90" t="n">
        <x:v>-88320395.32</x:v>
      </x:c>
      <x:c r="G201" s="90" t="n">
        <x:v>2427279.77</x:v>
      </x:c>
      <x:c r="H201" s="90" t="n">
        <x:v>1456596.47</x:v>
      </x:c>
      <x:c r="I201" s="90" t="n">
        <x:v>802018.26</x:v>
      </x:c>
      <x:c r="J201" s="90" t="n">
        <x:v>-32051889.67</x:v>
      </x:c>
      <x:c r="K201" s="90" t="n">
        <x:v>-806848.78</x:v>
      </x:c>
      <x:c r="L201" s="90" t="n">
        <x:v>0</x:v>
      </x:c>
      <x:c r="M201" s="90" t="n">
        <x:v>-7090187.22</x:v>
      </x:c>
      <x:c r="N201" s="90" t="n">
        <x:v>-9935609.32</x:v>
      </x:c>
      <x:c r="O201" s="90" t="n">
        <x:v>-46910576.28</x:v>
      </x:c>
      <x:c r="P201" s="90" t="n">
        <x:v>5106300</x:v>
      </x:c>
      <x:c r="Q201" s="90" t="n">
        <x:v>-1317478.55</x:v>
      </x:c>
      <x:c r="R201" s="90" t="n">
        <x:v>0</x:v>
      </x:c>
      <x:c r="S201" s="90" t="n">
        <x:v>0</x:v>
      </x:c>
      <x:c r="T201" s="90" t="n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 t="n">
        <x:v>0</x:v>
      </x:c>
    </x:row>
    <x:row r="202" spans="2:26" ht="12.75" customHeight="1" x14ac:dyDescent="0.2">
      <x:c r="D202" s="89" t="s">
        <x:v>82</x:v>
      </x:c>
      <x:c r="E202" s="89" t="s">
        <x:v>70</x:v>
      </x:c>
      <x:c r="F202" s="90" t="n">
        <x:v>-88320395.32</x:v>
      </x:c>
      <x:c r="G202" s="90" t="n">
        <x:v>2427279.77</x:v>
      </x:c>
      <x:c r="H202" s="90" t="n">
        <x:v>1456596.47</x:v>
      </x:c>
      <x:c r="I202" s="90" t="n">
        <x:v>802018.26</x:v>
      </x:c>
      <x:c r="J202" s="90" t="n">
        <x:v>-32051889.67</x:v>
      </x:c>
      <x:c r="K202" s="90" t="n">
        <x:v>-806848.78</x:v>
      </x:c>
      <x:c r="L202" s="90" t="n">
        <x:v>0</x:v>
      </x:c>
      <x:c r="M202" s="90" t="n">
        <x:v>-7090187.22</x:v>
      </x:c>
      <x:c r="N202" s="90" t="n">
        <x:v>-9935609.32</x:v>
      </x:c>
      <x:c r="O202" s="90" t="n">
        <x:v>-46910576.28</x:v>
      </x:c>
      <x:c r="P202" s="90" t="n">
        <x:v>5106300</x:v>
      </x:c>
      <x:c r="Q202" s="90" t="n">
        <x:v>-1317478.55</x:v>
      </x:c>
      <x:c r="R202" s="90" t="n">
        <x:v>0</x:v>
      </x:c>
      <x:c r="S202" s="90" t="n">
        <x:v>0</x:v>
      </x:c>
      <x:c r="T202" s="90" t="n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 t="n">
        <x:v>0</x:v>
      </x:c>
    </x:row>
    <x:row r="203" spans="2:26" ht="12.75" customHeight="1" x14ac:dyDescent="0.2">
      <x:c r="E203" s="89" t="s">
        <x:v>73</x:v>
      </x:c>
      <x:c r="F203" s="90" t="n">
        <x:v>33440247</x:v>
      </x:c>
      <x:c r="G203" s="90" t="n">
        <x:v>11940858.26</x:v>
      </x:c>
      <x:c r="H203" s="90" t="n">
        <x:v>6716518.69</x:v>
      </x:c>
      <x:c r="I203" s="90" t="n">
        <x:v>3546778.51</x:v>
      </x:c>
      <x:c r="J203" s="90" t="n">
        <x:v>-4143518.02</x:v>
      </x:c>
      <x:c r="K203" s="90" t="n">
        <x:v>-120856.49</x:v>
      </x:c>
      <x:c r="L203" s="90" t="n">
        <x:v>0</x:v>
      </x:c>
      <x:c r="M203" s="90" t="n">
        <x:v>-1063481.62</x:v>
      </x:c>
      <x:c r="N203" s="90" t="n">
        <x:v>-1252132.37</x:v>
      </x:c>
      <x:c r="O203" s="90" t="n">
        <x:v>-5903053.44</x:v>
      </x:c>
      <x:c r="P203" s="90" t="n">
        <x:v>23916725.73</x:v>
      </x:c>
      <x:c r="Q203" s="90" t="n">
        <x:v>-197592.25</x:v>
      </x:c>
      <x:c r="R203" s="90" t="n">
        <x:v>0</x:v>
      </x:c>
      <x:c r="S203" s="90" t="n">
        <x:v>0</x:v>
      </x:c>
      <x:c r="T203" s="90" t="n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 t="n">
        <x:v>0</x:v>
      </x:c>
    </x:row>
    <x:row r="204" spans="2:26" ht="12.75" customHeight="1" x14ac:dyDescent="0.2">
      <x:c r="D204" s="89" t="s">
        <x:v>86</x:v>
      </x:c>
      <x:c r="E204" s="89" t="s">
        <x:v>70</x:v>
      </x:c>
      <x:c r="F204" s="90" t="n">
        <x:v>33440247</x:v>
      </x:c>
      <x:c r="G204" s="90" t="n">
        <x:v>11940858.26</x:v>
      </x:c>
      <x:c r="H204" s="90" t="n">
        <x:v>6716518.69</x:v>
      </x:c>
      <x:c r="I204" s="90" t="n">
        <x:v>3546778.51</x:v>
      </x:c>
      <x:c r="J204" s="90" t="n">
        <x:v>-4143518.02</x:v>
      </x:c>
      <x:c r="K204" s="90" t="n">
        <x:v>-120856.49</x:v>
      </x:c>
      <x:c r="L204" s="90" t="n">
        <x:v>0</x:v>
      </x:c>
      <x:c r="M204" s="90" t="n">
        <x:v>-1063481.62</x:v>
      </x:c>
      <x:c r="N204" s="90" t="n">
        <x:v>-1252132.37</x:v>
      </x:c>
      <x:c r="O204" s="90" t="n">
        <x:v>-5903053.44</x:v>
      </x:c>
      <x:c r="P204" s="90" t="n">
        <x:v>23916725.73</x:v>
      </x:c>
      <x:c r="Q204" s="90" t="n">
        <x:v>-197592.25</x:v>
      </x:c>
      <x:c r="R204" s="90" t="n">
        <x:v>0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2:26" ht="12.75" customHeight="1" x14ac:dyDescent="0.2">
      <x:c r="E205" s="89" t="s">
        <x:v>73</x:v>
      </x:c>
      <x:c r="F205" s="90" t="n">
        <x:v>171093180.79</x:v>
      </x:c>
      <x:c r="G205" s="90" t="n">
        <x:v>43534891.73</x:v>
      </x:c>
      <x:c r="H205" s="90" t="n">
        <x:v>24590894.77</x:v>
      </x:c>
      <x:c r="I205" s="90" t="n">
        <x:v>13001647.11</x:v>
      </x:c>
      <x:c r="J205" s="90" t="n">
        <x:v>1105193.25</x:v>
      </x:c>
      <x:c r="K205" s="90" t="n">
        <x:v>22819.35</x:v>
      </x:c>
      <x:c r="L205" s="90" t="n">
        <x:v>0</x:v>
      </x:c>
      <x:c r="M205" s="90" t="n">
        <x:v>199843.49</x:v>
      </x:c>
      <x:c r="N205" s="90" t="n">
        <x:v>289515.46</x:v>
      </x:c>
      <x:c r="O205" s="90" t="n">
        <x:v>1194847.71</x:v>
      </x:c>
      <x:c r="P205" s="90" t="n">
        <x:v>87116178.75</x:v>
      </x:c>
      <x:c r="Q205" s="90" t="n">
        <x:v>37349.17</x:v>
      </x:c>
      <x:c r="R205" s="90" t="n">
        <x:v>0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2:26" ht="12.75" customHeight="1" x14ac:dyDescent="0.2">
      <x:c r="D206" s="89" t="s">
        <x:v>87</x:v>
      </x:c>
      <x:c r="E206" s="89" t="s">
        <x:v>70</x:v>
      </x:c>
      <x:c r="F206" s="90" t="n">
        <x:v>171093180.79</x:v>
      </x:c>
      <x:c r="G206" s="90" t="n">
        <x:v>43534891.73</x:v>
      </x:c>
      <x:c r="H206" s="90" t="n">
        <x:v>24590894.77</x:v>
      </x:c>
      <x:c r="I206" s="90" t="n">
        <x:v>13001647.11</x:v>
      </x:c>
      <x:c r="J206" s="90" t="n">
        <x:v>1105193.25</x:v>
      </x:c>
      <x:c r="K206" s="90" t="n">
        <x:v>22819.35</x:v>
      </x:c>
      <x:c r="L206" s="90" t="n">
        <x:v>0</x:v>
      </x:c>
      <x:c r="M206" s="90" t="n">
        <x:v>199843.49</x:v>
      </x:c>
      <x:c r="N206" s="90" t="n">
        <x:v>289515.46</x:v>
      </x:c>
      <x:c r="O206" s="90" t="n">
        <x:v>1194847.71</x:v>
      </x:c>
      <x:c r="P206" s="90" t="n">
        <x:v>87116178.75</x:v>
      </x:c>
      <x:c r="Q206" s="90" t="n">
        <x:v>37349.17</x:v>
      </x:c>
      <x:c r="R206" s="90" t="n">
        <x:v>0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2:26" s="94" customFormat="1" ht="12.75" customHeight="1" x14ac:dyDescent="0.2">
      <x:c r="C207" s="101" t="s">
        <x:v>119</x:v>
      </x:c>
      <x:c r="D207" s="101" t="s">
        <x:v>70</x:v>
      </x:c>
      <x:c r="F207" s="93" t="n">
        <x:v>116213032.47</x:v>
      </x:c>
      <x:c r="G207" s="93" t="n">
        <x:v>57903029.76</x:v>
      </x:c>
      <x:c r="H207" s="93" t="n">
        <x:v>32764009.93</x:v>
      </x:c>
      <x:c r="I207" s="93" t="n">
        <x:v>17350443.88</x:v>
      </x:c>
      <x:c r="J207" s="93" t="n">
        <x:v>-35090214.44</x:v>
      </x:c>
      <x:c r="K207" s="93" t="n">
        <x:v>-904885.92</x:v>
      </x:c>
      <x:c r="L207" s="93" t="n">
        <x:v>0</x:v>
      </x:c>
      <x:c r="M207" s="93" t="n">
        <x:v>-7953825.35</x:v>
      </x:c>
      <x:c r="N207" s="93" t="n">
        <x:v>-10898226.23</x:v>
      </x:c>
      <x:c r="O207" s="93" t="n">
        <x:v>-51618782.01</x:v>
      </x:c>
      <x:c r="P207" s="93" t="n">
        <x:v>116139204.48</x:v>
      </x:c>
      <x:c r="Q207" s="93" t="n">
        <x:v>-1477721.63</x:v>
      </x:c>
      <x:c r="R207" s="93" t="n">
        <x:v>0</x:v>
      </x:c>
      <x:c r="S207" s="93" t="n">
        <x:v>0</x:v>
      </x:c>
      <x:c r="T207" s="93" t="n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 t="n">
        <x:v>0</x:v>
      </x:c>
    </x:row>
    <x:row r="208" spans="2:26" s="226" customFormat="1" ht="12.75" customHeight="1" x14ac:dyDescent="0.2">
      <x:c r="B208" s="98" t="s">
        <x:v>112</x:v>
      </x:c>
      <x:c r="C208" s="98" t="s">
        <x:v>70</x:v>
      </x:c>
      <x:c r="F208" s="100" t="n">
        <x:v>-5460435107.88</x:v>
      </x:c>
      <x:c r="G208" s="100" t="n">
        <x:v>-84727421.96</x:v>
      </x:c>
      <x:c r="H208" s="100" t="n">
        <x:v>-44524974.52</x:v>
      </x:c>
      <x:c r="I208" s="100" t="n">
        <x:v>-22742207.01</x:v>
      </x:c>
      <x:c r="J208" s="100" t="n">
        <x:v>-1695493525.57</x:v>
      </x:c>
      <x:c r="K208" s="100" t="n">
        <x:v>-56597264.21</x:v>
      </x:c>
      <x:c r="L208" s="100" t="n">
        <x:v>0</x:v>
      </x:c>
      <x:c r="M208" s="100" t="n">
        <x:v>-496553783.15</x:v>
      </x:c>
      <x:c r="N208" s="100" t="n">
        <x:v>-497495168.48</x:v>
      </x:c>
      <x:c r="O208" s="100" t="n">
        <x:v>-2310652923.08</x:v>
      </x:c>
      <x:c r="P208" s="100" t="n">
        <x:v>-159302354.91</x:v>
      </x:c>
      <x:c r="Q208" s="100" t="n">
        <x:v>-92345484.99</x:v>
      </x:c>
      <x:c r="R208" s="100" t="n">
        <x:v>0</x:v>
      </x:c>
      <x:c r="S208" s="100" t="n">
        <x:v>0</x:v>
      </x:c>
      <x:c r="T208" s="100" t="n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 t="n">
        <x:v>0</x:v>
      </x:c>
    </x:row>
    <x:row r="209" spans="1:26" ht="12.75" customHeight="1" x14ac:dyDescent="0.2">
      <x:c r="A209" s="89" t="s">
        <x:v>79</x:v>
      </x:c>
      <x:c r="B209" s="89" t="s">
        <x:v>70</x:v>
      </x:c>
      <x:c r="F209" s="90" t="n">
        <x:v>-5460369911.07</x:v>
      </x:c>
      <x:c r="G209" s="90" t="n">
        <x:v>-84720875.36</x:v>
      </x:c>
      <x:c r="H209" s="90" t="n">
        <x:v>-44521289.38</x:v>
      </x:c>
      <x:c r="I209" s="90" t="n">
        <x:v>-22740267.14</x:v>
      </x:c>
      <x:c r="J209" s="90" t="n">
        <x:v>-1695480648.01</x:v>
      </x:c>
      <x:c r="K209" s="90" t="n">
        <x:v>-56596801.93</x:v>
      </x:c>
      <x:c r="L209" s="90" t="n">
        <x:v>0</x:v>
      </x:c>
      <x:c r="M209" s="90" t="n">
        <x:v>-496549728.16</x:v>
      </x:c>
      <x:c r="N209" s="90" t="n">
        <x:v>-497491208.13</x:v>
      </x:c>
      <x:c r="O209" s="90" t="n">
        <x:v>-2310634216.45</x:v>
      </x:c>
      <x:c r="P209" s="90" t="n">
        <x:v>-159290145.76</x:v>
      </x:c>
      <x:c r="Q209" s="90" t="n">
        <x:v>-92344730.75</x:v>
      </x:c>
      <x:c r="R209" s="90" t="n">
        <x:v>0</x:v>
      </x:c>
      <x:c r="S209" s="90" t="n">
        <x:v>0</x:v>
      </x:c>
      <x:c r="T209" s="90" t="n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 t="n">
        <x:v>0</x:v>
      </x:c>
    </x:row>
    <x:row r="210" spans="1:26" ht="12.75" customHeight="1" x14ac:dyDescent="0.2">
      <x:c r="A210" s="89" t="s">
        <x:v>70</x:v>
      </x:c>
      <x:c r="F210" s="90" t="n">
        <x:v>21530185865.78</x:v>
      </x:c>
      <x:c r="G210" s="90" t="n">
        <x:v>1562988446.03</x:v>
      </x:c>
      <x:c r="H210" s="90" t="n">
        <x:v>875045597.99</x:v>
      </x:c>
      <x:c r="I210" s="90" t="n">
        <x:v>457639859.57</x:v>
      </x:c>
      <x:c r="J210" s="90" t="n">
        <x:v>5105822742.69</x:v>
      </x:c>
      <x:c r="K210" s="90" t="n">
        <x:v>168708125.17</x:v>
      </x:c>
      <x:c r="L210" s="90" t="n">
        <x:v>65675504</x:v>
      </x:c>
      <x:c r="M210" s="90" t="n">
        <x:v>1480604470.48</x:v>
      </x:c>
      <x:c r="N210" s="90" t="n">
        <x:v>1477579868.12</x:v>
      </x:c>
      <x:c r="O210" s="90" t="n">
        <x:v>6988538783.46</x:v>
      </x:c>
      <x:c r="P210" s="90" t="n">
        <x:v>3072020935.94</x:v>
      </x:c>
      <x:c r="Q210" s="90" t="n">
        <x:v>275781051.98</x:v>
      </x:c>
      <x:c r="R210" s="90" t="n">
        <x:v>-219558.97</x:v>
      </x:c>
      <x:c r="S210" s="90" t="n">
        <x:v>62.66</x:v>
      </x:c>
      <x:c r="T210" s="90" t="n">
        <x:v>1.01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 t="n">
        <x:v>-24.35</x:v>
      </x:c>
    </x:row>
    <x:row r="211" spans="1:26" ht="12.75" customHeight="1" x14ac:dyDescent="0.2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2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2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2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2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2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2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2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2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2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2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2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2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2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2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2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2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2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2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2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2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2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2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2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2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2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2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2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2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2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2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2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2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2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2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2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2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2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2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2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2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2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2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2">
      <x:c r="C254" s="778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2">
      <x:c r="C255" s="778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2">
      <x:c r="C256" s="778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2">
      <x:c r="C257" s="778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2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2">
      <x:c r="C259" s="778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2">
      <x:c r="C260" s="778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2">
      <x:c r="C261" s="778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2">
      <x:c r="C262" s="778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2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2">
      <x:c r="C264" s="778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2">
      <x:c r="C265" s="778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2">
      <x:c r="C266" s="778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2">
      <x:c r="C267" s="778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2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2">
      <x:c r="C269" s="776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2">
      <x:c r="C270" s="776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2">
      <x:c r="C271" s="776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2">
      <x:c r="C272" s="776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2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2">
      <x:c r="C274" s="778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2">
      <x:c r="C275" s="778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2">
      <x:c r="C276" s="778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2">
      <x:c r="C277" s="778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2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2">
      <x:c r="C279" s="777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2">
      <x:c r="C280" s="777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2">
      <x:c r="C281" s="777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2">
      <x:c r="C282" s="777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2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2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2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2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2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" customHeight="1" x14ac:dyDescent="0.2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2">
      <x:c r="E289" s="89" t="s">
        <x:v>72</x:v>
      </x:c>
      <x:c r="F289" s="371" t="n">
        <x:v>-3933.31</x:v>
      </x:c>
      <x:c r="G289" s="90" t="n">
        <x:v>-339.36</x:v>
      </x:c>
      <x:c r="H289" s="90" t="n">
        <x:v>-144.18</x:v>
      </x:c>
      <x:c r="I289" s="90" t="n">
        <x:v>-62.97</x:v>
      </x:c>
      <x:c r="J289" s="90" t="n">
        <x:v>-769.6</x:v>
      </x:c>
      <x:c r="K289" s="90" t="n">
        <x:v>-31.71</x:v>
      </x:c>
      <x:c r="L289" s="90" t="n">
        <x:v>0</x:v>
      </x:c>
      <x:c r="M289" s="90" t="n">
        <x:v>-278.13</x:v>
      </x:c>
      <x:c r="N289" s="90" t="n">
        <x:v>-348.6</x:v>
      </x:c>
      <x:c r="O289" s="90" t="n">
        <x:v>-1170.96</x:v>
      </x:c>
      <x:c r="P289" s="90" t="n">
        <x:v>-736.08</x:v>
      </x:c>
      <x:c r="Q289" s="90" t="n">
        <x:v>-51.72</x:v>
      </x:c>
      <x:c r="R289" s="90" t="n">
        <x:v>0</x:v>
      </x:c>
      <x:c r="S289" s="90" t="n">
        <x:v>0</x:v>
      </x:c>
      <x:c r="T289" t="n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2">
      <x:c r="D290" t="s">
        <x:v>156</x:v>
      </x:c>
      <x:c r="E290" s="89" t="s">
        <x:v>70</x:v>
      </x:c>
      <x:c r="F290" s="371" t="n">
        <x:v>-3933.31</x:v>
      </x:c>
      <x:c r="G290" s="90" t="n">
        <x:v>-339.36</x:v>
      </x:c>
      <x:c r="H290" s="90" t="n">
        <x:v>-144.18</x:v>
      </x:c>
      <x:c r="I290" s="90" t="n">
        <x:v>-62.97</x:v>
      </x:c>
      <x:c r="J290" s="90" t="n">
        <x:v>-769.6</x:v>
      </x:c>
      <x:c r="K290" s="90" t="n">
        <x:v>-31.71</x:v>
      </x:c>
      <x:c r="L290" s="90" t="n">
        <x:v>0</x:v>
      </x:c>
      <x:c r="M290" s="90" t="n">
        <x:v>-278.13</x:v>
      </x:c>
      <x:c r="N290" s="90" t="n">
        <x:v>-348.6</x:v>
      </x:c>
      <x:c r="O290" s="90" t="n">
        <x:v>-1170.96</x:v>
      </x:c>
      <x:c r="P290" s="90" t="n">
        <x:v>-736.08</x:v>
      </x:c>
      <x:c r="Q290" s="90" t="n">
        <x:v>-51.72</x:v>
      </x:c>
      <x:c r="R290" s="90" t="n">
        <x:v>0</x:v>
      </x:c>
      <x:c r="S290" s="90" t="n">
        <x:v>0</x:v>
      </x:c>
      <x:c r="T290" t="n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2">
      <x:c r="C291" s="286" t="s">
        <x:v>155</x:v>
      </x:c>
      <x:c r="D291" s="286" t="s">
        <x:v>70</x:v>
      </x:c>
      <x:c r="E291" s="229"/>
      <x:c r="F291" s="229" t="n">
        <x:v>-3933.31</x:v>
      </x:c>
      <x:c r="G291" s="230" t="n">
        <x:v>-339.36</x:v>
      </x:c>
      <x:c r="H291" s="230" t="n">
        <x:v>-144.18</x:v>
      </x:c>
      <x:c r="I291" s="230" t="n">
        <x:v>-62.97</x:v>
      </x:c>
      <x:c r="J291" s="230" t="n">
        <x:v>-769.6</x:v>
      </x:c>
      <x:c r="K291" s="230" t="n">
        <x:v>-31.71</x:v>
      </x:c>
      <x:c r="L291" s="230" t="n">
        <x:v>0</x:v>
      </x:c>
      <x:c r="M291" s="230" t="n">
        <x:v>-278.13</x:v>
      </x:c>
      <x:c r="N291" s="230" t="n">
        <x:v>-348.6</x:v>
      </x:c>
      <x:c r="O291" s="230" t="n">
        <x:v>-1170.96</x:v>
      </x:c>
      <x:c r="P291" s="230" t="n">
        <x:v>-736.08</x:v>
      </x:c>
      <x:c r="Q291" s="230" t="n">
        <x:v>-51.72</x:v>
      </x:c>
      <x:c r="R291" s="230" t="n">
        <x:v>0</x:v>
      </x:c>
      <x:c r="S291" s="230" t="n">
        <x:v>0</x:v>
      </x:c>
      <x:c r="T291" s="230" t="n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2">
      <x:c r="E292" s="89" t="s">
        <x:v>72</x:v>
      </x:c>
      <x:c r="F292" s="90" t="n">
        <x:v>-522.8</x:v>
      </x:c>
      <x:c r="G292" s="90" t="n">
        <x:v>-45.25</x:v>
      </x:c>
      <x:c r="H292" s="90" t="n">
        <x:v>-19.22</x:v>
      </x:c>
      <x:c r="I292" s="90" t="n">
        <x:v>-8.39</x:v>
      </x:c>
      <x:c r="J292" s="90" t="n">
        <x:v>-100.86</x:v>
      </x:c>
      <x:c r="K292" s="90" t="n">
        <x:v>-4.23</x:v>
      </x:c>
      <x:c r="L292" s="90" t="n">
        <x:v>0</x:v>
      </x:c>
      <x:c r="M292" s="90" t="n">
        <x:v>-37.08</x:v>
      </x:c>
      <x:c r="N292" s="90" t="n">
        <x:v>-46.6</x:v>
      </x:c>
      <x:c r="O292" s="90" t="n">
        <x:v>-156.13</x:v>
      </x:c>
      <x:c r="P292" s="90" t="n">
        <x:v>-98.14</x:v>
      </x:c>
      <x:c r="Q292" s="90" t="n">
        <x:v>-6.9</x:v>
      </x:c>
      <x:c r="R292" s="90" t="n">
        <x:v>0</x:v>
      </x:c>
      <x:c r="S292" s="90" t="n">
        <x:v>0</x:v>
      </x:c>
      <x:c r="T292" s="90" t="n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2">
      <x:c r="D293" t="s">
        <x:v>82</x:v>
      </x:c>
      <x:c r="E293" s="89" t="s">
        <x:v>70</x:v>
      </x:c>
      <x:c r="F293" s="371" t="n">
        <x:v>56575517.22</x:v>
      </x:c>
      <x:c r="G293" s="90" t="n">
        <x:v>3650067.48</x:v>
      </x:c>
      <x:c r="H293" s="90" t="n">
        <x:v>2026840.2</x:v>
      </x:c>
      <x:c r="I293" s="90" t="n">
        <x:v>1080788.17</x:v>
      </x:c>
      <x:c r="J293" s="90" t="n">
        <x:v>12769256.01</x:v>
      </x:c>
      <x:c r="K293" s="90" t="n">
        <x:v>344574.77</x:v>
      </x:c>
      <x:c r="L293" s="90" t="n">
        <x:v>590977.24</x:v>
      </x:c>
      <x:c r="M293" s="90" t="n">
        <x:v>3024605.16</x:v>
      </x:c>
      <x:c r="N293" s="90" t="n">
        <x:v>4218415.4</x:v>
      </x:c>
      <x:c r="O293" s="90" t="n">
        <x:v>19732126.7</x:v>
      </x:c>
      <x:c r="P293" s="90" t="n">
        <x:v>8577086.42</x:v>
      </x:c>
      <x:c r="Q293" s="90" t="n">
        <x:v>560954.21</x:v>
      </x:c>
      <x:c r="R293" s="90" t="n">
        <x:v>-174.81</x:v>
      </x:c>
      <x:c r="S293" s="90" t="n">
        <x:v>0.27</x:v>
      </x:c>
      <x:c r="T293" s="90" t="n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2">
      <x:c r="E294" s="89" t="s">
        <x:v>72</x:v>
      </x:c>
      <x:c r="F294" s="371" t="n">
        <x:v>16203110832.58</x:v>
      </x:c>
      <x:c r="G294" s="90" t="n">
        <x:v>976240418.41</x:v>
      </x:c>
      <x:c r="H294" s="90" t="n">
        <x:v>550553172.93</x:v>
      </x:c>
      <x:c r="I294" s="90" t="n">
        <x:v>289170374.95</x:v>
      </x:c>
      <x:c r="J294" s="90" t="n">
        <x:v>4498063138.45</x:v>
      </x:c>
      <x:c r="K294" s="90" t="n">
        <x:v>125574828.93</x:v>
      </x:c>
      <x:c r="L294" s="90" t="n">
        <x:v>20264217.38</x:v>
      </x:c>
      <x:c r="M294" s="90" t="n">
        <x:v>1101215665.17</x:v>
      </x:c>
      <x:c r="N294" s="90" t="n">
        <x:v>1069039105.44</x:v>
      </x:c>
      <x:c r="O294" s="90" t="n">
        <x:v>5055594780.91</x:v>
      </x:c>
      <x:c r="P294" s="90" t="n">
        <x:v>2312346459.71</x:v>
      </x:c>
      <x:c r="Q294" s="90" t="n">
        <x:v>204931459.27</x:v>
      </x:c>
      <x:c r="R294" s="90" t="n">
        <x:v>117211.03</x:v>
      </x:c>
      <x:c r="S294" s="90" t="n">
        <x:v>0</x:v>
      </x:c>
      <x:c r="T294" s="90" t="n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2">
      <x:c r="D295" t="s">
        <x:v>86</x:v>
      </x:c>
      <x:c r="E295" s="89" t="s">
        <x:v>70</x:v>
      </x:c>
      <x:c r="F295" s="371" t="n">
        <x:v>-522.8</x:v>
      </x:c>
      <x:c r="G295" s="90" t="n">
        <x:v>-45.25</x:v>
      </x:c>
      <x:c r="H295" s="90" t="n">
        <x:v>-19.22</x:v>
      </x:c>
      <x:c r="I295" s="90" t="n">
        <x:v>-8.39</x:v>
      </x:c>
      <x:c r="J295" s="90" t="n">
        <x:v>-100.86</x:v>
      </x:c>
      <x:c r="K295" s="90" t="n">
        <x:v>-4.23</x:v>
      </x:c>
      <x:c r="L295" s="90" t="n">
        <x:v>0</x:v>
      </x:c>
      <x:c r="M295" s="90" t="n">
        <x:v>-37.08</x:v>
      </x:c>
      <x:c r="N295" s="90" t="n">
        <x:v>-46.6</x:v>
      </x:c>
      <x:c r="O295" s="90" t="n">
        <x:v>-156.13</x:v>
      </x:c>
      <x:c r="P295" s="90" t="n">
        <x:v>-98.14</x:v>
      </x:c>
      <x:c r="Q295" s="90" t="n">
        <x:v>-6.9</x:v>
      </x:c>
      <x:c r="R295" s="90" t="n">
        <x:v>0</x:v>
      </x:c>
      <x:c r="S295" s="90" t="n">
        <x:v>0</x:v>
      </x:c>
      <x:c r="T295" s="90" t="n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2">
      <x:c r="E296" s="89" t="s">
        <x:v>72</x:v>
      </x:c>
      <x:c r="F296" s="371" t="n">
        <x:v>56129769.21</x:v>
      </x:c>
      <x:c r="G296" s="90" t="n">
        <x:v>3612186.16</x:v>
      </x:c>
      <x:c r="H296" s="90" t="n">
        <x:v>2006551.81</x:v>
      </x:c>
      <x:c r="I296" s="90" t="n">
        <x:v>1069933.73</x:v>
      </x:c>
      <x:c r="J296" s="90" t="n">
        <x:v>12679014.02</x:v>
      </x:c>
      <x:c r="K296" s="90" t="n">
        <x:v>341950.57</x:v>
      </x:c>
      <x:c r="L296" s="90" t="n">
        <x:v>588000</x:v>
      </x:c>
      <x:c r="M296" s="90" t="n">
        <x:v>3001602.03</x:v>
      </x:c>
      <x:c r="N296" s="90" t="n">
        <x:v>4189079.11</x:v>
      </x:c>
      <x:c r="O296" s="90" t="n">
        <x:v>19596388.46</x:v>
      </x:c>
      <x:c r="P296" s="90" t="n">
        <x:v>8488561.4</x:v>
      </x:c>
      <x:c r="Q296" s="90" t="n">
        <x:v>556673.94</x:v>
      </x:c>
      <x:c r="R296" s="90" t="n">
        <x:v>-172.02</x:v>
      </x:c>
      <x:c r="S296" s="90" t="n">
        <x:v>0</x:v>
      </x:c>
      <x:c r="T296" s="90" t="n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2">
      <x:c r="D297" t="s">
        <x:v>87</x:v>
      </x:c>
      <x:c r="E297" s="89" t="s">
        <x:v>70</x:v>
      </x:c>
      <x:c r="F297" s="371" t="n">
        <x:v>772784805.99</x:v>
      </x:c>
      <x:c r="G297" s="90" t="n">
        <x:v>152830413.19</x:v>
      </x:c>
      <x:c r="H297" s="90" t="n">
        <x:v>86305844.2</x:v>
      </x:c>
      <x:c r="I297" s="90" t="n">
        <x:v>45308929.78</x:v>
      </x:c>
      <x:c r="J297" s="90" t="n">
        <x:v>37309625.26</x:v>
      </x:c>
      <x:c r="K297" s="90" t="n">
        <x:v>935641.03</x:v>
      </x:c>
      <x:c r="L297" s="90" t="n">
        <x:v>14191429.39</x:v>
      </x:c>
      <x:c r="M297" s="90" t="n">
        <x:v>8183615.14</x:v>
      </x:c>
      <x:c r="N297" s="90" t="n">
        <x:v>11799749.6</x:v>
      </x:c>
      <x:c r="O297" s="90" t="n">
        <x:v>55425975.84</x:v>
      </x:c>
      <x:c r="P297" s="90" t="n">
        <x:v>358981768.18</x:v>
      </x:c>
      <x:c r="Q297" s="90" t="n">
        <x:v>1523956.19</x:v>
      </x:c>
      <x:c r="R297" s="90" t="n">
        <x:v>-424.81</x:v>
      </x:c>
      <x:c r="S297" s="90" t="n">
        <x:v>-11717</x:v>
      </x:c>
      <x:c r="T297" s="90" t="n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2">
      <x:c r="C298" s="101" t="s">
        <x:v>119</x:v>
      </x:c>
      <x:c r="D298" s="101" t="s">
        <x:v>70</x:v>
      </x:c>
      <x:c r="F298" s="93" t="n">
        <x:v>-522.8</x:v>
      </x:c>
      <x:c r="G298" s="93" t="n">
        <x:v>-45.25</x:v>
      </x:c>
      <x:c r="H298" s="93" t="n">
        <x:v>-19.22</x:v>
      </x:c>
      <x:c r="I298" s="93" t="n">
        <x:v>-8.39</x:v>
      </x:c>
      <x:c r="J298" s="93" t="n">
        <x:v>-100.86</x:v>
      </x:c>
      <x:c r="K298" s="93" t="n">
        <x:v>-4.23</x:v>
      </x:c>
      <x:c r="L298" s="93" t="n">
        <x:v>0</x:v>
      </x:c>
      <x:c r="M298" s="93" t="n">
        <x:v>-37.08</x:v>
      </x:c>
      <x:c r="N298" s="93" t="n">
        <x:v>-46.6</x:v>
      </x:c>
      <x:c r="O298" s="93" t="n">
        <x:v>-156.13</x:v>
      </x:c>
      <x:c r="P298" s="93" t="n">
        <x:v>-98.14</x:v>
      </x:c>
      <x:c r="Q298" s="93" t="n">
        <x:v>-6.9</x:v>
      </x:c>
      <x:c r="R298" s="93" t="n">
        <x:v>0</x:v>
      </x:c>
      <x:c r="S298" s="93" t="n">
        <x:v>0</x:v>
      </x:c>
      <x:c r="T298" s="94" t="n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2">
      <x:c r="B299" t="s">
        <x:v>112</x:v>
      </x:c>
      <x:c r="C299" t="s">
        <x:v>70</x:v>
      </x:c>
      <x:c r="E299" s="89"/>
      <x:c r="F299" s="371" t="n">
        <x:v>-4456.11</x:v>
      </x:c>
      <x:c r="G299" s="90" t="n">
        <x:v>-384.61</x:v>
      </x:c>
      <x:c r="H299" s="90" t="n">
        <x:v>-163.4</x:v>
      </x:c>
      <x:c r="I299" s="90" t="n">
        <x:v>-71.36</x:v>
      </x:c>
      <x:c r="J299" s="90" t="n">
        <x:v>-870.46</x:v>
      </x:c>
      <x:c r="K299" s="90" t="n">
        <x:v>-35.94</x:v>
      </x:c>
      <x:c r="L299" s="90" t="n">
        <x:v>0</x:v>
      </x:c>
      <x:c r="M299" s="90" t="n">
        <x:v>-315.21</x:v>
      </x:c>
      <x:c r="N299" s="90" t="n">
        <x:v>-395.2</x:v>
      </x:c>
      <x:c r="O299" s="90" t="n">
        <x:v>-1327.09</x:v>
      </x:c>
      <x:c r="P299" s="90" t="n">
        <x:v>-834.22</x:v>
      </x:c>
      <x:c r="Q299" s="90" t="n">
        <x:v>-58.62</x:v>
      </x:c>
      <x:c r="R299" s="90" t="n">
        <x:v>0</x:v>
      </x:c>
      <x:c r="S299" s="90" t="n">
        <x:v>0</x:v>
      </x:c>
      <x:c r="T299" t="n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2">
      <x:c r="A300" s="458" t="s">
        <x:v>186</x:v>
      </x:c>
      <x:c r="B300" s="458" t="s">
        <x:v>70</x:v>
      </x:c>
      <x:c r="F300" s="458" t="n">
        <x:v>-4456.11</x:v>
      </x:c>
      <x:c r="G300" s="458" t="n">
        <x:v>-384.61</x:v>
      </x:c>
      <x:c r="H300" s="458" t="n">
        <x:v>-163.4</x:v>
      </x:c>
      <x:c r="I300" s="458" t="n">
        <x:v>-71.36</x:v>
      </x:c>
      <x:c r="J300" s="458" t="n">
        <x:v>-870.46</x:v>
      </x:c>
      <x:c r="K300" s="458" t="n">
        <x:v>-35.94</x:v>
      </x:c>
      <x:c r="L300" s="458" t="n">
        <x:v>0</x:v>
      </x:c>
      <x:c r="M300" s="458" t="n">
        <x:v>-315.21</x:v>
      </x:c>
      <x:c r="N300" s="458" t="n">
        <x:v>-395.2</x:v>
      </x:c>
      <x:c r="O300" s="458" t="n">
        <x:v>-1327.09</x:v>
      </x:c>
      <x:c r="P300" s="458" t="n">
        <x:v>-834.22</x:v>
      </x:c>
      <x:c r="Q300" s="458" t="n">
        <x:v>-58.62</x:v>
      </x:c>
      <x:c r="R300" s="458" t="n">
        <x:v>0</x:v>
      </x:c>
      <x:c r="S300" s="458" t="n">
        <x:v>0</x:v>
      </x:c>
      <x:c r="T300" s="458" t="n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2">
      <x:c r="E301" t="s">
        <x:v>72</x:v>
      </x:c>
      <x:c r="F301" s="90" t="n">
        <x:v>69786246.86</x:v>
      </x:c>
      <x:c r="G301" s="90" t="n">
        <x:v>9968250.31</x:v>
      </x:c>
      <x:c r="H301" s="90" t="n">
        <x:v>5506519.31</x:v>
      </x:c>
      <x:c r="I301" s="90" t="n">
        <x:v>2876432.59</x:v>
      </x:c>
      <x:c r="J301" s="90" t="n">
        <x:v>7695333.31</x:v>
      </x:c>
      <x:c r="K301" s="90" t="n">
        <x:v>286308.78</x:v>
      </x:c>
      <x:c r="L301" s="90" t="n">
        <x:v>2185597.67</x:v>
      </x:c>
      <x:c r="M301" s="90" t="n">
        <x:v>2507089.44</x:v>
      </x:c>
      <x:c r="N301" s="90" t="n">
        <x:v>2734349.17</x:v>
      </x:c>
      <x:c r="O301" s="90" t="n">
        <x:v>12142713.65</x:v>
      </x:c>
      <x:c r="P301" s="90" t="n">
        <x:v>23417064.05</x:v>
      </x:c>
      <x:c r="Q301" s="90" t="n">
        <x:v>466943.72</x:v>
      </x:c>
      <x:c r="R301" s="90" t="n">
        <x:v>-355.14</x:v>
      </x:c>
      <x:c r="S301" s="90" t="n">
        <x:v>0</x:v>
      </x:c>
      <x:c r="T301" s="90" t="n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2">
      <x:c r="E302" t="s">
        <x:v>81</x:v>
      </x:c>
      <x:c r="F302" s="90" t="n">
        <x:v>9783329.82</x:v>
      </x:c>
      <x:c r="G302" s="90" t="n">
        <x:v>938448.58</x:v>
      </x:c>
      <x:c r="H302" s="90" t="n">
        <x:v>503251.75</x:v>
      </x:c>
      <x:c r="I302" s="90" t="n">
        <x:v>261272.68</x:v>
      </x:c>
      <x:c r="J302" s="90" t="n">
        <x:v>1789165.82</x:v>
      </x:c>
      <x:c r="K302" s="90" t="n">
        <x:v>73394.29</x:v>
      </x:c>
      <x:c r="L302" s="90" t="n">
        <x:v>38943.3</x:v>
      </x:c>
      <x:c r="M302" s="90" t="n">
        <x:v>642167.4</x:v>
      </x:c>
      <x:c r="N302" s="90" t="n">
        <x:v>599838.02</x:v>
      </x:c>
      <x:c r="O302" s="90" t="n">
        <x:v>2640096.6</x:v>
      </x:c>
      <x:c r="P302" s="90" t="n">
        <x:v>2176435.05</x:v>
      </x:c>
      <x:c r="Q302" s="90" t="n">
        <x:v>119898.21</x:v>
      </x:c>
      <x:c r="R302" s="90" t="n">
        <x:v>417.5</x:v>
      </x:c>
      <x:c r="S302" s="90" t="n">
        <x:v>0</x:v>
      </x:c>
      <x:c r="T302" s="90" t="n">
        <x:v>0.62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2">
      <x:c r="D303" t="s">
        <x:v>156</x:v>
      </x:c>
      <x:c r="E303" t="s">
        <x:v>70</x:v>
      </x:c>
      <x:c r="F303" s="90" t="n">
        <x:v>16212894162.4</x:v>
      </x:c>
      <x:c r="G303" s="90" t="n">
        <x:v>977178866.99</x:v>
      </x:c>
      <x:c r="H303" s="90" t="n">
        <x:v>551056424.68</x:v>
      </x:c>
      <x:c r="I303" s="90" t="n">
        <x:v>289431647.63</x:v>
      </x:c>
      <x:c r="J303" s="90" t="n">
        <x:v>4499852304.27</x:v>
      </x:c>
      <x:c r="K303" s="90" t="n">
        <x:v>125648223.22</x:v>
      </x:c>
      <x:c r="L303" s="90" t="n">
        <x:v>20303160.68</x:v>
      </x:c>
      <x:c r="M303" s="90" t="n">
        <x:v>1101857832.57</x:v>
      </x:c>
      <x:c r="N303" s="90" t="n">
        <x:v>1069638943.46</x:v>
      </x:c>
      <x:c r="O303" s="90" t="n">
        <x:v>5058234877.51</x:v>
      </x:c>
      <x:c r="P303" s="90" t="n">
        <x:v>2314522894.76</x:v>
      </x:c>
      <x:c r="Q303" s="90" t="n">
        <x:v>205051357.48</x:v>
      </x:c>
      <x:c r="R303" s="90" t="n">
        <x:v>117628.53</x:v>
      </x:c>
      <x:c r="S303" s="90" t="n">
        <x:v>0</x:v>
      </x:c>
      <x:c r="T303" s="90" t="n">
        <x:v>0.62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2">
      <x:c r="C304" s="286" t="s">
        <x:v>155</x:v>
      </x:c>
      <x:c r="D304" s="286" t="s">
        <x:v>70</x:v>
      </x:c>
      <x:c r="F304" s="230" t="n">
        <x:v>16212894162.4</x:v>
      </x:c>
      <x:c r="G304" s="230" t="n">
        <x:v>977178866.99</x:v>
      </x:c>
      <x:c r="H304" s="230" t="n">
        <x:v>551056424.68</x:v>
      </x:c>
      <x:c r="I304" s="230" t="n">
        <x:v>289431647.63</x:v>
      </x:c>
      <x:c r="J304" s="230" t="n">
        <x:v>4499852304.27</x:v>
      </x:c>
      <x:c r="K304" s="230" t="n">
        <x:v>125648223.22</x:v>
      </x:c>
      <x:c r="L304" s="230" t="n">
        <x:v>20303160.68</x:v>
      </x:c>
      <x:c r="M304" s="230" t="n">
        <x:v>1101857832.57</x:v>
      </x:c>
      <x:c r="N304" s="230" t="n">
        <x:v>1069638943.46</x:v>
      </x:c>
      <x:c r="O304" s="230" t="n">
        <x:v>5058234877.51</x:v>
      </x:c>
      <x:c r="P304" s="230" t="n">
        <x:v>2314522894.76</x:v>
      </x:c>
      <x:c r="Q304" s="230" t="n">
        <x:v>205051357.48</x:v>
      </x:c>
      <x:c r="R304" s="230" t="n">
        <x:v>117628.53</x:v>
      </x:c>
      <x:c r="S304" s="230" t="n">
        <x:v>0</x:v>
      </x:c>
      <x:c r="T304" s="230" t="n">
        <x:v>0.62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2">
      <x:c r="E305" t="s">
        <x:v>72</x:v>
      </x:c>
      <x:c r="F305" s="90" t="n">
        <x:v>754857948.81</x:v>
      </x:c>
      <x:c r="G305" s="90" t="n">
        <x:v>148706575.02</x:v>
      </x:c>
      <x:c r="H305" s="90" t="n">
        <x:v>83937865.38</x:v>
      </x:c>
      <x:c r="I305" s="90" t="n">
        <x:v>44068434.13</x:v>
      </x:c>
      <x:c r="J305" s="90" t="n">
        <x:v>37108912.35</x:v>
      </x:c>
      <x:c r="K305" s="90" t="n">
        <x:v>930977.08</x:v>
      </x:c>
      <x:c r="L305" s="90" t="n">
        <x:v>14182236.76</x:v>
      </x:c>
      <x:c r="M305" s="90" t="n">
        <x:v>8142908.47</x:v>
      </x:c>
      <x:c r="N305" s="90" t="n">
        <x:v>11743210.88</x:v>
      </x:c>
      <x:c r="O305" s="90" t="n">
        <x:v>55162077.31</x:v>
      </x:c>
      <x:c r="P305" s="90" t="n">
        <x:v>349358814.97</x:v>
      </x:c>
      <x:c r="Q305" s="90" t="n">
        <x:v>1516361.95</x:v>
      </x:c>
      <x:c r="R305" s="90" t="n">
        <x:v>-425.49</x:v>
      </x:c>
      <x:c r="S305" s="90" t="n">
        <x:v>0</x:v>
      </x:c>
      <x:c r="T305" s="90" t="n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2">
      <x:c r="E306" t="s">
        <x:v>81</x:v>
      </x:c>
      <x:c r="F306" s="90" t="n">
        <x:v>445748.01</x:v>
      </x:c>
      <x:c r="G306" s="90" t="n">
        <x:v>37881.32</x:v>
      </x:c>
      <x:c r="H306" s="90" t="n">
        <x:v>20288.39</x:v>
      </x:c>
      <x:c r="I306" s="90" t="n">
        <x:v>10854.44</x:v>
      </x:c>
      <x:c r="J306" s="90" t="n">
        <x:v>90241.99</x:v>
      </x:c>
      <x:c r="K306" s="90" t="n">
        <x:v>2624.2</x:v>
      </x:c>
      <x:c r="L306" s="90" t="n">
        <x:v>2977.24</x:v>
      </x:c>
      <x:c r="M306" s="90" t="n">
        <x:v>23003.13</x:v>
      </x:c>
      <x:c r="N306" s="90" t="n">
        <x:v>29336.29</x:v>
      </x:c>
      <x:c r="O306" s="90" t="n">
        <x:v>135738.24</x:v>
      </x:c>
      <x:c r="P306" s="90" t="n">
        <x:v>88525.02</x:v>
      </x:c>
      <x:c r="Q306" s="90" t="n">
        <x:v>4280.27</x:v>
      </x:c>
      <x:c r="R306" s="90" t="n">
        <x:v>-2.79</x:v>
      </x:c>
      <x:c r="S306" s="90" t="n">
        <x:v>0.27</x:v>
      </x:c>
      <x:c r="T306" s="90" t="n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2">
      <x:c r="D307" t="s">
        <x:v>82</x:v>
      </x:c>
      <x:c r="E307" t="s">
        <x:v>70</x:v>
      </x:c>
      <x:c r="F307" s="90" t="n">
        <x:v>2327352.78</x:v>
      </x:c>
      <x:c r="G307" s="90" t="n">
        <x:v>852140.65</x:v>
      </x:c>
      <x:c r="H307" s="90" t="n">
        <x:v>481465.43</x:v>
      </x:c>
      <x:c r="I307" s="90" t="n">
        <x:v>251037.28</x:v>
      </x:c>
      <x:c r="J307" s="90" t="n">
        <x:v>-352667.51</x:v>
      </x:c>
      <x:c r="K307" s="90" t="n">
        <x:v>-10303.81</x:v>
      </x:c>
      <x:c r="L307" s="90" t="n">
        <x:v>0</x:v>
      </x:c>
      <x:c r="M307" s="90" t="n">
        <x:v>-90464.35</x:v>
      </x:c>
      <x:c r="N307" s="90" t="n">
        <x:v>-141735.89</x:v>
      </x:c>
      <x:c r="O307" s="90" t="n">
        <x:v>-654318.1</x:v>
      </x:c>
      <x:c r="P307" s="90" t="n">
        <x:v>2009008.4</x:v>
      </x:c>
      <x:c r="Q307" s="90" t="n">
        <x:v>-16809.32</x:v>
      </x:c>
      <x:c r="R307" s="90" t="n">
        <x:v>0</x:v>
      </x:c>
      <x:c r="S307" s="90" t="n">
        <x:v>0</x:v>
      </x:c>
      <x:c r="T307" s="90" t="n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2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2">
      <x:c r="E309" t="s">
        <x:v>81</x:v>
      </x:c>
      <x:c r="F309" s="90" t="n">
        <x:v>-1435565.73</x:v>
      </x:c>
      <x:c r="G309" s="90" t="n">
        <x:v>389821.03</x:v>
      </x:c>
      <x:c r="H309" s="90" t="n">
        <x:v>170514.02</x:v>
      </x:c>
      <x:c r="I309" s="90" t="n">
        <x:v>70212.55</x:v>
      </x:c>
      <x:c r="J309" s="90" t="n">
        <x:v>245811.06</x:v>
      </x:c>
      <x:c r="K309" s="90" t="n">
        <x:v>14953.69</x:v>
      </x:c>
      <x:c r="L309" s="90" t="n">
        <x:v>70183.93</x:v>
      </x:c>
      <x:c r="M309" s="90" t="n">
        <x:v>131060.59</x:v>
      </x:c>
      <x:c r="N309" s="90" t="n">
        <x:v>106081.33</x:v>
      </x:c>
      <x:c r="O309" s="90" t="n">
        <x:v>396319.07</x:v>
      </x:c>
      <x:c r="P309" s="90" t="n">
        <x:v>906960.48</x:v>
      </x:c>
      <x:c r="Q309" s="90" t="n">
        <x:v>24396.8</x:v>
      </x:c>
      <x:c r="R309" s="90" t="n">
        <x:v>2.76</x:v>
      </x:c>
      <x:c r="S309" s="90" t="n">
        <x:v>-3961883.13</x:v>
      </x:c>
      <x:c r="T309" s="90" t="n">
        <x:v>0.09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2">
      <x:c r="D310" t="s">
        <x:v>86</x:v>
      </x:c>
      <x:c r="E310" t="s">
        <x:v>70</x:v>
      </x:c>
      <x:c r="F310" s="90" t="n">
        <x:v>68350681.13</x:v>
      </x:c>
      <x:c r="G310" s="90" t="n">
        <x:v>10358071.34</x:v>
      </x:c>
      <x:c r="H310" s="90" t="n">
        <x:v>5677033.33</x:v>
      </x:c>
      <x:c r="I310" s="90" t="n">
        <x:v>2946645.14</x:v>
      </x:c>
      <x:c r="J310" s="90" t="n">
        <x:v>7941144.37</x:v>
      </x:c>
      <x:c r="K310" s="90" t="n">
        <x:v>301262.47</x:v>
      </x:c>
      <x:c r="L310" s="90" t="n">
        <x:v>2255781.6</x:v>
      </x:c>
      <x:c r="M310" s="90" t="n">
        <x:v>2638150.03</x:v>
      </x:c>
      <x:c r="N310" s="90" t="n">
        <x:v>2840430.5</x:v>
      </x:c>
      <x:c r="O310" s="90" t="n">
        <x:v>12539032.72</x:v>
      </x:c>
      <x:c r="P310" s="90" t="n">
        <x:v>24324024.53</x:v>
      </x:c>
      <x:c r="Q310" s="90" t="n">
        <x:v>491340.52</x:v>
      </x:c>
      <x:c r="R310" s="90" t="n">
        <x:v>-352.38</x:v>
      </x:c>
      <x:c r="S310" s="90" t="n">
        <x:v>-3961883.13</x:v>
      </x:c>
      <x:c r="T310" s="90" t="n">
        <x:v>0.09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2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2">
      <x:c r="E312" t="s">
        <x:v>81</x:v>
      </x:c>
      <x:c r="F312" s="90" t="n">
        <x:v>17926857.18</x:v>
      </x:c>
      <x:c r="G312" s="90" t="n">
        <x:v>4123838.17</x:v>
      </x:c>
      <x:c r="H312" s="90" t="n">
        <x:v>2367978.82</x:v>
      </x:c>
      <x:c r="I312" s="90" t="n">
        <x:v>1240495.65</x:v>
      </x:c>
      <x:c r="J312" s="90" t="n">
        <x:v>200712.91</x:v>
      </x:c>
      <x:c r="K312" s="90" t="n">
        <x:v>4663.95</x:v>
      </x:c>
      <x:c r="L312" s="90" t="n">
        <x:v>9192.63</x:v>
      </x:c>
      <x:c r="M312" s="90" t="n">
        <x:v>40706.67</x:v>
      </x:c>
      <x:c r="N312" s="90" t="n">
        <x:v>56538.72</x:v>
      </x:c>
      <x:c r="O312" s="90" t="n">
        <x:v>263898.53</x:v>
      </x:c>
      <x:c r="P312" s="90" t="n">
        <x:v>9622953.21</x:v>
      </x:c>
      <x:c r="Q312" s="90" t="n">
        <x:v>7594.24</x:v>
      </x:c>
      <x:c r="R312" s="90" t="n">
        <x:v>0.68</x:v>
      </x:c>
      <x:c r="S312" s="90" t="n">
        <x:v>-11717</x:v>
      </x:c>
      <x:c r="T312" s="90" t="n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2">
      <x:c r="D313" t="s">
        <x:v>87</x:v>
      </x:c>
      <x:c r="E313" s="89" t="s">
        <x:v>70</x:v>
      </x:c>
      <x:c r="F313" s="371" t="n">
        <x:v>328146742.01</x:v>
      </x:c>
      <x:c r="G313" s="90" t="n">
        <x:v>76683146.88</x:v>
      </x:c>
      <x:c r="H313" s="90" t="n">
        <x:v>43193693.22</x:v>
      </x:c>
      <x:c r="I313" s="90" t="n">
        <x:v>22706908.89</x:v>
      </x:c>
      <x:c r="J313" s="90" t="n">
        <x:v>1825379.37</x:v>
      </x:c>
      <x:c r="K313" s="90" t="n">
        <x:v>41051.77</x:v>
      </x:c>
      <x:c r="L313" s="90" t="n">
        <x:v>0</x:v>
      </x:c>
      <x:c r="M313" s="90" t="n">
        <x:v>358199.13</x:v>
      </x:c>
      <x:c r="N313" s="90" t="n">
        <x:v>493339.25</x:v>
      </x:c>
      <x:c r="O313" s="90" t="n">
        <x:v>2367883.44</x:v>
      </x:c>
      <x:c r="P313" s="90" t="n">
        <x:v>180410497.93</x:v>
      </x:c>
      <x:c r="Q313" s="90" t="n">
        <x:v>66642.13</x:v>
      </x:c>
      <x:c r="R313" s="90" t="n">
        <x:v>0</x:v>
      </x:c>
      <x:c r="S313" s="90" t="n">
        <x:v>0</x:v>
      </x:c>
      <x:c r="T313" s="90" t="n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2">
      <x:c r="C314" s="101" t="s">
        <x:v>119</x:v>
      </x:c>
      <x:c r="D314" s="101" t="s">
        <x:v>70</x:v>
      </x:c>
      <x:c r="F314" s="93" t="n">
        <x:v>897711004.34</x:v>
      </x:c>
      <x:c r="G314" s="93" t="n">
        <x:v>166838552.01</x:v>
      </x:c>
      <x:c r="H314" s="93" t="n">
        <x:v>94009717.73</x:v>
      </x:c>
      <x:c r="I314" s="93" t="n">
        <x:v>49336363.09</x:v>
      </x:c>
      <x:c r="J314" s="93" t="n">
        <x:v>58020025.64</x:v>
      </x:c>
      <x:c r="K314" s="93" t="n">
        <x:v>1581478.27</x:v>
      </x:c>
      <x:c r="L314" s="93" t="n">
        <x:v>17038188.23</x:v>
      </x:c>
      <x:c r="M314" s="93" t="n">
        <x:v>13846370.33</x:v>
      </x:c>
      <x:c r="N314" s="93" t="n">
        <x:v>18858595.5</x:v>
      </x:c>
      <x:c r="O314" s="93" t="n">
        <x:v>87697135.26</x:v>
      </x:c>
      <x:c r="P314" s="93" t="n">
        <x:v>391882879.13</x:v>
      </x:c>
      <x:c r="Q314" s="93" t="n">
        <x:v>2576250.92</x:v>
      </x:c>
      <x:c r="R314" s="93" t="n">
        <x:v>-952</x:v>
      </x:c>
      <x:c r="S314" s="93" t="n">
        <x:v>-3973599.86</x:v>
      </x:c>
      <x:c r="T314" s="93" t="n">
        <x:v>0.09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2">
      <x:c r="B315" s="378" t="s">
        <x:v>122</x:v>
      </x:c>
      <x:c r="C315" s="378" t="s">
        <x:v>70</x:v>
      </x:c>
      <x:c r="E315" s="376"/>
      <x:c r="F315" s="710">
        <x:v>0</x:v>
      </x:c>
      <x:c r="G315" s="377">
        <x:v>0</x:v>
      </x:c>
      <x:c r="H315" s="377">
        <x:v>0</x:v>
      </x:c>
      <x:c r="I315" s="377">
        <x:v>0</x:v>
      </x:c>
      <x:c r="J315" s="377">
        <x:v>0</x:v>
      </x:c>
      <x:c r="K315" s="377">
        <x:v>0</x:v>
      </x:c>
      <x:c r="L315" s="377">
        <x:v>0</x:v>
      </x:c>
      <x:c r="M315" s="377">
        <x:v>0</x:v>
      </x:c>
      <x:c r="N315" s="377">
        <x:v>0</x:v>
      </x:c>
      <x:c r="O315" s="377">
        <x:v>0</x:v>
      </x:c>
      <x:c r="P315" s="377">
        <x:v>0</x:v>
      </x:c>
      <x:c r="Q315" s="377">
        <x:v>0</x:v>
      </x:c>
      <x:c r="R315" s="377">
        <x:v>0</x:v>
      </x:c>
      <x:c r="S315" s="377">
        <x:v>0</x:v>
      </x:c>
      <x:c r="T315" s="378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2">
      <x:c r="E316" s="89" t="s">
        <x:v>72</x:v>
      </x:c>
      <x:c r="F316" s="371">
        <x:v>0</x:v>
      </x:c>
      <x:c r="G316" s="90">
        <x:v>0</x:v>
      </x:c>
      <x:c r="H316" s="90">
        <x:v>0</x:v>
      </x:c>
      <x:c r="I316" s="90">
        <x:v>0</x:v>
      </x:c>
      <x:c r="J316" s="90">
        <x:v>0</x:v>
      </x:c>
      <x:c r="K316" s="90">
        <x:v>0</x:v>
      </x:c>
      <x:c r="L316" s="90">
        <x:v>0</x:v>
      </x:c>
      <x:c r="M316" s="90">
        <x:v>0</x:v>
      </x:c>
      <x:c r="N316" s="90">
        <x:v>0</x:v>
      </x:c>
      <x:c r="O316" s="90">
        <x:v>0</x:v>
      </x:c>
      <x:c r="P316" s="90">
        <x:v>0</x:v>
      </x:c>
      <x:c r="Q316" s="90">
        <x:v>0</x:v>
      </x:c>
      <x:c r="R316" s="90">
        <x:v>0</x:v>
      </x:c>
      <x:c r="S316" s="90">
        <x:v>0</x:v>
      </x:c>
      <x:c r="T316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2">
      <x:c r="E317" s="89" t="s">
        <x:v>81</x:v>
      </x:c>
      <x:c r="F317" s="371">
        <x:v>0</x:v>
      </x:c>
      <x:c r="G317" s="90">
        <x:v>0</x:v>
      </x:c>
      <x:c r="H317" s="90">
        <x:v>0</x:v>
      </x:c>
      <x:c r="I317" s="90">
        <x:v>0</x:v>
      </x:c>
      <x:c r="J317" s="90">
        <x:v>0</x:v>
      </x:c>
      <x:c r="K317" s="90">
        <x:v>0</x:v>
      </x:c>
      <x:c r="L317" s="90">
        <x:v>0</x:v>
      </x:c>
      <x:c r="M317" s="90">
        <x:v>0</x:v>
      </x:c>
      <x:c r="N317" s="90">
        <x:v>0</x:v>
      </x:c>
      <x:c r="O317" s="90">
        <x:v>0</x:v>
      </x:c>
      <x:c r="P317" s="90">
        <x:v>0</x:v>
      </x:c>
      <x:c r="Q317" s="90">
        <x:v>0</x:v>
      </x:c>
      <x:c r="R317" s="90">
        <x:v>0</x:v>
      </x:c>
      <x:c r="S317" s="90">
        <x:v>0</x:v>
      </x:c>
      <x:c r="T317">
        <x:v>0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2">
      <x:c r="D318" t="s">
        <x:v>156</x:v>
      </x:c>
      <x:c r="E318" s="89" t="s">
        <x:v>70</x:v>
      </x:c>
      <x:c r="F318" s="90" t="n">
        <x:v>-1087996443.09</x:v>
      </x:c>
      <x:c r="G318" s="90" t="n">
        <x:v>192799744.37</x:v>
      </x:c>
      <x:c r="H318" s="90" t="n">
        <x:v>108870075.98</x:v>
      </x:c>
      <x:c r="I318" s="90" t="n">
        <x:v>57205798</x:v>
      </x:c>
      <x:c r="J318" s="90" t="n">
        <x:v>-715866743.76</x:v>
      </x:c>
      <x:c r="K318" s="90" t="n">
        <x:v>-19719209.79</x:v>
      </x:c>
      <x:c r="L318" s="90" t="n">
        <x:v>0</x:v>
      </x:c>
      <x:c r="M318" s="90" t="n">
        <x:v>-172988030.45</x:v>
      </x:c>
      <x:c r="N318" s="90" t="n">
        <x:v>-168117168.85</x:v>
      </x:c>
      <x:c r="O318" s="90" t="n">
        <x:v>-795100944.94</x:v>
      </x:c>
      <x:c r="P318" s="90" t="n">
        <x:v>457090640.21</x:v>
      </x:c>
      <x:c r="Q318" s="90" t="n">
        <x:v>-32170603.86</x:v>
      </x:c>
      <x:c r="R318" s="90" t="n">
        <x:v>0</x:v>
      </x:c>
      <x:c r="S318" s="90" t="n">
        <x:v>0</x:v>
      </x:c>
      <x:c r="T318" t="n">
        <x:v>0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2">
      <x:c r="C319" s="286" t="s">
        <x:v>155</x:v>
      </x:c>
      <x:c r="D319" s="286" t="s">
        <x:v>70</x:v>
      </x:c>
      <x:c r="E319" s="229"/>
      <x:c r="F319" s="229">
        <x:v>0</x:v>
      </x:c>
      <x:c r="G319" s="230">
        <x:v>0</x:v>
      </x:c>
      <x:c r="H319" s="230">
        <x:v>0</x:v>
      </x:c>
      <x:c r="I319" s="230">
        <x:v>0</x:v>
      </x:c>
      <x:c r="J319" s="230">
        <x:v>0</x:v>
      </x:c>
      <x:c r="K319" s="230">
        <x:v>0</x:v>
      </x:c>
      <x:c r="L319" s="230">
        <x:v>0</x:v>
      </x:c>
      <x:c r="M319" s="230">
        <x:v>0</x:v>
      </x:c>
      <x:c r="N319" s="230">
        <x:v>0</x:v>
      </x:c>
      <x:c r="O319" s="230">
        <x:v>0</x:v>
      </x:c>
      <x:c r="P319" s="230">
        <x:v>0</x:v>
      </x:c>
      <x:c r="Q319" s="230">
        <x:v>0</x:v>
      </x:c>
      <x:c r="R319" s="230">
        <x:v>0</x:v>
      </x:c>
      <x:c r="S319" s="230">
        <x:v>0</x:v>
      </x:c>
      <x:c r="T319" s="230">
        <x:v>0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2">
      <x:c r="E320" s="89" t="s">
        <x:v>72</x:v>
      </x:c>
      <x:c r="F320" s="90">
        <x:v>0</x:v>
      </x:c>
      <x:c r="G320" s="90">
        <x:v>0</x:v>
      </x:c>
      <x:c r="H320" s="90">
        <x:v>0</x:v>
      </x:c>
      <x:c r="I320" s="90">
        <x:v>0</x:v>
      </x:c>
      <x:c r="J320" s="90">
        <x:v>0</x:v>
      </x:c>
      <x:c r="K320" s="90">
        <x:v>0</x:v>
      </x:c>
      <x:c r="L320" s="90">
        <x:v>0</x:v>
      </x:c>
      <x:c r="M320" s="90">
        <x:v>0</x:v>
      </x:c>
      <x:c r="N320" s="90">
        <x:v>0</x:v>
      </x:c>
      <x:c r="O320" s="90">
        <x:v>0</x:v>
      </x:c>
      <x:c r="P320" s="90">
        <x:v>0</x:v>
      </x:c>
      <x:c r="Q320" s="90">
        <x:v>0</x:v>
      </x:c>
      <x:c r="R320" s="90">
        <x:v>0</x:v>
      </x:c>
      <x:c r="S320" s="90">
        <x:v>0</x:v>
      </x:c>
      <x:c r="T320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2">
      <x:c r="E321" s="89" t="s">
        <x:v>81</x:v>
      </x:c>
      <x:c r="F321" s="90">
        <x:v>0</x:v>
      </x:c>
      <x:c r="G321" s="90">
        <x:v>0</x:v>
      </x:c>
      <x:c r="H321" s="90">
        <x:v>0</x:v>
      </x:c>
      <x:c r="I321" s="90">
        <x:v>0</x:v>
      </x:c>
      <x:c r="J321" s="90">
        <x:v>0</x:v>
      </x:c>
      <x:c r="K321" s="90">
        <x:v>0</x:v>
      </x:c>
      <x:c r="L321" s="90">
        <x:v>0</x:v>
      </x:c>
      <x:c r="M321" s="90">
        <x:v>0</x:v>
      </x:c>
      <x:c r="N321" s="90">
        <x:v>0</x:v>
      </x:c>
      <x:c r="O321" s="90">
        <x:v>0</x:v>
      </x:c>
      <x:c r="P321" s="90">
        <x:v>0</x:v>
      </x:c>
      <x:c r="Q321" s="90">
        <x:v>0</x:v>
      </x:c>
      <x:c r="R321" s="90">
        <x:v>0</x:v>
      </x:c>
      <x:c r="S321" s="90">
        <x:v>0</x:v>
      </x:c>
      <x:c r="T321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2">
      <x:c r="D322" s="89" t="s">
        <x:v>82</x:v>
      </x:c>
      <x:c r="E322" s="89" t="s">
        <x:v>70</x:v>
      </x:c>
      <x:c r="F322" s="90">
        <x:v>0</x:v>
      </x:c>
      <x:c r="G322" s="90">
        <x:v>0</x:v>
      </x:c>
      <x:c r="H322" s="90">
        <x:v>0</x:v>
      </x:c>
      <x:c r="I322" s="90">
        <x:v>0</x:v>
      </x:c>
      <x:c r="J322" s="90">
        <x:v>0</x:v>
      </x:c>
      <x:c r="K322" s="90">
        <x:v>0</x:v>
      </x:c>
      <x:c r="L322" s="90">
        <x:v>0</x:v>
      </x:c>
      <x:c r="M322" s="90">
        <x:v>0</x:v>
      </x:c>
      <x:c r="N322" s="90">
        <x:v>0</x:v>
      </x:c>
      <x:c r="O322" s="90">
        <x:v>0</x:v>
      </x:c>
      <x:c r="P322" s="90">
        <x:v>0</x:v>
      </x:c>
      <x:c r="Q322" s="90">
        <x:v>0</x:v>
      </x:c>
      <x:c r="R322" s="90">
        <x:v>0</x:v>
      </x:c>
      <x:c r="S322" s="90">
        <x:v>0</x:v>
      </x:c>
      <x:c r="T322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2">
      <x:c r="D323" s="89"/>
      <x:c r="E323" s="89" t="s">
        <x:v>72</x:v>
      </x:c>
      <x:c r="F323" s="90">
        <x:v>0</x:v>
      </x:c>
      <x:c r="G323" s="90">
        <x:v>0</x:v>
      </x:c>
      <x:c r="H323" s="90">
        <x:v>0</x:v>
      </x:c>
      <x:c r="I323" s="90">
        <x:v>0</x:v>
      </x:c>
      <x:c r="J323" s="90">
        <x:v>0</x:v>
      </x:c>
      <x:c r="K323" s="90">
        <x:v>0</x:v>
      </x:c>
      <x:c r="L323" s="90">
        <x:v>0</x:v>
      </x:c>
      <x:c r="M323" s="90">
        <x:v>0</x:v>
      </x:c>
      <x:c r="N323" s="90">
        <x:v>0</x:v>
      </x:c>
      <x:c r="O323" s="90">
        <x:v>0</x:v>
      </x:c>
      <x:c r="P323" s="90">
        <x:v>0</x:v>
      </x:c>
      <x:c r="Q323" s="90">
        <x:v>0</x:v>
      </x:c>
      <x:c r="R323" s="90">
        <x:v>0</x:v>
      </x:c>
      <x:c r="S323" s="90">
        <x:v>0</x:v>
      </x:c>
      <x:c r="T323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2">
      <x:c r="E324" s="89" t="s">
        <x:v>81</x:v>
      </x:c>
      <x:c r="F324" s="90">
        <x:v>0</x:v>
      </x:c>
      <x:c r="G324" s="90">
        <x:v>0</x:v>
      </x:c>
      <x:c r="H324" s="90">
        <x:v>0</x:v>
      </x:c>
      <x:c r="I324" s="90">
        <x:v>0</x:v>
      </x:c>
      <x:c r="J324" s="90">
        <x:v>0</x:v>
      </x:c>
      <x:c r="K324" s="90">
        <x:v>0</x:v>
      </x:c>
      <x:c r="L324" s="90">
        <x:v>0</x:v>
      </x:c>
      <x:c r="M324" s="90">
        <x:v>0</x:v>
      </x:c>
      <x:c r="N324" s="90">
        <x:v>0</x:v>
      </x:c>
      <x:c r="O324" s="90">
        <x:v>0</x:v>
      </x:c>
      <x:c r="P324" s="90">
        <x:v>0</x:v>
      </x:c>
      <x:c r="Q324" s="90">
        <x:v>0</x:v>
      </x:c>
      <x:c r="R324" s="90">
        <x:v>0</x:v>
      </x:c>
      <x:c r="S324" s="90">
        <x:v>0</x:v>
      </x:c>
      <x:c r="T324">
        <x:v>0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2">
      <x:c r="D325" s="89" t="s">
        <x:v>86</x:v>
      </x:c>
      <x:c r="E325" s="89" t="s">
        <x:v>70</x:v>
      </x:c>
      <x:c r="F325" s="90" t="n">
        <x:v>30014496.44</x:v>
      </x:c>
      <x:c r="G325" s="90" t="n">
        <x:v>6971628.29</x:v>
      </x:c>
      <x:c r="H325" s="90" t="n">
        <x:v>3925790.17</x:v>
      </x:c>
      <x:c r="I325" s="90" t="n">
        <x:v>2052260.57</x:v>
      </x:c>
      <x:c r="J325" s="90" t="n">
        <x:v>162146.79</x:v>
      </x:c>
      <x:c r="K325" s="90" t="n">
        <x:v>1063.38</x:v>
      </x:c>
      <x:c r="L325" s="90" t="n">
        <x:v>0</x:v>
      </x:c>
      <x:c r="M325" s="90" t="n">
        <x:v>9642.27000000004</x:v>
      </x:c>
      <x:c r="N325" s="90" t="n">
        <x:v>109927.61</x:v>
      </x:c>
      <x:c r="O325" s="90" t="n">
        <x:v>364617.9</x:v>
      </x:c>
      <x:c r="P325" s="90" t="n">
        <x:v>16415666.51</x:v>
      </x:c>
      <x:c r="Q325" s="90" t="n">
        <x:v>1752.95</x:v>
      </x:c>
      <x:c r="R325" s="90" t="n">
        <x:v>0</x:v>
      </x:c>
      <x:c r="S325" s="90" t="n">
        <x:v>0</x:v>
      </x:c>
      <x:c r="T325" t="n">
        <x:v>0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2">
      <x:c r="E326" s="89" t="s">
        <x:v>72</x:v>
      </x:c>
      <x:c r="F326" s="90">
        <x:v>0</x:v>
      </x:c>
      <x:c r="G326" s="90">
        <x:v>0</x:v>
      </x:c>
      <x:c r="H326" s="90">
        <x:v>0</x:v>
      </x:c>
      <x:c r="I326" s="90">
        <x:v>0</x:v>
      </x:c>
      <x:c r="J326" s="90">
        <x:v>0</x:v>
      </x:c>
      <x:c r="K326" s="90">
        <x:v>0</x:v>
      </x:c>
      <x:c r="L326" s="90">
        <x:v>0</x:v>
      </x:c>
      <x:c r="M326" s="90">
        <x:v>0</x:v>
      </x:c>
      <x:c r="N326" s="90">
        <x:v>0</x:v>
      </x:c>
      <x:c r="O326" s="90">
        <x:v>0</x:v>
      </x:c>
      <x:c r="P326" s="90">
        <x:v>0</x:v>
      </x:c>
      <x:c r="Q326" s="90">
        <x:v>0</x:v>
      </x:c>
      <x:c r="R326" s="90">
        <x:v>0</x:v>
      </x:c>
      <x:c r="S326" s="90">
        <x:v>0</x:v>
      </x:c>
      <x:c r="T326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2">
      <x:c r="E327" s="89" t="s">
        <x:v>81</x:v>
      </x:c>
      <x:c r="F327" s="90">
        <x:v>0</x:v>
      </x:c>
      <x:c r="G327" s="90">
        <x:v>0</x:v>
      </x:c>
      <x:c r="H327" s="90">
        <x:v>0</x:v>
      </x:c>
      <x:c r="I327" s="90">
        <x:v>0</x:v>
      </x:c>
      <x:c r="J327" s="90">
        <x:v>0</x:v>
      </x:c>
      <x:c r="K327" s="90">
        <x:v>0</x:v>
      </x:c>
      <x:c r="L327" s="90">
        <x:v>0</x:v>
      </x:c>
      <x:c r="M327" s="90">
        <x:v>0</x:v>
      </x:c>
      <x:c r="N327" s="90">
        <x:v>0</x:v>
      </x:c>
      <x:c r="O327" s="90">
        <x:v>0</x:v>
      </x:c>
      <x:c r="P327" s="90">
        <x:v>0</x:v>
      </x:c>
      <x:c r="Q327" s="90">
        <x:v>0</x:v>
      </x:c>
      <x:c r="R327" s="90">
        <x:v>0</x:v>
      </x:c>
      <x:c r="S327" s="90">
        <x:v>0</x:v>
      </x:c>
      <x:c r="T327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2">
      <x:c r="D328" s="89" t="s">
        <x:v>87</x:v>
      </x:c>
      <x:c r="E328" s="89" t="s">
        <x:v>70</x:v>
      </x:c>
      <x:c r="F328" s="90">
        <x:v>0</x:v>
      </x:c>
      <x:c r="G328" s="90">
        <x:v>0</x:v>
      </x:c>
      <x:c r="H328" s="90">
        <x:v>0</x:v>
      </x:c>
      <x:c r="I328" s="90">
        <x:v>0</x:v>
      </x:c>
      <x:c r="J328" s="90">
        <x:v>0</x:v>
      </x:c>
      <x:c r="K328" s="90">
        <x:v>0</x:v>
      </x:c>
      <x:c r="L328" s="90">
        <x:v>0</x:v>
      </x:c>
      <x:c r="M328" s="90">
        <x:v>0</x:v>
      </x:c>
      <x:c r="N328" s="90">
        <x:v>0</x:v>
      </x:c>
      <x:c r="O328" s="90">
        <x:v>0</x:v>
      </x:c>
      <x:c r="P328" s="90">
        <x:v>0</x:v>
      </x:c>
      <x:c r="Q328" s="90">
        <x:v>0</x:v>
      </x:c>
      <x:c r="R328" s="90">
        <x:v>0</x:v>
      </x:c>
      <x:c r="S328" s="90">
        <x:v>0</x:v>
      </x:c>
      <x:c r="T328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2">
      <x:c r="C329" s="101" t="s">
        <x:v>119</x:v>
      </x:c>
      <x:c r="D329" s="101" t="s">
        <x:v>70</x:v>
      </x:c>
      <x:c r="F329" s="93">
        <x:v>0</x:v>
      </x:c>
      <x:c r="G329" s="93">
        <x:v>0</x:v>
      </x:c>
      <x:c r="H329" s="93">
        <x:v>0</x:v>
      </x:c>
      <x:c r="I329" s="93">
        <x:v>0</x:v>
      </x:c>
      <x:c r="J329" s="93">
        <x:v>0</x:v>
      </x:c>
      <x:c r="K329" s="93">
        <x:v>0</x:v>
      </x:c>
      <x:c r="L329" s="93">
        <x:v>0</x:v>
      </x:c>
      <x:c r="M329" s="93">
        <x:v>0</x:v>
      </x:c>
      <x:c r="N329" s="93">
        <x:v>0</x:v>
      </x:c>
      <x:c r="O329" s="93">
        <x:v>0</x:v>
      </x:c>
      <x:c r="P329" s="93">
        <x:v>0</x:v>
      </x:c>
      <x:c r="Q329" s="93">
        <x:v>0</x:v>
      </x:c>
      <x:c r="R329" s="93">
        <x:v>0</x:v>
      </x:c>
      <x:c r="S329" s="93">
        <x:v>0</x:v>
      </x:c>
      <x:c r="T329" s="94">
        <x:v>0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2">
      <x:c r="B330" s="98" t="s">
        <x:v>112</x:v>
      </x:c>
      <x:c r="C330" s="98" t="s">
        <x:v>70</x:v>
      </x:c>
      <x:c r="F330" s="100" t="n">
        <x:v>17110605166.74</x:v>
      </x:c>
      <x:c r="G330" s="100" t="n">
        <x:v>1144017419</x:v>
      </x:c>
      <x:c r="H330" s="100" t="n">
        <x:v>645066142.41</x:v>
      </x:c>
      <x:c r="I330" s="100" t="n">
        <x:v>338768010.72</x:v>
      </x:c>
      <x:c r="J330" s="100" t="n">
        <x:v>4557872329.91</x:v>
      </x:c>
      <x:c r="K330" s="100" t="n">
        <x:v>127229701.49</x:v>
      </x:c>
      <x:c r="L330" s="100" t="n">
        <x:v>37341348.91</x:v>
      </x:c>
      <x:c r="M330" s="100" t="n">
        <x:v>1115704202.9</x:v>
      </x:c>
      <x:c r="N330" s="100" t="n">
        <x:v>1088497538.96</x:v>
      </x:c>
      <x:c r="O330" s="100" t="n">
        <x:v>5145932012.77</x:v>
      </x:c>
      <x:c r="P330" s="100" t="n">
        <x:v>2706405773.89</x:v>
      </x:c>
      <x:c r="Q330" s="100" t="n">
        <x:v>207627608.4</x:v>
      </x:c>
      <x:c r="R330" s="100" t="n">
        <x:v>116676.53</x:v>
      </x:c>
      <x:c r="S330" s="100" t="n">
        <x:v>-3973599.86</x:v>
      </x:c>
      <x:c r="T330" s="226" t="n">
        <x:v>0.71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2">
      <x:c r="A331" s="89" t="s">
        <x:v>78</x:v>
      </x:c>
      <x:c r="B331" s="89" t="s">
        <x:v>70</x:v>
      </x:c>
      <x:c r="F331" s="90" t="n">
        <x:v>17110605166.74</x:v>
      </x:c>
      <x:c r="G331" s="90" t="n">
        <x:v>1144017419</x:v>
      </x:c>
      <x:c r="H331" s="90" t="n">
        <x:v>645066142.41</x:v>
      </x:c>
      <x:c r="I331" s="90" t="n">
        <x:v>338768010.72</x:v>
      </x:c>
      <x:c r="J331" s="90" t="n">
        <x:v>4557872329.91</x:v>
      </x:c>
      <x:c r="K331" s="90" t="n">
        <x:v>127229701.49</x:v>
      </x:c>
      <x:c r="L331" s="90" t="n">
        <x:v>37341348.91</x:v>
      </x:c>
      <x:c r="M331" s="90" t="n">
        <x:v>1115704202.9</x:v>
      </x:c>
      <x:c r="N331" s="90" t="n">
        <x:v>1088497538.96</x:v>
      </x:c>
      <x:c r="O331" s="90" t="n">
        <x:v>5145932012.77</x:v>
      </x:c>
      <x:c r="P331" s="90" t="n">
        <x:v>2706405773.89</x:v>
      </x:c>
      <x:c r="Q331" s="90" t="n">
        <x:v>207627608.4</x:v>
      </x:c>
      <x:c r="R331" s="90" t="n">
        <x:v>116676.53</x:v>
      </x:c>
      <x:c r="S331" s="90" t="n">
        <x:v>-3973599.86</x:v>
      </x:c>
      <x:c r="T331" t="n">
        <x:v>0.71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2">
      <x:c r="E332" t="s">
        <x:v>73</x:v>
      </x:c>
      <x:c r="F332" s="90" t="n">
        <x:v>-1087996443.09</x:v>
      </x:c>
      <x:c r="G332" s="90" t="n">
        <x:v>192799744.37</x:v>
      </x:c>
      <x:c r="H332" s="90" t="n">
        <x:v>108870075.98</x:v>
      </x:c>
      <x:c r="I332" s="90" t="n">
        <x:v>57205798</x:v>
      </x:c>
      <x:c r="J332" s="90" t="n">
        <x:v>-715866743.76</x:v>
      </x:c>
      <x:c r="K332" s="90" t="n">
        <x:v>-19719209.79</x:v>
      </x:c>
      <x:c r="L332" s="90" t="n">
        <x:v>0</x:v>
      </x:c>
      <x:c r="M332" s="90" t="n">
        <x:v>-172988030.45</x:v>
      </x:c>
      <x:c r="N332" s="90" t="n">
        <x:v>-168117168.85</x:v>
      </x:c>
      <x:c r="O332" s="90" t="n">
        <x:v>-795100944.94</x:v>
      </x:c>
      <x:c r="P332" s="90" t="n">
        <x:v>457090640.21</x:v>
      </x:c>
      <x:c r="Q332" s="90" t="n">
        <x:v>-32170603.86</x:v>
      </x:c>
      <x:c r="R332" s="90" t="n">
        <x:v>0</x:v>
      </x:c>
      <x:c r="S332" s="90" t="n">
        <x:v>0</x:v>
      </x:c>
      <x:c r="T332" s="90" t="n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2">
      <x:c r="D333" t="s">
        <x:v>156</x:v>
      </x:c>
      <x:c r="E333" t="s">
        <x:v>70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 s="90">
        <x:v>0</x:v>
      </x:c>
      <x:c r="S333" s="90">
        <x:v>0</x:v>
      </x:c>
      <x:c r="T333" s="90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2">
      <x:c r="C334" s="286" t="s">
        <x:v>155</x:v>
      </x:c>
      <x:c r="D334" s="286" t="s">
        <x:v>70</x:v>
      </x:c>
      <x:c r="E334" s="229"/>
      <x:c r="F334" s="229" t="n">
        <x:v>-1087996443.09</x:v>
      </x:c>
      <x:c r="G334" s="230" t="n">
        <x:v>192799744.37</x:v>
      </x:c>
      <x:c r="H334" s="230" t="n">
        <x:v>108870075.98</x:v>
      </x:c>
      <x:c r="I334" s="230" t="n">
        <x:v>57205798</x:v>
      </x:c>
      <x:c r="J334" s="230" t="n">
        <x:v>-715866743.76</x:v>
      </x:c>
      <x:c r="K334" s="230" t="n">
        <x:v>-19719209.79</x:v>
      </x:c>
      <x:c r="L334" s="230" t="n">
        <x:v>0</x:v>
      </x:c>
      <x:c r="M334" s="230" t="n">
        <x:v>-172988030.45</x:v>
      </x:c>
      <x:c r="N334" s="230" t="n">
        <x:v>-168117168.85</x:v>
      </x:c>
      <x:c r="O334" s="230" t="n">
        <x:v>-795100944.94</x:v>
      </x:c>
      <x:c r="P334" s="230" t="n">
        <x:v>457090640.21</x:v>
      </x:c>
      <x:c r="Q334" s="230" t="n">
        <x:v>-32170603.86</x:v>
      </x:c>
      <x:c r="R334" s="230" t="n">
        <x:v>0</x:v>
      </x:c>
      <x:c r="S334" s="230" t="n">
        <x:v>0</x:v>
      </x:c>
      <x:c r="T334" s="230" t="n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2">
      <x:c r="E335" t="s">
        <x:v>73</x:v>
      </x:c>
      <x:c r="F335" s="90" t="n">
        <x:v>2327352.78</x:v>
      </x:c>
      <x:c r="G335" s="90" t="n">
        <x:v>852140.65</x:v>
      </x:c>
      <x:c r="H335" s="90" t="n">
        <x:v>481465.43</x:v>
      </x:c>
      <x:c r="I335" s="90" t="n">
        <x:v>251037.28</x:v>
      </x:c>
      <x:c r="J335" s="90" t="n">
        <x:v>-352667.51</x:v>
      </x:c>
      <x:c r="K335" s="90" t="n">
        <x:v>-10303.81</x:v>
      </x:c>
      <x:c r="L335" s="90" t="n">
        <x:v>0</x:v>
      </x:c>
      <x:c r="M335" s="90" t="n">
        <x:v>-90464.35</x:v>
      </x:c>
      <x:c r="N335" s="90" t="n">
        <x:v>-141735.89</x:v>
      </x:c>
      <x:c r="O335" s="90" t="n">
        <x:v>-654318.1</x:v>
      </x:c>
      <x:c r="P335" s="90" t="n">
        <x:v>2009008.4</x:v>
      </x:c>
      <x:c r="Q335" s="90" t="n">
        <x:v>-16809.32</x:v>
      </x:c>
      <x:c r="R335" s="90" t="n">
        <x:v>0</x:v>
      </x:c>
      <x:c r="S335" s="90" t="n">
        <x:v>0</x:v>
      </x:c>
      <x:c r="T335" s="90" t="n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2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2">
      <x:c r="E337" t="s">
        <x:v>73</x:v>
      </x:c>
      <x:c r="F337" s="90" t="n">
        <x:v>30014496.44</x:v>
      </x:c>
      <x:c r="G337" s="90" t="n">
        <x:v>6971628.29</x:v>
      </x:c>
      <x:c r="H337" s="90" t="n">
        <x:v>3925790.17</x:v>
      </x:c>
      <x:c r="I337" s="90" t="n">
        <x:v>2052260.57</x:v>
      </x:c>
      <x:c r="J337" s="90" t="n">
        <x:v>162146.79</x:v>
      </x:c>
      <x:c r="K337" s="90" t="n">
        <x:v>1063.38</x:v>
      </x:c>
      <x:c r="L337" s="90" t="n">
        <x:v>0</x:v>
      </x:c>
      <x:c r="M337" s="90" t="n">
        <x:v>9642.27000000004</x:v>
      </x:c>
      <x:c r="N337" s="90" t="n">
        <x:v>109927.61</x:v>
      </x:c>
      <x:c r="O337" s="90" t="n">
        <x:v>364617.9</x:v>
      </x:c>
      <x:c r="P337" s="90" t="n">
        <x:v>16415666.51</x:v>
      </x:c>
      <x:c r="Q337" s="90" t="n">
        <x:v>1752.95</x:v>
      </x:c>
      <x:c r="R337" s="90" t="n">
        <x:v>0</x:v>
      </x:c>
      <x:c r="S337" s="90" t="n">
        <x:v>0</x:v>
      </x:c>
      <x:c r="T337" s="90" t="n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2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2">
      <x:c r="E339" t="s">
        <x:v>73</x:v>
      </x:c>
      <x:c r="F339" s="90" t="n">
        <x:v>328146742.01</x:v>
      </x:c>
      <x:c r="G339" s="90" t="n">
        <x:v>76683146.88</x:v>
      </x:c>
      <x:c r="H339" s="90" t="n">
        <x:v>43193693.22</x:v>
      </x:c>
      <x:c r="I339" s="90" t="n">
        <x:v>22706908.89</x:v>
      </x:c>
      <x:c r="J339" s="90" t="n">
        <x:v>1825379.37</x:v>
      </x:c>
      <x:c r="K339" s="90" t="n">
        <x:v>41051.77</x:v>
      </x:c>
      <x:c r="L339" s="90" t="n">
        <x:v>0</x:v>
      </x:c>
      <x:c r="M339" s="90" t="n">
        <x:v>358199.13</x:v>
      </x:c>
      <x:c r="N339" s="90" t="n">
        <x:v>493339.25</x:v>
      </x:c>
      <x:c r="O339" s="90" t="n">
        <x:v>2367883.44</x:v>
      </x:c>
      <x:c r="P339" s="90" t="n">
        <x:v>180410497.93</x:v>
      </x:c>
      <x:c r="Q339" s="90" t="n">
        <x:v>66642.13</x:v>
      </x:c>
      <x:c r="R339" s="90" t="n">
        <x:v>0</x:v>
      </x:c>
      <x:c r="S339" s="90" t="n">
        <x:v>0</x:v>
      </x:c>
      <x:c r="T339" s="90" t="n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2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2">
      <x:c r="C341" s="101" t="s">
        <x:v>119</x:v>
      </x:c>
      <x:c r="D341" s="101" t="s">
        <x:v>70</x:v>
      </x:c>
      <x:c r="F341" s="93" t="n">
        <x:v>360488591.23</x:v>
      </x:c>
      <x:c r="G341" s="93" t="n">
        <x:v>84506915.82</x:v>
      </x:c>
      <x:c r="H341" s="93" t="n">
        <x:v>47600948.82</x:v>
      </x:c>
      <x:c r="I341" s="93" t="n">
        <x:v>25010206.74</x:v>
      </x:c>
      <x:c r="J341" s="93" t="n">
        <x:v>1634858.65</x:v>
      </x:c>
      <x:c r="K341" s="93" t="n">
        <x:v>31811.34</x:v>
      </x:c>
      <x:c r="L341" s="93" t="n">
        <x:v>0</x:v>
      </x:c>
      <x:c r="M341" s="93" t="n">
        <x:v>277377.05</x:v>
      </x:c>
      <x:c r="N341" s="93" t="n">
        <x:v>461530.97</x:v>
      </x:c>
      <x:c r="O341" s="93" t="n">
        <x:v>2078183.24</x:v>
      </x:c>
      <x:c r="P341" s="93" t="n">
        <x:v>198835172.84</x:v>
      </x:c>
      <x:c r="Q341" s="93" t="n">
        <x:v>51585.76</x:v>
      </x:c>
      <x:c r="R341" s="93" t="n">
        <x:v>0</x:v>
      </x:c>
      <x:c r="S341" s="93" t="n">
        <x:v>0</x:v>
      </x:c>
      <x:c r="T341" s="93" t="n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" customHeight="1" x14ac:dyDescent="0.2">
      <x:c r="B342" s="378" t="s">
        <x:v>122</x:v>
      </x:c>
      <x:c r="C342" s="378" t="s">
        <x:v>70</x:v>
      </x:c>
      <x:c r="E342" s="376"/>
      <x:c r="F342" s="710">
        <x:v>0</x:v>
      </x:c>
      <x:c r="G342" s="377">
        <x:v>0</x:v>
      </x:c>
      <x:c r="H342" s="377">
        <x:v>0</x:v>
      </x:c>
      <x:c r="I342" s="377">
        <x:v>0</x:v>
      </x:c>
      <x:c r="J342" s="377">
        <x:v>0</x:v>
      </x:c>
      <x:c r="K342" s="377">
        <x:v>0</x:v>
      </x:c>
      <x:c r="L342" s="377">
        <x:v>0</x:v>
      </x:c>
      <x:c r="M342" s="377">
        <x:v>0</x:v>
      </x:c>
      <x:c r="N342" s="377">
        <x:v>0</x:v>
      </x:c>
      <x:c r="O342" s="377">
        <x:v>0</x:v>
      </x:c>
      <x:c r="P342" s="377">
        <x:v>0</x:v>
      </x:c>
      <x:c r="Q342" s="377">
        <x:v>0</x:v>
      </x:c>
      <x:c r="R342" s="377">
        <x:v>0</x:v>
      </x:c>
      <x:c r="S342" s="377">
        <x:v>0</x:v>
      </x:c>
      <x:c r="T342" s="378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" customHeight="1" x14ac:dyDescent="0.2">
      <x:c r="E343" s="89" t="s">
        <x:v>73</x:v>
      </x:c>
      <x:c r="F343" s="371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 s="90">
        <x:v>0</x:v>
      </x:c>
      <x:c r="S343" s="90">
        <x:v>0</x:v>
      </x:c>
      <x:c r="T343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2">
      <x:c r="D344" t="s">
        <x:v>156</x:v>
      </x:c>
      <x:c r="E344" s="89" t="s">
        <x:v>70</x:v>
      </x:c>
      <x:c r="F344" s="371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 s="90">
        <x:v>0</x:v>
      </x:c>
      <x:c r="S344" s="90">
        <x:v>0</x:v>
      </x:c>
      <x:c r="T344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2">
      <x:c r="C345" s="286" t="s">
        <x:v>155</x:v>
      </x:c>
      <x:c r="D345" s="286" t="s">
        <x:v>70</x:v>
      </x:c>
      <x:c r="E345" s="229"/>
      <x:c r="F345" s="229">
        <x:v>0</x:v>
      </x:c>
      <x:c r="G345" s="230">
        <x:v>0</x:v>
      </x:c>
      <x:c r="H345" s="230">
        <x:v>0</x:v>
      </x:c>
      <x:c r="I345" s="230">
        <x:v>0</x:v>
      </x:c>
      <x:c r="J345" s="230">
        <x:v>0</x:v>
      </x:c>
      <x:c r="K345" s="230">
        <x:v>0</x:v>
      </x:c>
      <x:c r="L345" s="230">
        <x:v>0</x:v>
      </x:c>
      <x:c r="M345" s="230">
        <x:v>0</x:v>
      </x:c>
      <x:c r="N345" s="230">
        <x:v>0</x:v>
      </x:c>
      <x:c r="O345" s="230">
        <x:v>0</x:v>
      </x:c>
      <x:c r="P345" s="230">
        <x:v>0</x:v>
      </x:c>
      <x:c r="Q345" s="230">
        <x:v>0</x:v>
      </x:c>
      <x:c r="R345" s="230">
        <x:v>0</x:v>
      </x:c>
      <x:c r="S345" s="230">
        <x:v>0</x:v>
      </x:c>
      <x:c r="T345" s="230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2">
      <x:c r="D346" s="89"/>
      <x:c r="E346" s="89" t="s">
        <x:v>73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 s="90">
        <x:v>0</x:v>
      </x:c>
      <x:c r="S346" s="90">
        <x:v>0</x:v>
      </x:c>
      <x:c r="T346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2">
      <x:c r="D347" t="s">
        <x:v>82</x:v>
      </x:c>
      <x:c r="E347" s="89" t="s">
        <x:v>70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 s="90">
        <x:v>0</x:v>
      </x:c>
      <x:c r="S347" s="90">
        <x:v>0</x:v>
      </x:c>
      <x:c r="T347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2">
      <x:c r="D348" s="89"/>
      <x:c r="E348" s="89" t="s">
        <x:v>73</x:v>
      </x:c>
      <x:c r="F348" s="90">
        <x:v>0</x:v>
      </x:c>
      <x:c r="G348" s="90">
        <x:v>0</x:v>
      </x:c>
      <x:c r="H348" s="90">
        <x:v>0</x:v>
      </x:c>
      <x:c r="I348" s="90">
        <x:v>0</x:v>
      </x:c>
      <x:c r="J348" s="90">
        <x:v>0</x:v>
      </x:c>
      <x:c r="K348" s="90">
        <x:v>0</x:v>
      </x:c>
      <x:c r="L348" s="90">
        <x:v>0</x:v>
      </x:c>
      <x:c r="M348" s="90">
        <x:v>0</x:v>
      </x:c>
      <x:c r="N348" s="90">
        <x:v>0</x:v>
      </x:c>
      <x:c r="O348" s="90">
        <x:v>0</x:v>
      </x:c>
      <x:c r="P348" s="90">
        <x:v>0</x:v>
      </x:c>
      <x:c r="Q348" s="90">
        <x:v>0</x:v>
      </x:c>
      <x:c r="R348" s="90">
        <x:v>0</x:v>
      </x:c>
      <x:c r="S348" s="90">
        <x:v>0</x:v>
      </x:c>
      <x:c r="T348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2">
      <x:c r="D349" t="s">
        <x:v>86</x:v>
      </x:c>
      <x:c r="E349" s="89" t="s">
        <x:v>70</x:v>
      </x:c>
      <x:c r="F349" s="90">
        <x:v>0</x:v>
      </x:c>
      <x:c r="G349" s="90">
        <x:v>0</x:v>
      </x:c>
      <x:c r="H349" s="90">
        <x:v>0</x:v>
      </x:c>
      <x:c r="I349" s="90">
        <x:v>0</x:v>
      </x:c>
      <x:c r="J349" s="90">
        <x:v>0</x:v>
      </x:c>
      <x:c r="K349" s="90">
        <x:v>0</x:v>
      </x:c>
      <x:c r="L349" s="90">
        <x:v>0</x:v>
      </x:c>
      <x:c r="M349" s="90">
        <x:v>0</x:v>
      </x:c>
      <x:c r="N349" s="90">
        <x:v>0</x:v>
      </x:c>
      <x:c r="O349" s="90">
        <x:v>0</x:v>
      </x:c>
      <x:c r="P349" s="90">
        <x:v>0</x:v>
      </x:c>
      <x:c r="Q349" s="90">
        <x:v>0</x:v>
      </x:c>
      <x:c r="R349" s="90">
        <x:v>0</x:v>
      </x:c>
      <x:c r="S349" s="90">
        <x:v>0</x:v>
      </x:c>
      <x:c r="T349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2">
      <x:c r="D350" s="89"/>
      <x:c r="E350" s="89" t="s">
        <x:v>73</x:v>
      </x:c>
      <x:c r="F350" s="90">
        <x:v>0</x:v>
      </x:c>
      <x:c r="G350" s="90">
        <x:v>0</x:v>
      </x:c>
      <x:c r="H350" s="90">
        <x:v>0</x:v>
      </x:c>
      <x:c r="I350" s="90">
        <x:v>0</x:v>
      </x:c>
      <x:c r="J350" s="90">
        <x:v>0</x:v>
      </x:c>
      <x:c r="K350" s="90">
        <x:v>0</x:v>
      </x:c>
      <x:c r="L350" s="90">
        <x:v>0</x:v>
      </x:c>
      <x:c r="M350" s="90">
        <x:v>0</x:v>
      </x:c>
      <x:c r="N350" s="90">
        <x:v>0</x:v>
      </x:c>
      <x:c r="O350" s="90">
        <x:v>0</x:v>
      </x:c>
      <x:c r="P350" s="90">
        <x:v>0</x:v>
      </x:c>
      <x:c r="Q350" s="90">
        <x:v>0</x:v>
      </x:c>
      <x:c r="R350" s="90">
        <x:v>0</x:v>
      </x:c>
      <x:c r="S350" s="90">
        <x:v>0</x:v>
      </x:c>
      <x:c r="T350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2">
      <x:c r="C351" s="89"/>
      <x:c r="D351" s="89" t="s">
        <x:v>87</x:v>
      </x:c>
      <x:c r="E351" t="s">
        <x:v>70</x:v>
      </x:c>
      <x:c r="F351" s="90">
        <x:v>0</x:v>
      </x:c>
      <x:c r="G351" s="90">
        <x:v>0</x:v>
      </x:c>
      <x:c r="H351" s="90">
        <x:v>0</x:v>
      </x:c>
      <x:c r="I351" s="90">
        <x:v>0</x:v>
      </x:c>
      <x:c r="J351" s="90">
        <x:v>0</x:v>
      </x:c>
      <x:c r="K351" s="90">
        <x:v>0</x:v>
      </x:c>
      <x:c r="L351" s="90">
        <x:v>0</x:v>
      </x:c>
      <x:c r="M351" s="90">
        <x:v>0</x:v>
      </x:c>
      <x:c r="N351" s="90">
        <x:v>0</x:v>
      </x:c>
      <x:c r="O351" s="90">
        <x:v>0</x:v>
      </x:c>
      <x:c r="P351" s="90">
        <x:v>0</x:v>
      </x:c>
      <x:c r="Q351" s="90">
        <x:v>0</x:v>
      </x:c>
      <x:c r="R351" s="90">
        <x:v>0</x:v>
      </x:c>
      <x:c r="S351" s="90">
        <x:v>0</x:v>
      </x:c>
      <x:c r="T351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2">
      <x:c r="C352" s="101" t="s">
        <x:v>119</x:v>
      </x:c>
      <x:c r="D352" s="101" t="s">
        <x:v>70</x:v>
      </x:c>
      <x:c r="F352" s="93">
        <x:v>0</x:v>
      </x:c>
      <x:c r="G352" s="93">
        <x:v>0</x:v>
      </x:c>
      <x:c r="H352" s="93">
        <x:v>0</x:v>
      </x:c>
      <x:c r="I352" s="93">
        <x:v>0</x:v>
      </x:c>
      <x:c r="J352" s="93">
        <x:v>0</x:v>
      </x:c>
      <x:c r="K352" s="93">
        <x:v>0</x:v>
      </x:c>
      <x:c r="L352" s="93">
        <x:v>0</x:v>
      </x:c>
      <x:c r="M352" s="93">
        <x:v>0</x:v>
      </x:c>
      <x:c r="N352" s="93">
        <x:v>0</x:v>
      </x:c>
      <x:c r="O352" s="93">
        <x:v>0</x:v>
      </x:c>
      <x:c r="P352" s="93">
        <x:v>0</x:v>
      </x:c>
      <x:c r="Q352" s="93">
        <x:v>0</x:v>
      </x:c>
      <x:c r="R352" s="93">
        <x:v>0</x:v>
      </x:c>
      <x:c r="S352" s="93">
        <x:v>0</x:v>
      </x:c>
      <x:c r="T352" s="94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2">
      <x:c r="A353" s="98"/>
      <x:c r="B353" s="98" t="s">
        <x:v>112</x:v>
      </x:c>
      <x:c r="C353" s="226" t="s">
        <x:v>70</x:v>
      </x:c>
      <x:c r="F353" s="100" t="n">
        <x:v>-727507851.86</x:v>
      </x:c>
      <x:c r="G353" s="100" t="n">
        <x:v>277306660.19</x:v>
      </x:c>
      <x:c r="H353" s="100" t="n">
        <x:v>156471024.8</x:v>
      </x:c>
      <x:c r="I353" s="100" t="n">
        <x:v>82216004.74</x:v>
      </x:c>
      <x:c r="J353" s="100" t="n">
        <x:v>-714231885.11</x:v>
      </x:c>
      <x:c r="K353" s="100" t="n">
        <x:v>-19687398.45</x:v>
      </x:c>
      <x:c r="L353" s="100" t="n">
        <x:v>0</x:v>
      </x:c>
      <x:c r="M353" s="100" t="n">
        <x:v>-172710653.4</x:v>
      </x:c>
      <x:c r="N353" s="100" t="n">
        <x:v>-167655637.88</x:v>
      </x:c>
      <x:c r="O353" s="100" t="n">
        <x:v>-793022761.7</x:v>
      </x:c>
      <x:c r="P353" s="100" t="n">
        <x:v>655925813.05</x:v>
      </x:c>
      <x:c r="Q353" s="100" t="n">
        <x:v>-32119018.1</x:v>
      </x:c>
      <x:c r="R353" s="100" t="n">
        <x:v>0</x:v>
      </x:c>
      <x:c r="S353" s="100" t="n">
        <x:v>0</x:v>
      </x:c>
      <x:c r="T353" s="226" t="n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2">
      <x:c r="A354" s="89" t="s">
        <x:v>79</x:v>
      </x:c>
      <x:c r="B354" t="s">
        <x:v>70</x:v>
      </x:c>
      <x:c r="F354" s="90" t="n">
        <x:v>-727507851.86</x:v>
      </x:c>
      <x:c r="G354" s="90" t="n">
        <x:v>277306660.19</x:v>
      </x:c>
      <x:c r="H354" s="90" t="n">
        <x:v>156471024.8</x:v>
      </x:c>
      <x:c r="I354" s="90" t="n">
        <x:v>82216004.74</x:v>
      </x:c>
      <x:c r="J354" s="90" t="n">
        <x:v>-714231885.11</x:v>
      </x:c>
      <x:c r="K354" s="90" t="n">
        <x:v>-19687398.45</x:v>
      </x:c>
      <x:c r="L354" s="90" t="n">
        <x:v>0</x:v>
      </x:c>
      <x:c r="M354" s="90" t="n">
        <x:v>-172710653.4</x:v>
      </x:c>
      <x:c r="N354" s="90" t="n">
        <x:v>-167655637.88</x:v>
      </x:c>
      <x:c r="O354" s="90" t="n">
        <x:v>-793022761.7</x:v>
      </x:c>
      <x:c r="P354" s="90" t="n">
        <x:v>655925813.05</x:v>
      </x:c>
      <x:c r="Q354" s="90" t="n">
        <x:v>-32119018.1</x:v>
      </x:c>
      <x:c r="R354" s="90" t="n">
        <x:v>0</x:v>
      </x:c>
      <x:c r="S354" s="90" t="n">
        <x:v>0</x:v>
      </x:c>
      <x:c r="T354" t="n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2">
      <x:c r="A355" t="s">
        <x:v>70</x:v>
      </x:c>
      <x:c r="E355" s="89"/>
      <x:c r="F355" s="90" t="n">
        <x:v>16383092858.77</x:v>
      </x:c>
      <x:c r="G355" s="90" t="n">
        <x:v>1421323694.58</x:v>
      </x:c>
      <x:c r="H355" s="90" t="n">
        <x:v>801537003.81</x:v>
      </x:c>
      <x:c r="I355" s="90" t="n">
        <x:v>420983944.1</x:v>
      </x:c>
      <x:c r="J355" s="90" t="n">
        <x:v>3843639574.34</x:v>
      </x:c>
      <x:c r="K355" s="90" t="n">
        <x:v>107542267.1</x:v>
      </x:c>
      <x:c r="L355" s="90" t="n">
        <x:v>37341348.91</x:v>
      </x:c>
      <x:c r="M355" s="90" t="n">
        <x:v>942993234.29</x:v>
      </x:c>
      <x:c r="N355" s="90" t="n">
        <x:v>920841505.88</x:v>
      </x:c>
      <x:c r="O355" s="90" t="n">
        <x:v>4352907923.98</x:v>
      </x:c>
      <x:c r="P355" s="90" t="n">
        <x:v>3362330752.72</x:v>
      </x:c>
      <x:c r="Q355" s="90" t="n">
        <x:v>175508531.68</x:v>
      </x:c>
      <x:c r="R355" s="90" t="n">
        <x:v>116676.53</x:v>
      </x:c>
      <x:c r="S355" s="90" t="n">
        <x:v>-3973599.86</x:v>
      </x:c>
      <x:c r="T355" s="150" t="n">
        <x:v>0.71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2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2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2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2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2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2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2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2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2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2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2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2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2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2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2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2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2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2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2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2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2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2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2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2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2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2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2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2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2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2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2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2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2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2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2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2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2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2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2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2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2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2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2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2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2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2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2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2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2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2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2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2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2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2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2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2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2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2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2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2">
      <x:c r="C415" s="778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2">
      <x:c r="C416" s="778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2">
      <x:c r="A417" s="90"/>
      <x:c r="C417" s="778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2">
      <x:c r="C418" s="778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2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2">
      <x:c r="C420" s="778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2">
      <x:c r="C421" s="778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2">
      <x:c r="C422" s="778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2">
      <x:c r="C423" s="778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2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2">
      <x:c r="C425" s="778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2">
      <x:c r="C426" s="778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2">
      <x:c r="C427" s="778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2">
      <x:c r="C428" s="778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2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2">
      <x:c r="C430" s="776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2">
      <x:c r="C431" s="776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2">
      <x:c r="C432" s="776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2">
      <x:c r="C433" s="776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2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2">
      <x:c r="C435" s="778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2">
      <x:c r="C436" s="778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2">
      <x:c r="C437" s="778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2">
      <x:c r="C438" s="778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2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2">
      <x:c r="C440" s="777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2">
      <x:c r="C441" s="777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2">
      <x:c r="C442" s="777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2">
      <x:c r="C443" s="777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2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2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2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2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2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2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2">
      <x:c r="E450" s="89" t="s">
        <x:v>72</x:v>
      </x:c>
      <x:c r="F450" s="371" t="n">
        <x:v>-18514.21</x:v>
      </x:c>
      <x:c r="G450" s="90" t="n">
        <x:v>-1465.26</x:v>
      </x:c>
      <x:c r="H450" s="90" t="n">
        <x:v>-622.47</x:v>
      </x:c>
      <x:c r="I450" s="90" t="n">
        <x:v>-271.83</x:v>
      </x:c>
      <x:c r="J450" s="90" t="n">
        <x:v>-3463.24</x:v>
      </x:c>
      <x:c r="K450" s="90" t="n">
        <x:v>-141.03</x:v>
      </x:c>
      <x:c r="L450" s="90" t="n">
        <x:v>0</x:v>
      </x:c>
      <x:c r="M450" s="90" t="n">
        <x:v>-1237.12</x:v>
      </x:c>
      <x:c r="N450" s="90" t="n">
        <x:v>-1573.13</x:v>
      </x:c>
      <x:c r="O450" s="90" t="n">
        <x:v>-5776.35</x:v>
      </x:c>
      <x:c r="P450" s="90" t="n">
        <x:v>-3733.65</x:v>
      </x:c>
      <x:c r="Q450" s="90" t="n">
        <x:v>-230.13</x:v>
      </x:c>
      <x:c r="R450" s="90" t="n">
        <x:v>0</x:v>
      </x:c>
      <x:c r="S450" s="90" t="n">
        <x:v>0</x:v>
      </x:c>
      <x:c r="T450" t="n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 t="n">
        <x:v>0</x:v>
      </x:c>
    </x:row>
    <x:row r="451" spans="1:26" ht="12.75" customHeight="1" x14ac:dyDescent="0.2">
      <x:c r="D451" t="s">
        <x:v>156</x:v>
      </x:c>
      <x:c r="E451" s="89" t="s">
        <x:v>70</x:v>
      </x:c>
      <x:c r="F451" s="371" t="n">
        <x:v>-18514.21</x:v>
      </x:c>
      <x:c r="G451" s="90" t="n">
        <x:v>-1465.26</x:v>
      </x:c>
      <x:c r="H451" s="90" t="n">
        <x:v>-622.47</x:v>
      </x:c>
      <x:c r="I451" s="90" t="n">
        <x:v>-271.83</x:v>
      </x:c>
      <x:c r="J451" s="90" t="n">
        <x:v>-3463.24</x:v>
      </x:c>
      <x:c r="K451" s="90" t="n">
        <x:v>-141.03</x:v>
      </x:c>
      <x:c r="L451" s="90" t="n">
        <x:v>0</x:v>
      </x:c>
      <x:c r="M451" s="90" t="n">
        <x:v>-1237.12</x:v>
      </x:c>
      <x:c r="N451" s="90" t="n">
        <x:v>-1573.13</x:v>
      </x:c>
      <x:c r="O451" s="90" t="n">
        <x:v>-5776.35</x:v>
      </x:c>
      <x:c r="P451" s="90" t="n">
        <x:v>-3733.65</x:v>
      </x:c>
      <x:c r="Q451" s="90" t="n">
        <x:v>-230.13</x:v>
      </x:c>
      <x:c r="R451" s="90" t="n">
        <x:v>0</x:v>
      </x:c>
      <x:c r="S451" s="90" t="n">
        <x:v>0</x:v>
      </x:c>
      <x:c r="T451" t="n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 t="n">
        <x:v>0</x:v>
      </x:c>
    </x:row>
    <x:row r="452" spans="1:26" s="656" customFormat="1" ht="12.75" customHeight="1" x14ac:dyDescent="0.2">
      <x:c r="C452" s="656" t="s">
        <x:v>155</x:v>
      </x:c>
      <x:c r="D452" s="657" t="s">
        <x:v>70</x:v>
      </x:c>
      <x:c r="E452" s="657"/>
      <x:c r="F452" s="658" t="n">
        <x:v>-18514.21</x:v>
      </x:c>
      <x:c r="G452" s="658" t="n">
        <x:v>-1465.26</x:v>
      </x:c>
      <x:c r="H452" s="658" t="n">
        <x:v>-622.47</x:v>
      </x:c>
      <x:c r="I452" s="658" t="n">
        <x:v>-271.83</x:v>
      </x:c>
      <x:c r="J452" s="658" t="n">
        <x:v>-3463.24</x:v>
      </x:c>
      <x:c r="K452" s="658" t="n">
        <x:v>-141.03</x:v>
      </x:c>
      <x:c r="L452" s="658" t="n">
        <x:v>0</x:v>
      </x:c>
      <x:c r="M452" s="658" t="n">
        <x:v>-1237.12</x:v>
      </x:c>
      <x:c r="N452" s="658" t="n">
        <x:v>-1573.13</x:v>
      </x:c>
      <x:c r="O452" s="658" t="n">
        <x:v>-5776.35</x:v>
      </x:c>
      <x:c r="P452" s="658" t="n">
        <x:v>-3733.65</x:v>
      </x:c>
      <x:c r="Q452" s="658" t="n">
        <x:v>-230.13</x:v>
      </x:c>
      <x:c r="R452" s="658" t="n">
        <x:v>0</x:v>
      </x:c>
      <x:c r="S452" s="658" t="n">
        <x:v>0</x:v>
      </x:c>
      <x:c r="T452" s="656" t="n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 t="n">
        <x:v>0</x:v>
      </x:c>
    </x:row>
    <x:row r="453" spans="1:26" ht="12.75" customHeight="1" x14ac:dyDescent="0.2">
      <x:c r="E453" s="89" t="s">
        <x:v>72</x:v>
      </x:c>
      <x:c r="F453" s="90">
        <x:v>0</x:v>
      </x:c>
      <x:c r="G453" s="90">
        <x:v>0</x:v>
      </x:c>
      <x:c r="H453" s="90">
        <x:v>0</x:v>
      </x:c>
      <x:c r="I453" s="90">
        <x:v>0</x:v>
      </x:c>
      <x:c r="J453" s="90">
        <x:v>0</x:v>
      </x:c>
      <x:c r="K453" s="90">
        <x:v>0</x:v>
      </x:c>
      <x:c r="L453" s="90">
        <x:v>0</x:v>
      </x:c>
      <x:c r="M453" s="90">
        <x:v>0</x:v>
      </x:c>
      <x:c r="N453" s="90">
        <x:v>0</x:v>
      </x:c>
      <x:c r="O453" s="90">
        <x:v>0</x:v>
      </x:c>
      <x:c r="P453" s="90">
        <x:v>0</x:v>
      </x:c>
      <x:c r="Q453" s="90">
        <x:v>0</x:v>
      </x:c>
      <x:c r="R453" s="90">
        <x:v>0</x:v>
      </x:c>
      <x:c r="S453" s="90">
        <x:v>0</x:v>
      </x:c>
      <x:c r="T453" s="90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>
        <x:v>0</x:v>
      </x:c>
    </x:row>
    <x:row r="454" spans="1:26" ht="12.75" customHeight="1" x14ac:dyDescent="0.2">
      <x:c r="D454" t="s">
        <x:v>82</x:v>
      </x:c>
      <x:c r="E454" s="89" t="s">
        <x:v>70</x:v>
      </x:c>
      <x:c r="F454" s="371">
        <x:v>0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2">
      <x:c r="E455" s="89" t="s">
        <x:v>72</x:v>
      </x:c>
      <x:c r="F455" s="371" t="n">
        <x:v>-33199.73</x:v>
      </x:c>
      <x:c r="G455" s="90" t="n">
        <x:v>-2759.81</x:v>
      </x:c>
      <x:c r="H455" s="90" t="n">
        <x:v>-1172.47</x:v>
      </x:c>
      <x:c r="I455" s="90" t="n">
        <x:v>-512.02</x:v>
      </x:c>
      <x:c r="J455" s="90" t="n">
        <x:v>-6060.09</x:v>
      </x:c>
      <x:c r="K455" s="90" t="n">
        <x:v>-246.57</x:v>
      </x:c>
      <x:c r="L455" s="90" t="n">
        <x:v>0</x:v>
      </x:c>
      <x:c r="M455" s="90" t="n">
        <x:v>-2162.63</x:v>
      </x:c>
      <x:c r="N455" s="90" t="n">
        <x:v>-2753.76</x:v>
      </x:c>
      <x:c r="O455" s="90" t="n">
        <x:v>-10097.71</x:v>
      </x:c>
      <x:c r="P455" s="90" t="n">
        <x:v>-7032.34</x:v>
      </x:c>
      <x:c r="Q455" s="90" t="n">
        <x:v>-402.33</x:v>
      </x:c>
      <x:c r="R455" s="90" t="n">
        <x:v>0</x:v>
      </x:c>
      <x:c r="S455" s="90" t="n">
        <x:v>0</x:v>
      </x:c>
      <x:c r="T455" s="90" t="n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 t="n">
        <x:v>0</x:v>
      </x:c>
    </x:row>
    <x:row r="456" spans="1:26" ht="12.75" customHeight="1" x14ac:dyDescent="0.2">
      <x:c r="D456" t="s">
        <x:v>86</x:v>
      </x:c>
      <x:c r="E456" s="89" t="s">
        <x:v>70</x:v>
      </x:c>
      <x:c r="F456" s="371" t="n">
        <x:v>-33199.73</x:v>
      </x:c>
      <x:c r="G456" s="90" t="n">
        <x:v>-2759.81</x:v>
      </x:c>
      <x:c r="H456" s="90" t="n">
        <x:v>-1172.47</x:v>
      </x:c>
      <x:c r="I456" s="90" t="n">
        <x:v>-512.02</x:v>
      </x:c>
      <x:c r="J456" s="90" t="n">
        <x:v>-6060.09</x:v>
      </x:c>
      <x:c r="K456" s="90" t="n">
        <x:v>-246.57</x:v>
      </x:c>
      <x:c r="L456" s="90" t="n">
        <x:v>0</x:v>
      </x:c>
      <x:c r="M456" s="90" t="n">
        <x:v>-2162.63</x:v>
      </x:c>
      <x:c r="N456" s="90" t="n">
        <x:v>-2753.76</x:v>
      </x:c>
      <x:c r="O456" s="90" t="n">
        <x:v>-10097.71</x:v>
      </x:c>
      <x:c r="P456" s="90" t="n">
        <x:v>-7032.34</x:v>
      </x:c>
      <x:c r="Q456" s="90" t="n">
        <x:v>-402.33</x:v>
      </x:c>
      <x:c r="R456" s="90" t="n">
        <x:v>0</x:v>
      </x:c>
      <x:c r="S456" s="90" t="n">
        <x:v>0</x:v>
      </x:c>
      <x:c r="T456" s="90" t="n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 t="n">
        <x:v>0</x:v>
      </x:c>
    </x:row>
    <x:row r="457" spans="1:26" ht="12.75" customHeight="1" x14ac:dyDescent="0.2">
      <x:c r="E457" s="89" t="s">
        <x:v>72</x:v>
      </x:c>
      <x:c r="F457" s="371">
        <x:v>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2">
      <x:c r="D458" t="s">
        <x:v>87</x:v>
      </x:c>
      <x:c r="E458" s="89" t="s">
        <x:v>70</x:v>
      </x:c>
      <x:c r="F458" s="371">
        <x:v>0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>
        <x:v>0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2">
      <x:c r="C459" s="101" t="s">
        <x:v>119</x:v>
      </x:c>
      <x:c r="D459" s="101" t="s">
        <x:v>70</x:v>
      </x:c>
      <x:c r="F459" s="93" t="n">
        <x:v>-33199.73</x:v>
      </x:c>
      <x:c r="G459" s="93" t="n">
        <x:v>-2759.81</x:v>
      </x:c>
      <x:c r="H459" s="93" t="n">
        <x:v>-1172.47</x:v>
      </x:c>
      <x:c r="I459" s="93" t="n">
        <x:v>-512.02</x:v>
      </x:c>
      <x:c r="J459" s="93" t="n">
        <x:v>-6060.09</x:v>
      </x:c>
      <x:c r="K459" s="93" t="n">
        <x:v>-246.57</x:v>
      </x:c>
      <x:c r="L459" s="93" t="n">
        <x:v>0</x:v>
      </x:c>
      <x:c r="M459" s="93" t="n">
        <x:v>-2162.63</x:v>
      </x:c>
      <x:c r="N459" s="93" t="n">
        <x:v>-2753.76</x:v>
      </x:c>
      <x:c r="O459" s="93" t="n">
        <x:v>-10097.71</x:v>
      </x:c>
      <x:c r="P459" s="93" t="n">
        <x:v>-7032.34</x:v>
      </x:c>
      <x:c r="Q459" s="93" t="n">
        <x:v>-402.33</x:v>
      </x:c>
      <x:c r="R459" s="93" t="n">
        <x:v>0</x:v>
      </x:c>
      <x:c r="S459" s="93" t="n">
        <x:v>0</x:v>
      </x:c>
      <x:c r="T459" s="94" t="n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 t="n">
        <x:v>0</x:v>
      </x:c>
    </x:row>
    <x:row r="460" spans="1:26" ht="12.75" customHeight="1" x14ac:dyDescent="0.2">
      <x:c r="B460" t="s">
        <x:v>112</x:v>
      </x:c>
      <x:c r="C460" t="s">
        <x:v>70</x:v>
      </x:c>
      <x:c r="E460" s="89"/>
      <x:c r="F460" s="371" t="n">
        <x:v>-51713.94</x:v>
      </x:c>
      <x:c r="G460" s="90" t="n">
        <x:v>-4225.07</x:v>
      </x:c>
      <x:c r="H460" s="90" t="n">
        <x:v>-1794.94</x:v>
      </x:c>
      <x:c r="I460" s="90" t="n">
        <x:v>-783.85</x:v>
      </x:c>
      <x:c r="J460" s="90" t="n">
        <x:v>-9523.33</x:v>
      </x:c>
      <x:c r="K460" s="90" t="n">
        <x:v>-387.6</x:v>
      </x:c>
      <x:c r="L460" s="90" t="n">
        <x:v>0</x:v>
      </x:c>
      <x:c r="M460" s="90" t="n">
        <x:v>-3399.75</x:v>
      </x:c>
      <x:c r="N460" s="90" t="n">
        <x:v>-4326.89</x:v>
      </x:c>
      <x:c r="O460" s="90" t="n">
        <x:v>-15874.06</x:v>
      </x:c>
      <x:c r="P460" s="90" t="n">
        <x:v>-10765.99</x:v>
      </x:c>
      <x:c r="Q460" s="90" t="n">
        <x:v>-632.46</x:v>
      </x:c>
      <x:c r="R460" s="90" t="n">
        <x:v>0</x:v>
      </x:c>
      <x:c r="S460" s="90" t="n">
        <x:v>0</x:v>
      </x:c>
      <x:c r="T460" t="n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 t="n">
        <x:v>0</x:v>
      </x:c>
    </x:row>
    <x:row r="461" spans="1:26" s="458" customFormat="1" x14ac:dyDescent="0.2">
      <x:c r="A461" s="458" t="s">
        <x:v>186</x:v>
      </x:c>
      <x:c r="B461" s="459" t="s">
        <x:v>70</x:v>
      </x:c>
      <x:c r="C461" s="459"/>
      <x:c r="F461" s="460" t="n">
        <x:v>-51713.94</x:v>
      </x:c>
      <x:c r="G461" s="460" t="n">
        <x:v>-4225.07</x:v>
      </x:c>
      <x:c r="H461" s="460" t="n">
        <x:v>-1794.94</x:v>
      </x:c>
      <x:c r="I461" s="460" t="n">
        <x:v>-783.85</x:v>
      </x:c>
      <x:c r="J461" s="460" t="n">
        <x:v>-9523.33</x:v>
      </x:c>
      <x:c r="K461" s="460" t="n">
        <x:v>-387.6</x:v>
      </x:c>
      <x:c r="L461" s="460" t="n">
        <x:v>0</x:v>
      </x:c>
      <x:c r="M461" s="460" t="n">
        <x:v>-3399.75</x:v>
      </x:c>
      <x:c r="N461" s="460" t="n">
        <x:v>-4326.89</x:v>
      </x:c>
      <x:c r="O461" s="460" t="n">
        <x:v>-15874.06</x:v>
      </x:c>
      <x:c r="P461" s="460" t="n">
        <x:v>-10765.99</x:v>
      </x:c>
      <x:c r="Q461" s="460" t="n">
        <x:v>-632.46</x:v>
      </x:c>
      <x:c r="R461" s="460" t="n">
        <x:v>0</x:v>
      </x:c>
      <x:c r="S461" s="460" t="n">
        <x:v>0</x:v>
      </x:c>
      <x:c r="T461" s="460" t="n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 t="n">
        <x:v>0</x:v>
      </x:c>
    </x:row>
    <x:row r="462" spans="1:26" ht="12.75" customHeight="1" x14ac:dyDescent="0.2">
      <x:c r="E462" s="89" t="s">
        <x:v>72</x:v>
      </x:c>
      <x:c r="F462" s="90" t="n">
        <x:v>3709879.72</x:v>
      </x:c>
      <x:c r="G462" s="90" t="n">
        <x:v>196377.36</x:v>
      </x:c>
      <x:c r="H462" s="90" t="n">
        <x:v>114434.12</x:v>
      </x:c>
      <x:c r="I462" s="90" t="n">
        <x:v>58698.11</x:v>
      </x:c>
      <x:c r="J462" s="90" t="n">
        <x:v>857547.27</x:v>
      </x:c>
      <x:c r="K462" s="90" t="n">
        <x:v>28413.92</x:v>
      </x:c>
      <x:c r="L462" s="90" t="n">
        <x:v>0</x:v>
      </x:c>
      <x:c r="M462" s="90" t="n">
        <x:v>249245.18</x:v>
      </x:c>
      <x:c r="N462" s="90" t="n">
        <x:v>269177.44</x:v>
      </x:c>
      <x:c r="O462" s="90" t="n">
        <x:v>1367703.75</x:v>
      </x:c>
      <x:c r="P462" s="90" t="n">
        <x:v>521918.88</x:v>
      </x:c>
      <x:c r="Q462" s="90" t="n">
        <x:v>46359.48</x:v>
      </x:c>
      <x:c r="R462" s="90" t="n">
        <x:v>4.21</x:v>
      </x:c>
      <x:c r="S462" s="90" t="n">
        <x:v>0</x:v>
      </x:c>
      <x:c r="T462" t="n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 t="n">
        <x:v>0</x:v>
      </x:c>
    </x:row>
    <x:row r="463" spans="1:26" ht="12.75" customHeight="1" x14ac:dyDescent="0.2">
      <x:c r="E463" s="89" t="s">
        <x:v>81</x:v>
      </x:c>
      <x:c r="F463" s="90" t="n">
        <x:v>8714.85</x:v>
      </x:c>
      <x:c r="G463" s="90" t="n">
        <x:v>3104.05</x:v>
      </x:c>
      <x:c r="H463" s="90" t="n">
        <x:v>1800</x:v>
      </x:c>
      <x:c r="I463" s="90" t="n">
        <x:v>929.08</x:v>
      </x:c>
      <x:c r="J463" s="90" t="n">
        <x:v>1812.55</x:v>
      </x:c>
      <x:c r="K463" s="90" t="n">
        <x:v>63.48</x:v>
      </x:c>
      <x:c r="L463" s="90" t="n">
        <x:v>0</x:v>
      </x:c>
      <x:c r="M463" s="90" t="n">
        <x:v>556.56</x:v>
      </x:c>
      <x:c r="N463" s="90" t="n">
        <x:v>563.08</x:v>
      </x:c>
      <x:c r="O463" s="90" t="n">
        <x:v>-8499.69</x:v>
      </x:c>
      <x:c r="P463" s="90" t="n">
        <x:v>8282.25</x:v>
      </x:c>
      <x:c r="Q463" s="90" t="n">
        <x:v>103.47</x:v>
      </x:c>
      <x:c r="R463" s="90" t="n">
        <x:v>0.02</x:v>
      </x:c>
      <x:c r="S463" s="90" t="n">
        <x:v>0</x:v>
      </x:c>
      <x:c r="T463" t="n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 t="n">
        <x:v>0</x:v>
      </x:c>
    </x:row>
    <x:row r="464" spans="1:26" ht="12.75" customHeight="1" x14ac:dyDescent="0.2">
      <x:c r="D464" t="s">
        <x:v>156</x:v>
      </x:c>
      <x:c r="E464" s="89" t="s">
        <x:v>70</x:v>
      </x:c>
      <x:c r="F464" s="90" t="n">
        <x:v>3718594.57</x:v>
      </x:c>
      <x:c r="G464" s="90" t="n">
        <x:v>199481.41</x:v>
      </x:c>
      <x:c r="H464" s="90" t="n">
        <x:v>116234.12</x:v>
      </x:c>
      <x:c r="I464" s="90" t="n">
        <x:v>59627.19</x:v>
      </x:c>
      <x:c r="J464" s="90" t="n">
        <x:v>859359.82</x:v>
      </x:c>
      <x:c r="K464" s="90" t="n">
        <x:v>28477.4</x:v>
      </x:c>
      <x:c r="L464" s="90" t="n">
        <x:v>0</x:v>
      </x:c>
      <x:c r="M464" s="90" t="n">
        <x:v>249801.74</x:v>
      </x:c>
      <x:c r="N464" s="90" t="n">
        <x:v>269740.52</x:v>
      </x:c>
      <x:c r="O464" s="90" t="n">
        <x:v>1359204.06</x:v>
      </x:c>
      <x:c r="P464" s="90" t="n">
        <x:v>530201.13</x:v>
      </x:c>
      <x:c r="Q464" s="90" t="n">
        <x:v>46462.95</x:v>
      </x:c>
      <x:c r="R464" s="90" t="n">
        <x:v>4.23</x:v>
      </x:c>
      <x:c r="S464" s="90" t="n">
        <x:v>0</x:v>
      </x:c>
      <x:c r="T464" t="n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 t="n">
        <x:v>0</x:v>
      </x:c>
    </x:row>
    <x:row r="465" spans="3:26" s="656" customFormat="1" ht="12.75" customHeight="1" x14ac:dyDescent="0.2">
      <x:c r="C465" s="656" t="s">
        <x:v>155</x:v>
      </x:c>
      <x:c r="D465" s="657" t="s">
        <x:v>70</x:v>
      </x:c>
      <x:c r="E465" s="657"/>
      <x:c r="F465" s="658" t="n">
        <x:v>3718594.57</x:v>
      </x:c>
      <x:c r="G465" s="658" t="n">
        <x:v>199481.41</x:v>
      </x:c>
      <x:c r="H465" s="658" t="n">
        <x:v>116234.12</x:v>
      </x:c>
      <x:c r="I465" s="658" t="n">
        <x:v>59627.19</x:v>
      </x:c>
      <x:c r="J465" s="658" t="n">
        <x:v>859359.82</x:v>
      </x:c>
      <x:c r="K465" s="658" t="n">
        <x:v>28477.4</x:v>
      </x:c>
      <x:c r="L465" s="658" t="n">
        <x:v>0</x:v>
      </x:c>
      <x:c r="M465" s="658" t="n">
        <x:v>249801.74</x:v>
      </x:c>
      <x:c r="N465" s="658" t="n">
        <x:v>269740.52</x:v>
      </x:c>
      <x:c r="O465" s="658" t="n">
        <x:v>1359204.06</x:v>
      </x:c>
      <x:c r="P465" s="658" t="n">
        <x:v>530201.13</x:v>
      </x:c>
      <x:c r="Q465" s="658" t="n">
        <x:v>46462.95</x:v>
      </x:c>
      <x:c r="R465" s="658" t="n">
        <x:v>4.23</x:v>
      </x:c>
      <x:c r="S465" s="658" t="n">
        <x:v>0</x:v>
      </x:c>
      <x:c r="T465" s="656" t="n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 t="n">
        <x:v>0</x:v>
      </x:c>
    </x:row>
    <x:row r="466" spans="3:26" ht="12.75" customHeight="1" x14ac:dyDescent="0.2">
      <x:c r="D466" s="89"/>
      <x:c r="E466" s="89" t="s">
        <x:v>72</x:v>
      </x:c>
      <x:c r="F466" s="371" t="n">
        <x:v>182248.69</x:v>
      </x:c>
      <x:c r="G466" s="90" t="n">
        <x:v>21062.98</x:v>
      </x:c>
      <x:c r="H466" s="90" t="n">
        <x:v>11904.98</x:v>
      </x:c>
      <x:c r="I466" s="90" t="n">
        <x:v>6299.15</x:v>
      </x:c>
      <x:c r="J466" s="90" t="n">
        <x:v>27092.54</x:v>
      </x:c>
      <x:c r="K466" s="90" t="n">
        <x:v>814.1</x:v>
      </x:c>
      <x:c r="L466" s="90" t="n">
        <x:v>0</x:v>
      </x:c>
      <x:c r="M466" s="90" t="n">
        <x:v>7141.31</x:v>
      </x:c>
      <x:c r="N466" s="90" t="n">
        <x:v>8330.12</x:v>
      </x:c>
      <x:c r="O466" s="90" t="n">
        <x:v>42011.47</x:v>
      </x:c>
      <x:c r="P466" s="90" t="n">
        <x:v>56267.63</x:v>
      </x:c>
      <x:c r="Q466" s="90" t="n">
        <x:v>1328.28</x:v>
      </x:c>
      <x:c r="R466" s="90" t="n">
        <x:v>-3.87</x:v>
      </x:c>
      <x:c r="S466" s="90" t="n">
        <x:v>0</x:v>
      </x:c>
      <x:c r="T466" s="90" t="n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 t="n">
        <x:v>0</x:v>
      </x:c>
    </x:row>
    <x:row r="467" spans="3:26" ht="12.75" customHeight="1" x14ac:dyDescent="0.2">
      <x:c r="D467" s="89"/>
      <x:c r="E467" s="89" t="s">
        <x:v>81</x:v>
      </x:c>
      <x:c r="F467" s="371" t="n">
        <x:v>-457.82</x:v>
      </x:c>
      <x:c r="G467" s="90" t="n">
        <x:v>0.04</x:v>
      </x:c>
      <x:c r="H467" s="90" t="n">
        <x:v>0.02</x:v>
      </x:c>
      <x:c r="I467" s="90" t="n">
        <x:v>0.01</x:v>
      </x:c>
      <x:c r="J467" s="90" t="n">
        <x:v>0.19</x:v>
      </x:c>
      <x:c r="K467" s="90" t="n">
        <x:v>0.01</x:v>
      </x:c>
      <x:c r="L467" s="90" t="n">
        <x:v>0</x:v>
      </x:c>
      <x:c r="M467" s="90" t="n">
        <x:v>0.06</x:v>
      </x:c>
      <x:c r="N467" s="90" t="n">
        <x:v>0.06</x:v>
      </x:c>
      <x:c r="O467" s="90" t="n">
        <x:v>-458.32</x:v>
      </x:c>
      <x:c r="P467" s="90" t="n">
        <x:v>0.1</x:v>
      </x:c>
      <x:c r="Q467" s="90" t="n">
        <x:v>0.01</x:v>
      </x:c>
      <x:c r="R467" s="90" t="n">
        <x:v>0</x:v>
      </x:c>
      <x:c r="S467" s="90" t="n">
        <x:v>0</x:v>
      </x:c>
      <x:c r="T467" s="90" t="n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 t="n">
        <x:v>0</x:v>
      </x:c>
    </x:row>
    <x:row r="468" spans="3:26" ht="12.75" customHeight="1" x14ac:dyDescent="0.2">
      <x:c r="D468" s="89" t="s">
        <x:v>115</x:v>
      </x:c>
      <x:c r="E468" s="89" t="s">
        <x:v>70</x:v>
      </x:c>
      <x:c r="F468" s="371" t="n">
        <x:v>181790.87</x:v>
      </x:c>
      <x:c r="G468" s="90" t="n">
        <x:v>21063.02</x:v>
      </x:c>
      <x:c r="H468" s="90" t="n">
        <x:v>11905</x:v>
      </x:c>
      <x:c r="I468" s="90" t="n">
        <x:v>6299.16</x:v>
      </x:c>
      <x:c r="J468" s="90" t="n">
        <x:v>27092.73</x:v>
      </x:c>
      <x:c r="K468" s="90" t="n">
        <x:v>814.11</x:v>
      </x:c>
      <x:c r="L468" s="90" t="n">
        <x:v>0</x:v>
      </x:c>
      <x:c r="M468" s="90" t="n">
        <x:v>7141.37</x:v>
      </x:c>
      <x:c r="N468" s="90" t="n">
        <x:v>8330.18</x:v>
      </x:c>
      <x:c r="O468" s="90" t="n">
        <x:v>41553.15</x:v>
      </x:c>
      <x:c r="P468" s="90" t="n">
        <x:v>56267.73</x:v>
      </x:c>
      <x:c r="Q468" s="90" t="n">
        <x:v>1328.29</x:v>
      </x:c>
      <x:c r="R468" s="90" t="n">
        <x:v>-3.87</x:v>
      </x:c>
      <x:c r="S468" s="90" t="n">
        <x:v>0</x:v>
      </x:c>
      <x:c r="T468" s="90" t="n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 t="n">
        <x:v>0</x:v>
      </x:c>
    </x:row>
    <x:row r="469" spans="3:26" ht="12.75" customHeight="1" x14ac:dyDescent="0.2">
      <x:c r="D469" s="89"/>
      <x:c r="E469" s="89" t="s">
        <x:v>72</x:v>
      </x:c>
      <x:c r="F469" s="371">
        <x:v>0</x:v>
      </x:c>
      <x:c r="G469" s="90">
        <x:v>0</x:v>
      </x:c>
      <x:c r="H469" s="90">
        <x:v>0</x:v>
      </x:c>
      <x:c r="I469" s="90">
        <x:v>0</x:v>
      </x:c>
      <x:c r="J469" s="90">
        <x:v>0</x:v>
      </x:c>
      <x:c r="K469" s="90">
        <x:v>0</x:v>
      </x:c>
      <x:c r="L469" s="90">
        <x:v>0</x:v>
      </x:c>
      <x:c r="M469" s="90">
        <x:v>0</x:v>
      </x:c>
      <x:c r="N469" s="90">
        <x:v>0</x:v>
      </x:c>
      <x:c r="O469" s="90">
        <x:v>0</x:v>
      </x:c>
      <x:c r="P469" s="90">
        <x:v>0</x:v>
      </x:c>
      <x:c r="Q469" s="90">
        <x:v>0</x:v>
      </x:c>
      <x:c r="R469" s="90">
        <x:v>0</x:v>
      </x:c>
      <x:c r="S469" s="90">
        <x:v>0</x:v>
      </x:c>
      <x:c r="T469" s="90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>
        <x:v>0</x:v>
      </x:c>
    </x:row>
    <x:row r="470" spans="3:26" ht="12.75" customHeight="1" x14ac:dyDescent="0.2">
      <x:c r="D470" s="89"/>
      <x:c r="E470" s="89" t="s">
        <x:v>81</x:v>
      </x:c>
      <x:c r="F470" s="90">
        <x:v>0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>
        <x:v>0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2">
      <x:c r="D471" t="s">
        <x:v>116</x:v>
      </x:c>
      <x:c r="E471" s="89" t="s">
        <x:v>70</x:v>
      </x:c>
      <x:c r="F471" s="90">
        <x:v>0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2">
      <x:c r="D472" s="89"/>
      <x:c r="E472" s="89" t="s">
        <x:v>72</x:v>
      </x:c>
      <x:c r="F472" s="90" t="n">
        <x:v>28490</x:v>
      </x:c>
      <x:c r="G472" s="90" t="n">
        <x:v>1238.03</x:v>
      </x:c>
      <x:c r="H472" s="90" t="n">
        <x:v>698.99</x:v>
      </x:c>
      <x:c r="I472" s="90" t="n">
        <x:v>366.88</x:v>
      </x:c>
      <x:c r="J472" s="90" t="n">
        <x:v>7103.83</x:v>
      </x:c>
      <x:c r="K472" s="90" t="n">
        <x:v>179.43</x:v>
      </x:c>
      <x:c r="L472" s="90" t="n">
        <x:v>0</x:v>
      </x:c>
      <x:c r="M472" s="90" t="n">
        <x:v>1573.94</x:v>
      </x:c>
      <x:c r="N472" s="90" t="n">
        <x:v>2313.65</x:v>
      </x:c>
      <x:c r="O472" s="90" t="n">
        <x:v>11445.44</x:v>
      </x:c>
      <x:c r="P472" s="90" t="n">
        <x:v>3277.05</x:v>
      </x:c>
      <x:c r="Q472" s="90" t="n">
        <x:v>292.76</x:v>
      </x:c>
      <x:c r="R472" s="90" t="n">
        <x:v>0</x:v>
      </x:c>
      <x:c r="S472" s="90" t="n">
        <x:v>0</x:v>
      </x:c>
      <x:c r="T472" s="90" t="n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 t="n">
        <x:v>0</x:v>
      </x:c>
    </x:row>
    <x:row r="473" spans="3:26" ht="12.75" customHeight="1" x14ac:dyDescent="0.2">
      <x:c r="E473" s="89" t="s">
        <x:v>81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2">
      <x:c r="D474" t="s">
        <x:v>118</x:v>
      </x:c>
      <x:c r="E474" s="89" t="s">
        <x:v>70</x:v>
      </x:c>
      <x:c r="F474" s="90" t="n">
        <x:v>28490</x:v>
      </x:c>
      <x:c r="G474" s="90" t="n">
        <x:v>1238.03</x:v>
      </x:c>
      <x:c r="H474" s="90" t="n">
        <x:v>698.99</x:v>
      </x:c>
      <x:c r="I474" s="90" t="n">
        <x:v>366.88</x:v>
      </x:c>
      <x:c r="J474" s="90" t="n">
        <x:v>7103.83</x:v>
      </x:c>
      <x:c r="K474" s="90" t="n">
        <x:v>179.43</x:v>
      </x:c>
      <x:c r="L474" s="90" t="n">
        <x:v>0</x:v>
      </x:c>
      <x:c r="M474" s="90" t="n">
        <x:v>1573.94</x:v>
      </x:c>
      <x:c r="N474" s="90" t="n">
        <x:v>2313.65</x:v>
      </x:c>
      <x:c r="O474" s="90" t="n">
        <x:v>11445.44</x:v>
      </x:c>
      <x:c r="P474" s="90" t="n">
        <x:v>3277.05</x:v>
      </x:c>
      <x:c r="Q474" s="90" t="n">
        <x:v>292.76</x:v>
      </x:c>
      <x:c r="R474" s="90" t="n">
        <x:v>0</x:v>
      </x:c>
      <x:c r="S474" s="90" t="n">
        <x:v>0</x:v>
      </x:c>
      <x:c r="T474" s="90" t="n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 t="n">
        <x:v>0</x:v>
      </x:c>
    </x:row>
    <x:row r="475" spans="3:26" s="224" customFormat="1" ht="12.75" customHeight="1" x14ac:dyDescent="0.2">
      <x:c r="C475" s="223" t="s">
        <x:v>120</x:v>
      </x:c>
      <x:c r="D475" s="223" t="s">
        <x:v>70</x:v>
      </x:c>
      <x:c r="F475" s="225" t="n">
        <x:v>210280.87</x:v>
      </x:c>
      <x:c r="G475" s="225" t="n">
        <x:v>22301.05</x:v>
      </x:c>
      <x:c r="H475" s="225" t="n">
        <x:v>12603.99</x:v>
      </x:c>
      <x:c r="I475" s="225" t="n">
        <x:v>6666.04</x:v>
      </x:c>
      <x:c r="J475" s="225" t="n">
        <x:v>34196.56</x:v>
      </x:c>
      <x:c r="K475" s="225" t="n">
        <x:v>993.54</x:v>
      </x:c>
      <x:c r="L475" s="225" t="n">
        <x:v>0</x:v>
      </x:c>
      <x:c r="M475" s="225" t="n">
        <x:v>8715.31</x:v>
      </x:c>
      <x:c r="N475" s="225" t="n">
        <x:v>10643.83</x:v>
      </x:c>
      <x:c r="O475" s="225" t="n">
        <x:v>52998.59</x:v>
      </x:c>
      <x:c r="P475" s="225" t="n">
        <x:v>59544.78</x:v>
      </x:c>
      <x:c r="Q475" s="225" t="n">
        <x:v>1621.05</x:v>
      </x:c>
      <x:c r="R475" s="225" t="n">
        <x:v>-3.87</x:v>
      </x:c>
      <x:c r="S475" s="225" t="n">
        <x:v>0</x:v>
      </x:c>
      <x:c r="T475" s="224" t="n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 t="n">
        <x:v>0</x:v>
      </x:c>
    </x:row>
    <x:row r="476" spans="3:26" ht="12.75" customHeight="1" x14ac:dyDescent="0.2">
      <x:c r="E476" s="89" t="s">
        <x:v>72</x:v>
      </x:c>
      <x:c r="F476" s="371">
        <x:v>0</x:v>
      </x:c>
      <x:c r="G476" s="90">
        <x:v>0</x:v>
      </x:c>
      <x:c r="H476" s="90">
        <x:v>0</x:v>
      </x:c>
      <x:c r="I476" s="90">
        <x:v>0</x:v>
      </x:c>
      <x:c r="J476" s="90">
        <x:v>0</x:v>
      </x:c>
      <x:c r="K476" s="90">
        <x:v>0</x:v>
      </x:c>
      <x:c r="L476" s="90">
        <x:v>0</x:v>
      </x:c>
      <x:c r="M476" s="90">
        <x:v>0</x:v>
      </x:c>
      <x:c r="N476" s="90">
        <x:v>0</x:v>
      </x:c>
      <x:c r="O476" s="90">
        <x:v>0</x:v>
      </x:c>
      <x:c r="P476" s="90">
        <x:v>0</x:v>
      </x:c>
      <x:c r="Q476" s="90">
        <x:v>0</x:v>
      </x:c>
      <x:c r="R476" s="90">
        <x:v>0</x:v>
      </x:c>
      <x:c r="S476" s="90">
        <x:v>0</x:v>
      </x:c>
      <x:c r="T476" s="90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2">
      <x:c r="E477" s="89" t="s">
        <x:v>81</x:v>
      </x:c>
      <x:c r="F477" s="371">
        <x:v>0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2">
      <x:c r="D478" t="s">
        <x:v>82</x:v>
      </x:c>
      <x:c r="E478" s="89" t="s">
        <x:v>70</x:v>
      </x:c>
      <x:c r="F478" s="371">
        <x:v>0</x:v>
      </x:c>
      <x:c r="G478" s="90">
        <x:v>0</x:v>
      </x:c>
      <x:c r="H478" s="90">
        <x:v>0</x:v>
      </x:c>
      <x:c r="I478" s="90">
        <x:v>0</x:v>
      </x:c>
      <x:c r="J478" s="90">
        <x:v>0</x:v>
      </x:c>
      <x:c r="K478" s="90">
        <x:v>0</x:v>
      </x:c>
      <x:c r="L478" s="90">
        <x:v>0</x:v>
      </x:c>
      <x:c r="M478" s="90">
        <x:v>0</x:v>
      </x:c>
      <x:c r="N478" s="90">
        <x:v>0</x:v>
      </x:c>
      <x:c r="O478" s="90">
        <x:v>0</x:v>
      </x:c>
      <x:c r="P478" s="90">
        <x:v>0</x:v>
      </x:c>
      <x:c r="Q478" s="90">
        <x:v>0</x:v>
      </x:c>
      <x:c r="R478" s="90">
        <x:v>0</x:v>
      </x:c>
      <x:c r="S478" s="90">
        <x:v>0</x:v>
      </x:c>
      <x:c r="T478" s="90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2">
      <x:c r="E479" s="89" t="s">
        <x:v>72</x:v>
      </x:c>
      <x:c r="F479" s="371" t="n">
        <x:v>225667.06</x:v>
      </x:c>
      <x:c r="G479" s="90" t="n">
        <x:v>12477.11</x:v>
      </x:c>
      <x:c r="H479" s="90" t="n">
        <x:v>7049.52</x:v>
      </x:c>
      <x:c r="I479" s="90" t="n">
        <x:v>3719.42</x:v>
      </x:c>
      <x:c r="J479" s="90" t="n">
        <x:v>47751.59</x:v>
      </x:c>
      <x:c r="K479" s="90" t="n">
        <x:v>1809.28</x:v>
      </x:c>
      <x:c r="L479" s="90" t="n">
        <x:v>0</x:v>
      </x:c>
      <x:c r="M479" s="90" t="n">
        <x:v>15870.89</x:v>
      </x:c>
      <x:c r="N479" s="90" t="n">
        <x:v>16621.71</x:v>
      </x:c>
      <x:c r="O479" s="90" t="n">
        <x:v>84191.47</x:v>
      </x:c>
      <x:c r="P479" s="90" t="n">
        <x:v>33222.43</x:v>
      </x:c>
      <x:c r="Q479" s="90" t="n">
        <x:v>2951.97</x:v>
      </x:c>
      <x:c r="R479" s="90" t="n">
        <x:v>1.67</x:v>
      </x:c>
      <x:c r="S479" s="90" t="n">
        <x:v>0</x:v>
      </x:c>
      <x:c r="T479" s="90" t="n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 t="n">
        <x:v>0</x:v>
      </x:c>
    </x:row>
    <x:row r="480" spans="3:26" ht="12.75" customHeight="1" x14ac:dyDescent="0.2">
      <x:c r="E480" s="89" t="s">
        <x:v>81</x:v>
      </x:c>
      <x:c r="F480" s="371" t="n">
        <x:v>-291.68</x:v>
      </x:c>
      <x:c r="G480" s="90" t="n">
        <x:v>0</x:v>
      </x:c>
      <x:c r="H480" s="90" t="n">
        <x:v>0</x:v>
      </x:c>
      <x:c r="I480" s="90" t="n">
        <x:v>0</x:v>
      </x:c>
      <x:c r="J480" s="90" t="n">
        <x:v>0</x:v>
      </x:c>
      <x:c r="K480" s="90" t="n">
        <x:v>0</x:v>
      </x:c>
      <x:c r="L480" s="90" t="n">
        <x:v>0</x:v>
      </x:c>
      <x:c r="M480" s="90" t="n">
        <x:v>0</x:v>
      </x:c>
      <x:c r="N480" s="90" t="n">
        <x:v>0</x:v>
      </x:c>
      <x:c r="O480" s="90" t="n">
        <x:v>-291.68</x:v>
      </x:c>
      <x:c r="P480" s="90" t="n">
        <x:v>0</x:v>
      </x:c>
      <x:c r="Q480" s="90" t="n">
        <x:v>0</x:v>
      </x:c>
      <x:c r="R480" s="90" t="n">
        <x:v>0</x:v>
      </x:c>
      <x:c r="S480" s="90" t="n">
        <x:v>0</x:v>
      </x:c>
      <x:c r="T480" s="90" t="n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 t="n">
        <x:v>0</x:v>
      </x:c>
    </x:row>
    <x:row r="481" spans="2:26" ht="12.75" customHeight="1" x14ac:dyDescent="0.2">
      <x:c r="D481" t="s">
        <x:v>86</x:v>
      </x:c>
      <x:c r="E481" s="89" t="s">
        <x:v>70</x:v>
      </x:c>
      <x:c r="F481" s="371" t="n">
        <x:v>225375.38</x:v>
      </x:c>
      <x:c r="G481" s="90" t="n">
        <x:v>12477.11</x:v>
      </x:c>
      <x:c r="H481" s="90" t="n">
        <x:v>7049.52</x:v>
      </x:c>
      <x:c r="I481" s="90" t="n">
        <x:v>3719.42</x:v>
      </x:c>
      <x:c r="J481" s="90" t="n">
        <x:v>47751.59</x:v>
      </x:c>
      <x:c r="K481" s="90" t="n">
        <x:v>1809.28</x:v>
      </x:c>
      <x:c r="L481" s="90" t="n">
        <x:v>0</x:v>
      </x:c>
      <x:c r="M481" s="90" t="n">
        <x:v>15870.89</x:v>
      </x:c>
      <x:c r="N481" s="90" t="n">
        <x:v>16621.71</x:v>
      </x:c>
      <x:c r="O481" s="90" t="n">
        <x:v>83899.79</x:v>
      </x:c>
      <x:c r="P481" s="90" t="n">
        <x:v>33222.43</x:v>
      </x:c>
      <x:c r="Q481" s="90" t="n">
        <x:v>2951.97</x:v>
      </x:c>
      <x:c r="R481" s="90" t="n">
        <x:v>1.67</x:v>
      </x:c>
      <x:c r="S481" s="90" t="n">
        <x:v>0</x:v>
      </x:c>
      <x:c r="T481" s="90" t="n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 t="n">
        <x:v>0</x:v>
      </x:c>
    </x:row>
    <x:row r="482" spans="2:26" ht="12.75" customHeight="1" x14ac:dyDescent="0.2">
      <x:c r="E482" s="89" t="s">
        <x:v>72</x:v>
      </x:c>
      <x:c r="F482" s="371">
        <x:v>0</x:v>
      </x:c>
      <x:c r="G482" s="90">
        <x:v>0</x:v>
      </x:c>
      <x:c r="H482" s="90">
        <x:v>0</x:v>
      </x:c>
      <x:c r="I482" s="90">
        <x:v>0</x:v>
      </x:c>
      <x:c r="J482" s="90">
        <x:v>0</x:v>
      </x:c>
      <x:c r="K482" s="90">
        <x:v>0</x:v>
      </x:c>
      <x:c r="L482" s="90">
        <x:v>0</x:v>
      </x:c>
      <x:c r="M482" s="90">
        <x:v>0</x:v>
      </x:c>
      <x:c r="N482" s="90">
        <x:v>0</x:v>
      </x:c>
      <x:c r="O482" s="90">
        <x:v>0</x:v>
      </x:c>
      <x:c r="P482" s="90">
        <x:v>0</x:v>
      </x:c>
      <x:c r="Q482" s="90">
        <x:v>0</x:v>
      </x:c>
      <x:c r="R482" s="90">
        <x:v>0</x:v>
      </x:c>
      <x:c r="S482" s="90">
        <x:v>0</x:v>
      </x:c>
      <x:c r="T482" s="90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2">
      <x:c r="E483" t="s">
        <x:v>81</x:v>
      </x:c>
      <x:c r="F483" s="90">
        <x:v>0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2">
      <x:c r="D484" t="s">
        <x:v>87</x:v>
      </x:c>
      <x:c r="E484" s="89" t="s">
        <x:v>70</x:v>
      </x:c>
      <x:c r="F484" s="371">
        <x:v>0</x:v>
      </x:c>
      <x:c r="G484" s="90">
        <x:v>0</x:v>
      </x:c>
      <x:c r="H484" s="90">
        <x:v>0</x:v>
      </x:c>
      <x:c r="I484" s="90">
        <x:v>0</x:v>
      </x:c>
      <x:c r="J484" s="90">
        <x:v>0</x:v>
      </x:c>
      <x:c r="K484" s="90">
        <x:v>0</x:v>
      </x:c>
      <x:c r="L484" s="90">
        <x:v>0</x:v>
      </x:c>
      <x:c r="M484" s="90">
        <x:v>0</x:v>
      </x:c>
      <x:c r="N484" s="90">
        <x:v>0</x:v>
      </x:c>
      <x:c r="O484" s="90">
        <x:v>0</x:v>
      </x:c>
      <x:c r="P484" s="90">
        <x:v>0</x:v>
      </x:c>
      <x:c r="Q484" s="90">
        <x:v>0</x:v>
      </x:c>
      <x:c r="R484" s="90">
        <x:v>0</x:v>
      </x:c>
      <x:c r="S484" s="90">
        <x:v>0</x:v>
      </x:c>
      <x:c r="T484" s="90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2">
      <x:c r="C485" s="94" t="s">
        <x:v>119</x:v>
      </x:c>
      <x:c r="D485" s="94" t="s">
        <x:v>70</x:v>
      </x:c>
      <x:c r="E485" s="101"/>
      <x:c r="F485" s="93" t="n">
        <x:v>225375.38</x:v>
      </x:c>
      <x:c r="G485" s="93" t="n">
        <x:v>12477.11</x:v>
      </x:c>
      <x:c r="H485" s="93" t="n">
        <x:v>7049.52</x:v>
      </x:c>
      <x:c r="I485" s="93" t="n">
        <x:v>3719.42</x:v>
      </x:c>
      <x:c r="J485" s="93" t="n">
        <x:v>47751.59</x:v>
      </x:c>
      <x:c r="K485" s="93" t="n">
        <x:v>1809.28</x:v>
      </x:c>
      <x:c r="L485" s="93" t="n">
        <x:v>0</x:v>
      </x:c>
      <x:c r="M485" s="93" t="n">
        <x:v>15870.89</x:v>
      </x:c>
      <x:c r="N485" s="93" t="n">
        <x:v>16621.71</x:v>
      </x:c>
      <x:c r="O485" s="93" t="n">
        <x:v>83899.79</x:v>
      </x:c>
      <x:c r="P485" s="93" t="n">
        <x:v>33222.43</x:v>
      </x:c>
      <x:c r="Q485" s="93" t="n">
        <x:v>2951.97</x:v>
      </x:c>
      <x:c r="R485" s="93" t="n">
        <x:v>1.67</x:v>
      </x:c>
      <x:c r="S485" s="93" t="n">
        <x:v>0</x:v>
      </x:c>
      <x:c r="T485" s="93" t="n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 t="n">
        <x:v>0</x:v>
      </x:c>
    </x:row>
    <x:row r="486" spans="2:26" s="378" customFormat="1" ht="12.75" customHeight="1" x14ac:dyDescent="0.2">
      <x:c r="B486" s="378" t="s">
        <x:v>122</x:v>
      </x:c>
      <x:c r="C486" s="378" t="s">
        <x:v>70</x:v>
      </x:c>
      <x:c r="E486" s="376"/>
      <x:c r="F486" s="377" t="n">
        <x:v>4154250.82</x:v>
      </x:c>
      <x:c r="G486" s="377" t="n">
        <x:v>234259.57</x:v>
      </x:c>
      <x:c r="H486" s="377" t="n">
        <x:v>135887.63</x:v>
      </x:c>
      <x:c r="I486" s="377" t="n">
        <x:v>70012.65</x:v>
      </x:c>
      <x:c r="J486" s="377" t="n">
        <x:v>941307.97</x:v>
      </x:c>
      <x:c r="K486" s="377" t="n">
        <x:v>31280.22</x:v>
      </x:c>
      <x:c r="L486" s="377" t="n">
        <x:v>0</x:v>
      </x:c>
      <x:c r="M486" s="377" t="n">
        <x:v>274387.94</x:v>
      </x:c>
      <x:c r="N486" s="377" t="n">
        <x:v>297006.06</x:v>
      </x:c>
      <x:c r="O486" s="377" t="n">
        <x:v>1496102.44</x:v>
      </x:c>
      <x:c r="P486" s="377" t="n">
        <x:v>622968.34</x:v>
      </x:c>
      <x:c r="Q486" s="377" t="n">
        <x:v>51035.97</x:v>
      </x:c>
      <x:c r="R486" s="377" t="n">
        <x:v>2.03</x:v>
      </x:c>
      <x:c r="S486" s="377" t="n">
        <x:v>0</x:v>
      </x:c>
      <x:c r="T486" s="378" t="n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 t="n">
        <x:v>0</x:v>
      </x:c>
    </x:row>
    <x:row r="487" spans="2:26" ht="12.75" customHeight="1" x14ac:dyDescent="0.2">
      <x:c r="E487" s="89" t="s">
        <x:v>72</x:v>
      </x:c>
      <x:c r="F487" s="90" t="n">
        <x:v>8246938884.85</x:v>
      </x:c>
      <x:c r="G487" s="90" t="n">
        <x:v>418385103.01</x:v>
      </x:c>
      <x:c r="H487" s="90" t="n">
        <x:v>234855572.9</x:v>
      </x:c>
      <x:c r="I487" s="90" t="n">
        <x:v>123687427.84</x:v>
      </x:c>
      <x:c r="J487" s="90" t="n">
        <x:v>1962584951.27</x:v>
      </x:c>
      <x:c r="K487" s="90" t="n">
        <x:v>68869194.48</x:v>
      </x:c>
      <x:c r="L487" s="90" t="n">
        <x:v>7745996.08</x:v>
      </x:c>
      <x:c r="M487" s="90" t="n">
        <x:v>603491495.67</x:v>
      </x:c>
      <x:c r="N487" s="90" t="n">
        <x:v>585976188.19</x:v>
      </x:c>
      <x:c r="O487" s="90" t="n">
        <x:v>3021520121.18</x:v>
      </x:c>
      <x:c r="P487" s="90" t="n">
        <x:v>1107450420.26</x:v>
      </x:c>
      <x:c r="Q487" s="90" t="n">
        <x:v>112386007.66</x:v>
      </x:c>
      <x:c r="R487" s="90" t="n">
        <x:v>-13593.69</x:v>
      </x:c>
      <x:c r="S487" s="90" t="n">
        <x:v>0</x:v>
      </x:c>
      <x:c r="T487" t="n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 t="n">
        <x:v>0</x:v>
      </x:c>
    </x:row>
    <x:row r="488" spans="2:26" ht="12.75" customHeight="1" x14ac:dyDescent="0.2">
      <x:c r="E488" s="89" t="s">
        <x:v>81</x:v>
      </x:c>
      <x:c r="F488" s="371" t="n">
        <x:v>-30791040.7</x:v>
      </x:c>
      <x:c r="G488" s="90" t="n">
        <x:v>1755835.77</x:v>
      </x:c>
      <x:c r="H488" s="90" t="n">
        <x:v>780658.97</x:v>
      </x:c>
      <x:c r="I488" s="90" t="n">
        <x:v>311045.96</x:v>
      </x:c>
      <x:c r="J488" s="90" t="n">
        <x:v>2389867.39</x:v>
      </x:c>
      <x:c r="K488" s="90" t="n">
        <x:v>91402.69</x:v>
      </x:c>
      <x:c r="L488" s="90" t="n">
        <x:v>2279.97</x:v>
      </x:c>
      <x:c r="M488" s="90" t="n">
        <x:v>794061.7</x:v>
      </x:c>
      <x:c r="N488" s="90" t="n">
        <x:v>942791.52</x:v>
      </x:c>
      <x:c r="O488" s="90" t="n">
        <x:v>-42652009.55</x:v>
      </x:c>
      <x:c r="P488" s="90" t="n">
        <x:v>4643734.8</x:v>
      </x:c>
      <x:c r="Q488" s="90" t="n">
        <x:v>149163.01</x:v>
      </x:c>
      <x:c r="R488" s="90" t="n">
        <x:v>-22.34</x:v>
      </x:c>
      <x:c r="S488" s="90" t="n">
        <x:v>0</x:v>
      </x:c>
      <x:c r="T488" t="n">
        <x:v>150.12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 t="n">
        <x:v>-0.71</x:v>
      </x:c>
    </x:row>
    <x:row r="489" spans="2:26" ht="12.75" customHeight="1" x14ac:dyDescent="0.2">
      <x:c r="D489" t="s">
        <x:v>156</x:v>
      </x:c>
      <x:c r="E489" s="89" t="s">
        <x:v>70</x:v>
      </x:c>
      <x:c r="F489" s="90" t="n">
        <x:v>8216147844.15</x:v>
      </x:c>
      <x:c r="G489" s="90" t="n">
        <x:v>420140938.78</x:v>
      </x:c>
      <x:c r="H489" s="90" t="n">
        <x:v>235636231.87</x:v>
      </x:c>
      <x:c r="I489" s="90" t="n">
        <x:v>123998473.8</x:v>
      </x:c>
      <x:c r="J489" s="90" t="n">
        <x:v>1964974818.66</x:v>
      </x:c>
      <x:c r="K489" s="90" t="n">
        <x:v>68960597.17</x:v>
      </x:c>
      <x:c r="L489" s="90" t="n">
        <x:v>7748276.05</x:v>
      </x:c>
      <x:c r="M489" s="90" t="n">
        <x:v>604285557.37</x:v>
      </x:c>
      <x:c r="N489" s="90" t="n">
        <x:v>586918979.71</x:v>
      </x:c>
      <x:c r="O489" s="90" t="n">
        <x:v>2978868111.63</x:v>
      </x:c>
      <x:c r="P489" s="90" t="n">
        <x:v>1112094155.06</x:v>
      </x:c>
      <x:c r="Q489" s="90" t="n">
        <x:v>112535170.67</x:v>
      </x:c>
      <x:c r="R489" s="90" t="n">
        <x:v>-13616.03</x:v>
      </x:c>
      <x:c r="S489" s="90" t="n">
        <x:v>0</x:v>
      </x:c>
      <x:c r="T489" t="n">
        <x:v>150.12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 t="n">
        <x:v>-0.71</x:v>
      </x:c>
    </x:row>
    <x:row r="490" spans="2:26" s="656" customFormat="1" ht="12.75" customHeight="1" x14ac:dyDescent="0.2">
      <x:c r="C490" s="656" t="s">
        <x:v>155</x:v>
      </x:c>
      <x:c r="D490" s="657" t="s">
        <x:v>70</x:v>
      </x:c>
      <x:c r="E490" s="657"/>
      <x:c r="F490" s="658" t="n">
        <x:v>8216147844.15</x:v>
      </x:c>
      <x:c r="G490" s="658" t="n">
        <x:v>420140938.78</x:v>
      </x:c>
      <x:c r="H490" s="658" t="n">
        <x:v>235636231.87</x:v>
      </x:c>
      <x:c r="I490" s="658" t="n">
        <x:v>123998473.8</x:v>
      </x:c>
      <x:c r="J490" s="658" t="n">
        <x:v>1964974818.66</x:v>
      </x:c>
      <x:c r="K490" s="658" t="n">
        <x:v>68960597.17</x:v>
      </x:c>
      <x:c r="L490" s="658" t="n">
        <x:v>7748276.05</x:v>
      </x:c>
      <x:c r="M490" s="658" t="n">
        <x:v>604285557.37</x:v>
      </x:c>
      <x:c r="N490" s="658" t="n">
        <x:v>586918979.71</x:v>
      </x:c>
      <x:c r="O490" s="658" t="n">
        <x:v>2978868111.63</x:v>
      </x:c>
      <x:c r="P490" s="658" t="n">
        <x:v>1112094155.06</x:v>
      </x:c>
      <x:c r="Q490" s="658" t="n">
        <x:v>112535170.67</x:v>
      </x:c>
      <x:c r="R490" s="658" t="n">
        <x:v>-13616.03</x:v>
      </x:c>
      <x:c r="S490" s="658" t="n">
        <x:v>0</x:v>
      </x:c>
      <x:c r="T490" s="656" t="n">
        <x:v>150.12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 t="n">
        <x:v>-0.71</x:v>
      </x:c>
    </x:row>
    <x:row r="491" spans="2:26" ht="12.75" customHeight="1" x14ac:dyDescent="0.2">
      <x:c r="D491" s="89"/>
      <x:c r="E491" s="89" t="s">
        <x:v>72</x:v>
      </x:c>
      <x:c r="F491" s="371" t="n">
        <x:v>1254003.59</x:v>
      </x:c>
      <x:c r="G491" s="90" t="n">
        <x:v>80806.82</x:v>
      </x:c>
      <x:c r="H491" s="90" t="n">
        <x:v>41946.19</x:v>
      </x:c>
      <x:c r="I491" s="90" t="n">
        <x:v>23065.34</x:v>
      </x:c>
      <x:c r="J491" s="90" t="n">
        <x:v>196721.82</x:v>
      </x:c>
      <x:c r="K491" s="90" t="n">
        <x:v>9802.46</x:v>
      </x:c>
      <x:c r="L491" s="90" t="n">
        <x:v>0</x:v>
      </x:c>
      <x:c r="M491" s="90" t="n">
        <x:v>86037.19</x:v>
      </x:c>
      <x:c r="N491" s="90" t="n">
        <x:v>96463.74</x:v>
      </x:c>
      <x:c r="O491" s="90" t="n">
        <x:v>487406.76</x:v>
      </x:c>
      <x:c r="P491" s="90" t="n">
        <x:v>215750.89</x:v>
      </x:c>
      <x:c r="Q491" s="90" t="n">
        <x:v>16008.65</x:v>
      </x:c>
      <x:c r="R491" s="90" t="n">
        <x:v>-6.27</x:v>
      </x:c>
      <x:c r="S491" s="90" t="n">
        <x:v>0</x:v>
      </x:c>
      <x:c r="T491" t="n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 t="n">
        <x:v>0</x:v>
      </x:c>
    </x:row>
    <x:row r="492" spans="2:26" ht="12.75" customHeight="1" x14ac:dyDescent="0.2">
      <x:c r="D492" s="89"/>
      <x:c r="E492" s="89" t="s">
        <x:v>81</x:v>
      </x:c>
      <x:c r="F492" s="371" t="n">
        <x:v>23450.18</x:v>
      </x:c>
      <x:c r="G492" s="90" t="n">
        <x:v>1237.93</x:v>
      </x:c>
      <x:c r="H492" s="90" t="n">
        <x:v>604.21</x:v>
      </x:c>
      <x:c r="I492" s="90" t="n">
        <x:v>330.22</x:v>
      </x:c>
      <x:c r="J492" s="90" t="n">
        <x:v>2250.5</x:v>
      </x:c>
      <x:c r="K492" s="90" t="n">
        <x:v>209.66</x:v>
      </x:c>
      <x:c r="L492" s="90" t="n">
        <x:v>0</x:v>
      </x:c>
      <x:c r="M492" s="90" t="n">
        <x:v>1840.76</x:v>
      </x:c>
      <x:c r="N492" s="90" t="n">
        <x:v>2234.78</x:v>
      </x:c>
      <x:c r="O492" s="90" t="n">
        <x:v>11104.93</x:v>
      </x:c>
      <x:c r="P492" s="90" t="n">
        <x:v>3295.12</x:v>
      </x:c>
      <x:c r="Q492" s="90" t="n">
        <x:v>342.77</x:v>
      </x:c>
      <x:c r="R492" s="90" t="n">
        <x:v>-0.7</x:v>
      </x:c>
      <x:c r="S492" s="90" t="n">
        <x:v>0</x:v>
      </x:c>
      <x:c r="T492" t="n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 t="n">
        <x:v>0</x:v>
      </x:c>
    </x:row>
    <x:row r="493" spans="2:26" ht="12.75" customHeight="1" x14ac:dyDescent="0.2">
      <x:c r="D493" s="89" t="s">
        <x:v>115</x:v>
      </x:c>
      <x:c r="E493" s="89" t="s">
        <x:v>70</x:v>
      </x:c>
      <x:c r="F493" s="371" t="n">
        <x:v>1277453.77</x:v>
      </x:c>
      <x:c r="G493" s="90" t="n">
        <x:v>82044.75</x:v>
      </x:c>
      <x:c r="H493" s="90" t="n">
        <x:v>42550.4</x:v>
      </x:c>
      <x:c r="I493" s="90" t="n">
        <x:v>23395.56</x:v>
      </x:c>
      <x:c r="J493" s="90" t="n">
        <x:v>198972.32</x:v>
      </x:c>
      <x:c r="K493" s="90" t="n">
        <x:v>10012.12</x:v>
      </x:c>
      <x:c r="L493" s="90" t="n">
        <x:v>0</x:v>
      </x:c>
      <x:c r="M493" s="90" t="n">
        <x:v>87877.95</x:v>
      </x:c>
      <x:c r="N493" s="90" t="n">
        <x:v>98698.52</x:v>
      </x:c>
      <x:c r="O493" s="90" t="n">
        <x:v>498511.69</x:v>
      </x:c>
      <x:c r="P493" s="90" t="n">
        <x:v>219046.01</x:v>
      </x:c>
      <x:c r="Q493" s="90" t="n">
        <x:v>16351.42</x:v>
      </x:c>
      <x:c r="R493" s="90" t="n">
        <x:v>-6.97</x:v>
      </x:c>
      <x:c r="S493" s="90" t="n">
        <x:v>0</x:v>
      </x:c>
      <x:c r="T493" t="n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 t="n">
        <x:v>0</x:v>
      </x:c>
    </x:row>
    <x:row r="494" spans="2:26" ht="12.75" customHeight="1" x14ac:dyDescent="0.2">
      <x:c r="C494" s="89"/>
      <x:c r="D494" s="89"/>
      <x:c r="E494" t="s">
        <x:v>72</x:v>
      </x:c>
      <x:c r="F494" s="90" t="n">
        <x:v>276088.81</x:v>
      </x:c>
      <x:c r="G494" s="90" t="n">
        <x:v>26444.74</x:v>
      </x:c>
      <x:c r="H494" s="90" t="n">
        <x:v>13622.29</x:v>
      </x:c>
      <x:c r="I494" s="90" t="n">
        <x:v>7750.53</x:v>
      </x:c>
      <x:c r="J494" s="90" t="n">
        <x:v>50845.44</x:v>
      </x:c>
      <x:c r="K494" s="90" t="n">
        <x:v>1478.68</x:v>
      </x:c>
      <x:c r="L494" s="90" t="n">
        <x:v>0</x:v>
      </x:c>
      <x:c r="M494" s="90" t="n">
        <x:v>12971.02</x:v>
      </x:c>
      <x:c r="N494" s="90" t="n">
        <x:v>14865.36</x:v>
      </x:c>
      <x:c r="O494" s="90" t="n">
        <x:v>75370.83</x:v>
      </x:c>
      <x:c r="P494" s="90" t="n">
        <x:v>70322.63</x:v>
      </x:c>
      <x:c r="Q494" s="90" t="n">
        <x:v>2412.6</x:v>
      </x:c>
      <x:c r="R494" s="90" t="n">
        <x:v>4.69</x:v>
      </x:c>
      <x:c r="S494" s="90" t="n">
        <x:v>0</x:v>
      </x:c>
      <x:c r="T494" t="n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 t="n">
        <x:v>0</x:v>
      </x:c>
    </x:row>
    <x:row r="495" spans="2:26" ht="12.75" customHeight="1" x14ac:dyDescent="0.2">
      <x:c r="E495" s="89" t="s">
        <x:v>81</x:v>
      </x:c>
      <x:c r="F495" s="90" t="n">
        <x:v>1763.36</x:v>
      </x:c>
      <x:c r="G495" s="90" t="n">
        <x:v>163.44</x:v>
      </x:c>
      <x:c r="H495" s="90" t="n">
        <x:v>79.78</x:v>
      </x:c>
      <x:c r="I495" s="90" t="n">
        <x:v>44.61</x:v>
      </x:c>
      <x:c r="J495" s="90" t="n">
        <x:v>581.24</x:v>
      </x:c>
      <x:c r="K495" s="90" t="n">
        <x:v>14.67</x:v>
      </x:c>
      <x:c r="L495" s="90" t="n">
        <x:v>0</x:v>
      </x:c>
      <x:c r="M495" s="90" t="n">
        <x:v>117.58</x:v>
      </x:c>
      <x:c r="N495" s="90" t="n">
        <x:v>155.7</x:v>
      </x:c>
      <x:c r="O495" s="90" t="n">
        <x:v>210.6</x:v>
      </x:c>
      <x:c r="P495" s="90" t="n">
        <x:v>371.89</x:v>
      </x:c>
      <x:c r="Q495" s="90" t="n">
        <x:v>23.92</x:v>
      </x:c>
      <x:c r="R495" s="90" t="n">
        <x:v>-0.07</x:v>
      </x:c>
      <x:c r="S495" s="90" t="n">
        <x:v>0</x:v>
      </x:c>
      <x:c r="T495" t="n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 t="n">
        <x:v>0</x:v>
      </x:c>
    </x:row>
    <x:row r="496" spans="2:26" ht="12.75" customHeight="1" x14ac:dyDescent="0.2">
      <x:c r="D496" s="773">
        <x:v>2</x:v>
      </x:c>
      <x:c r="E496" s="89" t="s">
        <x:v>70</x:v>
      </x:c>
      <x:c r="F496" s="90" t="n">
        <x:v>277852.17</x:v>
      </x:c>
      <x:c r="G496" s="90" t="n">
        <x:v>26608.18</x:v>
      </x:c>
      <x:c r="H496" s="90" t="n">
        <x:v>13702.07</x:v>
      </x:c>
      <x:c r="I496" s="90" t="n">
        <x:v>7795.14</x:v>
      </x:c>
      <x:c r="J496" s="90" t="n">
        <x:v>51426.68</x:v>
      </x:c>
      <x:c r="K496" s="90" t="n">
        <x:v>1493.35</x:v>
      </x:c>
      <x:c r="L496" s="90" t="n">
        <x:v>0</x:v>
      </x:c>
      <x:c r="M496" s="90" t="n">
        <x:v>13088.6</x:v>
      </x:c>
      <x:c r="N496" s="90" t="n">
        <x:v>15021.06</x:v>
      </x:c>
      <x:c r="O496" s="90" t="n">
        <x:v>75581.43</x:v>
      </x:c>
      <x:c r="P496" s="90" t="n">
        <x:v>70694.52</x:v>
      </x:c>
      <x:c r="Q496" s="90" t="n">
        <x:v>2436.52</x:v>
      </x:c>
      <x:c r="R496" s="90" t="n">
        <x:v>4.62</x:v>
      </x:c>
      <x:c r="S496" s="90" t="n">
        <x:v>0</x:v>
      </x:c>
      <x:c r="T496" t="n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 t="n">
        <x:v>0</x:v>
      </x:c>
    </x:row>
    <x:row r="497" spans="1:26" ht="12.75" customHeight="1" x14ac:dyDescent="0.2">
      <x:c r="C497" s="89"/>
      <x:c r="D497" s="89"/>
      <x:c r="E497" t="s">
        <x:v>72</x:v>
      </x:c>
      <x:c r="F497" s="90" t="n">
        <x:v>2520325.29</x:v>
      </x:c>
      <x:c r="G497" s="90" t="n">
        <x:v>121957.19</x:v>
      </x:c>
      <x:c r="H497" s="90" t="n">
        <x:v>67910.85</x:v>
      </x:c>
      <x:c r="I497" s="90" t="n">
        <x:v>36000.71</x:v>
      </x:c>
      <x:c r="J497" s="90" t="n">
        <x:v>615618.21</x:v>
      </x:c>
      <x:c r="K497" s="90" t="n">
        <x:v>20743.35</x:v>
      </x:c>
      <x:c r="L497" s="90" t="n">
        <x:v>0</x:v>
      </x:c>
      <x:c r="M497" s="90" t="n">
        <x:v>183015.86</x:v>
      </x:c>
      <x:c r="N497" s="90" t="n">
        <x:v>182611.23</x:v>
      </x:c>
      <x:c r="O497" s="90" t="n">
        <x:v>932935.39</x:v>
      </x:c>
      <x:c r="P497" s="90" t="n">
        <x:v>325684.34</x:v>
      </x:c>
      <x:c r="Q497" s="90" t="n">
        <x:v>33844.33</x:v>
      </x:c>
      <x:c r="R497" s="90" t="n">
        <x:v>3.83</x:v>
      </x:c>
      <x:c r="S497" s="90" t="n">
        <x:v>0</x:v>
      </x:c>
      <x:c r="T497" t="n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 t="n">
        <x:v>0</x:v>
      </x:c>
    </x:row>
    <x:row r="498" spans="1:26" ht="12.75" customHeight="1" x14ac:dyDescent="0.2">
      <x:c r="E498" s="89" t="s">
        <x:v>81</x:v>
      </x:c>
      <x:c r="F498" s="90" t="n">
        <x:v>-6849.08</x:v>
      </x:c>
      <x:c r="G498" s="90" t="n">
        <x:v>231.53</x:v>
      </x:c>
      <x:c r="H498" s="90" t="n">
        <x:v>122.31</x:v>
      </x:c>
      <x:c r="I498" s="90" t="n">
        <x:v>66.9</x:v>
      </x:c>
      <x:c r="J498" s="90" t="n">
        <x:v>1041.73</x:v>
      </x:c>
      <x:c r="K498" s="90" t="n">
        <x:v>28.29</x:v>
      </x:c>
      <x:c r="L498" s="90" t="n">
        <x:v>0</x:v>
      </x:c>
      <x:c r="M498" s="90" t="n">
        <x:v>248.59</x:v>
      </x:c>
      <x:c r="N498" s="90" t="n">
        <x:v>318.93</x:v>
      </x:c>
      <x:c r="O498" s="90" t="n">
        <x:v>-9573.24</x:v>
      </x:c>
      <x:c r="P498" s="90" t="n">
        <x:v>619.87</x:v>
      </x:c>
      <x:c r="Q498" s="90" t="n">
        <x:v>46.07</x:v>
      </x:c>
      <x:c r="R498" s="90" t="n">
        <x:v>-0.06</x:v>
      </x:c>
      <x:c r="S498" s="90" t="n">
        <x:v>0</x:v>
      </x:c>
      <x:c r="T498" t="n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 t="n">
        <x:v>0</x:v>
      </x:c>
    </x:row>
    <x:row r="499" spans="1:26" ht="12.75" customHeight="1" x14ac:dyDescent="0.2">
      <x:c r="D499" t="s">
        <x:v>118</x:v>
      </x:c>
      <x:c r="E499" s="89" t="s">
        <x:v>70</x:v>
      </x:c>
      <x:c r="F499" s="90" t="n">
        <x:v>2513476.21</x:v>
      </x:c>
      <x:c r="G499" s="90" t="n">
        <x:v>122188.72</x:v>
      </x:c>
      <x:c r="H499" s="90" t="n">
        <x:v>68033.16</x:v>
      </x:c>
      <x:c r="I499" s="90" t="n">
        <x:v>36067.61</x:v>
      </x:c>
      <x:c r="J499" s="90" t="n">
        <x:v>616659.94</x:v>
      </x:c>
      <x:c r="K499" s="90" t="n">
        <x:v>20771.64</x:v>
      </x:c>
      <x:c r="L499" s="90" t="n">
        <x:v>0</x:v>
      </x:c>
      <x:c r="M499" s="90" t="n">
        <x:v>183264.45</x:v>
      </x:c>
      <x:c r="N499" s="90" t="n">
        <x:v>182930.16</x:v>
      </x:c>
      <x:c r="O499" s="90" t="n">
        <x:v>923362.15</x:v>
      </x:c>
      <x:c r="P499" s="90" t="n">
        <x:v>326304.21</x:v>
      </x:c>
      <x:c r="Q499" s="90" t="n">
        <x:v>33890.4</x:v>
      </x:c>
      <x:c r="R499" s="90" t="n">
        <x:v>3.77</x:v>
      </x:c>
      <x:c r="S499" s="90" t="n">
        <x:v>0</x:v>
      </x:c>
      <x:c r="T499" t="n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 t="n">
        <x:v>0</x:v>
      </x:c>
    </x:row>
    <x:row r="500" spans="1:26" s="224" customFormat="1" ht="12.75" customHeight="1" x14ac:dyDescent="0.2">
      <x:c r="C500" s="223" t="s">
        <x:v>120</x:v>
      </x:c>
      <x:c r="D500" s="223" t="s">
        <x:v>70</x:v>
      </x:c>
      <x:c r="F500" s="225" t="n">
        <x:v>4068782.15</x:v>
      </x:c>
      <x:c r="G500" s="225" t="n">
        <x:v>230841.65</x:v>
      </x:c>
      <x:c r="H500" s="225" t="n">
        <x:v>124285.63</x:v>
      </x:c>
      <x:c r="I500" s="225" t="n">
        <x:v>67258.31</x:v>
      </x:c>
      <x:c r="J500" s="225" t="n">
        <x:v>867058.94</x:v>
      </x:c>
      <x:c r="K500" s="225" t="n">
        <x:v>32277.11</x:v>
      </x:c>
      <x:c r="L500" s="225" t="n">
        <x:v>0</x:v>
      </x:c>
      <x:c r="M500" s="225" t="n">
        <x:v>284231</x:v>
      </x:c>
      <x:c r="N500" s="225" t="n">
        <x:v>296649.74</x:v>
      </x:c>
      <x:c r="O500" s="225" t="n">
        <x:v>1497455.27</x:v>
      </x:c>
      <x:c r="P500" s="225" t="n">
        <x:v>616044.74</x:v>
      </x:c>
      <x:c r="Q500" s="225" t="n">
        <x:v>52678.34</x:v>
      </x:c>
      <x:c r="R500" s="225" t="n">
        <x:v>1.42</x:v>
      </x:c>
      <x:c r="S500" s="225" t="n">
        <x:v>0</x:v>
      </x:c>
      <x:c r="T500" s="224" t="n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 t="n">
        <x:v>0</x:v>
      </x:c>
    </x:row>
    <x:row r="501" spans="1:26" ht="12.75" customHeight="1" x14ac:dyDescent="0.2">
      <x:c r="E501" s="89" t="s">
        <x:v>72</x:v>
      </x:c>
      <x:c r="F501" s="90" t="n">
        <x:v>236487797.15</x:v>
      </x:c>
      <x:c r="G501" s="90" t="n">
        <x:v>13918818.07</x:v>
      </x:c>
      <x:c r="H501" s="90" t="n">
        <x:v>7898835.56</x:v>
      </x:c>
      <x:c r="I501" s="90" t="n">
        <x:v>4195469.62</x:v>
      </x:c>
      <x:c r="J501" s="90" t="n">
        <x:v>53584722.26</x:v>
      </x:c>
      <x:c r="K501" s="90" t="n">
        <x:v>1358543.91</x:v>
      </x:c>
      <x:c r="L501" s="90" t="n">
        <x:v>1016480.32</x:v>
      </x:c>
      <x:c r="M501" s="90" t="n">
        <x:v>11908266.17</x:v>
      </x:c>
      <x:c r="N501" s="90" t="n">
        <x:v>17185993.23</x:v>
      </x:c>
      <x:c r="O501" s="90" t="n">
        <x:v>85883176.32</x:v>
      </x:c>
      <x:c r="P501" s="90" t="n">
        <x:v>37317675.79</x:v>
      </x:c>
      <x:c r="Q501" s="90" t="n">
        <x:v>2219113.11</x:v>
      </x:c>
      <x:c r="R501" s="90" t="n">
        <x:v>702.79</x:v>
      </x:c>
      <x:c r="S501" s="90" t="n">
        <x:v>0</x:v>
      </x:c>
      <x:c r="T501" t="n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 t="n">
        <x:v>0</x:v>
      </x:c>
    </x:row>
    <x:row r="502" spans="1:26" ht="12.75" customHeight="1" x14ac:dyDescent="0.2">
      <x:c r="D502" s="89"/>
      <x:c r="E502" s="89" t="s">
        <x:v>81</x:v>
      </x:c>
      <x:c r="F502" s="90" t="n">
        <x:v>-66055.51</x:v>
      </x:c>
      <x:c r="G502" s="90" t="n">
        <x:v>42875.36</x:v>
      </x:c>
      <x:c r="H502" s="90" t="n">
        <x:v>22349.12</x:v>
      </x:c>
      <x:c r="I502" s="90" t="n">
        <x:v>10965.42</x:v>
      </x:c>
      <x:c r="J502" s="90" t="n">
        <x:v>130899.72</x:v>
      </x:c>
      <x:c r="K502" s="90" t="n">
        <x:v>3940.94</x:v>
      </x:c>
      <x:c r="L502" s="90" t="n">
        <x:v>0</x:v>
      </x:c>
      <x:c r="M502" s="90" t="n">
        <x:v>34479.27</x:v>
      </x:c>
      <x:c r="N502" s="90" t="n">
        <x:v>46233.09</x:v>
      </x:c>
      <x:c r="O502" s="90" t="n">
        <x:v>-477074.43</x:v>
      </x:c>
      <x:c r="P502" s="90" t="n">
        <x:v>112811.27</x:v>
      </x:c>
      <x:c r="Q502" s="90" t="n">
        <x:v>6438.25</x:v>
      </x:c>
      <x:c r="R502" s="90" t="n">
        <x:v>26.46</x:v>
      </x:c>
      <x:c r="S502" s="90" t="n">
        <x:v>0</x:v>
      </x:c>
      <x:c r="T502" t="n">
        <x:v>0.02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 t="n">
        <x:v>0</x:v>
      </x:c>
    </x:row>
    <x:row r="503" spans="1:26" ht="12.75" customHeight="1" x14ac:dyDescent="0.2">
      <x:c r="D503" t="s">
        <x:v>82</x:v>
      </x:c>
      <x:c r="E503" s="89" t="s">
        <x:v>70</x:v>
      </x:c>
      <x:c r="F503" s="90" t="n">
        <x:v>236421741.64</x:v>
      </x:c>
      <x:c r="G503" s="90" t="n">
        <x:v>13961693.43</x:v>
      </x:c>
      <x:c r="H503" s="90" t="n">
        <x:v>7921184.68</x:v>
      </x:c>
      <x:c r="I503" s="90" t="n">
        <x:v>4206435.04</x:v>
      </x:c>
      <x:c r="J503" s="90" t="n">
        <x:v>53715621.98</x:v>
      </x:c>
      <x:c r="K503" s="90" t="n">
        <x:v>1362484.85</x:v>
      </x:c>
      <x:c r="L503" s="90" t="n">
        <x:v>1016480.32</x:v>
      </x:c>
      <x:c r="M503" s="90" t="n">
        <x:v>11942745.44</x:v>
      </x:c>
      <x:c r="N503" s="90" t="n">
        <x:v>17232226.32</x:v>
      </x:c>
      <x:c r="O503" s="90" t="n">
        <x:v>85406101.89</x:v>
      </x:c>
      <x:c r="P503" s="90" t="n">
        <x:v>37430487.06</x:v>
      </x:c>
      <x:c r="Q503" s="90" t="n">
        <x:v>2225551.36</x:v>
      </x:c>
      <x:c r="R503" s="90" t="n">
        <x:v>729.25</x:v>
      </x:c>
      <x:c r="S503" s="90" t="n">
        <x:v>0</x:v>
      </x:c>
      <x:c r="T503" t="n">
        <x:v>0.02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 t="n">
        <x:v>0</x:v>
      </x:c>
    </x:row>
    <x:row r="504" spans="1:26" ht="12.75" customHeight="1" x14ac:dyDescent="0.2">
      <x:c r="E504" s="89" t="s">
        <x:v>72</x:v>
      </x:c>
      <x:c r="F504" s="90" t="n">
        <x:v>119612851.98</x:v>
      </x:c>
      <x:c r="G504" s="90" t="n">
        <x:v>8292390.03</x:v>
      </x:c>
      <x:c r="H504" s="90" t="n">
        <x:v>4384853.36</x:v>
      </x:c>
      <x:c r="I504" s="90" t="n">
        <x:v>2254693.04</x:v>
      </x:c>
      <x:c r="J504" s="90" t="n">
        <x:v>23302372.99</x:v>
      </x:c>
      <x:c r="K504" s="90" t="n">
        <x:v>786498.33</x:v>
      </x:c>
      <x:c r="L504" s="90" t="n">
        <x:v>0</x:v>
      </x:c>
      <x:c r="M504" s="90" t="n">
        <x:v>6976666.04</x:v>
      </x:c>
      <x:c r="N504" s="90" t="n">
        <x:v>8374828.44</x:v>
      </x:c>
      <x:c r="O504" s="90" t="n">
        <x:v>41727065.31</x:v>
      </x:c>
      <x:c r="P504" s="90" t="n">
        <x:v>22226422.92</x:v>
      </x:c>
      <x:c r="Q504" s="90" t="n">
        <x:v>1287271.41</x:v>
      </x:c>
      <x:c r="R504" s="90" t="n">
        <x:v>-209.89</x:v>
      </x:c>
      <x:c r="S504" s="90" t="n">
        <x:v>0</x:v>
      </x:c>
      <x:c r="T504" t="n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 t="n">
        <x:v>0</x:v>
      </x:c>
    </x:row>
    <x:row r="505" spans="1:26" ht="12.75" customHeight="1" x14ac:dyDescent="0.2">
      <x:c r="D505" s="89"/>
      <x:c r="E505" s="89" t="s">
        <x:v>81</x:v>
      </x:c>
      <x:c r="F505" s="90" t="n">
        <x:v>15411450.94</x:v>
      </x:c>
      <x:c r="G505" s="90" t="n">
        <x:v>1726182.39</x:v>
      </x:c>
      <x:c r="H505" s="90" t="n">
        <x:v>769860.72</x:v>
      </x:c>
      <x:c r="I505" s="90" t="n">
        <x:v>305841.89</x:v>
      </x:c>
      <x:c r="J505" s="90" t="n">
        <x:v>2602464.39</x:v>
      </x:c>
      <x:c r="K505" s="90" t="n">
        <x:v>100531.14</x:v>
      </x:c>
      <x:c r="L505" s="90" t="n">
        <x:v>7106.45</x:v>
      </x:c>
      <x:c r="M505" s="90" t="n">
        <x:v>880027.17</x:v>
      </x:c>
      <x:c r="N505" s="90" t="n">
        <x:v>1051372.76</x:v>
      </x:c>
      <x:c r="O505" s="90" t="n">
        <x:v>3263318.58</x:v>
      </x:c>
      <x:c r="P505" s="90" t="n">
        <x:v>4540696.83</x:v>
      </x:c>
      <x:c r="Q505" s="90" t="n">
        <x:v>164080.44</x:v>
      </x:c>
      <x:c r="R505" s="90" t="n">
        <x:v>153.19</x:v>
      </x:c>
      <x:c r="S505" s="90" t="n">
        <x:v>-7.76</x:v>
      </x:c>
      <x:c r="T505" t="n">
        <x:v>0.89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 t="n">
        <x:v>-178.14</x:v>
      </x:c>
    </x:row>
    <x:row r="506" spans="1:26" ht="12.75" customHeight="1" x14ac:dyDescent="0.2">
      <x:c r="C506" s="89"/>
      <x:c r="D506" s="89" t="s">
        <x:v>86</x:v>
      </x:c>
      <x:c r="E506" t="s">
        <x:v>70</x:v>
      </x:c>
      <x:c r="F506" s="90" t="n">
        <x:v>135024302.92</x:v>
      </x:c>
      <x:c r="G506" s="90" t="n">
        <x:v>10018572.42</x:v>
      </x:c>
      <x:c r="H506" s="90" t="n">
        <x:v>5154714.08</x:v>
      </x:c>
      <x:c r="I506" s="90" t="n">
        <x:v>2560534.93</x:v>
      </x:c>
      <x:c r="J506" s="90" t="n">
        <x:v>25904837.38</x:v>
      </x:c>
      <x:c r="K506" s="90" t="n">
        <x:v>887029.47</x:v>
      </x:c>
      <x:c r="L506" s="90" t="n">
        <x:v>7106.45</x:v>
      </x:c>
      <x:c r="M506" s="90" t="n">
        <x:v>7856693.21</x:v>
      </x:c>
      <x:c r="N506" s="90" t="n">
        <x:v>9426201.2</x:v>
      </x:c>
      <x:c r="O506" s="90" t="n">
        <x:v>44990383.89</x:v>
      </x:c>
      <x:c r="P506" s="90" t="n">
        <x:v>26767119.75</x:v>
      </x:c>
      <x:c r="Q506" s="90" t="n">
        <x:v>1451351.85</x:v>
      </x:c>
      <x:c r="R506" s="90" t="n">
        <x:v>-56.7</x:v>
      </x:c>
      <x:c r="S506" s="90" t="n">
        <x:v>-7.76</x:v>
      </x:c>
      <x:c r="T506" t="n">
        <x:v>0.89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 t="n">
        <x:v>-178.14</x:v>
      </x:c>
    </x:row>
    <x:row r="507" spans="1:26" ht="12.75" customHeight="1" x14ac:dyDescent="0.2">
      <x:c r="B507" s="89"/>
      <x:c r="C507" s="89"/>
      <x:c r="E507" t="s">
        <x:v>72</x:v>
      </x:c>
      <x:c r="F507" s="90" t="n">
        <x:v>446543960.28</x:v>
      </x:c>
      <x:c r="G507" s="90" t="n">
        <x:v>66854304.45</x:v>
      </x:c>
      <x:c r="H507" s="90" t="n">
        <x:v>37816769.84</x:v>
      </x:c>
      <x:c r="I507" s="90" t="n">
        <x:v>20303817.34</x:v>
      </x:c>
      <x:c r="J507" s="90" t="n">
        <x:v>43780605.03</x:v>
      </x:c>
      <x:c r="K507" s="90" t="n">
        <x:v>1135251.91</x:v>
      </x:c>
      <x:c r="L507" s="90" t="n">
        <x:v>2445230</x:v>
      </x:c>
      <x:c r="M507" s="90" t="n">
        <x:v>9919745.51</x:v>
      </x:c>
      <x:c r="N507" s="90" t="n">
        <x:v>14017427.35</x:v>
      </x:c>
      <x:c r="O507" s="90" t="n">
        <x:v>70719234.17</x:v>
      </x:c>
      <x:c r="P507" s="90" t="n">
        <x:v>177697375.5</x:v>
      </x:c>
      <x:c r="Q507" s="90" t="n">
        <x:v>1853373.37</x:v>
      </x:c>
      <x:c r="R507" s="90" t="n">
        <x:v>825.81</x:v>
      </x:c>
      <x:c r="S507" s="90" t="n">
        <x:v>0</x:v>
      </x:c>
      <x:c r="T507" t="n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 t="n">
        <x:v>0</x:v>
      </x:c>
    </x:row>
    <x:row r="508" spans="1:26" ht="12.75" customHeight="1" x14ac:dyDescent="0.2">
      <x:c r="A508" s="89"/>
      <x:c r="B508" s="89"/>
      <x:c r="E508" t="s">
        <x:v>81</x:v>
      </x:c>
      <x:c r="F508" s="90" t="n">
        <x:v>894038.45</x:v>
      </x:c>
      <x:c r="G508" s="90" t="n">
        <x:v>112344.75</x:v>
      </x:c>
      <x:c r="H508" s="90" t="n">
        <x:v>61002.58</x:v>
      </x:c>
      <x:c r="I508" s="90" t="n">
        <x:v>32461.38</x:v>
      </x:c>
      <x:c r="J508" s="90" t="n">
        <x:v>277351.73</x:v>
      </x:c>
      <x:c r="K508" s="90" t="n">
        <x:v>7905.64</x:v>
      </x:c>
      <x:c r="L508" s="90" t="n">
        <x:v>384.17</x:v>
      </x:c>
      <x:c r="M508" s="90" t="n">
        <x:v>69273.59</x:v>
      </x:c>
      <x:c r="N508" s="90" t="n">
        <x:v>92469.56</x:v>
      </x:c>
      <x:c r="O508" s="90" t="n">
        <x:v>-74928.42</x:v>
      </x:c>
      <x:c r="P508" s="90" t="n">
        <x:v>302876.88</x:v>
      </x:c>
      <x:c r="Q508" s="90" t="n">
        <x:v>12896.23</x:v>
      </x:c>
      <x:c r="R508" s="90" t="n">
        <x:v>0.35</x:v>
      </x:c>
      <x:c r="S508" s="90" t="n">
        <x:v>0.01</x:v>
      </x:c>
      <x:c r="T508" t="n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 t="n">
        <x:v>0</x:v>
      </x:c>
    </x:row>
    <x:row r="509" spans="1:26" ht="12.75" customHeight="1" x14ac:dyDescent="0.2">
      <x:c r="A509" s="89"/>
      <x:c r="B509" s="89"/>
      <x:c r="D509" t="s">
        <x:v>87</x:v>
      </x:c>
      <x:c r="E509" t="s">
        <x:v>70</x:v>
      </x:c>
      <x:c r="F509" s="371" t="n">
        <x:v>447437998.73</x:v>
      </x:c>
      <x:c r="G509" s="90" t="n">
        <x:v>66966649.2</x:v>
      </x:c>
      <x:c r="H509" s="90" t="n">
        <x:v>37877772.42</x:v>
      </x:c>
      <x:c r="I509" s="90" t="n">
        <x:v>20336278.72</x:v>
      </x:c>
      <x:c r="J509" s="90" t="n">
        <x:v>44057956.76</x:v>
      </x:c>
      <x:c r="K509" s="90" t="n">
        <x:v>1143157.55</x:v>
      </x:c>
      <x:c r="L509" s="90" t="n">
        <x:v>2445614.17</x:v>
      </x:c>
      <x:c r="M509" s="90" t="n">
        <x:v>9989019.1</x:v>
      </x:c>
      <x:c r="N509" s="90" t="n">
        <x:v>14109896.91</x:v>
      </x:c>
      <x:c r="O509" s="90" t="n">
        <x:v>70644305.75</x:v>
      </x:c>
      <x:c r="P509" s="90" t="n">
        <x:v>178000252.38</x:v>
      </x:c>
      <x:c r="Q509" s="90" t="n">
        <x:v>1866269.6</x:v>
      </x:c>
      <x:c r="R509" s="90" t="n">
        <x:v>826.16</x:v>
      </x:c>
      <x:c r="S509" s="90" t="n">
        <x:v>0.01</x:v>
      </x:c>
      <x:c r="T509" t="n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 t="n">
        <x:v>0</x:v>
      </x:c>
    </x:row>
    <x:row r="510" spans="1:26" s="94" customFormat="1" ht="12.75" customHeight="1" x14ac:dyDescent="0.2">
      <x:c r="C510" s="101" t="s">
        <x:v>119</x:v>
      </x:c>
      <x:c r="D510" s="101" t="s">
        <x:v>70</x:v>
      </x:c>
      <x:c r="F510" s="93" t="n">
        <x:v>818884043.29</x:v>
      </x:c>
      <x:c r="G510" s="93" t="n">
        <x:v>90946915.05</x:v>
      </x:c>
      <x:c r="H510" s="93" t="n">
        <x:v>50953671.18</x:v>
      </x:c>
      <x:c r="I510" s="93" t="n">
        <x:v>27103248.69</x:v>
      </x:c>
      <x:c r="J510" s="93" t="n">
        <x:v>123678416.12</x:v>
      </x:c>
      <x:c r="K510" s="93" t="n">
        <x:v>3392671.87</x:v>
      </x:c>
      <x:c r="L510" s="93" t="n">
        <x:v>3469200.94</x:v>
      </x:c>
      <x:c r="M510" s="93" t="n">
        <x:v>29788457.75</x:v>
      </x:c>
      <x:c r="N510" s="93" t="n">
        <x:v>40768324.43</x:v>
      </x:c>
      <x:c r="O510" s="93" t="n">
        <x:v>201040791.53</x:v>
      </x:c>
      <x:c r="P510" s="93" t="n">
        <x:v>242197859.19</x:v>
      </x:c>
      <x:c r="Q510" s="93" t="n">
        <x:v>5543172.81</x:v>
      </x:c>
      <x:c r="R510" s="93" t="n">
        <x:v>1498.71</x:v>
      </x:c>
      <x:c r="S510" s="93" t="n">
        <x:v>-7.75</x:v>
      </x:c>
      <x:c r="T510" s="94" t="n">
        <x:v>0.91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 t="n">
        <x:v>-178.14</x:v>
      </x:c>
    </x:row>
    <x:row r="511" spans="1:26" s="226" customFormat="1" ht="12.75" customHeight="1" x14ac:dyDescent="0.2">
      <x:c r="B511" s="98" t="s">
        <x:v>112</x:v>
      </x:c>
      <x:c r="C511" s="98" t="s">
        <x:v>70</x:v>
      </x:c>
      <x:c r="F511" s="100" t="n">
        <x:v>9039100669.59</x:v>
      </x:c>
      <x:c r="G511" s="100" t="n">
        <x:v>511318695.48</x:v>
      </x:c>
      <x:c r="H511" s="100" t="n">
        <x:v>286714188.68</x:v>
      </x:c>
      <x:c r="I511" s="100" t="n">
        <x:v>151168980.8</x:v>
      </x:c>
      <x:c r="J511" s="100" t="n">
        <x:v>2089520293.72</x:v>
      </x:c>
      <x:c r="K511" s="100" t="n">
        <x:v>72385546.15</x:v>
      </x:c>
      <x:c r="L511" s="100" t="n">
        <x:v>11217476.99</x:v>
      </x:c>
      <x:c r="M511" s="100" t="n">
        <x:v>634358246.12</x:v>
      </x:c>
      <x:c r="N511" s="100" t="n">
        <x:v>627983953.88</x:v>
      </x:c>
      <x:c r="O511" s="100" t="n">
        <x:v>3181406358.43</x:v>
      </x:c>
      <x:c r="P511" s="100" t="n">
        <x:v>1354908058.99</x:v>
      </x:c>
      <x:c r="Q511" s="100" t="n">
        <x:v>118131021.82</x:v>
      </x:c>
      <x:c r="R511" s="100" t="n">
        <x:v>-12115.9</x:v>
      </x:c>
      <x:c r="S511" s="100" t="n">
        <x:v>-7.75</x:v>
      </x:c>
      <x:c r="T511" s="226" t="n">
        <x:v>151.03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 t="n">
        <x:v>-178.85</x:v>
      </x:c>
    </x:row>
    <x:row r="512" spans="1:26" ht="12" customHeight="1" x14ac:dyDescent="0.2">
      <x:c r="A512" s="89" t="s">
        <x:v>78</x:v>
      </x:c>
      <x:c r="B512" s="89" t="s">
        <x:v>70</x:v>
      </x:c>
      <x:c r="F512" s="371" t="n">
        <x:v>9043254920.41</x:v>
      </x:c>
      <x:c r="G512" s="90" t="n">
        <x:v>511552955.05</x:v>
      </x:c>
      <x:c r="H512" s="90" t="n">
        <x:v>286850076.31</x:v>
      </x:c>
      <x:c r="I512" s="90" t="n">
        <x:v>151238993.45</x:v>
      </x:c>
      <x:c r="J512" s="90" t="n">
        <x:v>2090461601.69</x:v>
      </x:c>
      <x:c r="K512" s="90" t="n">
        <x:v>72416826.37</x:v>
      </x:c>
      <x:c r="L512" s="90" t="n">
        <x:v>11217476.99</x:v>
      </x:c>
      <x:c r="M512" s="90" t="n">
        <x:v>634632634.06</x:v>
      </x:c>
      <x:c r="N512" s="90" t="n">
        <x:v>628280959.94</x:v>
      </x:c>
      <x:c r="O512" s="90" t="n">
        <x:v>3182902460.87</x:v>
      </x:c>
      <x:c r="P512" s="90" t="n">
        <x:v>1355531027.33</x:v>
      </x:c>
      <x:c r="Q512" s="90" t="n">
        <x:v>118182057.79</x:v>
      </x:c>
      <x:c r="R512" s="90" t="n">
        <x:v>-12113.87</x:v>
      </x:c>
      <x:c r="S512" s="90" t="n">
        <x:v>-7.75</x:v>
      </x:c>
      <x:c r="T512" t="n">
        <x:v>151.03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 t="n">
        <x:v>-178.85</x:v>
      </x:c>
    </x:row>
    <x:row r="513" spans="2:26" ht="12.75" customHeight="1" x14ac:dyDescent="0.2">
      <x:c r="B513" s="89"/>
      <x:c r="C513" s="89"/>
      <x:c r="E513" t="s">
        <x:v>73</x:v>
      </x:c>
      <x:c r="F513" s="90" t="n">
        <x:v>-75886.57</x:v>
      </x:c>
      <x:c r="G513" s="90" t="n">
        <x:v>21412.4</x:v>
      </x:c>
      <x:c r="H513" s="90" t="n">
        <x:v>12149.5</x:v>
      </x:c>
      <x:c r="I513" s="90" t="n">
        <x:v>6596.89</x:v>
      </x:c>
      <x:c r="J513" s="90" t="n">
        <x:v>-52501</x:v>
      </x:c>
      <x:c r="K513" s="90" t="n">
        <x:v>-1820.39</x:v>
      </x:c>
      <x:c r="L513" s="90" t="n">
        <x:v>0</x:v>
      </x:c>
      <x:c r="M513" s="90" t="n">
        <x:v>-15969.4</x:v>
      </x:c>
      <x:c r="N513" s="90" t="n">
        <x:v>-16468.37</x:v>
      </x:c>
      <x:c r="O513" s="90" t="n">
        <x:v>-85136.83</x:v>
      </x:c>
      <x:c r="P513" s="90" t="n">
        <x:v>58820.91</x:v>
      </x:c>
      <x:c r="Q513" s="90" t="n">
        <x:v>-2970.28</x:v>
      </x:c>
      <x:c r="R513" s="90" t="n">
        <x:v>0</x:v>
      </x:c>
      <x:c r="S513" s="90" t="n">
        <x:v>0</x:v>
      </x:c>
      <x:c r="T513" s="90" t="n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 t="n">
        <x:v>0</x:v>
      </x:c>
    </x:row>
    <x:row r="514" spans="2:26" ht="12.75" customHeight="1" x14ac:dyDescent="0.2">
      <x:c r="B514" s="89"/>
      <x:c r="C514" s="89"/>
      <x:c r="D514" t="s">
        <x:v>156</x:v>
      </x:c>
      <x:c r="E514" t="s">
        <x:v>70</x:v>
      </x:c>
      <x:c r="F514" s="90" t="n">
        <x:v>-75886.57</x:v>
      </x:c>
      <x:c r="G514" s="90" t="n">
        <x:v>21412.4</x:v>
      </x:c>
      <x:c r="H514" s="90" t="n">
        <x:v>12149.5</x:v>
      </x:c>
      <x:c r="I514" s="90" t="n">
        <x:v>6596.89</x:v>
      </x:c>
      <x:c r="J514" s="90" t="n">
        <x:v>-52501</x:v>
      </x:c>
      <x:c r="K514" s="90" t="n">
        <x:v>-1820.39</x:v>
      </x:c>
      <x:c r="L514" s="90" t="n">
        <x:v>0</x:v>
      </x:c>
      <x:c r="M514" s="90" t="n">
        <x:v>-15969.4</x:v>
      </x:c>
      <x:c r="N514" s="90" t="n">
        <x:v>-16468.37</x:v>
      </x:c>
      <x:c r="O514" s="90" t="n">
        <x:v>-85136.83</x:v>
      </x:c>
      <x:c r="P514" s="90" t="n">
        <x:v>58820.91</x:v>
      </x:c>
      <x:c r="Q514" s="90" t="n">
        <x:v>-2970.28</x:v>
      </x:c>
      <x:c r="R514" s="90" t="n">
        <x:v>0</x:v>
      </x:c>
      <x:c r="S514" s="90" t="n">
        <x:v>0</x:v>
      </x:c>
      <x:c r="T514" s="90" t="n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 t="n">
        <x:v>0</x:v>
      </x:c>
    </x:row>
    <x:row r="515" spans="2:26" s="656" customFormat="1" ht="12.75" customHeight="1" x14ac:dyDescent="0.2">
      <x:c r="C515" s="656" t="s">
        <x:v>155</x:v>
      </x:c>
      <x:c r="D515" s="657" t="s">
        <x:v>70</x:v>
      </x:c>
      <x:c r="E515" s="657"/>
      <x:c r="F515" s="658" t="n">
        <x:v>-75886.57</x:v>
      </x:c>
      <x:c r="G515" s="658" t="n">
        <x:v>21412.4</x:v>
      </x:c>
      <x:c r="H515" s="658" t="n">
        <x:v>12149.5</x:v>
      </x:c>
      <x:c r="I515" s="658" t="n">
        <x:v>6596.89</x:v>
      </x:c>
      <x:c r="J515" s="658" t="n">
        <x:v>-52501</x:v>
      </x:c>
      <x:c r="K515" s="658" t="n">
        <x:v>-1820.39</x:v>
      </x:c>
      <x:c r="L515" s="658" t="n">
        <x:v>0</x:v>
      </x:c>
      <x:c r="M515" s="658" t="n">
        <x:v>-15969.4</x:v>
      </x:c>
      <x:c r="N515" s="658" t="n">
        <x:v>-16468.37</x:v>
      </x:c>
      <x:c r="O515" s="658" t="n">
        <x:v>-85136.83</x:v>
      </x:c>
      <x:c r="P515" s="658" t="n">
        <x:v>58820.91</x:v>
      </x:c>
      <x:c r="Q515" s="658" t="n">
        <x:v>-2970.28</x:v>
      </x:c>
      <x:c r="R515" s="658" t="n">
        <x:v>0</x:v>
      </x:c>
      <x:c r="S515" s="658" t="n">
        <x:v>0</x:v>
      </x:c>
      <x:c r="T515" s="658" t="n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 t="n">
        <x:v>0</x:v>
      </x:c>
    </x:row>
    <x:row r="516" spans="2:26" ht="12.75" customHeight="1" x14ac:dyDescent="0.2">
      <x:c r="E516" s="89" t="s">
        <x:v>73</x:v>
      </x:c>
      <x:c r="F516" s="90" t="n">
        <x:v>22589.13</x:v>
      </x:c>
      <x:c r="G516" s="90" t="n">
        <x:v>1124.45</x:v>
      </x:c>
      <x:c r="H516" s="90" t="n">
        <x:v>636.15</x:v>
      </x:c>
      <x:c r="I516" s="90" t="n">
        <x:v>338.95</x:v>
      </x:c>
      <x:c r="J516" s="90" t="n">
        <x:v>5266.33</x:v>
      </x:c>
      <x:c r="K516" s="90" t="n">
        <x:v>223.93</x:v>
      </x:c>
      <x:c r="L516" s="90" t="n">
        <x:v>0</x:v>
      </x:c>
      <x:c r="M516" s="90" t="n">
        <x:v>1964.49</x:v>
      </x:c>
      <x:c r="N516" s="90" t="n">
        <x:v>1620.27</x:v>
      </x:c>
      <x:c r="O516" s="90" t="n">
        <x:v>8022.02</x:v>
      </x:c>
      <x:c r="P516" s="90" t="n">
        <x:v>3027.13</x:v>
      </x:c>
      <x:c r="Q516" s="90" t="n">
        <x:v>365.41</x:v>
      </x:c>
      <x:c r="R516" s="90" t="n">
        <x:v>0</x:v>
      </x:c>
      <x:c r="S516" s="90" t="n">
        <x:v>0</x:v>
      </x:c>
      <x:c r="T516" t="n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 t="n">
        <x:v>0</x:v>
      </x:c>
    </x:row>
    <x:row r="517" spans="2:26" ht="12.75" customHeight="1" x14ac:dyDescent="0.2">
      <x:c r="D517" t="s">
        <x:v>115</x:v>
      </x:c>
      <x:c r="E517" s="89" t="s">
        <x:v>70</x:v>
      </x:c>
      <x:c r="F517" s="371" t="n">
        <x:v>22589.13</x:v>
      </x:c>
      <x:c r="G517" s="90" t="n">
        <x:v>1124.45</x:v>
      </x:c>
      <x:c r="H517" s="90" t="n">
        <x:v>636.15</x:v>
      </x:c>
      <x:c r="I517" s="90" t="n">
        <x:v>338.95</x:v>
      </x:c>
      <x:c r="J517" s="90" t="n">
        <x:v>5266.33</x:v>
      </x:c>
      <x:c r="K517" s="90" t="n">
        <x:v>223.93</x:v>
      </x:c>
      <x:c r="L517" s="90" t="n">
        <x:v>0</x:v>
      </x:c>
      <x:c r="M517" s="90" t="n">
        <x:v>1964.49</x:v>
      </x:c>
      <x:c r="N517" s="90" t="n">
        <x:v>1620.27</x:v>
      </x:c>
      <x:c r="O517" s="90" t="n">
        <x:v>8022.02</x:v>
      </x:c>
      <x:c r="P517" s="90" t="n">
        <x:v>3027.13</x:v>
      </x:c>
      <x:c r="Q517" s="90" t="n">
        <x:v>365.41</x:v>
      </x:c>
      <x:c r="R517" s="90" t="n">
        <x:v>0</x:v>
      </x:c>
      <x:c r="S517" s="90" t="n">
        <x:v>0</x:v>
      </x:c>
      <x:c r="T517" t="n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 t="n">
        <x:v>0</x:v>
      </x:c>
    </x:row>
    <x:row r="518" spans="2:26" ht="12.75" customHeight="1" x14ac:dyDescent="0.2">
      <x:c r="E518" s="89" t="s">
        <x:v>73</x:v>
      </x:c>
      <x:c r="F518" s="371">
        <x:v>0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2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2">
      <x:c r="E520" s="89" t="s">
        <x:v>73</x:v>
      </x:c>
      <x:c r="F520" s="371">
        <x:v>0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2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2">
      <x:c r="C522" s="223" t="s">
        <x:v>120</x:v>
      </x:c>
      <x:c r="D522" s="223" t="s">
        <x:v>70</x:v>
      </x:c>
      <x:c r="F522" s="225" t="n">
        <x:v>22589.13</x:v>
      </x:c>
      <x:c r="G522" s="225" t="n">
        <x:v>1124.45</x:v>
      </x:c>
      <x:c r="H522" s="225" t="n">
        <x:v>636.15</x:v>
      </x:c>
      <x:c r="I522" s="225" t="n">
        <x:v>338.95</x:v>
      </x:c>
      <x:c r="J522" s="225" t="n">
        <x:v>5266.33</x:v>
      </x:c>
      <x:c r="K522" s="225" t="n">
        <x:v>223.93</x:v>
      </x:c>
      <x:c r="L522" s="225" t="n">
        <x:v>0</x:v>
      </x:c>
      <x:c r="M522" s="225" t="n">
        <x:v>1964.49</x:v>
      </x:c>
      <x:c r="N522" s="225" t="n">
        <x:v>1620.27</x:v>
      </x:c>
      <x:c r="O522" s="225" t="n">
        <x:v>8022.02</x:v>
      </x:c>
      <x:c r="P522" s="225" t="n">
        <x:v>3027.13</x:v>
      </x:c>
      <x:c r="Q522" s="225" t="n">
        <x:v>365.41</x:v>
      </x:c>
      <x:c r="R522" s="225" t="n">
        <x:v>0</x:v>
      </x:c>
      <x:c r="S522" s="225" t="n">
        <x:v>0</x:v>
      </x:c>
      <x:c r="T522" s="224" t="n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 t="n">
        <x:v>0</x:v>
      </x:c>
    </x:row>
    <x:row r="523" spans="2:26" ht="12.75" customHeight="1" x14ac:dyDescent="0.2">
      <x:c r="D523" s="89"/>
      <x:c r="E523" s="89" t="s">
        <x:v>73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2">
      <x:c r="D524" s="89" t="s">
        <x:v>82</x:v>
      </x:c>
      <x:c r="E524" s="89" t="s">
        <x:v>70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2">
      <x:c r="D525" s="89"/>
      <x:c r="E525" s="89" t="s">
        <x:v>73</x:v>
      </x:c>
      <x:c r="F525" s="371" t="n">
        <x:v>-70543.38</x:v>
      </x:c>
      <x:c r="G525" s="90" t="n">
        <x:v>-3069.48</x:v>
      </x:c>
      <x:c r="H525" s="90" t="n">
        <x:v>-1734.99</x:v>
      </x:c>
      <x:c r="I525" s="90" t="n">
        <x:v>-918.37</x:v>
      </x:c>
      <x:c r="J525" s="90" t="n">
        <x:v>-15369.17</x:v>
      </x:c>
      <x:c r="K525" s="90" t="n">
        <x:v>-578.75</x:v>
      </x:c>
      <x:c r="L525" s="90" t="n">
        <x:v>0</x:v>
      </x:c>
      <x:c r="M525" s="90" t="n">
        <x:v>-5076.82</x:v>
      </x:c>
      <x:c r="N525" s="90" t="n">
        <x:v>-5702.76</x:v>
      </x:c>
      <x:c r="O525" s="90" t="n">
        <x:v>-28945.65</x:v>
      </x:c>
      <x:c r="P525" s="90" t="n">
        <x:v>-8203.09</x:v>
      </x:c>
      <x:c r="Q525" s="90" t="n">
        <x:v>-944.3</x:v>
      </x:c>
      <x:c r="R525" s="90" t="n">
        <x:v>0</x:v>
      </x:c>
      <x:c r="S525" s="90" t="n">
        <x:v>0</x:v>
      </x:c>
      <x:c r="T525" s="90" t="n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 t="n">
        <x:v>0</x:v>
      </x:c>
    </x:row>
    <x:row r="526" spans="2:26" ht="12.75" customHeight="1" x14ac:dyDescent="0.2">
      <x:c r="D526" s="89" t="s">
        <x:v>86</x:v>
      </x:c>
      <x:c r="E526" s="89" t="s">
        <x:v>70</x:v>
      </x:c>
      <x:c r="F526" s="371" t="n">
        <x:v>-70543.38</x:v>
      </x:c>
      <x:c r="G526" s="90" t="n">
        <x:v>-3069.48</x:v>
      </x:c>
      <x:c r="H526" s="90" t="n">
        <x:v>-1734.99</x:v>
      </x:c>
      <x:c r="I526" s="90" t="n">
        <x:v>-918.37</x:v>
      </x:c>
      <x:c r="J526" s="90" t="n">
        <x:v>-15369.17</x:v>
      </x:c>
      <x:c r="K526" s="90" t="n">
        <x:v>-578.75</x:v>
      </x:c>
      <x:c r="L526" s="90" t="n">
        <x:v>0</x:v>
      </x:c>
      <x:c r="M526" s="90" t="n">
        <x:v>-5076.82</x:v>
      </x:c>
      <x:c r="N526" s="90" t="n">
        <x:v>-5702.76</x:v>
      </x:c>
      <x:c r="O526" s="90" t="n">
        <x:v>-28945.65</x:v>
      </x:c>
      <x:c r="P526" s="90" t="n">
        <x:v>-8203.09</x:v>
      </x:c>
      <x:c r="Q526" s="90" t="n">
        <x:v>-944.3</x:v>
      </x:c>
      <x:c r="R526" s="90" t="n">
        <x:v>0</x:v>
      </x:c>
      <x:c r="S526" s="90" t="n">
        <x:v>0</x:v>
      </x:c>
      <x:c r="T526" s="90" t="n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 t="n">
        <x:v>0</x:v>
      </x:c>
    </x:row>
    <x:row r="527" spans="2:26" x14ac:dyDescent="0.2">
      <x:c r="E527" t="s">
        <x:v>73</x:v>
      </x:c>
      <x:c r="F527" s="90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2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2">
      <x:c r="C529" s="94" t="s">
        <x:v>119</x:v>
      </x:c>
      <x:c r="D529" s="94" t="s">
        <x:v>70</x:v>
      </x:c>
      <x:c r="E529" s="101"/>
      <x:c r="F529" s="93" t="n">
        <x:v>-70543.38</x:v>
      </x:c>
      <x:c r="G529" s="93" t="n">
        <x:v>-3069.48</x:v>
      </x:c>
      <x:c r="H529" s="93" t="n">
        <x:v>-1734.99</x:v>
      </x:c>
      <x:c r="I529" s="93" t="n">
        <x:v>-918.37</x:v>
      </x:c>
      <x:c r="J529" s="93" t="n">
        <x:v>-15369.17</x:v>
      </x:c>
      <x:c r="K529" s="93" t="n">
        <x:v>-578.75</x:v>
      </x:c>
      <x:c r="L529" s="93" t="n">
        <x:v>0</x:v>
      </x:c>
      <x:c r="M529" s="93" t="n">
        <x:v>-5076.82</x:v>
      </x:c>
      <x:c r="N529" s="93" t="n">
        <x:v>-5702.76</x:v>
      </x:c>
      <x:c r="O529" s="93" t="n">
        <x:v>-28945.65</x:v>
      </x:c>
      <x:c r="P529" s="93" t="n">
        <x:v>-8203.09</x:v>
      </x:c>
      <x:c r="Q529" s="93" t="n">
        <x:v>-944.3</x:v>
      </x:c>
      <x:c r="R529" s="93" t="n">
        <x:v>0</x:v>
      </x:c>
      <x:c r="S529" s="93" t="n">
        <x:v>0</x:v>
      </x:c>
      <x:c r="T529" s="93" t="n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 t="n">
        <x:v>0</x:v>
      </x:c>
    </x:row>
    <x:row r="530" spans="2:26" s="378" customFormat="1" ht="12.75" customHeight="1" x14ac:dyDescent="0.2">
      <x:c r="B530" s="378" t="s">
        <x:v>122</x:v>
      </x:c>
      <x:c r="C530" s="378" t="s">
        <x:v>70</x:v>
      </x:c>
      <x:c r="E530" s="376"/>
      <x:c r="F530" s="377" t="n">
        <x:v>-123840.82</x:v>
      </x:c>
      <x:c r="G530" s="377" t="n">
        <x:v>19467.37</x:v>
      </x:c>
      <x:c r="H530" s="377" t="n">
        <x:v>11050.66</x:v>
      </x:c>
      <x:c r="I530" s="377" t="n">
        <x:v>6017.47</x:v>
      </x:c>
      <x:c r="J530" s="377" t="n">
        <x:v>-62603.84</x:v>
      </x:c>
      <x:c r="K530" s="377" t="n">
        <x:v>-2175.21</x:v>
      </x:c>
      <x:c r="L530" s="377" t="n">
        <x:v>0</x:v>
      </x:c>
      <x:c r="M530" s="377" t="n">
        <x:v>-19081.73</x:v>
      </x:c>
      <x:c r="N530" s="377" t="n">
        <x:v>-20550.86</x:v>
      </x:c>
      <x:c r="O530" s="377" t="n">
        <x:v>-106060.46</x:v>
      </x:c>
      <x:c r="P530" s="377" t="n">
        <x:v>53644.95</x:v>
      </x:c>
      <x:c r="Q530" s="377" t="n">
        <x:v>-3549.17</x:v>
      </x:c>
      <x:c r="R530" s="377" t="n">
        <x:v>0</x:v>
      </x:c>
      <x:c r="S530" s="377" t="n">
        <x:v>0</x:v>
      </x:c>
      <x:c r="T530" s="378" t="n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 t="n">
        <x:v>0</x:v>
      </x:c>
    </x:row>
    <x:row r="531" spans="2:26" ht="12.75" customHeight="1" x14ac:dyDescent="0.2">
      <x:c r="E531" s="89" t="s">
        <x:v>73</x:v>
      </x:c>
      <x:c r="F531" s="90" t="n">
        <x:v>-857738903.94</x:v>
      </x:c>
      <x:c r="G531" s="90" t="n">
        <x:v>4405231.86</x:v>
      </x:c>
      <x:c r="H531" s="90" t="n">
        <x:v>2242892.02</x:v>
      </x:c>
      <x:c r="I531" s="90" t="n">
        <x:v>1177898.82</x:v>
      </x:c>
      <x:c r="J531" s="90" t="n">
        <x:v>-272438951.13</x:v>
      </x:c>
      <x:c r="K531" s="90" t="n">
        <x:v>-9479808.46</x:v>
      </x:c>
      <x:c r="L531" s="90" t="n">
        <x:v>0</x:v>
      </x:c>
      <x:c r="M531" s="90" t="n">
        <x:v>-83169863.27</x:v>
      </x:c>
      <x:c r="N531" s="90" t="n">
        <x:v>-80173858.32</x:v>
      </x:c>
      <x:c r="O531" s="90" t="n">
        <x:v>-416001153.35</x:v>
      </x:c>
      <x:c r="P531" s="90" t="n">
        <x:v>11163339.61</x:v>
      </x:c>
      <x:c r="Q531" s="90" t="n">
        <x:v>-15464631.72</x:v>
      </x:c>
      <x:c r="R531" s="90" t="n">
        <x:v>0</x:v>
      </x:c>
      <x:c r="S531" s="90" t="n">
        <x:v>0</x:v>
      </x:c>
      <x:c r="T531" t="n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 t="n">
        <x:v>0</x:v>
      </x:c>
    </x:row>
    <x:row r="532" spans="2:26" ht="12.75" customHeight="1" x14ac:dyDescent="0.2">
      <x:c r="D532" s="89" t="s">
        <x:v>156</x:v>
      </x:c>
      <x:c r="E532" s="89" t="s">
        <x:v>70</x:v>
      </x:c>
      <x:c r="F532" s="90" t="n">
        <x:v>-857738903.94</x:v>
      </x:c>
      <x:c r="G532" s="90" t="n">
        <x:v>4405231.86</x:v>
      </x:c>
      <x:c r="H532" s="90" t="n">
        <x:v>2242892.02</x:v>
      </x:c>
      <x:c r="I532" s="90" t="n">
        <x:v>1177898.82</x:v>
      </x:c>
      <x:c r="J532" s="90" t="n">
        <x:v>-272438951.13</x:v>
      </x:c>
      <x:c r="K532" s="90" t="n">
        <x:v>-9479808.46</x:v>
      </x:c>
      <x:c r="L532" s="90" t="n">
        <x:v>0</x:v>
      </x:c>
      <x:c r="M532" s="90" t="n">
        <x:v>-83169863.27</x:v>
      </x:c>
      <x:c r="N532" s="90" t="n">
        <x:v>-80173858.32</x:v>
      </x:c>
      <x:c r="O532" s="90" t="n">
        <x:v>-416001153.35</x:v>
      </x:c>
      <x:c r="P532" s="90" t="n">
        <x:v>11163339.61</x:v>
      </x:c>
      <x:c r="Q532" s="90" t="n">
        <x:v>-15464631.72</x:v>
      </x:c>
      <x:c r="R532" s="90" t="n">
        <x:v>0</x:v>
      </x:c>
      <x:c r="S532" s="90" t="n">
        <x:v>0</x:v>
      </x:c>
      <x:c r="T532" t="n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 t="n">
        <x:v>0</x:v>
      </x:c>
    </x:row>
    <x:row r="533" spans="2:26" s="656" customFormat="1" ht="12.75" customHeight="1" x14ac:dyDescent="0.2">
      <x:c r="C533" s="656" t="s">
        <x:v>155</x:v>
      </x:c>
      <x:c r="D533" s="657" t="s">
        <x:v>70</x:v>
      </x:c>
      <x:c r="E533" s="657"/>
      <x:c r="F533" s="738" t="n">
        <x:v>-857738903.94</x:v>
      </x:c>
      <x:c r="G533" s="658" t="n">
        <x:v>4405231.86</x:v>
      </x:c>
      <x:c r="H533" s="658" t="n">
        <x:v>2242892.02</x:v>
      </x:c>
      <x:c r="I533" s="658" t="n">
        <x:v>1177898.82</x:v>
      </x:c>
      <x:c r="J533" s="658" t="n">
        <x:v>-272438951.13</x:v>
      </x:c>
      <x:c r="K533" s="658" t="n">
        <x:v>-9479808.46</x:v>
      </x:c>
      <x:c r="L533" s="658" t="n">
        <x:v>0</x:v>
      </x:c>
      <x:c r="M533" s="658" t="n">
        <x:v>-83169863.27</x:v>
      </x:c>
      <x:c r="N533" s="658" t="n">
        <x:v>-80173858.32</x:v>
      </x:c>
      <x:c r="O533" s="658" t="n">
        <x:v>-416001153.35</x:v>
      </x:c>
      <x:c r="P533" s="658" t="n">
        <x:v>11163339.61</x:v>
      </x:c>
      <x:c r="Q533" s="658" t="n">
        <x:v>-15464631.72</x:v>
      </x:c>
      <x:c r="R533" s="658" t="n">
        <x:v>0</x:v>
      </x:c>
      <x:c r="S533" s="658" t="n">
        <x:v>0</x:v>
      </x:c>
      <x:c r="T533" s="656" t="n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 t="n">
        <x:v>0</x:v>
      </x:c>
    </x:row>
    <x:row r="534" spans="2:26" ht="12.75" customHeight="1" x14ac:dyDescent="0.2">
      <x:c r="D534" s="89"/>
      <x:c r="E534" s="89" t="s">
        <x:v>73</x:v>
      </x:c>
      <x:c r="F534" s="371" t="n">
        <x:v>473206.23</x:v>
      </x:c>
      <x:c r="G534" s="90" t="n">
        <x:v>34977.86</x:v>
      </x:c>
      <x:c r="H534" s="90" t="n">
        <x:v>17976.93</x:v>
      </x:c>
      <x:c r="I534" s="90" t="n">
        <x:v>9832.34</x:v>
      </x:c>
      <x:c r="J534" s="90" t="n">
        <x:v>58508.14</x:v>
      </x:c>
      <x:c r="K534" s="90" t="n">
        <x:v>3549.24</x:v>
      </x:c>
      <x:c r="L534" s="90" t="n">
        <x:v>0</x:v>
      </x:c>
      <x:c r="M534" s="90" t="n">
        <x:v>31158.51</x:v>
      </x:c>
      <x:c r="N534" s="90" t="n">
        <x:v>36200.94</x:v>
      </x:c>
      <x:c r="O534" s="90" t="n">
        <x:v>181413.76</x:v>
      </x:c>
      <x:c r="P534" s="90" t="n">
        <x:v>93790.05</x:v>
      </x:c>
      <x:c r="Q534" s="90" t="n">
        <x:v>5798.46</x:v>
      </x:c>
      <x:c r="R534" s="90" t="n">
        <x:v>0</x:v>
      </x:c>
      <x:c r="S534" s="90" t="n">
        <x:v>0</x:v>
      </x:c>
      <x:c r="T534" t="n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 t="n">
        <x:v>0</x:v>
      </x:c>
    </x:row>
    <x:row r="535" spans="2:26" ht="12.6" customHeight="1" x14ac:dyDescent="0.2">
      <x:c r="D535" s="89" t="s">
        <x:v>115</x:v>
      </x:c>
      <x:c r="E535" s="89" t="s">
        <x:v>70</x:v>
      </x:c>
      <x:c r="F535" s="371" t="n">
        <x:v>473206.23</x:v>
      </x:c>
      <x:c r="G535" s="90" t="n">
        <x:v>34977.86</x:v>
      </x:c>
      <x:c r="H535" s="90" t="n">
        <x:v>17976.93</x:v>
      </x:c>
      <x:c r="I535" s="90" t="n">
        <x:v>9832.34</x:v>
      </x:c>
      <x:c r="J535" s="90" t="n">
        <x:v>58508.14</x:v>
      </x:c>
      <x:c r="K535" s="90" t="n">
        <x:v>3549.24</x:v>
      </x:c>
      <x:c r="L535" s="90" t="n">
        <x:v>0</x:v>
      </x:c>
      <x:c r="M535" s="90" t="n">
        <x:v>31158.51</x:v>
      </x:c>
      <x:c r="N535" s="90" t="n">
        <x:v>36200.94</x:v>
      </x:c>
      <x:c r="O535" s="90" t="n">
        <x:v>181413.76</x:v>
      </x:c>
      <x:c r="P535" s="90" t="n">
        <x:v>93790.05</x:v>
      </x:c>
      <x:c r="Q535" s="90" t="n">
        <x:v>5798.46</x:v>
      </x:c>
      <x:c r="R535" s="90" t="n">
        <x:v>0</x:v>
      </x:c>
      <x:c r="S535" s="90" t="n">
        <x:v>0</x:v>
      </x:c>
      <x:c r="T535" t="n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 t="n">
        <x:v>0</x:v>
      </x:c>
    </x:row>
    <x:row r="536" spans="2:26" ht="12.75" customHeight="1" x14ac:dyDescent="0.2">
      <x:c r="E536" s="89" t="s">
        <x:v>73</x:v>
      </x:c>
      <x:c r="F536" s="90" t="n">
        <x:v>124967.83</x:v>
      </x:c>
      <x:c r="G536" s="90" t="n">
        <x:v>14186.21</x:v>
      </x:c>
      <x:c r="H536" s="90" t="n">
        <x:v>7180.58</x:v>
      </x:c>
      <x:c r="I536" s="90" t="n">
        <x:v>3849.33</x:v>
      </x:c>
      <x:c r="J536" s="90" t="n">
        <x:v>20435.75</x:v>
      </x:c>
      <x:c r="K536" s="90" t="n">
        <x:v>604.46</x:v>
      </x:c>
      <x:c r="L536" s="90" t="n">
        <x:v>0</x:v>
      </x:c>
      <x:c r="M536" s="90" t="n">
        <x:v>5302.21</x:v>
      </x:c>
      <x:c r="N536" s="90" t="n">
        <x:v>5679.27</x:v>
      </x:c>
      <x:c r="O536" s="90" t="n">
        <x:v>28713.3</x:v>
      </x:c>
      <x:c r="P536" s="90" t="n">
        <x:v>38030.49</x:v>
      </x:c>
      <x:c r="Q536" s="90" t="n">
        <x:v>986.23</x:v>
      </x:c>
      <x:c r="R536" s="90" t="n">
        <x:v>0</x:v>
      </x:c>
      <x:c r="S536" s="90" t="n">
        <x:v>0</x:v>
      </x:c>
      <x:c r="T536" t="n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 t="n">
        <x:v>0</x:v>
      </x:c>
    </x:row>
    <x:row r="537" spans="2:26" ht="12.75" customHeight="1" x14ac:dyDescent="0.2">
      <x:c r="D537" s="773">
        <x:v>2</x:v>
      </x:c>
      <x:c r="E537" s="89" t="s">
        <x:v>70</x:v>
      </x:c>
      <x:c r="F537" s="90" t="n">
        <x:v>124967.83</x:v>
      </x:c>
      <x:c r="G537" s="90" t="n">
        <x:v>14186.21</x:v>
      </x:c>
      <x:c r="H537" s="90" t="n">
        <x:v>7180.58</x:v>
      </x:c>
      <x:c r="I537" s="90" t="n">
        <x:v>3849.33</x:v>
      </x:c>
      <x:c r="J537" s="90" t="n">
        <x:v>20435.75</x:v>
      </x:c>
      <x:c r="K537" s="90" t="n">
        <x:v>604.46</x:v>
      </x:c>
      <x:c r="L537" s="90" t="n">
        <x:v>0</x:v>
      </x:c>
      <x:c r="M537" s="90" t="n">
        <x:v>5302.21</x:v>
      </x:c>
      <x:c r="N537" s="90" t="n">
        <x:v>5679.27</x:v>
      </x:c>
      <x:c r="O537" s="90" t="n">
        <x:v>28713.3</x:v>
      </x:c>
      <x:c r="P537" s="90" t="n">
        <x:v>38030.49</x:v>
      </x:c>
      <x:c r="Q537" s="90" t="n">
        <x:v>986.23</x:v>
      </x:c>
      <x:c r="R537" s="90" t="n">
        <x:v>0</x:v>
      </x:c>
      <x:c r="S537" s="90" t="n">
        <x:v>0</x:v>
      </x:c>
      <x:c r="T537" t="n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 t="n">
        <x:v>0</x:v>
      </x:c>
    </x:row>
    <x:row r="538" spans="2:26" ht="12.75" customHeight="1" x14ac:dyDescent="0.2">
      <x:c r="E538" s="89" t="s">
        <x:v>73</x:v>
      </x:c>
      <x:c r="F538" s="90" t="n">
        <x:v>-303906.21</x:v>
      </x:c>
      <x:c r="G538" s="90" t="n">
        <x:v>-7553.23</x:v>
      </x:c>
      <x:c r="H538" s="90" t="n">
        <x:v>-4110.88</x:v>
      </x:c>
      <x:c r="I538" s="90" t="n">
        <x:v>-2196.59</x:v>
      </x:c>
      <x:c r="J538" s="90" t="n">
        <x:v>-83778.22</x:v>
      </x:c>
      <x:c r="K538" s="90" t="n">
        <x:v>-2844.69</x:v>
      </x:c>
      <x:c r="L538" s="90" t="n">
        <x:v>0</x:v>
      </x:c>
      <x:c r="M538" s="90" t="n">
        <x:v>-24953.45</x:v>
      </x:c>
      <x:c r="N538" s="90" t="n">
        <x:v>-25182.18</x:v>
      </x:c>
      <x:c r="O538" s="90" t="n">
        <x:v>-128393.14</x:v>
      </x:c>
      <x:c r="P538" s="90" t="n">
        <x:v>-20252.51</x:v>
      </x:c>
      <x:c r="Q538" s="90" t="n">
        <x:v>-4641.32</x:v>
      </x:c>
      <x:c r="R538" s="90" t="n">
        <x:v>0</x:v>
      </x:c>
      <x:c r="S538" s="90" t="n">
        <x:v>0</x:v>
      </x:c>
      <x:c r="T538" t="n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 t="n">
        <x:v>0</x:v>
      </x:c>
    </x:row>
    <x:row r="539" spans="2:26" ht="12.75" customHeight="1" x14ac:dyDescent="0.2">
      <x:c r="D539" s="89" t="s">
        <x:v>118</x:v>
      </x:c>
      <x:c r="E539" s="89" t="s">
        <x:v>70</x:v>
      </x:c>
      <x:c r="F539" s="90" t="n">
        <x:v>-303906.21</x:v>
      </x:c>
      <x:c r="G539" s="90" t="n">
        <x:v>-7553.23</x:v>
      </x:c>
      <x:c r="H539" s="90" t="n">
        <x:v>-4110.88</x:v>
      </x:c>
      <x:c r="I539" s="90" t="n">
        <x:v>-2196.59</x:v>
      </x:c>
      <x:c r="J539" s="90" t="n">
        <x:v>-83778.22</x:v>
      </x:c>
      <x:c r="K539" s="90" t="n">
        <x:v>-2844.69</x:v>
      </x:c>
      <x:c r="L539" s="90" t="n">
        <x:v>0</x:v>
      </x:c>
      <x:c r="M539" s="90" t="n">
        <x:v>-24953.45</x:v>
      </x:c>
      <x:c r="N539" s="90" t="n">
        <x:v>-25182.18</x:v>
      </x:c>
      <x:c r="O539" s="90" t="n">
        <x:v>-128393.14</x:v>
      </x:c>
      <x:c r="P539" s="90" t="n">
        <x:v>-20252.51</x:v>
      </x:c>
      <x:c r="Q539" s="90" t="n">
        <x:v>-4641.32</x:v>
      </x:c>
      <x:c r="R539" s="90" t="n">
        <x:v>0</x:v>
      </x:c>
      <x:c r="S539" s="90" t="n">
        <x:v>0</x:v>
      </x:c>
      <x:c r="T539" t="n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 t="n">
        <x:v>0</x:v>
      </x:c>
    </x:row>
    <x:row r="540" spans="2:26" s="224" customFormat="1" ht="12.75" customHeight="1" x14ac:dyDescent="0.2">
      <x:c r="C540" s="223" t="s">
        <x:v>120</x:v>
      </x:c>
      <x:c r="D540" s="223" t="s">
        <x:v>70</x:v>
      </x:c>
      <x:c r="F540" s="225" t="n">
        <x:v>294267.85</x:v>
      </x:c>
      <x:c r="G540" s="225" t="n">
        <x:v>41610.84</x:v>
      </x:c>
      <x:c r="H540" s="225" t="n">
        <x:v>21046.63</x:v>
      </x:c>
      <x:c r="I540" s="225" t="n">
        <x:v>11485.08</x:v>
      </x:c>
      <x:c r="J540" s="225" t="n">
        <x:v>-4834.33</x:v>
      </x:c>
      <x:c r="K540" s="225" t="n">
        <x:v>1309.01</x:v>
      </x:c>
      <x:c r="L540" s="225" t="n">
        <x:v>0</x:v>
      </x:c>
      <x:c r="M540" s="225" t="n">
        <x:v>11507.27</x:v>
      </x:c>
      <x:c r="N540" s="225" t="n">
        <x:v>16698.03</x:v>
      </x:c>
      <x:c r="O540" s="225" t="n">
        <x:v>81733.92</x:v>
      </x:c>
      <x:c r="P540" s="225" t="n">
        <x:v>111568.03</x:v>
      </x:c>
      <x:c r="Q540" s="225" t="n">
        <x:v>2143.37</x:v>
      </x:c>
      <x:c r="R540" s="225" t="n">
        <x:v>0</x:v>
      </x:c>
      <x:c r="S540" s="225" t="n">
        <x:v>0</x:v>
      </x:c>
      <x:c r="T540" s="224" t="n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 t="n">
        <x:v>0</x:v>
      </x:c>
    </x:row>
    <x:row r="541" spans="2:26" ht="12.75" customHeight="1" x14ac:dyDescent="0.2">
      <x:c r="E541" s="89" t="s">
        <x:v>73</x:v>
      </x:c>
      <x:c r="F541" s="90" t="n">
        <x:v>3529314.36</x:v>
      </x:c>
      <x:c r="G541" s="90" t="n">
        <x:v>1791108.79</x:v>
      </x:c>
      <x:c r="H541" s="90" t="n">
        <x:v>1022958.89</x:v>
      </x:c>
      <x:c r="I541" s="90" t="n">
        <x:v>541364.61</x:v>
      </x:c>
      <x:c r="J541" s="90" t="n">
        <x:v>-1432168.43</x:v>
      </x:c>
      <x:c r="K541" s="90" t="n">
        <x:v>-35468.95</x:v>
      </x:c>
      <x:c r="L541" s="90" t="n">
        <x:v>0</x:v>
      </x:c>
      <x:c r="M541" s="90" t="n">
        <x:v>-314697.47</x:v>
      </x:c>
      <x:c r="N541" s="90" t="n">
        <x:v>-476294.61</x:v>
      </x:c>
      <x:c r="O541" s="90" t="n">
        <x:v>-2294667.21</x:v>
      </x:c>
      <x:c r="P541" s="90" t="n">
        <x:v>4785048.26</x:v>
      </x:c>
      <x:c r="Q541" s="90" t="n">
        <x:v>-57869.52</x:v>
      </x:c>
      <x:c r="R541" s="90" t="n">
        <x:v>0</x:v>
      </x:c>
      <x:c r="S541" s="90" t="n">
        <x:v>0</x:v>
      </x:c>
      <x:c r="T541" t="n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 t="n">
        <x:v>0</x:v>
      </x:c>
    </x:row>
    <x:row r="542" spans="2:26" ht="12.75" customHeight="1" x14ac:dyDescent="0.2">
      <x:c r="D542" s="89" t="s">
        <x:v>82</x:v>
      </x:c>
      <x:c r="E542" s="89" t="s">
        <x:v>70</x:v>
      </x:c>
      <x:c r="F542" s="90" t="n">
        <x:v>3529314.36</x:v>
      </x:c>
      <x:c r="G542" s="90" t="n">
        <x:v>1791108.79</x:v>
      </x:c>
      <x:c r="H542" s="90" t="n">
        <x:v>1022958.89</x:v>
      </x:c>
      <x:c r="I542" s="90" t="n">
        <x:v>541364.61</x:v>
      </x:c>
      <x:c r="J542" s="90" t="n">
        <x:v>-1432168.43</x:v>
      </x:c>
      <x:c r="K542" s="90" t="n">
        <x:v>-35468.95</x:v>
      </x:c>
      <x:c r="L542" s="90" t="n">
        <x:v>0</x:v>
      </x:c>
      <x:c r="M542" s="90" t="n">
        <x:v>-314697.47</x:v>
      </x:c>
      <x:c r="N542" s="90" t="n">
        <x:v>-476294.61</x:v>
      </x:c>
      <x:c r="O542" s="90" t="n">
        <x:v>-2294667.21</x:v>
      </x:c>
      <x:c r="P542" s="90" t="n">
        <x:v>4785048.26</x:v>
      </x:c>
      <x:c r="Q542" s="90" t="n">
        <x:v>-57869.52</x:v>
      </x:c>
      <x:c r="R542" s="90" t="n">
        <x:v>0</x:v>
      </x:c>
      <x:c r="S542" s="90" t="n">
        <x:v>0</x:v>
      </x:c>
      <x:c r="T542" t="n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 t="n">
        <x:v>0</x:v>
      </x:c>
    </x:row>
    <x:row r="543" spans="2:26" ht="12.75" customHeight="1" x14ac:dyDescent="0.2">
      <x:c r="E543" s="89" t="s">
        <x:v>73</x:v>
      </x:c>
      <x:c r="F543" s="90" t="n">
        <x:v>5555762.35</x:v>
      </x:c>
      <x:c r="G543" s="90" t="n">
        <x:v>1608362.89</x:v>
      </x:c>
      <x:c r="H543" s="90" t="n">
        <x:v>920093.85</x:v>
      </x:c>
      <x:c r="I543" s="90" t="n">
        <x:v>489714.31</x:v>
      </x:c>
      <x:c r="J543" s="90" t="n">
        <x:v>-644331.18</x:v>
      </x:c>
      <x:c r="K543" s="90" t="n">
        <x:v>-24655.96</x:v>
      </x:c>
      <x:c r="L543" s="90" t="n">
        <x:v>0</x:v>
      </x:c>
      <x:c r="M543" s="90" t="n">
        <x:v>-216215.06</x:v>
      </x:c>
      <x:c r="N543" s="90" t="n">
        <x:v>-183607.56</x:v>
      </x:c>
      <x:c r="O543" s="90" t="n">
        <x:v>-612812.9</x:v>
      </x:c>
      <x:c r="P543" s="90" t="n">
        <x:v>4259381.79</x:v>
      </x:c>
      <x:c r="Q543" s="90" t="n">
        <x:v>-40167.83</x:v>
      </x:c>
      <x:c r="R543" s="90" t="n">
        <x:v>0</x:v>
      </x:c>
      <x:c r="S543" s="90" t="n">
        <x:v>0</x:v>
      </x:c>
      <x:c r="T543" t="n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 t="n">
        <x:v>0</x:v>
      </x:c>
    </x:row>
    <x:row r="544" spans="2:26" ht="12.75" customHeight="1" x14ac:dyDescent="0.2">
      <x:c r="D544" s="89" t="s">
        <x:v>86</x:v>
      </x:c>
      <x:c r="E544" s="89" t="s">
        <x:v>70</x:v>
      </x:c>
      <x:c r="F544" s="90" t="n">
        <x:v>5555762.35</x:v>
      </x:c>
      <x:c r="G544" s="90" t="n">
        <x:v>1608362.89</x:v>
      </x:c>
      <x:c r="H544" s="90" t="n">
        <x:v>920093.85</x:v>
      </x:c>
      <x:c r="I544" s="90" t="n">
        <x:v>489714.31</x:v>
      </x:c>
      <x:c r="J544" s="90" t="n">
        <x:v>-644331.18</x:v>
      </x:c>
      <x:c r="K544" s="90" t="n">
        <x:v>-24655.96</x:v>
      </x:c>
      <x:c r="L544" s="90" t="n">
        <x:v>0</x:v>
      </x:c>
      <x:c r="M544" s="90" t="n">
        <x:v>-216215.06</x:v>
      </x:c>
      <x:c r="N544" s="90" t="n">
        <x:v>-183607.56</x:v>
      </x:c>
      <x:c r="O544" s="90" t="n">
        <x:v>-612812.9</x:v>
      </x:c>
      <x:c r="P544" s="90" t="n">
        <x:v>4259381.79</x:v>
      </x:c>
      <x:c r="Q544" s="90" t="n">
        <x:v>-40167.83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ht="12.75" customHeight="1" x14ac:dyDescent="0.2">
      <x:c r="E545" s="89" t="s">
        <x:v>73</x:v>
      </x:c>
      <x:c r="F545" s="90" t="n">
        <x:v>92816863.27</x:v>
      </x:c>
      <x:c r="G545" s="90" t="n">
        <x:v>19214046.53</x:v>
      </x:c>
      <x:c r="H545" s="90" t="n">
        <x:v>10879874.35</x:v>
      </x:c>
      <x:c r="I545" s="90" t="n">
        <x:v>5768324.89</x:v>
      </x:c>
      <x:c r="J545" s="90" t="n">
        <x:v>1735938.17</x:v>
      </x:c>
      <x:c r="K545" s="90" t="n">
        <x:v>43100.4</x:v>
      </x:c>
      <x:c r="L545" s="90" t="n">
        <x:v>0</x:v>
      </x:c>
      <x:c r="M545" s="90" t="n">
        <x:v>377107.8</x:v>
      </x:c>
      <x:c r="N545" s="90" t="n">
        <x:v>532255.15</x:v>
      </x:c>
      <x:c r="O545" s="90" t="n">
        <x:v>2745336.55</x:v>
      </x:c>
      <x:c r="P545" s="90" t="n">
        <x:v>51449770.57</x:v>
      </x:c>
      <x:c r="Q545" s="90" t="n">
        <x:v>71108.86</x:v>
      </x:c>
      <x:c r="R545" s="90" t="n">
        <x:v>0</x:v>
      </x:c>
      <x:c r="S545" s="90" t="n">
        <x:v>0</x:v>
      </x:c>
      <x:c r="T545" t="n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 t="n">
        <x:v>0</x:v>
      </x:c>
    </x:row>
    <x:row r="546" spans="1:26" ht="12.75" customHeight="1" x14ac:dyDescent="0.2">
      <x:c r="D546" s="89" t="s">
        <x:v>87</x:v>
      </x:c>
      <x:c r="E546" s="89" t="s">
        <x:v>70</x:v>
      </x:c>
      <x:c r="F546" s="90" t="n">
        <x:v>92816863.27</x:v>
      </x:c>
      <x:c r="G546" s="90" t="n">
        <x:v>19214046.53</x:v>
      </x:c>
      <x:c r="H546" s="90" t="n">
        <x:v>10879874.35</x:v>
      </x:c>
      <x:c r="I546" s="90" t="n">
        <x:v>5768324.89</x:v>
      </x:c>
      <x:c r="J546" s="90" t="n">
        <x:v>1735938.17</x:v>
      </x:c>
      <x:c r="K546" s="90" t="n">
        <x:v>43100.4</x:v>
      </x:c>
      <x:c r="L546" s="90" t="n">
        <x:v>0</x:v>
      </x:c>
      <x:c r="M546" s="90" t="n">
        <x:v>377107.8</x:v>
      </x:c>
      <x:c r="N546" s="90" t="n">
        <x:v>532255.15</x:v>
      </x:c>
      <x:c r="O546" s="90" t="n">
        <x:v>2745336.55</x:v>
      </x:c>
      <x:c r="P546" s="90" t="n">
        <x:v>51449770.57</x:v>
      </x:c>
      <x:c r="Q546" s="90" t="n">
        <x:v>71108.86</x:v>
      </x:c>
      <x:c r="R546" s="90" t="n">
        <x:v>0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s="94" customFormat="1" ht="12.75" customHeight="1" x14ac:dyDescent="0.2">
      <x:c r="C547" s="101" t="s">
        <x:v>119</x:v>
      </x:c>
      <x:c r="D547" s="101" t="s">
        <x:v>70</x:v>
      </x:c>
      <x:c r="F547" s="93" t="n">
        <x:v>101901939.98</x:v>
      </x:c>
      <x:c r="G547" s="93" t="n">
        <x:v>22613518.21</x:v>
      </x:c>
      <x:c r="H547" s="93" t="n">
        <x:v>12822927.09</x:v>
      </x:c>
      <x:c r="I547" s="93" t="n">
        <x:v>6799403.81</x:v>
      </x:c>
      <x:c r="J547" s="93" t="n">
        <x:v>-340561.44</x:v>
      </x:c>
      <x:c r="K547" s="93" t="n">
        <x:v>-17024.51</x:v>
      </x:c>
      <x:c r="L547" s="93" t="n">
        <x:v>0</x:v>
      </x:c>
      <x:c r="M547" s="93" t="n">
        <x:v>-153804.73</x:v>
      </x:c>
      <x:c r="N547" s="93" t="n">
        <x:v>-127647.02</x:v>
      </x:c>
      <x:c r="O547" s="93" t="n">
        <x:v>-162143.56</x:v>
      </x:c>
      <x:c r="P547" s="93" t="n">
        <x:v>60494200.62</x:v>
      </x:c>
      <x:c r="Q547" s="93" t="n">
        <x:v>-26928.49</x:v>
      </x:c>
      <x:c r="R547" s="93" t="n">
        <x:v>0</x:v>
      </x:c>
      <x:c r="S547" s="93" t="n">
        <x:v>0</x:v>
      </x:c>
      <x:c r="T547" s="94" t="n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 t="n">
        <x:v>0</x:v>
      </x:c>
    </x:row>
    <x:row r="548" spans="1:26" s="226" customFormat="1" ht="12.75" customHeight="1" x14ac:dyDescent="0.2">
      <x:c r="B548" s="98" t="s">
        <x:v>112</x:v>
      </x:c>
      <x:c r="C548" s="98" t="s">
        <x:v>70</x:v>
      </x:c>
      <x:c r="F548" s="100" t="n">
        <x:v>-755542696.11</x:v>
      </x:c>
      <x:c r="G548" s="100" t="n">
        <x:v>27060360.91</x:v>
      </x:c>
      <x:c r="H548" s="100" t="n">
        <x:v>15086865.74</x:v>
      </x:c>
      <x:c r="I548" s="100" t="n">
        <x:v>7988787.71</x:v>
      </x:c>
      <x:c r="J548" s="100" t="n">
        <x:v>-272784346.9</x:v>
      </x:c>
      <x:c r="K548" s="100" t="n">
        <x:v>-9495523.96</x:v>
      </x:c>
      <x:c r="L548" s="100" t="n">
        <x:v>0</x:v>
      </x:c>
      <x:c r="M548" s="100" t="n">
        <x:v>-83312160.73</x:v>
      </x:c>
      <x:c r="N548" s="100" t="n">
        <x:v>-80284807.31</x:v>
      </x:c>
      <x:c r="O548" s="100" t="n">
        <x:v>-416081562.99</x:v>
      </x:c>
      <x:c r="P548" s="100" t="n">
        <x:v>71769108.26</x:v>
      </x:c>
      <x:c r="Q548" s="100" t="n">
        <x:v>-15489416.84</x:v>
      </x:c>
      <x:c r="R548" s="100" t="n">
        <x:v>0</x:v>
      </x:c>
      <x:c r="S548" s="100" t="n">
        <x:v>0</x:v>
      </x:c>
      <x:c r="T548" s="226" t="n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 t="n">
        <x:v>0</x:v>
      </x:c>
    </x:row>
    <x:row r="549" spans="1:26" ht="12.75" customHeight="1" x14ac:dyDescent="0.2">
      <x:c r="A549" s="89" t="s">
        <x:v>79</x:v>
      </x:c>
      <x:c r="B549" s="89" t="s">
        <x:v>70</x:v>
      </x:c>
      <x:c r="F549" s="90" t="n">
        <x:v>-755666536.93</x:v>
      </x:c>
      <x:c r="G549" s="90" t="n">
        <x:v>27079828.28</x:v>
      </x:c>
      <x:c r="H549" s="90" t="n">
        <x:v>15097916.4</x:v>
      </x:c>
      <x:c r="I549" s="90" t="n">
        <x:v>7994805.18</x:v>
      </x:c>
      <x:c r="J549" s="90" t="n">
        <x:v>-272846950.74</x:v>
      </x:c>
      <x:c r="K549" s="90" t="n">
        <x:v>-9497699.17</x:v>
      </x:c>
      <x:c r="L549" s="90" t="n">
        <x:v>0</x:v>
      </x:c>
      <x:c r="M549" s="90" t="n">
        <x:v>-83331242.46</x:v>
      </x:c>
      <x:c r="N549" s="90" t="n">
        <x:v>-80305358.17</x:v>
      </x:c>
      <x:c r="O549" s="90" t="n">
        <x:v>-416187623.45</x:v>
      </x:c>
      <x:c r="P549" s="90" t="n">
        <x:v>71822753.21</x:v>
      </x:c>
      <x:c r="Q549" s="90" t="n">
        <x:v>-15492966.01</x:v>
      </x:c>
      <x:c r="R549" s="90" t="n">
        <x:v>0</x:v>
      </x:c>
      <x:c r="S549" s="90" t="n">
        <x:v>0</x:v>
      </x:c>
      <x:c r="T549" t="n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 t="n">
        <x:v>0</x:v>
      </x:c>
    </x:row>
    <x:row r="550" spans="1:26" ht="12.75" customHeight="1" x14ac:dyDescent="0.2">
      <x:c r="A550" s="89" t="s">
        <x:v>70</x:v>
      </x:c>
      <x:c r="F550" s="90" t="n">
        <x:v>8287536669.54</x:v>
      </x:c>
      <x:c r="G550" s="90" t="n">
        <x:v>538628558.26</x:v>
      </x:c>
      <x:c r="H550" s="90" t="n">
        <x:v>301946197.77</x:v>
      </x:c>
      <x:c r="I550" s="90" t="n">
        <x:v>159233014.78</x:v>
      </x:c>
      <x:c r="J550" s="90" t="n">
        <x:v>1817605127.62</x:v>
      </x:c>
      <x:c r="K550" s="90" t="n">
        <x:v>62918739.6</x:v>
      </x:c>
      <x:c r="L550" s="90" t="n">
        <x:v>11217476.99</x:v>
      </x:c>
      <x:c r="M550" s="90" t="n">
        <x:v>551297991.85</x:v>
      </x:c>
      <x:c r="N550" s="90" t="n">
        <x:v>547971274.88</x:v>
      </x:c>
      <x:c r="O550" s="90" t="n">
        <x:v>2766698963.36</x:v>
      </x:c>
      <x:c r="P550" s="90" t="n">
        <x:v>1427343014.55</x:v>
      </x:c>
      <x:c r="Q550" s="90" t="n">
        <x:v>102688459.32</x:v>
      </x:c>
      <x:c r="R550" s="90" t="n">
        <x:v>-12113.87</x:v>
      </x:c>
      <x:c r="S550" s="90" t="n">
        <x:v>-7.75</x:v>
      </x:c>
      <x:c r="T550" t="n">
        <x:v>151.03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 t="n">
        <x:v>-178.85</x:v>
      </x:c>
    </x:row>
    <x:row r="551" spans="1:26" ht="12.75" customHeight="1" x14ac:dyDescent="0.2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2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2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2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2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2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2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2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2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2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2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2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2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2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2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2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2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2">
      <x:c r="C568" s="778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2">
      <x:c r="C569" s="778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2">
      <x:c r="C570" s="778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2">
      <x:c r="C571" s="778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2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2">
      <x:c r="C573" s="778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2">
      <x:c r="C574" s="778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2">
      <x:c r="C575" s="778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2">
      <x:c r="C576" s="778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2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2">
      <x:c r="C578" s="778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2">
      <x:c r="C579" s="778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2">
      <x:c r="C580" s="778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2">
      <x:c r="C581" s="778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2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2">
      <x:c r="C583" s="776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2">
      <x:c r="C584" s="776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2">
      <x:c r="C585" s="776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2">
      <x:c r="C586" s="776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2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2">
      <x:c r="C588" s="778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2">
      <x:c r="C589" s="778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2">
      <x:c r="C590" s="778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2">
      <x:c r="C591" s="778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2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2">
      <x:c r="C593" s="777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2">
      <x:c r="C594" s="777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2">
      <x:c r="C595" s="777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2">
      <x:c r="C596" s="777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2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2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2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2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" customHeight="1" x14ac:dyDescent="0.2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2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2">
      <x:c r="E603" t="s">
        <x:v>72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>
        <x:v>0</x:v>
      </x:c>
    </x:row>
    <x:row r="604" spans="1:41" x14ac:dyDescent="0.2">
      <x:c r="D604" t="s">
        <x:v>156</x:v>
      </x:c>
      <x:c r="E604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2">
      <x:c r="C605" s="286" t="s">
        <x:v>155</x:v>
      </x:c>
      <x:c r="D605" s="286" t="s">
        <x:v>70</x:v>
      </x:c>
      <x:c r="F605" s="230">
        <x:v>0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>
        <x:v>0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2">
      <x:c r="E606" s="89" t="s">
        <x:v>72</x:v>
      </x:c>
      <x:c r="F606" s="371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>
        <x:v>0</x:v>
      </x:c>
    </x:row>
    <x:row r="607" spans="1:41" ht="12.75" customHeight="1" x14ac:dyDescent="0.2">
      <x:c r="D607" t="s">
        <x:v>82</x:v>
      </x:c>
      <x:c r="E607" s="89" t="s">
        <x:v>70</x:v>
      </x:c>
      <x:c r="F607" s="371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>
        <x:v>0</x:v>
      </x:c>
    </x:row>
    <x:row r="608" spans="1:41" ht="12.75" customHeight="1" x14ac:dyDescent="0.2">
      <x:c r="E608" s="89" t="s">
        <x:v>72</x:v>
      </x:c>
      <x:c r="F608" s="371" t="n">
        <x:v>-4485.01</x:v>
      </x:c>
      <x:c r="G608" s="90" t="n">
        <x:v>-355.56</x:v>
      </x:c>
      <x:c r="H608" s="90" t="n">
        <x:v>-151.05</x:v>
      </x:c>
      <x:c r="I608" s="90" t="n">
        <x:v>-65.98</x:v>
      </x:c>
      <x:c r="J608" s="90" t="n">
        <x:v>-769.61</x:v>
      </x:c>
      <x:c r="K608" s="90" t="n">
        <x:v>-47.44</x:v>
      </x:c>
      <x:c r="L608" s="90" t="n">
        <x:v>0</x:v>
      </x:c>
      <x:c r="M608" s="90" t="n">
        <x:v>-415.95</x:v>
      </x:c>
      <x:c r="N608" s="90" t="n">
        <x:v>-348.63</x:v>
      </x:c>
      <x:c r="O608" s="90" t="n">
        <x:v>-1274.28</x:v>
      </x:c>
      <x:c r="P608" s="90" t="n">
        <x:v>-979.14</x:v>
      </x:c>
      <x:c r="Q608" s="90" t="n">
        <x:v>-77.37</x:v>
      </x:c>
      <x:c r="R608" s="90" t="n">
        <x:v>0</x:v>
      </x:c>
      <x:c r="S608" s="90" t="n">
        <x:v>0</x:v>
      </x:c>
      <x:c r="T608" s="90" t="n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 t="n">
        <x:v>0</x:v>
      </x:c>
    </x:row>
    <x:row r="609" spans="1:26" ht="12.75" customHeight="1" x14ac:dyDescent="0.2">
      <x:c r="D609" t="s">
        <x:v>86</x:v>
      </x:c>
      <x:c r="E609" s="89" t="s">
        <x:v>70</x:v>
      </x:c>
      <x:c r="F609" s="371" t="n">
        <x:v>-4485.01</x:v>
      </x:c>
      <x:c r="G609" s="90" t="n">
        <x:v>-355.56</x:v>
      </x:c>
      <x:c r="H609" s="90" t="n">
        <x:v>-151.05</x:v>
      </x:c>
      <x:c r="I609" s="90" t="n">
        <x:v>-65.98</x:v>
      </x:c>
      <x:c r="J609" s="90" t="n">
        <x:v>-769.61</x:v>
      </x:c>
      <x:c r="K609" s="90" t="n">
        <x:v>-47.44</x:v>
      </x:c>
      <x:c r="L609" s="90" t="n">
        <x:v>0</x:v>
      </x:c>
      <x:c r="M609" s="90" t="n">
        <x:v>-415.95</x:v>
      </x:c>
      <x:c r="N609" s="90" t="n">
        <x:v>-348.63</x:v>
      </x:c>
      <x:c r="O609" s="90" t="n">
        <x:v>-1274.28</x:v>
      </x:c>
      <x:c r="P609" s="90" t="n">
        <x:v>-979.14</x:v>
      </x:c>
      <x:c r="Q609" s="90" t="n">
        <x:v>-77.37</x:v>
      </x:c>
      <x:c r="R609" s="90" t="n">
        <x:v>0</x:v>
      </x:c>
      <x:c r="S609" s="90" t="n">
        <x:v>0</x:v>
      </x:c>
      <x:c r="T609" s="90" t="n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 t="n">
        <x:v>0</x:v>
      </x:c>
    </x:row>
    <x:row r="610" spans="1:26" ht="12.75" customHeight="1" x14ac:dyDescent="0.2">
      <x:c r="E610" s="89" t="s">
        <x:v>72</x:v>
      </x:c>
      <x:c r="F610" s="371">
        <x:v>0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>
        <x:v>0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2">
      <x:c r="D611" t="s">
        <x:v>87</x:v>
      </x:c>
      <x:c r="E611" s="89" t="s">
        <x:v>70</x:v>
      </x:c>
      <x:c r="F611" s="371">
        <x:v>0</x:v>
      </x:c>
      <x:c r="G611" s="90">
        <x:v>0</x:v>
      </x:c>
      <x:c r="H611" s="90">
        <x:v>0</x:v>
      </x:c>
      <x:c r="I611" s="90">
        <x:v>0</x:v>
      </x:c>
      <x:c r="J611" s="90">
        <x:v>0</x:v>
      </x:c>
      <x:c r="K611" s="90">
        <x:v>0</x:v>
      </x:c>
      <x:c r="L611" s="90">
        <x:v>0</x:v>
      </x:c>
      <x:c r="M611" s="90">
        <x:v>0</x:v>
      </x:c>
      <x:c r="N611" s="90">
        <x:v>0</x:v>
      </x:c>
      <x:c r="O611" s="90">
        <x:v>0</x:v>
      </x:c>
      <x:c r="P611" s="90">
        <x:v>0</x:v>
      </x:c>
      <x:c r="Q611" s="90">
        <x:v>0</x:v>
      </x:c>
      <x:c r="R611" s="90">
        <x:v>0</x:v>
      </x:c>
      <x:c r="S611" s="90">
        <x:v>0</x:v>
      </x:c>
      <x:c r="T611" s="90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>
        <x:v>0</x:v>
      </x:c>
    </x:row>
    <x:row r="612" spans="1:26" s="94" customFormat="1" ht="12.75" customHeight="1" x14ac:dyDescent="0.2">
      <x:c r="C612" s="101" t="s">
        <x:v>119</x:v>
      </x:c>
      <x:c r="D612" s="101" t="s">
        <x:v>70</x:v>
      </x:c>
      <x:c r="F612" s="93" t="n">
        <x:v>-4485.01</x:v>
      </x:c>
      <x:c r="G612" s="93" t="n">
        <x:v>-355.56</x:v>
      </x:c>
      <x:c r="H612" s="93" t="n">
        <x:v>-151.05</x:v>
      </x:c>
      <x:c r="I612" s="93" t="n">
        <x:v>-65.98</x:v>
      </x:c>
      <x:c r="J612" s="93" t="n">
        <x:v>-769.61</x:v>
      </x:c>
      <x:c r="K612" s="93" t="n">
        <x:v>-47.44</x:v>
      </x:c>
      <x:c r="L612" s="93" t="n">
        <x:v>0</x:v>
      </x:c>
      <x:c r="M612" s="93" t="n">
        <x:v>-415.95</x:v>
      </x:c>
      <x:c r="N612" s="93" t="n">
        <x:v>-348.63</x:v>
      </x:c>
      <x:c r="O612" s="93" t="n">
        <x:v>-1274.28</x:v>
      </x:c>
      <x:c r="P612" s="93" t="n">
        <x:v>-979.14</x:v>
      </x:c>
      <x:c r="Q612" s="93" t="n">
        <x:v>-77.37</x:v>
      </x:c>
      <x:c r="R612" s="93" t="n">
        <x:v>0</x:v>
      </x:c>
      <x:c r="S612" s="93" t="n">
        <x:v>0</x:v>
      </x:c>
      <x:c r="T612" s="93" t="n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 t="n">
        <x:v>0</x:v>
      </x:c>
    </x:row>
    <x:row r="613" spans="1:26" ht="12.75" customHeight="1" x14ac:dyDescent="0.2">
      <x:c r="B613" t="s">
        <x:v>112</x:v>
      </x:c>
      <x:c r="C613" t="s">
        <x:v>70</x:v>
      </x:c>
      <x:c r="E613" s="89"/>
      <x:c r="F613" s="371" t="n">
        <x:v>-4485.01</x:v>
      </x:c>
      <x:c r="G613" s="90" t="n">
        <x:v>-355.56</x:v>
      </x:c>
      <x:c r="H613" s="90" t="n">
        <x:v>-151.05</x:v>
      </x:c>
      <x:c r="I613" s="90" t="n">
        <x:v>-65.98</x:v>
      </x:c>
      <x:c r="J613" s="90" t="n">
        <x:v>-769.61</x:v>
      </x:c>
      <x:c r="K613" s="90" t="n">
        <x:v>-47.44</x:v>
      </x:c>
      <x:c r="L613" s="90" t="n">
        <x:v>0</x:v>
      </x:c>
      <x:c r="M613" s="90" t="n">
        <x:v>-415.95</x:v>
      </x:c>
      <x:c r="N613" s="90" t="n">
        <x:v>-348.63</x:v>
      </x:c>
      <x:c r="O613" s="90" t="n">
        <x:v>-1274.28</x:v>
      </x:c>
      <x:c r="P613" s="90" t="n">
        <x:v>-979.14</x:v>
      </x:c>
      <x:c r="Q613" s="90" t="n">
        <x:v>-77.37</x:v>
      </x:c>
      <x:c r="R613" s="90" t="n">
        <x:v>0</x:v>
      </x:c>
      <x:c r="S613" s="90" t="n">
        <x:v>0</x:v>
      </x:c>
      <x:c r="T613" s="90" t="n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 t="n">
        <x:v>0</x:v>
      </x:c>
    </x:row>
    <x:row r="614" spans="1:26" s="458" customFormat="1" ht="12.75" customHeight="1" x14ac:dyDescent="0.2">
      <x:c r="A614" s="458" t="s">
        <x:v>186</x:v>
      </x:c>
      <x:c r="B614" s="458" t="s">
        <x:v>70</x:v>
      </x:c>
      <x:c r="F614" s="458" t="n">
        <x:v>-4485.01</x:v>
      </x:c>
      <x:c r="G614" s="458" t="n">
        <x:v>-355.56</x:v>
      </x:c>
      <x:c r="H614" s="458" t="n">
        <x:v>-151.05</x:v>
      </x:c>
      <x:c r="I614" s="458" t="n">
        <x:v>-65.98</x:v>
      </x:c>
      <x:c r="J614" s="458" t="n">
        <x:v>-769.61</x:v>
      </x:c>
      <x:c r="K614" s="458" t="n">
        <x:v>-47.44</x:v>
      </x:c>
      <x:c r="L614" s="458" t="n">
        <x:v>0</x:v>
      </x:c>
      <x:c r="M614" s="458" t="n">
        <x:v>-415.95</x:v>
      </x:c>
      <x:c r="N614" s="458" t="n">
        <x:v>-348.63</x:v>
      </x:c>
      <x:c r="O614" s="458" t="n">
        <x:v>-1274.28</x:v>
      </x:c>
      <x:c r="P614" s="458" t="n">
        <x:v>-979.14</x:v>
      </x:c>
      <x:c r="Q614" s="458" t="n">
        <x:v>-77.37</x:v>
      </x:c>
      <x:c r="R614" s="458" t="n">
        <x:v>0</x:v>
      </x:c>
      <x:c r="S614" s="458" t="n">
        <x:v>0</x:v>
      </x:c>
      <x:c r="T614" s="458" t="n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 t="n">
        <x:v>0</x:v>
      </x:c>
    </x:row>
    <x:row r="615" spans="1:26" x14ac:dyDescent="0.2">
      <x:c r="E615" t="s">
        <x:v>72</x:v>
      </x:c>
      <x:c r="F615" s="90">
        <x:v>0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2">
      <x:c r="E616" t="s">
        <x:v>81</x:v>
      </x:c>
      <x:c r="F616" s="90">
        <x:v>0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2">
      <x:c r="D617" t="s">
        <x:v>156</x:v>
      </x:c>
      <x:c r="E617" t="s">
        <x:v>70</x:v>
      </x:c>
      <x:c r="F617" s="90">
        <x:v>0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2">
      <x:c r="C618" s="286" t="s">
        <x:v>155</x:v>
      </x:c>
      <x:c r="D618" s="286" t="s">
        <x:v>70</x:v>
      </x:c>
      <x:c r="F618" s="230">
        <x:v>0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2">
      <x:c r="E619" t="s">
        <x:v>72</x:v>
      </x:c>
      <x:c r="F619" s="90" t="n">
        <x:v>666981.74</x:v>
      </x:c>
      <x:c r="G619" s="90" t="n">
        <x:v>34824.03</x:v>
      </x:c>
      <x:c r="H619" s="90" t="n">
        <x:v>19524.64</x:v>
      </x:c>
      <x:c r="I619" s="90" t="n">
        <x:v>10319.91</x:v>
      </x:c>
      <x:c r="J619" s="90" t="n">
        <x:v>150714.18</x:v>
      </x:c>
      <x:c r="K619" s="90" t="n">
        <x:v>5437.4</x:v>
      </x:c>
      <x:c r="L619" s="90" t="n">
        <x:v>0</x:v>
      </x:c>
      <x:c r="M619" s="90" t="n">
        <x:v>47696.14</x:v>
      </x:c>
      <x:c r="N619" s="90" t="n">
        <x:v>46468.7</x:v>
      </x:c>
      <x:c r="O619" s="90" t="n">
        <x:v>238316.38</x:v>
      </x:c>
      <x:c r="P619" s="90" t="n">
        <x:v>104782.64</x:v>
      </x:c>
      <x:c r="Q619" s="90" t="n">
        <x:v>8871.52</x:v>
      </x:c>
      <x:c r="R619" s="90" t="n">
        <x:v>26.2</x:v>
      </x:c>
      <x:c r="S619" s="90" t="n">
        <x:v>0</x:v>
      </x:c>
      <x:c r="T619" s="90" t="n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 t="n">
        <x:v>0</x:v>
      </x:c>
    </x:row>
    <x:row r="620" spans="1:26" x14ac:dyDescent="0.2">
      <x:c r="E620" t="s">
        <x:v>81</x:v>
      </x:c>
      <x:c r="F620" s="90" t="n">
        <x:v>173.2</x:v>
      </x:c>
      <x:c r="G620" s="90" t="n">
        <x:v>10.63</x:v>
      </x:c>
      <x:c r="H620" s="90" t="n">
        <x:v>5.25</x:v>
      </x:c>
      <x:c r="I620" s="90" t="n">
        <x:v>3.13</x:v>
      </x:c>
      <x:c r="J620" s="90" t="n">
        <x:v>24.19</x:v>
      </x:c>
      <x:c r="K620" s="90" t="n">
        <x:v>0.77</x:v>
      </x:c>
      <x:c r="L620" s="90" t="n">
        <x:v>0</x:v>
      </x:c>
      <x:c r="M620" s="90" t="n">
        <x:v>12.55</x:v>
      </x:c>
      <x:c r="N620" s="90" t="n">
        <x:v>13.44</x:v>
      </x:c>
      <x:c r="O620" s="90" t="n">
        <x:v>69.21</x:v>
      </x:c>
      <x:c r="P620" s="90" t="n">
        <x:v>31.69</x:v>
      </x:c>
      <x:c r="Q620" s="90" t="n">
        <x:v>2.34</x:v>
      </x:c>
      <x:c r="R620" s="90" t="n">
        <x:v>0</x:v>
      </x:c>
      <x:c r="S620" s="90" t="n">
        <x:v>0</x:v>
      </x:c>
      <x:c r="T620" s="90" t="n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 t="n">
        <x:v>0</x:v>
      </x:c>
    </x:row>
    <x:row r="621" spans="1:26" x14ac:dyDescent="0.2">
      <x:c r="D621" t="s">
        <x:v>82</x:v>
      </x:c>
      <x:c r="E621" t="s">
        <x:v>70</x:v>
      </x:c>
      <x:c r="F621" s="90" t="n">
        <x:v>667154.94</x:v>
      </x:c>
      <x:c r="G621" s="90" t="n">
        <x:v>34834.66</x:v>
      </x:c>
      <x:c r="H621" s="90" t="n">
        <x:v>19529.89</x:v>
      </x:c>
      <x:c r="I621" s="90" t="n">
        <x:v>10323.04</x:v>
      </x:c>
      <x:c r="J621" s="90" t="n">
        <x:v>150738.37</x:v>
      </x:c>
      <x:c r="K621" s="90" t="n">
        <x:v>5438.17</x:v>
      </x:c>
      <x:c r="L621" s="90" t="n">
        <x:v>0</x:v>
      </x:c>
      <x:c r="M621" s="90" t="n">
        <x:v>47708.69</x:v>
      </x:c>
      <x:c r="N621" s="90" t="n">
        <x:v>46482.14</x:v>
      </x:c>
      <x:c r="O621" s="90" t="n">
        <x:v>238385.59</x:v>
      </x:c>
      <x:c r="P621" s="90" t="n">
        <x:v>104814.33</x:v>
      </x:c>
      <x:c r="Q621" s="90" t="n">
        <x:v>8873.86</x:v>
      </x:c>
      <x:c r="R621" s="90" t="n">
        <x:v>26.2</x:v>
      </x:c>
      <x:c r="S621" s="90" t="n">
        <x:v>0</x:v>
      </x:c>
      <x:c r="T621" s="90" t="n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 t="n">
        <x:v>0</x:v>
      </x:c>
    </x:row>
    <x:row r="622" spans="1:26" x14ac:dyDescent="0.2">
      <x:c r="E622" t="s">
        <x:v>72</x:v>
      </x:c>
      <x:c r="F622" s="90" t="n">
        <x:v>138628.06</x:v>
      </x:c>
      <x:c r="G622" s="90" t="n">
        <x:v>7328.08</x:v>
      </x:c>
      <x:c r="H622" s="90" t="n">
        <x:v>4105.92</x:v>
      </x:c>
      <x:c r="I622" s="90" t="n">
        <x:v>2171.64</x:v>
      </x:c>
      <x:c r="J622" s="90" t="n">
        <x:v>31211.82</x:v>
      </x:c>
      <x:c r="K622" s="90" t="n">
        <x:v>1125.9</x:v>
      </x:c>
      <x:c r="L622" s="90" t="n">
        <x:v>0</x:v>
      </x:c>
      <x:c r="M622" s="90" t="n">
        <x:v>9876.24</x:v>
      </x:c>
      <x:c r="N622" s="90" t="n">
        <x:v>9626.13</x:v>
      </x:c>
      <x:c r="O622" s="90" t="n">
        <x:v>49317.06</x:v>
      </x:c>
      <x:c r="P622" s="90" t="n">
        <x:v>22027.54</x:v>
      </x:c>
      <x:c r="Q622" s="90" t="n">
        <x:v>1836.99</x:v>
      </x:c>
      <x:c r="R622" s="90" t="n">
        <x:v>0.74</x:v>
      </x:c>
      <x:c r="S622" s="90" t="n">
        <x:v>0</x:v>
      </x:c>
      <x:c r="T622" s="90" t="n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 t="n">
        <x:v>0</x:v>
      </x:c>
    </x:row>
    <x:row r="623" spans="1:26" x14ac:dyDescent="0.2">
      <x:c r="E623" t="s">
        <x:v>81</x:v>
      </x:c>
      <x:c r="F623" s="90" t="n">
        <x:v>24.87</x:v>
      </x:c>
      <x:c r="G623" s="90" t="n">
        <x:v>1.4</x:v>
      </x:c>
      <x:c r="H623" s="90" t="n">
        <x:v>0.79</x:v>
      </x:c>
      <x:c r="I623" s="90" t="n">
        <x:v>0.41</x:v>
      </x:c>
      <x:c r="J623" s="90" t="n">
        <x:v>5.32</x:v>
      </x:c>
      <x:c r="K623" s="90" t="n">
        <x:v>0.2</x:v>
      </x:c>
      <x:c r="L623" s="90" t="n">
        <x:v>0</x:v>
      </x:c>
      <x:c r="M623" s="90" t="n">
        <x:v>1.76</x:v>
      </x:c>
      <x:c r="N623" s="90" t="n">
        <x:v>1.72</x:v>
      </x:c>
      <x:c r="O623" s="90" t="n">
        <x:v>8.83</x:v>
      </x:c>
      <x:c r="P623" s="90" t="n">
        <x:v>4.11</x:v>
      </x:c>
      <x:c r="Q623" s="90" t="n">
        <x:v>0.33</x:v>
      </x:c>
      <x:c r="R623" s="90" t="n">
        <x:v>0</x:v>
      </x:c>
      <x:c r="S623" s="90" t="n">
        <x:v>0</x:v>
      </x:c>
      <x:c r="T623" s="90" t="n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 t="n">
        <x:v>0</x:v>
      </x:c>
    </x:row>
    <x:row r="624" spans="1:26" x14ac:dyDescent="0.2">
      <x:c r="D624" t="s">
        <x:v>86</x:v>
      </x:c>
      <x:c r="E624" t="s">
        <x:v>70</x:v>
      </x:c>
      <x:c r="F624" s="90" t="n">
        <x:v>138652.93</x:v>
      </x:c>
      <x:c r="G624" s="90" t="n">
        <x:v>7329.48</x:v>
      </x:c>
      <x:c r="H624" s="90" t="n">
        <x:v>4106.71</x:v>
      </x:c>
      <x:c r="I624" s="90" t="n">
        <x:v>2172.05</x:v>
      </x:c>
      <x:c r="J624" s="90" t="n">
        <x:v>31217.14</x:v>
      </x:c>
      <x:c r="K624" s="90" t="n">
        <x:v>1126.1</x:v>
      </x:c>
      <x:c r="L624" s="90" t="n">
        <x:v>0</x:v>
      </x:c>
      <x:c r="M624" s="90" t="n">
        <x:v>9878</x:v>
      </x:c>
      <x:c r="N624" s="90" t="n">
        <x:v>9627.85</x:v>
      </x:c>
      <x:c r="O624" s="90" t="n">
        <x:v>49325.89</x:v>
      </x:c>
      <x:c r="P624" s="90" t="n">
        <x:v>22031.65</x:v>
      </x:c>
      <x:c r="Q624" s="90" t="n">
        <x:v>1837.32</x:v>
      </x:c>
      <x:c r="R624" s="90" t="n">
        <x:v>0.74</x:v>
      </x:c>
      <x:c r="S624" s="90" t="n">
        <x:v>0</x:v>
      </x:c>
      <x:c r="T624" s="90" t="n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 t="n">
        <x:v>0</x:v>
      </x:c>
    </x:row>
    <x:row r="625" spans="1:26" ht="12.75" customHeight="1" x14ac:dyDescent="0.2">
      <x:c r="E625" s="89" t="s">
        <x:v>72</x:v>
      </x:c>
      <x:c r="F625" s="371" t="n">
        <x:v>859724.64</x:v>
      </x:c>
      <x:c r="G625" s="90" t="n">
        <x:v>47230.86</x:v>
      </x:c>
      <x:c r="H625" s="90" t="n">
        <x:v>26534.93</x:v>
      </x:c>
      <x:c r="I625" s="90" t="n">
        <x:v>13952.62</x:v>
      </x:c>
      <x:c r="J625" s="90" t="n">
        <x:v>189819.67</x:v>
      </x:c>
      <x:c r="K625" s="90" t="n">
        <x:v>6799.21</x:v>
      </x:c>
      <x:c r="L625" s="90" t="n">
        <x:v>0</x:v>
      </x:c>
      <x:c r="M625" s="90" t="n">
        <x:v>59641.8</x:v>
      </x:c>
      <x:c r="N625" s="90" t="n">
        <x:v>59100.35</x:v>
      </x:c>
      <x:c r="O625" s="90" t="n">
        <x:v>303870.79</x:v>
      </x:c>
      <x:c r="P625" s="90" t="n">
        <x:v>141650.81</x:v>
      </x:c>
      <x:c r="Q625" s="90" t="n">
        <x:v>11093.44</x:v>
      </x:c>
      <x:c r="R625" s="90" t="n">
        <x:v>30.16</x:v>
      </x:c>
      <x:c r="S625" s="90" t="n">
        <x:v>0</x:v>
      </x:c>
      <x:c r="T625" s="90" t="n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 t="n">
        <x:v>0</x:v>
      </x:c>
    </x:row>
    <x:row r="626" spans="1:26" x14ac:dyDescent="0.2">
      <x:c r="E626" t="s">
        <x:v>81</x:v>
      </x:c>
      <x:c r="F626" s="90" t="n">
        <x:v>974.03</x:v>
      </x:c>
      <x:c r="G626" s="90" t="n">
        <x:v>56.49</x:v>
      </x:c>
      <x:c r="H626" s="90" t="n">
        <x:v>31.83</x:v>
      </x:c>
      <x:c r="I626" s="90" t="n">
        <x:v>16.49</x:v>
      </x:c>
      <x:c r="J626" s="90" t="n">
        <x:v>206.55</x:v>
      </x:c>
      <x:c r="K626" s="90" t="n">
        <x:v>7.3</x:v>
      </x:c>
      <x:c r="L626" s="90" t="n">
        <x:v>0</x:v>
      </x:c>
      <x:c r="M626" s="90" t="n">
        <x:v>63.81</x:v>
      </x:c>
      <x:c r="N626" s="90" t="n">
        <x:v>67.2</x:v>
      </x:c>
      <x:c r="O626" s="90" t="n">
        <x:v>346.33</x:v>
      </x:c>
      <x:c r="P626" s="90" t="n">
        <x:v>166.25</x:v>
      </x:c>
      <x:c r="Q626" s="90" t="n">
        <x:v>11.86</x:v>
      </x:c>
      <x:c r="R626" s="90" t="n">
        <x:v>-0.08</x:v>
      </x:c>
      <x:c r="S626" s="90" t="n">
        <x:v>0</x:v>
      </x:c>
      <x:c r="T626" s="90" t="n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 t="n">
        <x:v>0</x:v>
      </x:c>
    </x:row>
    <x:row r="627" spans="1:26" ht="12.75" customHeight="1" x14ac:dyDescent="0.2">
      <x:c r="D627" t="s">
        <x:v>87</x:v>
      </x:c>
      <x:c r="E627" s="89" t="s">
        <x:v>70</x:v>
      </x:c>
      <x:c r="F627" s="371" t="n">
        <x:v>860698.67</x:v>
      </x:c>
      <x:c r="G627" s="90" t="n">
        <x:v>47287.35</x:v>
      </x:c>
      <x:c r="H627" s="90" t="n">
        <x:v>26566.76</x:v>
      </x:c>
      <x:c r="I627" s="90" t="n">
        <x:v>13969.11</x:v>
      </x:c>
      <x:c r="J627" s="90" t="n">
        <x:v>190026.22</x:v>
      </x:c>
      <x:c r="K627" s="90" t="n">
        <x:v>6806.51</x:v>
      </x:c>
      <x:c r="L627" s="90" t="n">
        <x:v>0</x:v>
      </x:c>
      <x:c r="M627" s="90" t="n">
        <x:v>59705.61</x:v>
      </x:c>
      <x:c r="N627" s="90" t="n">
        <x:v>59167.55</x:v>
      </x:c>
      <x:c r="O627" s="90" t="n">
        <x:v>304217.12</x:v>
      </x:c>
      <x:c r="P627" s="90" t="n">
        <x:v>141817.06</x:v>
      </x:c>
      <x:c r="Q627" s="90" t="n">
        <x:v>11105.3</x:v>
      </x:c>
      <x:c r="R627" s="90" t="n">
        <x:v>30.08</x:v>
      </x:c>
      <x:c r="S627" s="90" t="n">
        <x:v>0</x:v>
      </x:c>
      <x:c r="T627" s="90" t="n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 t="n">
        <x:v>0</x:v>
      </x:c>
    </x:row>
    <x:row r="628" spans="1:26" s="94" customFormat="1" ht="12.75" customHeight="1" x14ac:dyDescent="0.2">
      <x:c r="C628" s="101" t="s">
        <x:v>119</x:v>
      </x:c>
      <x:c r="D628" s="101" t="s">
        <x:v>70</x:v>
      </x:c>
      <x:c r="F628" s="93" t="n">
        <x:v>1666506.54</x:v>
      </x:c>
      <x:c r="G628" s="93" t="n">
        <x:v>89451.49</x:v>
      </x:c>
      <x:c r="H628" s="93" t="n">
        <x:v>50203.36</x:v>
      </x:c>
      <x:c r="I628" s="93" t="n">
        <x:v>26464.2</x:v>
      </x:c>
      <x:c r="J628" s="93" t="n">
        <x:v>371981.73</x:v>
      </x:c>
      <x:c r="K628" s="93" t="n">
        <x:v>13370.78</x:v>
      </x:c>
      <x:c r="L628" s="93" t="n">
        <x:v>0</x:v>
      </x:c>
      <x:c r="M628" s="93" t="n">
        <x:v>117292.3</x:v>
      </x:c>
      <x:c r="N628" s="93" t="n">
        <x:v>115277.54</x:v>
      </x:c>
      <x:c r="O628" s="93" t="n">
        <x:v>591928.6</x:v>
      </x:c>
      <x:c r="P628" s="93" t="n">
        <x:v>268663.04</x:v>
      </x:c>
      <x:c r="Q628" s="93" t="n">
        <x:v>21816.48</x:v>
      </x:c>
      <x:c r="R628" s="93" t="n">
        <x:v>57.02</x:v>
      </x:c>
      <x:c r="S628" s="93" t="n">
        <x:v>0</x:v>
      </x:c>
      <x:c r="T628" s="93" t="n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 t="n">
        <x:v>0</x:v>
      </x:c>
    </x:row>
    <x:row r="629" spans="1:26" s="378" customFormat="1" ht="12.75" customHeight="1" x14ac:dyDescent="0.2">
      <x:c r="B629" s="378" t="s">
        <x:v>122</x:v>
      </x:c>
      <x:c r="C629" s="378" t="s">
        <x:v>70</x:v>
      </x:c>
      <x:c r="E629" s="376"/>
      <x:c r="F629" s="710" t="n">
        <x:v>1666506.54</x:v>
      </x:c>
      <x:c r="G629" s="377" t="n">
        <x:v>89451.49</x:v>
      </x:c>
      <x:c r="H629" s="377" t="n">
        <x:v>50203.36</x:v>
      </x:c>
      <x:c r="I629" s="377" t="n">
        <x:v>26464.2</x:v>
      </x:c>
      <x:c r="J629" s="377" t="n">
        <x:v>371981.73</x:v>
      </x:c>
      <x:c r="K629" s="377" t="n">
        <x:v>13370.78</x:v>
      </x:c>
      <x:c r="L629" s="377" t="n">
        <x:v>0</x:v>
      </x:c>
      <x:c r="M629" s="377" t="n">
        <x:v>117292.3</x:v>
      </x:c>
      <x:c r="N629" s="377" t="n">
        <x:v>115277.54</x:v>
      </x:c>
      <x:c r="O629" s="377" t="n">
        <x:v>591928.6</x:v>
      </x:c>
      <x:c r="P629" s="377" t="n">
        <x:v>268663.04</x:v>
      </x:c>
      <x:c r="Q629" s="377" t="n">
        <x:v>21816.48</x:v>
      </x:c>
      <x:c r="R629" s="377" t="n">
        <x:v>57.02</x:v>
      </x:c>
      <x:c r="S629" s="377" t="n">
        <x:v>0</x:v>
      </x:c>
      <x:c r="T629" s="377" t="n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 t="n">
        <x:v>0</x:v>
      </x:c>
    </x:row>
    <x:row r="630" spans="1:26" ht="12.75" customHeight="1" x14ac:dyDescent="0.2">
      <x:c r="C630" s="89"/>
      <x:c r="D630" s="89"/>
      <x:c r="E630" t="s">
        <x:v>72</x:v>
      </x:c>
      <x:c r="F630" s="371" t="n">
        <x:v>13255784141.63</x:v>
      </x:c>
      <x:c r="G630" s="90" t="n">
        <x:v>687927857.95</x:v>
      </x:c>
      <x:c r="H630" s="90" t="n">
        <x:v>387836233.23</x:v>
      </x:c>
      <x:c r="I630" s="90" t="n">
        <x:v>203896299.5</x:v>
      </x:c>
      <x:c r="J630" s="90" t="n">
        <x:v>2973816389.32</x:v>
      </x:c>
      <x:c r="K630" s="90" t="n">
        <x:v>108079618.07</x:v>
      </x:c>
      <x:c r="L630" s="90" t="n">
        <x:v>8929700</x:v>
      </x:c>
      <x:c r="M630" s="90" t="n">
        <x:v>947751146.82</x:v>
      </x:c>
      <x:c r="N630" s="90" t="n">
        <x:v>918454732.63</x:v>
      </x:c>
      <x:c r="O630" s="90" t="n">
        <x:v>4762546642.12</x:v>
      </x:c>
      <x:c r="P630" s="90" t="n">
        <x:v>2080265361.7</x:v>
      </x:c>
      <x:c r="Q630" s="90" t="n">
        <x:v>176383169.25</x:v>
      </x:c>
      <x:c r="R630" s="90" t="n">
        <x:v>-103008.96</x:v>
      </x:c>
      <x:c r="S630" s="90" t="n">
        <x:v>0</x:v>
      </x:c>
      <x:c r="T630" t="n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 t="n">
        <x:v>0</x:v>
      </x:c>
    </x:row>
    <x:row r="631" spans="1:26" ht="12.75" customHeight="1" x14ac:dyDescent="0.2">
      <x:c r="C631" s="89"/>
      <x:c r="D631" s="89"/>
      <x:c r="E631" t="s">
        <x:v>81</x:v>
      </x:c>
      <x:c r="F631" s="90" t="n">
        <x:v>4558820.76</x:v>
      </x:c>
      <x:c r="G631" s="90" t="n">
        <x:v>305210.49</x:v>
      </x:c>
      <x:c r="H631" s="90" t="n">
        <x:v>163400.69</x:v>
      </x:c>
      <x:c r="I631" s="90" t="n">
        <x:v>86289.08</x:v>
      </x:c>
      <x:c r="J631" s="90" t="n">
        <x:v>912263.18</x:v>
      </x:c>
      <x:c r="K631" s="90" t="n">
        <x:v>35740.44</x:v>
      </x:c>
      <x:c r="L631" s="90" t="n">
        <x:v>9085.51</x:v>
      </x:c>
      <x:c r="M631" s="90" t="n">
        <x:v>312822.94</x:v>
      </x:c>
      <x:c r="N631" s="90" t="n">
        <x:v>293680.57</x:v>
      </x:c>
      <x:c r="O631" s="90" t="n">
        <x:v>1478560.93</x:v>
      </x:c>
      <x:c r="P631" s="90" t="n">
        <x:v>903501.58</x:v>
      </x:c>
      <x:c r="Q631" s="90" t="n">
        <x:v>58264.46</x:v>
      </x:c>
      <x:c r="R631" s="90" t="n">
        <x:v>-5.04</x:v>
      </x:c>
      <x:c r="S631" s="90" t="n">
        <x:v>0.55</x:v>
      </x:c>
      <x:c r="T631" t="n">
        <x:v>5.38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 t="n">
        <x:v>0</x:v>
      </x:c>
    </x:row>
    <x:row r="632" spans="1:26" ht="12.75" customHeight="1" x14ac:dyDescent="0.2">
      <x:c r="D632" t="s">
        <x:v>156</x:v>
      </x:c>
      <x:c r="E632" s="89" t="s">
        <x:v>70</x:v>
      </x:c>
      <x:c r="F632" s="90" t="n">
        <x:v>13260342962.39</x:v>
      </x:c>
      <x:c r="G632" s="90" t="n">
        <x:v>688233068.44</x:v>
      </x:c>
      <x:c r="H632" s="90" t="n">
        <x:v>387999633.92</x:v>
      </x:c>
      <x:c r="I632" s="90" t="n">
        <x:v>203982588.58</x:v>
      </x:c>
      <x:c r="J632" s="90" t="n">
        <x:v>2974728652.5</x:v>
      </x:c>
      <x:c r="K632" s="90" t="n">
        <x:v>108115358.51</x:v>
      </x:c>
      <x:c r="L632" s="90" t="n">
        <x:v>8938785.51</x:v>
      </x:c>
      <x:c r="M632" s="90" t="n">
        <x:v>948063969.76</x:v>
      </x:c>
      <x:c r="N632" s="90" t="n">
        <x:v>918748413.2</x:v>
      </x:c>
      <x:c r="O632" s="90" t="n">
        <x:v>4764025203.05</x:v>
      </x:c>
      <x:c r="P632" s="90" t="n">
        <x:v>2081168863.28</x:v>
      </x:c>
      <x:c r="Q632" s="90" t="n">
        <x:v>176441433.71</x:v>
      </x:c>
      <x:c r="R632" s="90" t="n">
        <x:v>-103014</x:v>
      </x:c>
      <x:c r="S632" s="90" t="n">
        <x:v>0.55</x:v>
      </x:c>
      <x:c r="T632" t="n">
        <x:v>5.38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 t="n">
        <x:v>0</x:v>
      </x:c>
    </x:row>
    <x:row r="633" spans="1:26" s="656" customFormat="1" ht="12.75" customHeight="1" x14ac:dyDescent="0.2">
      <x:c r="A633" s="657"/>
      <x:c r="B633" s="657"/>
      <x:c r="C633" s="656" t="s">
        <x:v>155</x:v>
      </x:c>
      <x:c r="D633" s="656" t="s">
        <x:v>70</x:v>
      </x:c>
      <x:c r="F633" s="658" t="n">
        <x:v>13260342962.39</x:v>
      </x:c>
      <x:c r="G633" s="658" t="n">
        <x:v>688233068.44</x:v>
      </x:c>
      <x:c r="H633" s="658" t="n">
        <x:v>387999633.92</x:v>
      </x:c>
      <x:c r="I633" s="658" t="n">
        <x:v>203982588.58</x:v>
      </x:c>
      <x:c r="J633" s="658" t="n">
        <x:v>2974728652.5</x:v>
      </x:c>
      <x:c r="K633" s="658" t="n">
        <x:v>108115358.51</x:v>
      </x:c>
      <x:c r="L633" s="658" t="n">
        <x:v>8938785.51</x:v>
      </x:c>
      <x:c r="M633" s="658" t="n">
        <x:v>948063969.76</x:v>
      </x:c>
      <x:c r="N633" s="658" t="n">
        <x:v>918748413.2</x:v>
      </x:c>
      <x:c r="O633" s="658" t="n">
        <x:v>4764025203.05</x:v>
      </x:c>
      <x:c r="P633" s="658" t="n">
        <x:v>2081168863.28</x:v>
      </x:c>
      <x:c r="Q633" s="658" t="n">
        <x:v>176441433.71</x:v>
      </x:c>
      <x:c r="R633" s="658" t="n">
        <x:v>-103014</x:v>
      </x:c>
      <x:c r="S633" s="658" t="n">
        <x:v>0.55</x:v>
      </x:c>
      <x:c r="T633" s="656" t="n">
        <x:v>5.38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 t="n">
        <x:v>0</x:v>
      </x:c>
    </x:row>
    <x:row r="634" spans="1:26" ht="12.75" customHeight="1" x14ac:dyDescent="0.2">
      <x:c r="E634" s="89" t="s">
        <x:v>72</x:v>
      </x:c>
      <x:c r="F634" s="90" t="n">
        <x:v>33381761.62</x:v>
      </x:c>
      <x:c r="G634" s="90" t="n">
        <x:v>1900600.5</x:v>
      </x:c>
      <x:c r="H634" s="90" t="n">
        <x:v>1060075.4</x:v>
      </x:c>
      <x:c r="I634" s="90" t="n">
        <x:v>571106.43</x:v>
      </x:c>
      <x:c r="J634" s="90" t="n">
        <x:v>7482062.73</x:v>
      </x:c>
      <x:c r="K634" s="90" t="n">
        <x:v>261091.53</x:v>
      </x:c>
      <x:c r="L634" s="90" t="n">
        <x:v>0</x:v>
      </x:c>
      <x:c r="M634" s="90" t="n">
        <x:v>2236718.68</x:v>
      </x:c>
      <x:c r="N634" s="90" t="n">
        <x:v>2240261.92</x:v>
      </x:c>
      <x:c r="O634" s="90" t="n">
        <x:v>11562961.56</x:v>
      </x:c>
      <x:c r="P634" s="90" t="n">
        <x:v>5641999.72</x:v>
      </x:c>
      <x:c r="Q634" s="90" t="n">
        <x:v>424763.54</x:v>
      </x:c>
      <x:c r="R634" s="90" t="n">
        <x:v>119.61</x:v>
      </x:c>
      <x:c r="S634" s="90" t="n">
        <x:v>0</x:v>
      </x:c>
      <x:c r="T634" t="n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 t="n">
        <x:v>0</x:v>
      </x:c>
    </x:row>
    <x:row r="635" spans="1:26" ht="12.75" customHeight="1" x14ac:dyDescent="0.2">
      <x:c r="E635" s="89" t="s">
        <x:v>81</x:v>
      </x:c>
      <x:c r="F635" s="371" t="n">
        <x:v>84123.48</x:v>
      </x:c>
      <x:c r="G635" s="90" t="n">
        <x:v>5035.05</x:v>
      </x:c>
      <x:c r="H635" s="90" t="n">
        <x:v>2705.49</x:v>
      </x:c>
      <x:c r="I635" s="90" t="n">
        <x:v>1487.08</x:v>
      </x:c>
      <x:c r="J635" s="90" t="n">
        <x:v>18901.43</x:v>
      </x:c>
      <x:c r="K635" s="90" t="n">
        <x:v>611.41</x:v>
      </x:c>
      <x:c r="L635" s="90" t="n">
        <x:v>0</x:v>
      </x:c>
      <x:c r="M635" s="90" t="n">
        <x:v>5314.35</x:v>
      </x:c>
      <x:c r="N635" s="90" t="n">
        <x:v>5615.28</x:v>
      </x:c>
      <x:c r="O635" s="90" t="n">
        <x:v>28670.6</x:v>
      </x:c>
      <x:c r="P635" s="90" t="n">
        <x:v>14780.46</x:v>
      </x:c>
      <x:c r="Q635" s="90" t="n">
        <x:v>1002.93</x:v>
      </x:c>
      <x:c r="R635" s="90" t="n">
        <x:v>-0.6</x:v>
      </x:c>
      <x:c r="S635" s="90" t="n">
        <x:v>0</x:v>
      </x:c>
      <x:c r="T635" t="n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 t="n">
        <x:v>0</x:v>
      </x:c>
    </x:row>
    <x:row r="636" spans="1:26" ht="12.75" customHeight="1" x14ac:dyDescent="0.2">
      <x:c r="D636" t="s">
        <x:v>156</x:v>
      </x:c>
      <x:c r="E636" s="89" t="s">
        <x:v>70</x:v>
      </x:c>
      <x:c r="F636" s="371" t="n">
        <x:v>33465885.1</x:v>
      </x:c>
      <x:c r="G636" s="90" t="n">
        <x:v>1905635.55</x:v>
      </x:c>
      <x:c r="H636" s="90" t="n">
        <x:v>1062780.89</x:v>
      </x:c>
      <x:c r="I636" s="90" t="n">
        <x:v>572593.51</x:v>
      </x:c>
      <x:c r="J636" s="90" t="n">
        <x:v>7500964.16</x:v>
      </x:c>
      <x:c r="K636" s="90" t="n">
        <x:v>261702.94</x:v>
      </x:c>
      <x:c r="L636" s="90" t="n">
        <x:v>0</x:v>
      </x:c>
      <x:c r="M636" s="90" t="n">
        <x:v>2242033.03</x:v>
      </x:c>
      <x:c r="N636" s="90" t="n">
        <x:v>2245877.2</x:v>
      </x:c>
      <x:c r="O636" s="90" t="n">
        <x:v>11591632.16</x:v>
      </x:c>
      <x:c r="P636" s="90" t="n">
        <x:v>5656780.18</x:v>
      </x:c>
      <x:c r="Q636" s="90" t="n">
        <x:v>425766.47</x:v>
      </x:c>
      <x:c r="R636" s="90" t="n">
        <x:v>119.01</x:v>
      </x:c>
      <x:c r="S636" s="90" t="n">
        <x:v>0</x:v>
      </x:c>
      <x:c r="T636" t="n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 t="n">
        <x:v>0</x:v>
      </x:c>
    </x:row>
    <x:row r="637" spans="1:26" s="739" customFormat="1" ht="12.75" customHeight="1" x14ac:dyDescent="0.2">
      <x:c r="C637" s="739" t="s">
        <x:v>326</x:v>
      </x:c>
      <x:c r="D637" s="739" t="s">
        <x:v>70</x:v>
      </x:c>
      <x:c r="E637" s="231"/>
      <x:c r="F637" s="740" t="n">
        <x:v>33465885.1</x:v>
      </x:c>
      <x:c r="G637" s="232" t="n">
        <x:v>1905635.55</x:v>
      </x:c>
      <x:c r="H637" s="232" t="n">
        <x:v>1062780.89</x:v>
      </x:c>
      <x:c r="I637" s="232" t="n">
        <x:v>572593.51</x:v>
      </x:c>
      <x:c r="J637" s="232" t="n">
        <x:v>7500964.16</x:v>
      </x:c>
      <x:c r="K637" s="232" t="n">
        <x:v>261702.94</x:v>
      </x:c>
      <x:c r="L637" s="232" t="n">
        <x:v>0</x:v>
      </x:c>
      <x:c r="M637" s="232" t="n">
        <x:v>2242033.03</x:v>
      </x:c>
      <x:c r="N637" s="232" t="n">
        <x:v>2245877.2</x:v>
      </x:c>
      <x:c r="O637" s="232" t="n">
        <x:v>11591632.16</x:v>
      </x:c>
      <x:c r="P637" s="232" t="n">
        <x:v>5656780.18</x:v>
      </x:c>
      <x:c r="Q637" s="232" t="n">
        <x:v>425766.47</x:v>
      </x:c>
      <x:c r="R637" s="232" t="n">
        <x:v>119.01</x:v>
      </x:c>
      <x:c r="S637" s="232" t="n">
        <x:v>0</x:v>
      </x:c>
      <x:c r="T637" s="739" t="n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 t="n">
        <x:v>0</x:v>
      </x:c>
    </x:row>
    <x:row r="638" spans="1:26" ht="12.75" customHeight="1" x14ac:dyDescent="0.2">
      <x:c r="E638" s="89" t="s">
        <x:v>72</x:v>
      </x:c>
      <x:c r="F638" s="371" t="n">
        <x:v>25096831.1</x:v>
      </x:c>
      <x:c r="G638" s="90" t="n">
        <x:v>1425248.87</x:v>
      </x:c>
      <x:c r="H638" s="90" t="n">
        <x:v>791821.31</x:v>
      </x:c>
      <x:c r="I638" s="90" t="n">
        <x:v>419726.03</x:v>
      </x:c>
      <x:c r="J638" s="90" t="n">
        <x:v>4022105.97</x:v>
      </x:c>
      <x:c r="K638" s="90" t="n">
        <x:v>162197.22</x:v>
      </x:c>
      <x:c r="L638" s="90" t="n">
        <x:v>0</x:v>
      </x:c>
      <x:c r="M638" s="90" t="n">
        <x:v>1423897.48</x:v>
      </x:c>
      <x:c r="N638" s="90" t="n">
        <x:v>1936716.04</x:v>
      </x:c>
      <x:c r="O638" s="90" t="n">
        <x:v>10379284.19</x:v>
      </x:c>
      <x:c r="P638" s="90" t="n">
        <x:v>4258650.77</x:v>
      </x:c>
      <x:c r="Q638" s="90" t="n">
        <x:v>277635.52</x:v>
      </x:c>
      <x:c r="R638" s="90" t="n">
        <x:v>-452.3</x:v>
      </x:c>
      <x:c r="S638" s="90" t="n">
        <x:v>0</x:v>
      </x:c>
      <x:c r="T638" t="n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 t="n">
        <x:v>0</x:v>
      </x:c>
    </x:row>
    <x:row r="639" spans="1:26" ht="12.75" customHeight="1" x14ac:dyDescent="0.2">
      <x:c r="E639" s="89" t="s">
        <x:v>81</x:v>
      </x:c>
      <x:c r="F639" s="90" t="n">
        <x:v>811344.88</x:v>
      </x:c>
      <x:c r="G639" s="90" t="n">
        <x:v>54328.54</x:v>
      </x:c>
      <x:c r="H639" s="90" t="n">
        <x:v>25678.89</x:v>
      </x:c>
      <x:c r="I639" s="90" t="n">
        <x:v>12896.29</x:v>
      </x:c>
      <x:c r="J639" s="90" t="n">
        <x:v>154006.04</x:v>
      </x:c>
      <x:c r="K639" s="90" t="n">
        <x:v>6794.36</x:v>
      </x:c>
      <x:c r="L639" s="90" t="n">
        <x:v>0</x:v>
      </x:c>
      <x:c r="M639" s="90" t="n">
        <x:v>59546.72</x:v>
      </x:c>
      <x:c r="N639" s="90" t="n">
        <x:v>60090.46</x:v>
      </x:c>
      <x:c r="O639" s="90" t="n">
        <x:v>267889.17</x:v>
      </x:c>
      <x:c r="P639" s="90" t="n">
        <x:v>158972.74</x:v>
      </x:c>
      <x:c r="Q639" s="90" t="n">
        <x:v>11144.65</x:v>
      </x:c>
      <x:c r="R639" s="90" t="n">
        <x:v>-3.93</x:v>
      </x:c>
      <x:c r="S639" s="90" t="n">
        <x:v>0.16</x:v>
      </x:c>
      <x:c r="T639" t="n">
        <x:v>0.79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 t="n">
        <x:v>0</x:v>
      </x:c>
    </x:row>
    <x:row r="640" spans="1:26" ht="12.75" customHeight="1" x14ac:dyDescent="0.2">
      <x:c r="D640" s="89" t="s">
        <x:v>82</x:v>
      </x:c>
      <x:c r="E640" s="89" t="s">
        <x:v>70</x:v>
      </x:c>
      <x:c r="F640" s="90" t="n">
        <x:v>25908175.98</x:v>
      </x:c>
      <x:c r="G640" s="90" t="n">
        <x:v>1479577.41</x:v>
      </x:c>
      <x:c r="H640" s="90" t="n">
        <x:v>817500.2</x:v>
      </x:c>
      <x:c r="I640" s="90" t="n">
        <x:v>432622.32</x:v>
      </x:c>
      <x:c r="J640" s="90" t="n">
        <x:v>4176112.01</x:v>
      </x:c>
      <x:c r="K640" s="90" t="n">
        <x:v>168991.58</x:v>
      </x:c>
      <x:c r="L640" s="90" t="n">
        <x:v>0</x:v>
      </x:c>
      <x:c r="M640" s="90" t="n">
        <x:v>1483444.2</x:v>
      </x:c>
      <x:c r="N640" s="90" t="n">
        <x:v>1996806.5</x:v>
      </x:c>
      <x:c r="O640" s="90" t="n">
        <x:v>10647173.36</x:v>
      </x:c>
      <x:c r="P640" s="90" t="n">
        <x:v>4417623.51</x:v>
      </x:c>
      <x:c r="Q640" s="90" t="n">
        <x:v>288780.17</x:v>
      </x:c>
      <x:c r="R640" s="90" t="n">
        <x:v>-456.23</x:v>
      </x:c>
      <x:c r="S640" s="90" t="n">
        <x:v>0.16</x:v>
      </x:c>
      <x:c r="T640" t="n">
        <x:v>0.79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 t="n">
        <x:v>0</x:v>
      </x:c>
    </x:row>
    <x:row r="641" spans="1:26" ht="12.75" customHeight="1" x14ac:dyDescent="0.2">
      <x:c r="C641" s="89"/>
      <x:c r="D641" s="89"/>
      <x:c r="E641" t="s">
        <x:v>72</x:v>
      </x:c>
      <x:c r="F641" s="90" t="n">
        <x:v>34365004.17</x:v>
      </x:c>
      <x:c r="G641" s="90" t="n">
        <x:v>2199925.02</x:v>
      </x:c>
      <x:c r="H641" s="90" t="n">
        <x:v>1144630.48</x:v>
      </x:c>
      <x:c r="I641" s="90" t="n">
        <x:v>603029.86</x:v>
      </x:c>
      <x:c r="J641" s="90" t="n">
        <x:v>4451124.31</x:v>
      </x:c>
      <x:c r="K641" s="90" t="n">
        <x:v>298113.95</x:v>
      </x:c>
      <x:c r="L641" s="90" t="n">
        <x:v>0</x:v>
      </x:c>
      <x:c r="M641" s="90" t="n">
        <x:v>2608725.3</x:v>
      </x:c>
      <x:c r="N641" s="90" t="n">
        <x:v>2656144.59</x:v>
      </x:c>
      <x:c r="O641" s="90" t="n">
        <x:v>13357778.01</x:v>
      </x:c>
      <x:c r="P641" s="90" t="n">
        <x:v>6558253.61</x:v>
      </x:c>
      <x:c r="Q641" s="90" t="n">
        <x:v>487902.45</x:v>
      </x:c>
      <x:c r="R641" s="90" t="n">
        <x:v>-623.41</x:v>
      </x:c>
      <x:c r="S641" s="90" t="n">
        <x:v>0</x:v>
      </x:c>
      <x:c r="T641" t="n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 t="n">
        <x:v>0</x:v>
      </x:c>
    </x:row>
    <x:row r="642" spans="1:26" ht="12.75" customHeight="1" x14ac:dyDescent="0.2">
      <x:c r="B642" s="89"/>
      <x:c r="C642" s="89"/>
      <x:c r="E642" t="s">
        <x:v>81</x:v>
      </x:c>
      <x:c r="F642" s="90" t="n">
        <x:v>2891406.9</x:v>
      </x:c>
      <x:c r="G642" s="90" t="n">
        <x:v>222856.07</x:v>
      </x:c>
      <x:c r="H642" s="90" t="n">
        <x:v>104956.2</x:v>
      </x:c>
      <x:c r="I642" s="90" t="n">
        <x:v>53676.56</x:v>
      </x:c>
      <x:c r="J642" s="90" t="n">
        <x:v>529773.05</x:v>
      </x:c>
      <x:c r="K642" s="90" t="n">
        <x:v>24791.47</x:v>
      </x:c>
      <x:c r="L642" s="90" t="n">
        <x:v>0</x:v>
      </x:c>
      <x:c r="M642" s="90" t="n">
        <x:v>216275.82</x:v>
      </x:c>
      <x:c r="N642" s="90" t="n">
        <x:v>193832.13</x:v>
      </x:c>
      <x:c r="O642" s="90" t="n">
        <x:v>850960.1</x:v>
      </x:c>
      <x:c r="P642" s="90" t="n">
        <x:v>653864.29</x:v>
      </x:c>
      <x:c r="Q642" s="90" t="n">
        <x:v>40458.46</x:v>
      </x:c>
      <x:c r="R642" s="90" t="n">
        <x:v>-1.29</x:v>
      </x:c>
      <x:c r="S642" s="90" t="n">
        <x:v>-0.01</x:v>
      </x:c>
      <x:c r="T642" t="n">
        <x:v>1.31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 t="n">
        <x:v>-37.26</x:v>
      </x:c>
    </x:row>
    <x:row r="643" spans="1:26" ht="12.75" customHeight="1" x14ac:dyDescent="0.2">
      <x:c r="A643" s="89"/>
      <x:c r="B643" s="89"/>
      <x:c r="D643" t="s">
        <x:v>86</x:v>
      </x:c>
      <x:c r="E643" t="s">
        <x:v>70</x:v>
      </x:c>
      <x:c r="F643" s="90" t="n">
        <x:v>37256411.07</x:v>
      </x:c>
      <x:c r="G643" s="90" t="n">
        <x:v>2422781.09</x:v>
      </x:c>
      <x:c r="H643" s="90" t="n">
        <x:v>1249586.68</x:v>
      </x:c>
      <x:c r="I643" s="90" t="n">
        <x:v>656706.42</x:v>
      </x:c>
      <x:c r="J643" s="90" t="n">
        <x:v>4980897.36</x:v>
      </x:c>
      <x:c r="K643" s="90" t="n">
        <x:v>322905.42</x:v>
      </x:c>
      <x:c r="L643" s="90" t="n">
        <x:v>0</x:v>
      </x:c>
      <x:c r="M643" s="90" t="n">
        <x:v>2825001.12</x:v>
      </x:c>
      <x:c r="N643" s="90" t="n">
        <x:v>2849976.72</x:v>
      </x:c>
      <x:c r="O643" s="90" t="n">
        <x:v>14208738.11</x:v>
      </x:c>
      <x:c r="P643" s="90" t="n">
        <x:v>7212117.9</x:v>
      </x:c>
      <x:c r="Q643" s="90" t="n">
        <x:v>528360.91</x:v>
      </x:c>
      <x:c r="R643" s="90" t="n">
        <x:v>-624.7</x:v>
      </x:c>
      <x:c r="S643" s="90" t="n">
        <x:v>-0.01</x:v>
      </x:c>
      <x:c r="T643" t="n">
        <x:v>1.31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t="n">
        <x:v>-37.26</x:v>
      </x:c>
    </x:row>
    <x:row r="644" spans="1:26" ht="12.75" customHeight="1" x14ac:dyDescent="0.2">
      <x:c r="E644" s="89" t="s">
        <x:v>72</x:v>
      </x:c>
      <x:c r="F644" s="90" t="n">
        <x:v>181087455.68</x:v>
      </x:c>
      <x:c r="G644" s="90" t="n">
        <x:v>27337307.19</x:v>
      </x:c>
      <x:c r="H644" s="90" t="n">
        <x:v>14979667.26</x:v>
      </x:c>
      <x:c r="I644" s="90" t="n">
        <x:v>7934140.26</x:v>
      </x:c>
      <x:c r="J644" s="90" t="n">
        <x:v>12054153.65</x:v>
      </x:c>
      <x:c r="K644" s="90" t="n">
        <x:v>398857.18</x:v>
      </x:c>
      <x:c r="L644" s="90" t="n">
        <x:v>1379993.45</x:v>
      </x:c>
      <x:c r="M644" s="90" t="n">
        <x:v>3522375.6</x:v>
      </x:c>
      <x:c r="N644" s="90" t="n">
        <x:v>4801079.3</x:v>
      </x:c>
      <x:c r="O644" s="90" t="n">
        <x:v>25599878.55</x:v>
      </x:c>
      <x:c r="P644" s="90" t="n">
        <x:v>82408783.94</x:v>
      </x:c>
      <x:c r="Q644" s="90" t="n">
        <x:v>673031</x:v>
      </x:c>
      <x:c r="R644" s="90" t="n">
        <x:v>-1811.7</x:v>
      </x:c>
      <x:c r="S644" s="90" t="n">
        <x:v>0</x:v>
      </x:c>
      <x:c r="T644" t="n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t="n">
        <x:v>0</x:v>
      </x:c>
    </x:row>
    <x:row r="645" spans="1:26" ht="12.75" customHeight="1" x14ac:dyDescent="0.2">
      <x:c r="A645" s="89"/>
      <x:c r="B645" s="89"/>
      <x:c r="E645" t="s">
        <x:v>81</x:v>
      </x:c>
      <x:c r="F645" s="90" t="n">
        <x:v>8730783.56</x:v>
      </x:c>
      <x:c r="G645" s="90" t="n">
        <x:v>1669374.17</x:v>
      </x:c>
      <x:c r="H645" s="90" t="n">
        <x:v>770016.19</x:v>
      </x:c>
      <x:c r="I645" s="90" t="n">
        <x:v>421169.91</x:v>
      </x:c>
      <x:c r="J645" s="90" t="n">
        <x:v>273807.68</x:v>
      </x:c>
      <x:c r="K645" s="90" t="n">
        <x:v>8031.95</x:v>
      </x:c>
      <x:c r="L645" s="90" t="n">
        <x:v>0</x:v>
      </x:c>
      <x:c r="M645" s="90" t="n">
        <x:v>71780.37</x:v>
      </x:c>
      <x:c r="N645" s="90" t="n">
        <x:v>90025.35</x:v>
      </x:c>
      <x:c r="O645" s="90" t="n">
        <x:v>454389.02</x:v>
      </x:c>
      <x:c r="P645" s="90" t="n">
        <x:v>4958686.91</x:v>
      </x:c>
      <x:c r="Q645" s="90" t="n">
        <x:v>13500.5</x:v>
      </x:c>
      <x:c r="R645" s="90" t="n">
        <x:v>1.63</x:v>
      </x:c>
      <x:c r="S645" s="90" t="n">
        <x:v>-0.12</x:v>
      </x:c>
      <x:c r="T645" t="n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 t="n">
        <x:v>0</x:v>
      </x:c>
    </x:row>
    <x:row r="646" spans="1:26" ht="12.75" customHeight="1" x14ac:dyDescent="0.2">
      <x:c r="D646" t="s">
        <x:v>87</x:v>
      </x:c>
      <x:c r="E646" s="89" t="s">
        <x:v>70</x:v>
      </x:c>
      <x:c r="F646" s="90" t="n">
        <x:v>189818239.24</x:v>
      </x:c>
      <x:c r="G646" s="90" t="n">
        <x:v>29006681.36</x:v>
      </x:c>
      <x:c r="H646" s="90" t="n">
        <x:v>15749683.45</x:v>
      </x:c>
      <x:c r="I646" s="90" t="n">
        <x:v>8355310.17</x:v>
      </x:c>
      <x:c r="J646" s="90" t="n">
        <x:v>12327961.33</x:v>
      </x:c>
      <x:c r="K646" s="90" t="n">
        <x:v>406889.13</x:v>
      </x:c>
      <x:c r="L646" s="90" t="n">
        <x:v>1379993.45</x:v>
      </x:c>
      <x:c r="M646" s="90" t="n">
        <x:v>3594155.97</x:v>
      </x:c>
      <x:c r="N646" s="90" t="n">
        <x:v>4891104.65</x:v>
      </x:c>
      <x:c r="O646" s="90" t="n">
        <x:v>26054267.57</x:v>
      </x:c>
      <x:c r="P646" s="90" t="n">
        <x:v>87367470.85</x:v>
      </x:c>
      <x:c r="Q646" s="90" t="n">
        <x:v>686531.5</x:v>
      </x:c>
      <x:c r="R646" s="90" t="n">
        <x:v>-1810.07</x:v>
      </x:c>
      <x:c r="S646" s="90" t="n">
        <x:v>-0.12</x:v>
      </x:c>
      <x:c r="T646" t="n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 t="n">
        <x:v>0</x:v>
      </x:c>
    </x:row>
    <x:row r="647" spans="1:26" s="94" customFormat="1" ht="12.75" customHeight="1" x14ac:dyDescent="0.2">
      <x:c r="A647" s="101"/>
      <x:c r="B647" s="101"/>
      <x:c r="C647" s="94" t="s">
        <x:v>119</x:v>
      </x:c>
      <x:c r="D647" s="94" t="s">
        <x:v>70</x:v>
      </x:c>
      <x:c r="F647" s="93" t="n">
        <x:v>252982826.29</x:v>
      </x:c>
      <x:c r="G647" s="93" t="n">
        <x:v>32909039.86</x:v>
      </x:c>
      <x:c r="H647" s="93" t="n">
        <x:v>17816770.33</x:v>
      </x:c>
      <x:c r="I647" s="93" t="n">
        <x:v>9444638.91</x:v>
      </x:c>
      <x:c r="J647" s="93" t="n">
        <x:v>21484970.7</x:v>
      </x:c>
      <x:c r="K647" s="93" t="n">
        <x:v>898786.13</x:v>
      </x:c>
      <x:c r="L647" s="93" t="n">
        <x:v>1379993.45</x:v>
      </x:c>
      <x:c r="M647" s="93" t="n">
        <x:v>7902601.29</x:v>
      </x:c>
      <x:c r="N647" s="93" t="n">
        <x:v>9737887.87</x:v>
      </x:c>
      <x:c r="O647" s="93" t="n">
        <x:v>50910179.04</x:v>
      </x:c>
      <x:c r="P647" s="93" t="n">
        <x:v>98997212.26</x:v>
      </x:c>
      <x:c r="Q647" s="93" t="n">
        <x:v>1503672.58</x:v>
      </x:c>
      <x:c r="R647" s="93" t="n">
        <x:v>-2891</x:v>
      </x:c>
      <x:c r="S647" s="93" t="n">
        <x:v>0.03</x:v>
      </x:c>
      <x:c r="T647" s="94" t="n">
        <x:v>2.1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 t="n">
        <x:v>-37.26</x:v>
      </x:c>
    </x:row>
    <x:row r="648" spans="1:26" s="226" customFormat="1" ht="12.75" customHeight="1" x14ac:dyDescent="0.2">
      <x:c r="B648" s="226" t="s">
        <x:v>112</x:v>
      </x:c>
      <x:c r="C648" s="226" t="s">
        <x:v>70</x:v>
      </x:c>
      <x:c r="E648" s="98"/>
      <x:c r="F648" s="100" t="n">
        <x:v>13546791673.78</x:v>
      </x:c>
      <x:c r="G648" s="100" t="n">
        <x:v>723047743.85</x:v>
      </x:c>
      <x:c r="H648" s="100" t="n">
        <x:v>406879185.14</x:v>
      </x:c>
      <x:c r="I648" s="100" t="n">
        <x:v>213999821</x:v>
      </x:c>
      <x:c r="J648" s="100" t="n">
        <x:v>3003714587.36</x:v>
      </x:c>
      <x:c r="K648" s="100" t="n">
        <x:v>109275847.58</x:v>
      </x:c>
      <x:c r="L648" s="100" t="n">
        <x:v>10318778.96</x:v>
      </x:c>
      <x:c r="M648" s="100" t="n">
        <x:v>958208604.08</x:v>
      </x:c>
      <x:c r="N648" s="100" t="n">
        <x:v>930732178.27</x:v>
      </x:c>
      <x:c r="O648" s="100" t="n">
        <x:v>4826527014.25</x:v>
      </x:c>
      <x:c r="P648" s="100" t="n">
        <x:v>2185822855.72</x:v>
      </x:c>
      <x:c r="Q648" s="100" t="n">
        <x:v>178370872.76</x:v>
      </x:c>
      <x:c r="R648" s="100" t="n">
        <x:v>-105785.99</x:v>
      </x:c>
      <x:c r="S648" s="100" t="n">
        <x:v>0.58</x:v>
      </x:c>
      <x:c r="T648" s="226" t="n">
        <x:v>7.48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 t="n">
        <x:v>-37.26</x:v>
      </x:c>
    </x:row>
    <x:row r="649" spans="1:26" ht="13.5" customHeight="1" x14ac:dyDescent="0.2">
      <x:c r="A649" t="s">
        <x:v>78</x:v>
      </x:c>
      <x:c r="B649" t="s">
        <x:v>70</x:v>
      </x:c>
      <x:c r="E649" s="89"/>
      <x:c r="F649" s="90" t="n">
        <x:v>13548458180.32</x:v>
      </x:c>
      <x:c r="G649" s="90" t="n">
        <x:v>723137195.34</x:v>
      </x:c>
      <x:c r="H649" s="90" t="n">
        <x:v>406929388.5</x:v>
      </x:c>
      <x:c r="I649" s="90" t="n">
        <x:v>214026285.2</x:v>
      </x:c>
      <x:c r="J649" s="90" t="n">
        <x:v>3004086569.09</x:v>
      </x:c>
      <x:c r="K649" s="90" t="n">
        <x:v>109289218.36</x:v>
      </x:c>
      <x:c r="L649" s="90" t="n">
        <x:v>10318778.96</x:v>
      </x:c>
      <x:c r="M649" s="90" t="n">
        <x:v>958325896.38</x:v>
      </x:c>
      <x:c r="N649" s="90" t="n">
        <x:v>930847455.81</x:v>
      </x:c>
      <x:c r="O649" s="90" t="n">
        <x:v>4827118942.85</x:v>
      </x:c>
      <x:c r="P649" s="90" t="n">
        <x:v>2186091518.76</x:v>
      </x:c>
      <x:c r="Q649" s="90" t="n">
        <x:v>178392689.24</x:v>
      </x:c>
      <x:c r="R649" s="90" t="n">
        <x:v>-105728.97</x:v>
      </x:c>
      <x:c r="S649" s="90" t="n">
        <x:v>0.58</x:v>
      </x:c>
      <x:c r="T649" t="n">
        <x:v>7.48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 t="n">
        <x:v>-37.26</x:v>
      </x:c>
    </x:row>
    <x:row r="650" spans="1:26" x14ac:dyDescent="0.2">
      <x:c r="E650" t="s">
        <x:v>73</x:v>
      </x:c>
      <x:c r="F650" s="90">
        <x:v>0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>
        <x:v>0</x:v>
      </x:c>
    </x:row>
    <x:row r="651" spans="1:26" x14ac:dyDescent="0.2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2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2">
      <x:c r="E653" t="s">
        <x:v>73</x:v>
      </x:c>
      <x:c r="F653" s="90" t="n">
        <x:v>-211354.94</x:v>
      </x:c>
      <x:c r="G653" s="90" t="n">
        <x:v>-10982.4</x:v>
      </x:c>
      <x:c r="H653" s="90" t="n">
        <x:v>-6155.02</x:v>
      </x:c>
      <x:c r="I653" s="90" t="n">
        <x:v>-3254.64</x:v>
      </x:c>
      <x:c r="J653" s="90" t="n">
        <x:v>-47855.73</x:v>
      </x:c>
      <x:c r="K653" s="90" t="n">
        <x:v>-1726.4</x:v>
      </x:c>
      <x:c r="L653" s="90" t="n">
        <x:v>0</x:v>
      </x:c>
      <x:c r="M653" s="90" t="n">
        <x:v>-15143.54</x:v>
      </x:c>
      <x:c r="N653" s="90" t="n">
        <x:v>-14757.59</x:v>
      </x:c>
      <x:c r="O653" s="90" t="n">
        <x:v>-75637.5</x:v>
      </x:c>
      <x:c r="P653" s="90" t="n">
        <x:v>-33025.42</x:v>
      </x:c>
      <x:c r="Q653" s="90" t="n">
        <x:v>-2816.7</x:v>
      </x:c>
      <x:c r="R653" s="90" t="n">
        <x:v>0</x:v>
      </x:c>
      <x:c r="S653" s="90" t="n">
        <x:v>0</x:v>
      </x:c>
      <x:c r="T653" s="90" t="n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 t="n">
        <x:v>0</x:v>
      </x:c>
    </x:row>
    <x:row r="654" spans="1:26" x14ac:dyDescent="0.2">
      <x:c r="D654" t="s">
        <x:v>82</x:v>
      </x:c>
      <x:c r="E654" t="s">
        <x:v>70</x:v>
      </x:c>
      <x:c r="F654" s="90" t="n">
        <x:v>-211354.94</x:v>
      </x:c>
      <x:c r="G654" s="90" t="n">
        <x:v>-10982.4</x:v>
      </x:c>
      <x:c r="H654" s="90" t="n">
        <x:v>-6155.02</x:v>
      </x:c>
      <x:c r="I654" s="90" t="n">
        <x:v>-3254.64</x:v>
      </x:c>
      <x:c r="J654" s="90" t="n">
        <x:v>-47855.73</x:v>
      </x:c>
      <x:c r="K654" s="90" t="n">
        <x:v>-1726.4</x:v>
      </x:c>
      <x:c r="L654" s="90" t="n">
        <x:v>0</x:v>
      </x:c>
      <x:c r="M654" s="90" t="n">
        <x:v>-15143.54</x:v>
      </x:c>
      <x:c r="N654" s="90" t="n">
        <x:v>-14757.59</x:v>
      </x:c>
      <x:c r="O654" s="90" t="n">
        <x:v>-75637.5</x:v>
      </x:c>
      <x:c r="P654" s="90" t="n">
        <x:v>-33025.42</x:v>
      </x:c>
      <x:c r="Q654" s="90" t="n">
        <x:v>-2816.7</x:v>
      </x:c>
      <x:c r="R654" s="90" t="n">
        <x:v>0</x:v>
      </x:c>
      <x:c r="S654" s="90" t="n">
        <x:v>0</x:v>
      </x:c>
      <x:c r="T654" s="90" t="n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 t="n">
        <x:v>0</x:v>
      </x:c>
    </x:row>
    <x:row r="655" spans="1:26" x14ac:dyDescent="0.2">
      <x:c r="E655" t="s">
        <x:v>73</x:v>
      </x:c>
      <x:c r="F655" s="90" t="n">
        <x:v>-32262.93</x:v>
      </x:c>
      <x:c r="G655" s="90" t="n">
        <x:v>-1692.72</x:v>
      </x:c>
      <x:c r="H655" s="90" t="n">
        <x:v>-948.43</x:v>
      </x:c>
      <x:c r="I655" s="90" t="n">
        <x:v>-501.64</x:v>
      </x:c>
      <x:c r="J655" s="90" t="n">
        <x:v>-7282.76</x:v>
      </x:c>
      <x:c r="K655" s="90" t="n">
        <x:v>-262.72</x:v>
      </x:c>
      <x:c r="L655" s="90" t="n">
        <x:v>0</x:v>
      </x:c>
      <x:c r="M655" s="90" t="n">
        <x:v>-2304.45</x:v>
      </x:c>
      <x:c r="N655" s="90" t="n">
        <x:v>-2246.08</x:v>
      </x:c>
      <x:c r="O655" s="90" t="n">
        <x:v>-11507.31</x:v>
      </x:c>
      <x:c r="P655" s="90" t="n">
        <x:v>-5088.19</x:v>
      </x:c>
      <x:c r="Q655" s="90" t="n">
        <x:v>-428.63</x:v>
      </x:c>
      <x:c r="R655" s="90" t="n">
        <x:v>0</x:v>
      </x:c>
      <x:c r="S655" s="90" t="n">
        <x:v>0</x:v>
      </x:c>
      <x:c r="T655" s="90" t="n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 t="n">
        <x:v>0</x:v>
      </x:c>
    </x:row>
    <x:row r="656" spans="1:26" x14ac:dyDescent="0.2">
      <x:c r="D656" t="s">
        <x:v>86</x:v>
      </x:c>
      <x:c r="E656" t="s">
        <x:v>70</x:v>
      </x:c>
      <x:c r="F656" s="90" t="n">
        <x:v>-32262.93</x:v>
      </x:c>
      <x:c r="G656" s="90" t="n">
        <x:v>-1692.72</x:v>
      </x:c>
      <x:c r="H656" s="90" t="n">
        <x:v>-948.43</x:v>
      </x:c>
      <x:c r="I656" s="90" t="n">
        <x:v>-501.64</x:v>
      </x:c>
      <x:c r="J656" s="90" t="n">
        <x:v>-7282.76</x:v>
      </x:c>
      <x:c r="K656" s="90" t="n">
        <x:v>-262.72</x:v>
      </x:c>
      <x:c r="L656" s="90" t="n">
        <x:v>0</x:v>
      </x:c>
      <x:c r="M656" s="90" t="n">
        <x:v>-2304.45</x:v>
      </x:c>
      <x:c r="N656" s="90" t="n">
        <x:v>-2246.08</x:v>
      </x:c>
      <x:c r="O656" s="90" t="n">
        <x:v>-11507.31</x:v>
      </x:c>
      <x:c r="P656" s="90" t="n">
        <x:v>-5088.19</x:v>
      </x:c>
      <x:c r="Q656" s="90" t="n">
        <x:v>-428.63</x:v>
      </x:c>
      <x:c r="R656" s="90" t="n">
        <x:v>0</x:v>
      </x:c>
      <x:c r="S656" s="90" t="n">
        <x:v>0</x:v>
      </x:c>
      <x:c r="T656" s="90" t="n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 t="n">
        <x:v>0</x:v>
      </x:c>
    </x:row>
    <x:row r="657" spans="1:26" x14ac:dyDescent="0.2">
      <x:c r="E657" t="s">
        <x:v>73</x:v>
      </x:c>
      <x:c r="F657" s="90" t="n">
        <x:v>-173078.67</x:v>
      </x:c>
      <x:c r="G657" s="90" t="n">
        <x:v>-8484.78</x:v>
      </x:c>
      <x:c r="H657" s="90" t="n">
        <x:v>-4752.31</x:v>
      </x:c>
      <x:c r="I657" s="90" t="n">
        <x:v>-2507.28</x:v>
      </x:c>
      <x:c r="J657" s="90" t="n">
        <x:v>-39622.8</x:v>
      </x:c>
      <x:c r="K657" s="90" t="n">
        <x:v>-1450.79</x:v>
      </x:c>
      <x:c r="L657" s="90" t="n">
        <x:v>0</x:v>
      </x:c>
      <x:c r="M657" s="90" t="n">
        <x:v>-12725.8</x:v>
      </x:c>
      <x:c r="N657" s="90" t="n">
        <x:v>-12429.48</x:v>
      </x:c>
      <x:c r="O657" s="90" t="n">
        <x:v>-63451.18</x:v>
      </x:c>
      <x:c r="P657" s="90" t="n">
        <x:v>-25287.26</x:v>
      </x:c>
      <x:c r="Q657" s="90" t="n">
        <x:v>-2366.99</x:v>
      </x:c>
      <x:c r="R657" s="90" t="n">
        <x:v>0</x:v>
      </x:c>
      <x:c r="S657" s="90" t="n">
        <x:v>0</x:v>
      </x:c>
      <x:c r="T657" s="90" t="n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 t="n">
        <x:v>0</x:v>
      </x:c>
    </x:row>
    <x:row r="658" spans="1:26" x14ac:dyDescent="0.2">
      <x:c r="D658" t="s">
        <x:v>87</x:v>
      </x:c>
      <x:c r="E658" t="s">
        <x:v>70</x:v>
      </x:c>
      <x:c r="F658" s="90" t="n">
        <x:v>-173078.67</x:v>
      </x:c>
      <x:c r="G658" s="90" t="n">
        <x:v>-8484.78</x:v>
      </x:c>
      <x:c r="H658" s="90" t="n">
        <x:v>-4752.31</x:v>
      </x:c>
      <x:c r="I658" s="90" t="n">
        <x:v>-2507.28</x:v>
      </x:c>
      <x:c r="J658" s="90" t="n">
        <x:v>-39622.8</x:v>
      </x:c>
      <x:c r="K658" s="90" t="n">
        <x:v>-1450.79</x:v>
      </x:c>
      <x:c r="L658" s="90" t="n">
        <x:v>0</x:v>
      </x:c>
      <x:c r="M658" s="90" t="n">
        <x:v>-12725.8</x:v>
      </x:c>
      <x:c r="N658" s="90" t="n">
        <x:v>-12429.48</x:v>
      </x:c>
      <x:c r="O658" s="90" t="n">
        <x:v>-63451.18</x:v>
      </x:c>
      <x:c r="P658" s="90" t="n">
        <x:v>-25287.26</x:v>
      </x:c>
      <x:c r="Q658" s="90" t="n">
        <x:v>-2366.99</x:v>
      </x:c>
      <x:c r="R658" s="90" t="n">
        <x:v>0</x:v>
      </x:c>
      <x:c r="S658" s="90" t="n">
        <x:v>0</x:v>
      </x:c>
      <x:c r="T658" s="90" t="n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 t="n">
        <x:v>0</x:v>
      </x:c>
    </x:row>
    <x:row r="659" spans="1:26" s="94" customFormat="1" ht="12.75" customHeight="1" x14ac:dyDescent="0.2">
      <x:c r="C659" s="101" t="s">
        <x:v>119</x:v>
      </x:c>
      <x:c r="D659" s="101" t="s">
        <x:v>70</x:v>
      </x:c>
      <x:c r="F659" s="93" t="n">
        <x:v>-416696.54</x:v>
      </x:c>
      <x:c r="G659" s="93" t="n">
        <x:v>-21159.9</x:v>
      </x:c>
      <x:c r="H659" s="93" t="n">
        <x:v>-11855.76</x:v>
      </x:c>
      <x:c r="I659" s="93" t="n">
        <x:v>-6263.56</x:v>
      </x:c>
      <x:c r="J659" s="93" t="n">
        <x:v>-94761.29</x:v>
      </x:c>
      <x:c r="K659" s="93" t="n">
        <x:v>-3439.91</x:v>
      </x:c>
      <x:c r="L659" s="93" t="n">
        <x:v>0</x:v>
      </x:c>
      <x:c r="M659" s="93" t="n">
        <x:v>-30173.79</x:v>
      </x:c>
      <x:c r="N659" s="93" t="n">
        <x:v>-29433.15</x:v>
      </x:c>
      <x:c r="O659" s="93" t="n">
        <x:v>-150595.99</x:v>
      </x:c>
      <x:c r="P659" s="93" t="n">
        <x:v>-63400.87</x:v>
      </x:c>
      <x:c r="Q659" s="93" t="n">
        <x:v>-5612.32</x:v>
      </x:c>
      <x:c r="R659" s="93" t="n">
        <x:v>0</x:v>
      </x:c>
      <x:c r="S659" s="93" t="n">
        <x:v>0</x:v>
      </x:c>
      <x:c r="T659" s="93" t="n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 t="n">
        <x:v>0</x:v>
      </x:c>
    </x:row>
    <x:row r="660" spans="1:26" s="378" customFormat="1" ht="12.75" customHeight="1" x14ac:dyDescent="0.2">
      <x:c r="B660" s="378" t="s">
        <x:v>122</x:v>
      </x:c>
      <x:c r="C660" s="378" t="s">
        <x:v>70</x:v>
      </x:c>
      <x:c r="E660" s="376"/>
      <x:c r="F660" s="710" t="n">
        <x:v>-416696.54</x:v>
      </x:c>
      <x:c r="G660" s="377" t="n">
        <x:v>-21159.9</x:v>
      </x:c>
      <x:c r="H660" s="377" t="n">
        <x:v>-11855.76</x:v>
      </x:c>
      <x:c r="I660" s="377" t="n">
        <x:v>-6263.56</x:v>
      </x:c>
      <x:c r="J660" s="377" t="n">
        <x:v>-94761.29</x:v>
      </x:c>
      <x:c r="K660" s="377" t="n">
        <x:v>-3439.91</x:v>
      </x:c>
      <x:c r="L660" s="377" t="n">
        <x:v>0</x:v>
      </x:c>
      <x:c r="M660" s="377" t="n">
        <x:v>-30173.79</x:v>
      </x:c>
      <x:c r="N660" s="377" t="n">
        <x:v>-29433.15</x:v>
      </x:c>
      <x:c r="O660" s="377" t="n">
        <x:v>-150595.99</x:v>
      </x:c>
      <x:c r="P660" s="377" t="n">
        <x:v>-63400.87</x:v>
      </x:c>
      <x:c r="Q660" s="377" t="n">
        <x:v>-5612.32</x:v>
      </x:c>
      <x:c r="R660" s="377" t="n">
        <x:v>0</x:v>
      </x:c>
      <x:c r="S660" s="377" t="n">
        <x:v>0</x:v>
      </x:c>
      <x:c r="T660" s="377" t="n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 t="n">
        <x:v>0</x:v>
      </x:c>
    </x:row>
    <x:row r="661" spans="1:26" ht="12.75" customHeight="1" x14ac:dyDescent="0.2">
      <x:c r="E661" s="89" t="s">
        <x:v>73</x:v>
      </x:c>
      <x:c r="F661" s="371" t="n">
        <x:v>-1503008743.39</x:v>
      </x:c>
      <x:c r="G661" s="90" t="n">
        <x:v>-51719362.51</x:v>
      </x:c>
      <x:c r="H661" s="90" t="n">
        <x:v>-29217746.4</x:v>
      </x:c>
      <x:c r="I661" s="90" t="n">
        <x:v>-15317788.73</x:v>
      </x:c>
      <x:c r="J661" s="90" t="n">
        <x:v>-377999871.65</x:v>
      </x:c>
      <x:c r="K661" s="90" t="n">
        <x:v>-13619861.1</x:v>
      </x:c>
      <x:c r="L661" s="90" t="n">
        <x:v>0</x:v>
      </x:c>
      <x:c r="M661" s="90" t="n">
        <x:v>-119487553.37</x:v>
      </x:c>
      <x:c r="N661" s="90" t="n">
        <x:v>-116529083.1</x:v>
      </x:c>
      <x:c r="O661" s="90" t="n">
        <x:v>-601164335.61</x:v>
      </x:c>
      <x:c r="P661" s="90" t="n">
        <x:v>-155731761.06</x:v>
      </x:c>
      <x:c r="Q661" s="90" t="n">
        <x:v>-22221379.86</x:v>
      </x:c>
      <x:c r="R661" s="90" t="n">
        <x:v>0</x:v>
      </x:c>
      <x:c r="S661" s="90" t="n">
        <x:v>0</x:v>
      </x:c>
      <x:c r="T661" t="n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 t="n">
        <x:v>0</x:v>
      </x:c>
    </x:row>
    <x:row r="662" spans="1:26" ht="12.75" customHeight="1" x14ac:dyDescent="0.2">
      <x:c r="D662" t="s">
        <x:v>156</x:v>
      </x:c>
      <x:c r="E662" s="89" t="s">
        <x:v>70</x:v>
      </x:c>
      <x:c r="F662" s="371" t="n">
        <x:v>-1503008743.39</x:v>
      </x:c>
      <x:c r="G662" s="90" t="n">
        <x:v>-51719362.51</x:v>
      </x:c>
      <x:c r="H662" s="90" t="n">
        <x:v>-29217746.4</x:v>
      </x:c>
      <x:c r="I662" s="90" t="n">
        <x:v>-15317788.73</x:v>
      </x:c>
      <x:c r="J662" s="90" t="n">
        <x:v>-377999871.65</x:v>
      </x:c>
      <x:c r="K662" s="90" t="n">
        <x:v>-13619861.1</x:v>
      </x:c>
      <x:c r="L662" s="90" t="n">
        <x:v>0</x:v>
      </x:c>
      <x:c r="M662" s="90" t="n">
        <x:v>-119487553.37</x:v>
      </x:c>
      <x:c r="N662" s="90" t="n">
        <x:v>-116529083.1</x:v>
      </x:c>
      <x:c r="O662" s="90" t="n">
        <x:v>-601164335.61</x:v>
      </x:c>
      <x:c r="P662" s="90" t="n">
        <x:v>-155731761.06</x:v>
      </x:c>
      <x:c r="Q662" s="90" t="n">
        <x:v>-22221379.86</x:v>
      </x:c>
      <x:c r="R662" s="90" t="n">
        <x:v>0</x:v>
      </x:c>
      <x:c r="S662" s="90" t="n">
        <x:v>0</x:v>
      </x:c>
      <x:c r="T662" t="n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 t="n">
        <x:v>0</x:v>
      </x:c>
    </x:row>
    <x:row r="663" spans="1:26" s="656" customFormat="1" ht="12.75" customHeight="1" x14ac:dyDescent="0.2">
      <x:c r="A663" s="657"/>
      <x:c r="B663" s="657"/>
      <x:c r="C663" s="656" t="s">
        <x:v>155</x:v>
      </x:c>
      <x:c r="D663" s="656" t="s">
        <x:v>70</x:v>
      </x:c>
      <x:c r="F663" s="658" t="n">
        <x:v>-1503008743.39</x:v>
      </x:c>
      <x:c r="G663" s="658" t="n">
        <x:v>-51719362.51</x:v>
      </x:c>
      <x:c r="H663" s="658" t="n">
        <x:v>-29217746.4</x:v>
      </x:c>
      <x:c r="I663" s="658" t="n">
        <x:v>-15317788.73</x:v>
      </x:c>
      <x:c r="J663" s="658" t="n">
        <x:v>-377999871.65</x:v>
      </x:c>
      <x:c r="K663" s="658" t="n">
        <x:v>-13619861.1</x:v>
      </x:c>
      <x:c r="L663" s="658" t="n">
        <x:v>0</x:v>
      </x:c>
      <x:c r="M663" s="658" t="n">
        <x:v>-119487553.37</x:v>
      </x:c>
      <x:c r="N663" s="658" t="n">
        <x:v>-116529083.1</x:v>
      </x:c>
      <x:c r="O663" s="658" t="n">
        <x:v>-601164335.61</x:v>
      </x:c>
      <x:c r="P663" s="658" t="n">
        <x:v>-155731761.06</x:v>
      </x:c>
      <x:c r="Q663" s="658" t="n">
        <x:v>-22221379.86</x:v>
      </x:c>
      <x:c r="R663" s="658" t="n">
        <x:v>0</x:v>
      </x:c>
      <x:c r="S663" s="658" t="n">
        <x:v>0</x:v>
      </x:c>
      <x:c r="T663" s="656" t="n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 t="n">
        <x:v>0</x:v>
      </x:c>
    </x:row>
    <x:row r="664" spans="1:26" ht="12.75" customHeight="1" x14ac:dyDescent="0.2">
      <x:c r="E664" s="89" t="s">
        <x:v>73</x:v>
      </x:c>
      <x:c r="F664" s="371" t="n">
        <x:v>-4681675.1</x:v>
      </x:c>
      <x:c r="G664" s="90" t="n">
        <x:v>-244127.96</x:v>
      </x:c>
      <x:c r="H664" s="90" t="n">
        <x:v>-137107.39</x:v>
      </x:c>
      <x:c r="I664" s="90" t="n">
        <x:v>-72125.75</x:v>
      </x:c>
      <x:c r="J664" s="90" t="n">
        <x:v>-1045942.88</x:v>
      </x:c>
      <x:c r="K664" s="90" t="n">
        <x:v>-37750.81</x:v>
      </x:c>
      <x:c r="L664" s="90" t="n">
        <x:v>0</x:v>
      </x:c>
      <x:c r="M664" s="90" t="n">
        <x:v>-331142.81</x:v>
      </x:c>
      <x:c r="N664" s="90" t="n">
        <x:v>-328472.61</x:v>
      </x:c>
      <x:c r="O664" s="90" t="n">
        <x:v>-1689995.8</x:v>
      </x:c>
      <x:c r="P664" s="90" t="n">
        <x:v>-733416.54</x:v>
      </x:c>
      <x:c r="Q664" s="90" t="n">
        <x:v>-61592.55</x:v>
      </x:c>
      <x:c r="R664" s="90" t="n">
        <x:v>0</x:v>
      </x:c>
      <x:c r="S664" s="90" t="n">
        <x:v>0</x:v>
      </x:c>
      <x:c r="T664" t="n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 t="n">
        <x:v>0</x:v>
      </x:c>
    </x:row>
    <x:row r="665" spans="1:26" ht="12.75" customHeight="1" x14ac:dyDescent="0.2">
      <x:c r="D665" t="s">
        <x:v>156</x:v>
      </x:c>
      <x:c r="E665" s="89" t="s">
        <x:v>70</x:v>
      </x:c>
      <x:c r="F665" s="371" t="n">
        <x:v>-4681675.1</x:v>
      </x:c>
      <x:c r="G665" s="90" t="n">
        <x:v>-244127.96</x:v>
      </x:c>
      <x:c r="H665" s="90" t="n">
        <x:v>-137107.39</x:v>
      </x:c>
      <x:c r="I665" s="90" t="n">
        <x:v>-72125.75</x:v>
      </x:c>
      <x:c r="J665" s="90" t="n">
        <x:v>-1045942.88</x:v>
      </x:c>
      <x:c r="K665" s="90" t="n">
        <x:v>-37750.81</x:v>
      </x:c>
      <x:c r="L665" s="90" t="n">
        <x:v>0</x:v>
      </x:c>
      <x:c r="M665" s="90" t="n">
        <x:v>-331142.81</x:v>
      </x:c>
      <x:c r="N665" s="90" t="n">
        <x:v>-328472.61</x:v>
      </x:c>
      <x:c r="O665" s="90" t="n">
        <x:v>-1689995.8</x:v>
      </x:c>
      <x:c r="P665" s="90" t="n">
        <x:v>-733416.54</x:v>
      </x:c>
      <x:c r="Q665" s="90" t="n">
        <x:v>-61592.55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 t="n">
        <x:v>0</x:v>
      </x:c>
    </x:row>
    <x:row r="666" spans="1:26" s="739" customFormat="1" ht="12.75" customHeight="1" x14ac:dyDescent="0.2">
      <x:c r="C666" s="739" t="s">
        <x:v>326</x:v>
      </x:c>
      <x:c r="D666" s="739" t="s">
        <x:v>70</x:v>
      </x:c>
      <x:c r="E666" s="231"/>
      <x:c r="F666" s="740" t="n">
        <x:v>-4681675.1</x:v>
      </x:c>
      <x:c r="G666" s="232" t="n">
        <x:v>-244127.96</x:v>
      </x:c>
      <x:c r="H666" s="232" t="n">
        <x:v>-137107.39</x:v>
      </x:c>
      <x:c r="I666" s="232" t="n">
        <x:v>-72125.75</x:v>
      </x:c>
      <x:c r="J666" s="232" t="n">
        <x:v>-1045942.88</x:v>
      </x:c>
      <x:c r="K666" s="232" t="n">
        <x:v>-37750.81</x:v>
      </x:c>
      <x:c r="L666" s="232" t="n">
        <x:v>0</x:v>
      </x:c>
      <x:c r="M666" s="232" t="n">
        <x:v>-331142.81</x:v>
      </x:c>
      <x:c r="N666" s="232" t="n">
        <x:v>-328472.61</x:v>
      </x:c>
      <x:c r="O666" s="232" t="n">
        <x:v>-1689995.8</x:v>
      </x:c>
      <x:c r="P666" s="232" t="n">
        <x:v>-733416.54</x:v>
      </x:c>
      <x:c r="Q666" s="232" t="n">
        <x:v>-61592.55</x:v>
      </x:c>
      <x:c r="R666" s="232" t="n">
        <x:v>0</x:v>
      </x:c>
      <x:c r="S666" s="232" t="n">
        <x:v>0</x:v>
      </x:c>
      <x:c r="T666" s="739" t="n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 t="n">
        <x:v>0</x:v>
      </x:c>
    </x:row>
    <x:row r="667" spans="1:26" ht="12.75" customHeight="1" x14ac:dyDescent="0.2">
      <x:c r="E667" s="89" t="s">
        <x:v>73</x:v>
      </x:c>
      <x:c r="F667" s="371" t="n">
        <x:v>976644.02</x:v>
      </x:c>
      <x:c r="G667" s="90" t="n">
        <x:v>269243.52</x:v>
      </x:c>
      <x:c r="H667" s="90" t="n">
        <x:v>147949.37</x:v>
      </x:c>
      <x:c r="I667" s="90" t="n">
        <x:v>77924.34</x:v>
      </x:c>
      <x:c r="J667" s="90" t="n">
        <x:v>31290.4</x:v>
      </x:c>
      <x:c r="K667" s="90" t="n">
        <x:v>-1352.25</x:v>
      </x:c>
      <x:c r="L667" s="90" t="n">
        <x:v>0</x:v>
      </x:c>
      <x:c r="M667" s="90" t="n">
        <x:v>-11868.83</x:v>
      </x:c>
      <x:c r="N667" s="90" t="n">
        <x:v>-44861.08</x:v>
      </x:c>
      <x:c r="O667" s="90" t="n">
        <x:v>-299524.12</x:v>
      </x:c>
      <x:c r="P667" s="90" t="n">
        <x:v>810050.72</x:v>
      </x:c>
      <x:c r="Q667" s="90" t="n">
        <x:v>-2208.05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 t="n">
        <x:v>0</x:v>
      </x:c>
    </x:row>
    <x:row r="668" spans="1:26" ht="12.75" customHeight="1" x14ac:dyDescent="0.2">
      <x:c r="D668" s="89" t="s">
        <x:v>82</x:v>
      </x:c>
      <x:c r="E668" s="89" t="s">
        <x:v>70</x:v>
      </x:c>
      <x:c r="F668" s="90" t="n">
        <x:v>976644.02</x:v>
      </x:c>
      <x:c r="G668" s="90" t="n">
        <x:v>269243.52</x:v>
      </x:c>
      <x:c r="H668" s="90" t="n">
        <x:v>147949.37</x:v>
      </x:c>
      <x:c r="I668" s="90" t="n">
        <x:v>77924.34</x:v>
      </x:c>
      <x:c r="J668" s="90" t="n">
        <x:v>31290.4</x:v>
      </x:c>
      <x:c r="K668" s="90" t="n">
        <x:v>-1352.25</x:v>
      </x:c>
      <x:c r="L668" s="90" t="n">
        <x:v>0</x:v>
      </x:c>
      <x:c r="M668" s="90" t="n">
        <x:v>-11868.83</x:v>
      </x:c>
      <x:c r="N668" s="90" t="n">
        <x:v>-44861.08</x:v>
      </x:c>
      <x:c r="O668" s="90" t="n">
        <x:v>-299524.12</x:v>
      </x:c>
      <x:c r="P668" s="90" t="n">
        <x:v>810050.72</x:v>
      </x:c>
      <x:c r="Q668" s="90" t="n">
        <x:v>-2208.05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 t="n">
        <x:v>0</x:v>
      </x:c>
    </x:row>
    <x:row r="669" spans="1:26" ht="12.75" customHeight="1" x14ac:dyDescent="0.2">
      <x:c r="E669" s="89" t="s">
        <x:v>73</x:v>
      </x:c>
      <x:c r="F669" s="90" t="n">
        <x:v>1494214.94</x:v>
      </x:c>
      <x:c r="G669" s="90" t="n">
        <x:v>565976.69</x:v>
      </x:c>
      <x:c r="H669" s="90" t="n">
        <x:v>321267.04</x:v>
      </x:c>
      <x:c r="I669" s="90" t="n">
        <x:v>171735.87</x:v>
      </x:c>
      <x:c r="J669" s="90" t="n">
        <x:v>-338709.32</x:v>
      </x:c>
      <x:c r="K669" s="90" t="n">
        <x:v>-16652.29</x:v>
      </x:c>
      <x:c r="L669" s="90" t="n">
        <x:v>0</x:v>
      </x:c>
      <x:c r="M669" s="90" t="n">
        <x:v>-146879.7</x:v>
      </x:c>
      <x:c r="N669" s="90" t="n">
        <x:v>-135037.35</x:v>
      </x:c>
      <x:c r="O669" s="90" t="n">
        <x:v>-622145.95</x:v>
      </x:c>
      <x:c r="P669" s="90" t="n">
        <x:v>1721854.1</x:v>
      </x:c>
      <x:c r="Q669" s="90" t="n">
        <x:v>-27194.15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 t="n">
        <x:v>0</x:v>
      </x:c>
    </x:row>
    <x:row r="670" spans="1:26" ht="12.75" customHeight="1" x14ac:dyDescent="0.2">
      <x:c r="D670" s="89" t="s">
        <x:v>86</x:v>
      </x:c>
      <x:c r="E670" s="89" t="s">
        <x:v>70</x:v>
      </x:c>
      <x:c r="F670" s="90" t="n">
        <x:v>1494214.94</x:v>
      </x:c>
      <x:c r="G670" s="90" t="n">
        <x:v>565976.69</x:v>
      </x:c>
      <x:c r="H670" s="90" t="n">
        <x:v>321267.04</x:v>
      </x:c>
      <x:c r="I670" s="90" t="n">
        <x:v>171735.87</x:v>
      </x:c>
      <x:c r="J670" s="90" t="n">
        <x:v>-338709.32</x:v>
      </x:c>
      <x:c r="K670" s="90" t="n">
        <x:v>-16652.29</x:v>
      </x:c>
      <x:c r="L670" s="90" t="n">
        <x:v>0</x:v>
      </x:c>
      <x:c r="M670" s="90" t="n">
        <x:v>-146879.7</x:v>
      </x:c>
      <x:c r="N670" s="90" t="n">
        <x:v>-135037.35</x:v>
      </x:c>
      <x:c r="O670" s="90" t="n">
        <x:v>-622145.95</x:v>
      </x:c>
      <x:c r="P670" s="90" t="n">
        <x:v>1721854.1</x:v>
      </x:c>
      <x:c r="Q670" s="90" t="n">
        <x:v>-27194.15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 t="n">
        <x:v>0</x:v>
      </x:c>
    </x:row>
    <x:row r="671" spans="1:26" ht="12.75" customHeight="1" x14ac:dyDescent="0.2">
      <x:c r="E671" s="89" t="s">
        <x:v>73</x:v>
      </x:c>
      <x:c r="F671" s="90" t="n">
        <x:v>74209735.76</x:v>
      </x:c>
      <x:c r="G671" s="90" t="n">
        <x:v>14852099.67</x:v>
      </x:c>
      <x:c r="H671" s="90" t="n">
        <x:v>8278176.88</x:v>
      </x:c>
      <x:c r="I671" s="90" t="n">
        <x:v>4451003.36</x:v>
      </x:c>
      <x:c r="J671" s="90" t="n">
        <x:v>930214.95</x:v>
      </x:c>
      <x:c r="K671" s="90" t="n">
        <x:v>10409.77</x:v>
      </x:c>
      <x:c r="L671" s="90" t="n">
        <x:v>0</x:v>
      </x:c>
      <x:c r="M671" s="90" t="n">
        <x:v>86587.63</x:v>
      </x:c>
      <x:c r="N671" s="90" t="n">
        <x:v>144950.07</x:v>
      </x:c>
      <x:c r="O671" s="90" t="n">
        <x:v>720135.72</x:v>
      </x:c>
      <x:c r="P671" s="90" t="n">
        <x:v>44719176.18</x:v>
      </x:c>
      <x:c r="Q671" s="90" t="n">
        <x:v>16981.53</x:v>
      </x:c>
      <x:c r="R671" s="90" t="n">
        <x:v>0</x:v>
      </x:c>
      <x:c r="S671" s="90" t="n">
        <x:v>0</x:v>
      </x:c>
      <x:c r="T671" t="n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 t="n">
        <x:v>0</x:v>
      </x:c>
    </x:row>
    <x:row r="672" spans="1:26" ht="12.75" customHeight="1" x14ac:dyDescent="0.2">
      <x:c r="D672" s="89" t="s">
        <x:v>87</x:v>
      </x:c>
      <x:c r="E672" s="89" t="s">
        <x:v>70</x:v>
      </x:c>
      <x:c r="F672" s="90" t="n">
        <x:v>74209735.76</x:v>
      </x:c>
      <x:c r="G672" s="90" t="n">
        <x:v>14852099.67</x:v>
      </x:c>
      <x:c r="H672" s="90" t="n">
        <x:v>8278176.88</x:v>
      </x:c>
      <x:c r="I672" s="90" t="n">
        <x:v>4451003.36</x:v>
      </x:c>
      <x:c r="J672" s="90" t="n">
        <x:v>930214.95</x:v>
      </x:c>
      <x:c r="K672" s="90" t="n">
        <x:v>10409.77</x:v>
      </x:c>
      <x:c r="L672" s="90" t="n">
        <x:v>0</x:v>
      </x:c>
      <x:c r="M672" s="90" t="n">
        <x:v>86587.63</x:v>
      </x:c>
      <x:c r="N672" s="90" t="n">
        <x:v>144950.07</x:v>
      </x:c>
      <x:c r="O672" s="90" t="n">
        <x:v>720135.72</x:v>
      </x:c>
      <x:c r="P672" s="90" t="n">
        <x:v>44719176.18</x:v>
      </x:c>
      <x:c r="Q672" s="90" t="n">
        <x:v>16981.53</x:v>
      </x:c>
      <x:c r="R672" s="90" t="n">
        <x:v>0</x:v>
      </x:c>
      <x:c r="S672" s="90" t="n">
        <x:v>0</x:v>
      </x:c>
      <x:c r="T672" t="n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 t="n">
        <x:v>0</x:v>
      </x:c>
    </x:row>
    <x:row r="673" spans="1:41" s="94" customFormat="1" ht="12.75" customHeight="1" x14ac:dyDescent="0.2">
      <x:c r="C673" s="94" t="s">
        <x:v>119</x:v>
      </x:c>
      <x:c r="D673" s="94" t="s">
        <x:v>70</x:v>
      </x:c>
      <x:c r="E673" s="101"/>
      <x:c r="F673" s="93" t="n">
        <x:v>76680594.72</x:v>
      </x:c>
      <x:c r="G673" s="93" t="n">
        <x:v>15687319.88</x:v>
      </x:c>
      <x:c r="H673" s="93" t="n">
        <x:v>8747393.29</x:v>
      </x:c>
      <x:c r="I673" s="93" t="n">
        <x:v>4700663.57</x:v>
      </x:c>
      <x:c r="J673" s="93" t="n">
        <x:v>622796.03</x:v>
      </x:c>
      <x:c r="K673" s="93" t="n">
        <x:v>-7594.77</x:v>
      </x:c>
      <x:c r="L673" s="93" t="n">
        <x:v>0</x:v>
      </x:c>
      <x:c r="M673" s="93" t="n">
        <x:v>-72160.9</x:v>
      </x:c>
      <x:c r="N673" s="93" t="n">
        <x:v>-34948.36</x:v>
      </x:c>
      <x:c r="O673" s="93" t="n">
        <x:v>-201534.35</x:v>
      </x:c>
      <x:c r="P673" s="93" t="n">
        <x:v>47251081</x:v>
      </x:c>
      <x:c r="Q673" s="93" t="n">
        <x:v>-12420.67</x:v>
      </x:c>
      <x:c r="R673" s="93" t="n">
        <x:v>0</x:v>
      </x:c>
      <x:c r="S673" s="93" t="n">
        <x:v>0</x:v>
      </x:c>
      <x:c r="T673" s="94" t="n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 t="n">
        <x:v>0</x:v>
      </x:c>
    </x:row>
    <x:row r="674" spans="1:41" s="226" customFormat="1" ht="12.75" customHeight="1" x14ac:dyDescent="0.2">
      <x:c r="B674" s="98" t="s">
        <x:v>112</x:v>
      </x:c>
      <x:c r="C674" s="98" t="s">
        <x:v>70</x:v>
      </x:c>
      <x:c r="F674" s="100" t="n">
        <x:v>-1431009823.77</x:v>
      </x:c>
      <x:c r="G674" s="100" t="n">
        <x:v>-36276170.59</x:v>
      </x:c>
      <x:c r="H674" s="100" t="n">
        <x:v>-20607460.5</x:v>
      </x:c>
      <x:c r="I674" s="100" t="n">
        <x:v>-10689250.91</x:v>
      </x:c>
      <x:c r="J674" s="100" t="n">
        <x:v>-378423018.5</x:v>
      </x:c>
      <x:c r="K674" s="100" t="n">
        <x:v>-13665206.68</x:v>
      </x:c>
      <x:c r="L674" s="100" t="n">
        <x:v>0</x:v>
      </x:c>
      <x:c r="M674" s="100" t="n">
        <x:v>-119890857.08</x:v>
      </x:c>
      <x:c r="N674" s="100" t="n">
        <x:v>-116892504.07</x:v>
      </x:c>
      <x:c r="O674" s="100" t="n">
        <x:v>-603055865.76</x:v>
      </x:c>
      <x:c r="P674" s="100" t="n">
        <x:v>-109214096.6</x:v>
      </x:c>
      <x:c r="Q674" s="100" t="n">
        <x:v>-22295393.08</x:v>
      </x:c>
      <x:c r="R674" s="100" t="n">
        <x:v>0</x:v>
      </x:c>
      <x:c r="S674" s="100" t="n">
        <x:v>0</x:v>
      </x:c>
      <x:c r="T674" s="226" t="n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 t="n">
        <x:v>0</x:v>
      </x:c>
    </x:row>
    <x:row r="675" spans="1:41" ht="12.75" customHeight="1" x14ac:dyDescent="0.2">
      <x:c r="A675" s="89" t="s">
        <x:v>79</x:v>
      </x:c>
      <x:c r="B675" s="89" t="s">
        <x:v>70</x:v>
      </x:c>
      <x:c r="F675" s="90" t="n">
        <x:v>-1431426520.31</x:v>
      </x:c>
      <x:c r="G675" s="90" t="n">
        <x:v>-36297330.49</x:v>
      </x:c>
      <x:c r="H675" s="90" t="n">
        <x:v>-20619316.26</x:v>
      </x:c>
      <x:c r="I675" s="90" t="n">
        <x:v>-10695514.47</x:v>
      </x:c>
      <x:c r="J675" s="90" t="n">
        <x:v>-378517779.79</x:v>
      </x:c>
      <x:c r="K675" s="90" t="n">
        <x:v>-13668646.59</x:v>
      </x:c>
      <x:c r="L675" s="90" t="n">
        <x:v>0</x:v>
      </x:c>
      <x:c r="M675" s="90" t="n">
        <x:v>-119921030.87</x:v>
      </x:c>
      <x:c r="N675" s="90" t="n">
        <x:v>-116921937.22</x:v>
      </x:c>
      <x:c r="O675" s="90" t="n">
        <x:v>-603206461.75</x:v>
      </x:c>
      <x:c r="P675" s="90" t="n">
        <x:v>-109277497.47</x:v>
      </x:c>
      <x:c r="Q675" s="90" t="n">
        <x:v>-22301005.4</x:v>
      </x:c>
      <x:c r="R675" s="90" t="n">
        <x:v>0</x:v>
      </x:c>
      <x:c r="S675" s="90" t="n">
        <x:v>0</x:v>
      </x:c>
      <x:c r="T675" t="n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 t="n">
        <x:v>0</x:v>
      </x:c>
    </x:row>
    <x:row r="676" spans="1:41" ht="12.75" customHeight="1" x14ac:dyDescent="0.2">
      <x:c r="A676" s="89" t="s">
        <x:v>70</x:v>
      </x:c>
      <x:c r="F676" s="90" t="n">
        <x:v>12117027175</x:v>
      </x:c>
      <x:c r="G676" s="90" t="n">
        <x:v>686839509.29</x:v>
      </x:c>
      <x:c r="H676" s="90" t="n">
        <x:v>386309921.19</x:v>
      </x:c>
      <x:c r="I676" s="90" t="n">
        <x:v>203330704.75</x:v>
      </x:c>
      <x:c r="J676" s="90" t="n">
        <x:v>2625568019.69</x:v>
      </x:c>
      <x:c r="K676" s="90" t="n">
        <x:v>95620524.33</x:v>
      </x:c>
      <x:c r="L676" s="90" t="n">
        <x:v>10318778.96</x:v>
      </x:c>
      <x:c r="M676" s="90" t="n">
        <x:v>838404449.56</x:v>
      </x:c>
      <x:c r="N676" s="90" t="n">
        <x:v>813925169.96</x:v>
      </x:c>
      <x:c r="O676" s="90" t="n">
        <x:v>4223911206.82</x:v>
      </x:c>
      <x:c r="P676" s="90" t="n">
        <x:v>2076813042.15</x:v>
      </x:c>
      <x:c r="Q676" s="90" t="n">
        <x:v>156091606.47</x:v>
      </x:c>
      <x:c r="R676" s="90" t="n">
        <x:v>-105728.97</x:v>
      </x:c>
      <x:c r="S676" s="90" t="n">
        <x:v>0.58</x:v>
      </x:c>
      <x:c r="T676" t="n">
        <x:v>7.48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 t="n">
        <x:v>-37.26</x:v>
      </x:c>
    </x:row>
    <x:row r="677" spans="1:41" ht="12.75" customHeight="1" x14ac:dyDescent="0.2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2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2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2">
      <x:c r="C680" s="778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2">
      <x:c r="C681" s="778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2">
      <x:c r="C682" s="778"/>
      <x:c r="D682" s="775" t="s">
        <x:v>133</x:v>
      </x:c>
      <x:c r="E682" s="233" t="s">
        <x:v>70</x:v>
      </x:c>
      <x:c r="F682" s="234">
        <x:v>0</x:v>
      </x:c>
      <x:c r="G682" s="234">
        <x:v>0</x:v>
      </x:c>
      <x:c r="H682" s="234">
        <x:v>0</x:v>
      </x:c>
      <x:c r="I682" s="234">
        <x:v>0</x:v>
      </x:c>
      <x:c r="J682" s="234">
        <x:v>0</x:v>
      </x:c>
      <x:c r="K682" s="234">
        <x:v>0</x:v>
      </x:c>
      <x:c r="L682" s="234">
        <x:v>0</x:v>
      </x:c>
      <x:c r="M682" s="234">
        <x:v>0</x:v>
      </x:c>
      <x:c r="N682" s="234">
        <x:v>0</x:v>
      </x:c>
      <x:c r="O682" s="234">
        <x:v>0</x:v>
      </x:c>
      <x:c r="P682" s="234">
        <x:v>0</x:v>
      </x:c>
      <x:c r="Q682" s="234">
        <x:v>0</x:v>
      </x:c>
      <x:c r="R682" s="234">
        <x:v>0</x:v>
      </x:c>
      <x:c r="S682" s="234">
        <x:v>0</x:v>
      </x:c>
      <x:c r="T682" s="234">
        <x:v>0</x:v>
      </x:c>
      <x:c r="U682" s="234">
        <x:v>0</x:v>
      </x:c>
      <x:c r="V682" s="234">
        <x:v>0</x:v>
      </x:c>
      <x:c r="W682" s="234">
        <x:v>0</x:v>
      </x:c>
      <x:c r="X682" s="234">
        <x:v>0</x:v>
      </x:c>
      <x:c r="Y682" s="234">
        <x:v>0</x:v>
      </x:c>
      <x:c r="Z682" s="234">
        <x:v>0</x:v>
      </x:c>
      <x:c r="AA682" s="234">
        <x:v>0</x:v>
      </x:c>
      <x:c r="AB682" s="234">
        <x:v>0</x:v>
      </x:c>
      <x:c r="AC682" s="234">
        <x:v>0</x:v>
      </x:c>
      <x:c r="AD682" s="234">
        <x:v>0</x:v>
      </x:c>
      <x:c r="AE682" s="234">
        <x:v>0</x:v>
      </x:c>
      <x:c r="AF682" s="234">
        <x:v>0</x:v>
      </x:c>
      <x:c r="AG682" s="234">
        <x:v>0</x:v>
      </x:c>
      <x:c r="AH682" s="234">
        <x:v>0</x:v>
      </x:c>
      <x:c r="AI682" s="234">
        <x:v>0</x:v>
      </x:c>
      <x:c r="AJ682" s="234">
        <x:v>0</x:v>
      </x:c>
      <x:c r="AK682" s="234">
        <x:v>0</x:v>
      </x:c>
      <x:c r="AL682" s="234">
        <x:v>0</x:v>
      </x:c>
      <x:c r="AM682" s="234">
        <x:v>0</x:v>
      </x:c>
      <x:c r="AN682" s="234">
        <x:v>0</x:v>
      </x:c>
      <x:c r="AO682" s="234">
        <x:v>0</x:v>
      </x:c>
    </x:row>
    <x:row r="683" spans="1:41" ht="12.75" customHeight="1" x14ac:dyDescent="0.2">
      <x:c r="C683" s="778"/>
      <x:c r="D683" s="775"/>
      <x:c r="E683" s="233" t="s">
        <x:v>73</x:v>
      </x:c>
      <x:c r="F683" s="234"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2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2">
      <x:c r="C685" s="778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2">
      <x:c r="C686" s="778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2">
      <x:c r="C687" s="778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2">
      <x:c r="C688" s="778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2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2">
      <x:c r="C690" s="778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3">H633</x:f>
        <x:v>0</x:v>
      </x:c>
      <x:c r="I690" s="222">
        <x:f t="shared" si="33"/>
        <x:v>0</x:v>
      </x:c>
      <x:c r="J690" s="222">
        <x:f t="shared" si="33"/>
        <x:v>0</x:v>
      </x:c>
      <x:c r="K690" s="222">
        <x:f t="shared" si="33"/>
        <x:v>0</x:v>
      </x:c>
      <x:c r="L690" s="222">
        <x:f t="shared" si="33"/>
        <x:v>0</x:v>
      </x:c>
      <x:c r="M690" s="222">
        <x:f t="shared" si="33"/>
        <x:v>0</x:v>
      </x:c>
      <x:c r="N690" s="222">
        <x:f t="shared" si="33"/>
        <x:v>0</x:v>
      </x:c>
      <x:c r="O690" s="222">
        <x:f t="shared" si="33"/>
        <x:v>0</x:v>
      </x:c>
      <x:c r="P690" s="222">
        <x:f t="shared" si="33"/>
        <x:v>0</x:v>
      </x:c>
      <x:c r="Q690" s="222">
        <x:f t="shared" si="33"/>
        <x:v>0</x:v>
      </x:c>
      <x:c r="R690" s="222">
        <x:f t="shared" si="33"/>
        <x:v>0</x:v>
      </x:c>
      <x:c r="S690" s="222">
        <x:f t="shared" si="33"/>
        <x:v>0</x:v>
      </x:c>
      <x:c r="T690" s="222">
        <x:f t="shared" si="33"/>
        <x:v>0</x:v>
      </x:c>
      <x:c r="U690" s="222">
        <x:f t="shared" si="33"/>
        <x:v>0</x:v>
      </x:c>
      <x:c r="V690" s="222">
        <x:f t="shared" si="33"/>
        <x:v>0</x:v>
      </x:c>
      <x:c r="W690" s="222">
        <x:f t="shared" si="33"/>
        <x:v>0</x:v>
      </x:c>
      <x:c r="X690" s="222">
        <x:f t="shared" si="33"/>
        <x:v>0</x:v>
      </x:c>
      <x:c r="Y690" s="222">
        <x:f t="shared" si="33"/>
        <x:v>0</x:v>
      </x:c>
      <x:c r="Z690" s="222">
        <x:f t="shared" si="33"/>
        <x:v>0</x:v>
      </x:c>
      <x:c r="AA690" s="222">
        <x:f t="shared" si="33"/>
        <x:v>0</x:v>
      </x:c>
      <x:c r="AB690" s="222">
        <x:f t="shared" si="33"/>
        <x:v>0</x:v>
      </x:c>
      <x:c r="AC690" s="222">
        <x:f t="shared" si="33"/>
        <x:v>0</x:v>
      </x:c>
      <x:c r="AD690" s="222">
        <x:f t="shared" si="33"/>
        <x:v>0</x:v>
      </x:c>
      <x:c r="AE690" s="222">
        <x:f t="shared" si="33"/>
        <x:v>0</x:v>
      </x:c>
      <x:c r="AF690" s="222">
        <x:f t="shared" si="33"/>
        <x:v>0</x:v>
      </x:c>
      <x:c r="AG690" s="222">
        <x:f t="shared" si="33"/>
        <x:v>0</x:v>
      </x:c>
      <x:c r="AH690" s="222">
        <x:f t="shared" si="33"/>
        <x:v>0</x:v>
      </x:c>
      <x:c r="AI690" s="222">
        <x:f t="shared" si="33"/>
        <x:v>0</x:v>
      </x:c>
      <x:c r="AJ690" s="222">
        <x:f t="shared" si="33"/>
        <x:v>0</x:v>
      </x:c>
      <x:c r="AK690" s="222">
        <x:f t="shared" si="33"/>
        <x:v>0</x:v>
      </x:c>
      <x:c r="AL690" s="222">
        <x:f t="shared" si="33"/>
        <x:v>0</x:v>
      </x:c>
      <x:c r="AM690" s="222">
        <x:f t="shared" si="33"/>
        <x:v>0</x:v>
      </x:c>
      <x:c r="AN690" s="222">
        <x:f t="shared" si="33"/>
        <x:v>0</x:v>
      </x:c>
      <x:c r="AO690" s="222">
        <x:f t="shared" si="33"/>
        <x:v>0</x:v>
      </x:c>
    </x:row>
    <x:row r="691" spans="1:41" ht="12.75" customHeight="1" x14ac:dyDescent="0.2">
      <x:c r="C691" s="778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">
      <x:c r="C692" s="778"/>
      <x:c r="D692" s="775" t="s">
        <x:v>133</x:v>
      </x:c>
      <x:c r="E692" s="242" t="s">
        <x:v>70</x:v>
      </x:c>
      <x:c r="F692" s="243">
        <x:v>0</x:v>
      </x:c>
      <x:c r="G692" s="243">
        <x:v>0</x:v>
      </x:c>
      <x:c r="H692" s="243">
        <x:v>0</x:v>
      </x:c>
      <x:c r="I692" s="243">
        <x:v>0</x:v>
      </x:c>
      <x:c r="J692" s="243">
        <x:v>0</x:v>
      </x:c>
      <x:c r="K692" s="243">
        <x:v>0</x:v>
      </x:c>
      <x:c r="L692" s="243">
        <x:v>0</x:v>
      </x:c>
      <x:c r="M692" s="243">
        <x:v>0</x:v>
      </x:c>
      <x:c r="N692" s="243">
        <x:v>0</x:v>
      </x:c>
      <x:c r="O692" s="243">
        <x:v>0</x:v>
      </x:c>
      <x:c r="P692" s="243">
        <x:v>0</x:v>
      </x:c>
      <x:c r="Q692" s="243">
        <x:v>0</x:v>
      </x:c>
      <x:c r="R692" s="243">
        <x:v>0</x:v>
      </x:c>
      <x:c r="S692" s="243">
        <x:v>0</x:v>
      </x:c>
      <x:c r="T692" s="243">
        <x:v>0</x:v>
      </x:c>
      <x:c r="U692" s="243">
        <x:v>0</x:v>
      </x:c>
      <x:c r="V692" s="243">
        <x:v>0</x:v>
      </x:c>
      <x:c r="W692" s="243">
        <x:v>0</x:v>
      </x:c>
      <x:c r="X692" s="243">
        <x:v>0</x:v>
      </x:c>
      <x:c r="Y692" s="243">
        <x:v>0</x:v>
      </x:c>
      <x:c r="Z692" s="243">
        <x:v>0</x:v>
      </x:c>
      <x:c r="AA692" s="243">
        <x:v>0</x:v>
      </x:c>
      <x:c r="AB692" s="243">
        <x:v>0</x:v>
      </x:c>
      <x:c r="AC692" s="243">
        <x:v>0</x:v>
      </x:c>
      <x:c r="AD692" s="243">
        <x:v>0</x:v>
      </x:c>
      <x:c r="AE692" s="243">
        <x:v>0</x:v>
      </x:c>
      <x:c r="AF692" s="243">
        <x:v>0</x:v>
      </x:c>
      <x:c r="AG692" s="243">
        <x:v>0</x:v>
      </x:c>
      <x:c r="AH692" s="243">
        <x:v>0</x:v>
      </x:c>
      <x:c r="AI692" s="243">
        <x:v>0</x:v>
      </x:c>
      <x:c r="AJ692" s="243">
        <x:v>0</x:v>
      </x:c>
      <x:c r="AK692" s="243">
        <x:v>0</x:v>
      </x:c>
      <x:c r="AL692" s="243">
        <x:v>0</x:v>
      </x:c>
      <x:c r="AM692" s="243">
        <x:v>0</x:v>
      </x:c>
      <x:c r="AN692" s="243">
        <x:v>0</x:v>
      </x:c>
      <x:c r="AO692" s="243">
        <x:v>0</x:v>
      </x:c>
    </x:row>
    <x:row r="693" spans="1:41" ht="12.75" customHeight="1" x14ac:dyDescent="0.2">
      <x:c r="C693" s="778"/>
      <x:c r="D693" s="775"/>
      <x:c r="E693" s="242" t="s">
        <x:v>73</x:v>
      </x:c>
      <x:c r="F693" s="243"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2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2">
      <x:c r="C695" s="776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4">H637</x:f>
        <x:v>0</x:v>
      </x:c>
      <x:c r="I695" s="374">
        <x:f t="shared" si="34"/>
        <x:v>0</x:v>
      </x:c>
      <x:c r="J695" s="374">
        <x:f t="shared" si="34"/>
        <x:v>0</x:v>
      </x:c>
      <x:c r="K695" s="374">
        <x:f t="shared" si="34"/>
        <x:v>0</x:v>
      </x:c>
      <x:c r="L695" s="374">
        <x:f>L637</x:f>
        <x:v>0</x:v>
      </x:c>
      <x:c r="M695" s="374">
        <x:f t="shared" si="34"/>
        <x:v>0</x:v>
      </x:c>
      <x:c r="N695" s="374">
        <x:f t="shared" si="34"/>
        <x:v>0</x:v>
      </x:c>
      <x:c r="O695" s="374">
        <x:f t="shared" si="34"/>
        <x:v>0</x:v>
      </x:c>
      <x:c r="P695" s="374">
        <x:f t="shared" si="34"/>
        <x:v>0</x:v>
      </x:c>
      <x:c r="Q695" s="374">
        <x:f t="shared" si="34"/>
        <x:v>0</x:v>
      </x:c>
      <x:c r="R695" s="374">
        <x:f t="shared" si="34"/>
        <x:v>0</x:v>
      </x:c>
      <x:c r="S695" s="374">
        <x:f t="shared" si="34"/>
        <x:v>0</x:v>
      </x:c>
      <x:c r="T695" s="374">
        <x:f t="shared" si="34"/>
        <x:v>0</x:v>
      </x:c>
      <x:c r="U695" s="374">
        <x:f t="shared" si="34"/>
        <x:v>0</x:v>
      </x:c>
      <x:c r="V695" s="374">
        <x:f t="shared" si="34"/>
        <x:v>0</x:v>
      </x:c>
      <x:c r="W695" s="374">
        <x:f t="shared" si="34"/>
        <x:v>0</x:v>
      </x:c>
      <x:c r="X695" s="374">
        <x:f t="shared" si="34"/>
        <x:v>0</x:v>
      </x:c>
      <x:c r="Y695" s="374">
        <x:f t="shared" si="34"/>
        <x:v>0</x:v>
      </x:c>
      <x:c r="Z695" s="374">
        <x:f t="shared" si="34"/>
        <x:v>0</x:v>
      </x:c>
      <x:c r="AA695" s="374">
        <x:f t="shared" si="34"/>
        <x:v>0</x:v>
      </x:c>
      <x:c r="AB695" s="374">
        <x:f t="shared" si="34"/>
        <x:v>0</x:v>
      </x:c>
      <x:c r="AC695" s="374">
        <x:f t="shared" si="34"/>
        <x:v>0</x:v>
      </x:c>
      <x:c r="AD695" s="374">
        <x:f t="shared" si="34"/>
        <x:v>0</x:v>
      </x:c>
      <x:c r="AE695" s="374">
        <x:f t="shared" si="34"/>
        <x:v>0</x:v>
      </x:c>
      <x:c r="AF695" s="374">
        <x:f t="shared" si="34"/>
        <x:v>0</x:v>
      </x:c>
      <x:c r="AG695" s="374">
        <x:f t="shared" si="34"/>
        <x:v>0</x:v>
      </x:c>
      <x:c r="AH695" s="374">
        <x:f t="shared" si="34"/>
        <x:v>0</x:v>
      </x:c>
      <x:c r="AI695" s="374">
        <x:f t="shared" si="34"/>
        <x:v>0</x:v>
      </x:c>
      <x:c r="AJ695" s="374">
        <x:f t="shared" si="34"/>
        <x:v>0</x:v>
      </x:c>
      <x:c r="AK695" s="374">
        <x:f t="shared" si="34"/>
        <x:v>0</x:v>
      </x:c>
      <x:c r="AL695" s="374">
        <x:f t="shared" si="34"/>
        <x:v>0</x:v>
      </x:c>
      <x:c r="AM695" s="374">
        <x:f t="shared" si="34"/>
        <x:v>0</x:v>
      </x:c>
      <x:c r="AN695" s="374">
        <x:f t="shared" si="34"/>
        <x:v>0</x:v>
      </x:c>
      <x:c r="AO695" s="374">
        <x:f t="shared" si="34"/>
        <x:v>0</x:v>
      </x:c>
    </x:row>
    <x:row r="696" spans="1:41" ht="12.75" customHeight="1" x14ac:dyDescent="0.2">
      <x:c r="C696" s="776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">
      <x:c r="C697" s="776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2">
      <x:c r="C698" s="776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2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2">
      <x:c r="C700" s="778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5">G647+G612</x:f>
        <x:v>0</x:v>
      </x:c>
      <x:c r="H700" s="93">
        <x:f t="shared" si="35"/>
        <x:v>0</x:v>
      </x:c>
      <x:c r="I700" s="93">
        <x:f t="shared" si="35"/>
        <x:v>0</x:v>
      </x:c>
      <x:c r="J700" s="93">
        <x:f t="shared" si="35"/>
        <x:v>0</x:v>
      </x:c>
      <x:c r="K700" s="93">
        <x:f t="shared" si="35"/>
        <x:v>0</x:v>
      </x:c>
      <x:c r="L700" s="93">
        <x:f t="shared" si="35"/>
        <x:v>0</x:v>
      </x:c>
      <x:c r="M700" s="93">
        <x:f t="shared" si="35"/>
        <x:v>0</x:v>
      </x:c>
      <x:c r="N700" s="93">
        <x:f t="shared" si="35"/>
        <x:v>0</x:v>
      </x:c>
      <x:c r="O700" s="93">
        <x:f t="shared" si="35"/>
        <x:v>0</x:v>
      </x:c>
      <x:c r="P700" s="93">
        <x:f t="shared" si="35"/>
        <x:v>0</x:v>
      </x:c>
      <x:c r="Q700" s="93">
        <x:f t="shared" si="35"/>
        <x:v>0</x:v>
      </x:c>
      <x:c r="R700" s="93">
        <x:f t="shared" si="35"/>
        <x:v>0</x:v>
      </x:c>
      <x:c r="S700" s="93">
        <x:f t="shared" si="35"/>
        <x:v>0</x:v>
      </x:c>
      <x:c r="T700" s="93">
        <x:f t="shared" si="35"/>
        <x:v>0</x:v>
      </x:c>
      <x:c r="U700" s="93">
        <x:f t="shared" si="35"/>
        <x:v>0</x:v>
      </x:c>
      <x:c r="V700" s="93">
        <x:f t="shared" si="35"/>
        <x:v>0</x:v>
      </x:c>
      <x:c r="W700" s="93">
        <x:f t="shared" si="35"/>
        <x:v>0</x:v>
      </x:c>
      <x:c r="X700" s="93">
        <x:f t="shared" si="35"/>
        <x:v>0</x:v>
      </x:c>
      <x:c r="Y700" s="93">
        <x:f t="shared" si="35"/>
        <x:v>0</x:v>
      </x:c>
      <x:c r="Z700" s="93">
        <x:f t="shared" si="35"/>
        <x:v>0</x:v>
      </x:c>
      <x:c r="AA700" s="93">
        <x:f t="shared" si="35"/>
        <x:v>0</x:v>
      </x:c>
      <x:c r="AB700" s="93">
        <x:f t="shared" si="35"/>
        <x:v>0</x:v>
      </x:c>
      <x:c r="AC700" s="93">
        <x:f t="shared" si="35"/>
        <x:v>0</x:v>
      </x:c>
      <x:c r="AD700" s="93">
        <x:f t="shared" si="35"/>
        <x:v>0</x:v>
      </x:c>
      <x:c r="AE700" s="93">
        <x:f t="shared" si="35"/>
        <x:v>0</x:v>
      </x:c>
      <x:c r="AF700" s="93">
        <x:f t="shared" si="35"/>
        <x:v>0</x:v>
      </x:c>
      <x:c r="AG700" s="93">
        <x:f t="shared" si="35"/>
        <x:v>0</x:v>
      </x:c>
      <x:c r="AH700" s="93">
        <x:f t="shared" si="35"/>
        <x:v>0</x:v>
      </x:c>
      <x:c r="AI700" s="93">
        <x:f t="shared" si="35"/>
        <x:v>0</x:v>
      </x:c>
      <x:c r="AJ700" s="93">
        <x:f t="shared" si="35"/>
        <x:v>0</x:v>
      </x:c>
      <x:c r="AK700" s="93">
        <x:f t="shared" si="35"/>
        <x:v>0</x:v>
      </x:c>
      <x:c r="AL700" s="93">
        <x:f t="shared" si="35"/>
        <x:v>0</x:v>
      </x:c>
      <x:c r="AM700" s="93">
        <x:f t="shared" si="35"/>
        <x:v>0</x:v>
      </x:c>
      <x:c r="AN700" s="93">
        <x:f t="shared" si="35"/>
        <x:v>0</x:v>
      </x:c>
      <x:c r="AO700" s="93">
        <x:f t="shared" si="35"/>
        <x:v>0</x:v>
      </x:c>
    </x:row>
    <x:row r="701" spans="1:41" ht="12.75" customHeight="1" x14ac:dyDescent="0.2">
      <x:c r="C701" s="778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">
      <x:c r="C702" s="778"/>
      <x:c r="D702" s="775" t="s">
        <x:v>133</x:v>
      </x:c>
      <x:c r="E702" s="235" t="s">
        <x:v>70</x:v>
      </x:c>
      <x:c r="F702" s="236">
        <x:v>0</x:v>
      </x:c>
      <x:c r="G702" s="236">
        <x:v>0</x:v>
      </x:c>
      <x:c r="H702" s="236">
        <x:v>0</x:v>
      </x:c>
      <x:c r="I702" s="236">
        <x:v>0</x:v>
      </x:c>
      <x:c r="J702" s="236">
        <x:v>0</x:v>
      </x:c>
      <x:c r="K702" s="236">
        <x:v>0</x:v>
      </x:c>
      <x:c r="L702" s="236">
        <x:v>0</x:v>
      </x:c>
      <x:c r="M702" s="236">
        <x:v>0</x:v>
      </x:c>
      <x:c r="N702" s="236">
        <x:v>0</x:v>
      </x:c>
      <x:c r="O702" s="236">
        <x:v>0</x:v>
      </x:c>
      <x:c r="P702" s="236">
        <x:v>0</x:v>
      </x:c>
      <x:c r="Q702" s="236">
        <x:v>0</x:v>
      </x:c>
      <x:c r="R702" s="236">
        <x:v>0</x:v>
      </x:c>
      <x:c r="S702" s="236">
        <x:v>0</x:v>
      </x:c>
      <x:c r="T702" s="236">
        <x:v>0</x:v>
      </x:c>
      <x:c r="U702" s="236">
        <x:v>0</x:v>
      </x:c>
      <x:c r="V702" s="236">
        <x:v>0</x:v>
      </x:c>
      <x:c r="W702" s="236">
        <x:v>0</x:v>
      </x:c>
      <x:c r="X702" s="236">
        <x:v>0</x:v>
      </x:c>
      <x:c r="Y702" s="236">
        <x:v>0</x:v>
      </x:c>
      <x:c r="Z702" s="236">
        <x:v>0</x:v>
      </x:c>
      <x:c r="AA702" s="236">
        <x:v>0</x:v>
      </x:c>
      <x:c r="AB702" s="236">
        <x:v>0</x:v>
      </x:c>
      <x:c r="AC702" s="236">
        <x:v>0</x:v>
      </x:c>
      <x:c r="AD702" s="236">
        <x:v>0</x:v>
      </x:c>
      <x:c r="AE702" s="236">
        <x:v>0</x:v>
      </x:c>
      <x:c r="AF702" s="236">
        <x:v>0</x:v>
      </x:c>
      <x:c r="AG702" s="236">
        <x:v>0</x:v>
      </x:c>
      <x:c r="AH702" s="236">
        <x:v>0</x:v>
      </x:c>
      <x:c r="AI702" s="236">
        <x:v>0</x:v>
      </x:c>
      <x:c r="AJ702" s="236">
        <x:v>0</x:v>
      </x:c>
      <x:c r="AK702" s="236">
        <x:v>0</x:v>
      </x:c>
      <x:c r="AL702" s="236">
        <x:v>0</x:v>
      </x:c>
      <x:c r="AM702" s="236">
        <x:v>0</x:v>
      </x:c>
      <x:c r="AN702" s="236">
        <x:v>0</x:v>
      </x:c>
      <x:c r="AO702" s="236">
        <x:v>0</x:v>
      </x:c>
    </x:row>
    <x:row r="703" spans="1:41" ht="12.75" customHeight="1" x14ac:dyDescent="0.2">
      <x:c r="C703" s="778"/>
      <x:c r="D703" s="775"/>
      <x:c r="E703" s="235" t="s">
        <x:v>73</x:v>
      </x:c>
      <x:c r="F703" s="236"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2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2">
      <x:c r="C705" s="777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2">
      <x:c r="C706" s="777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2">
      <x:c r="C707" s="777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2">
      <x:c r="C708" s="777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2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2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6">G614</x:f>
        <x:v>0</x:v>
      </x:c>
      <x:c r="H710" s="460">
        <x:f t="shared" si="36"/>
        <x:v>0</x:v>
      </x:c>
      <x:c r="I710" s="460">
        <x:f t="shared" si="36"/>
        <x:v>0</x:v>
      </x:c>
      <x:c r="J710" s="460">
        <x:f t="shared" si="36"/>
        <x:v>0</x:v>
      </x:c>
      <x:c r="K710" s="460">
        <x:f t="shared" si="36"/>
        <x:v>0</x:v>
      </x:c>
      <x:c r="L710" s="460">
        <x:f t="shared" si="36"/>
        <x:v>0</x:v>
      </x:c>
      <x:c r="M710" s="460">
        <x:f t="shared" si="36"/>
        <x:v>0</x:v>
      </x:c>
      <x:c r="N710" s="460">
        <x:f t="shared" si="36"/>
        <x:v>0</x:v>
      </x:c>
      <x:c r="O710" s="460">
        <x:f t="shared" si="36"/>
        <x:v>0</x:v>
      </x:c>
      <x:c r="P710" s="460">
        <x:f t="shared" si="36"/>
        <x:v>0</x:v>
      </x:c>
      <x:c r="Q710" s="460">
        <x:f t="shared" si="36"/>
        <x:v>0</x:v>
      </x:c>
      <x:c r="R710" s="460">
        <x:f t="shared" si="36"/>
        <x:v>0</x:v>
      </x:c>
      <x:c r="S710" s="460">
        <x:f t="shared" si="36"/>
        <x:v>0</x:v>
      </x:c>
      <x:c r="T710" s="460">
        <x:f t="shared" si="36"/>
        <x:v>0</x:v>
      </x:c>
      <x:c r="U710" s="460">
        <x:f t="shared" si="36"/>
        <x:v>0</x:v>
      </x:c>
      <x:c r="V710" s="460">
        <x:f t="shared" si="36"/>
        <x:v>0</x:v>
      </x:c>
      <x:c r="W710" s="460">
        <x:f t="shared" si="36"/>
        <x:v>0</x:v>
      </x:c>
      <x:c r="X710" s="460">
        <x:f t="shared" si="36"/>
        <x:v>0</x:v>
      </x:c>
      <x:c r="Y710" s="460">
        <x:f t="shared" si="36"/>
        <x:v>0</x:v>
      </x:c>
      <x:c r="Z710" s="460">
        <x:f t="shared" si="36"/>
        <x:v>0</x:v>
      </x:c>
      <x:c r="AA710" s="460">
        <x:f t="shared" si="36"/>
        <x:v>0</x:v>
      </x:c>
    </x:row>
    <x:row r="711" spans="3:41" ht="12.75" customHeight="1" x14ac:dyDescent="0.2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2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85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75" x14ac:dyDescent="0.2"/>
  <x:cols>
    <x:col min="2" max="2" width="22.42578125" bestFit="1" customWidth="1"/>
    <x:col min="3" max="3" width="18.85546875" customWidth="1"/>
    <x:col min="4" max="4" width="23.140625" bestFit="1" customWidth="1"/>
    <x:col min="5" max="5" width="15.140625" bestFit="1" customWidth="1"/>
    <x:col min="6" max="6" width="15.42578125" bestFit="1" customWidth="1"/>
    <x:col min="7" max="8" width="16.140625" bestFit="1" customWidth="1"/>
    <x:col min="9" max="9" width="15.140625" bestFit="1" customWidth="1"/>
    <x:col min="10" max="10" width="17" bestFit="1" customWidth="1"/>
    <x:col min="11" max="11" width="13.5703125" bestFit="1" customWidth="1"/>
    <x:col min="12" max="12" width="15.5703125" bestFit="1" customWidth="1"/>
    <x:col min="13" max="15" width="15.140625" bestFit="1" customWidth="1"/>
    <x:col min="16" max="16" width="20.42578125" bestFit="1" customWidth="1"/>
    <x:col min="17" max="17" width="11.5703125" customWidth="1"/>
    <x:col min="18" max="18" width="13.5703125" bestFit="1" customWidth="1"/>
  </x:cols>
  <x:sheetData>
    <x:row r="1" spans="2:18" x14ac:dyDescent="0.2">
      <x:c r="B1" s="97" t="s">
        <x:v>74</x:v>
      </x:c>
    </x:row>
    <x:row r="2" spans="2:18" ht="12.75" customHeight="1" x14ac:dyDescent="0.2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2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8" ht="12.75" customHeight="1" x14ac:dyDescent="0.2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8" ht="12.75" customHeight="1" x14ac:dyDescent="0.2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2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2">
      <x:c r="D7" t="s">
        <x:v>72</x:v>
      </x:c>
      <x:c r="E7" s="384" t="n">
        <x:v>68638686.24</x:v>
      </x:c>
      <x:c r="F7" s="89" t="n">
        <x:v>3508770.06</x:v>
      </x:c>
      <x:c r="G7" s="89" t="n">
        <x:v>1937288.95</x:v>
      </x:c>
      <x:c r="H7" s="384" t="n">
        <x:v>1197110.4</x:v>
      </x:c>
      <x:c r="I7" s="89" t="n">
        <x:v>11380562.05</x:v>
      </x:c>
      <x:c r="J7" s="89" t="n">
        <x:v>443407.1</x:v>
      </x:c>
      <x:c r="K7" s="89" t="n">
        <x:v>144941.68</x:v>
      </x:c>
      <x:c r="L7" s="89" t="n">
        <x:v>5045467.66</x:v>
      </x:c>
      <x:c r="M7" s="89" t="n">
        <x:v>6828093.87</x:v>
      </x:c>
      <x:c r="N7" s="89" t="n">
        <x:v>27654989.83</x:v>
      </x:c>
      <x:c r="O7" s="89" t="n">
        <x:v>9809312.24</x:v>
      </x:c>
      <x:c r="P7" s="89" t="n">
        <x:v>689599.67</x:v>
      </x:c>
      <x:c r="Q7" s="89" t="n">
        <x:v>-857.27</x:v>
      </x:c>
      <x:c r="R7" t="n">
        <x:v>0</x:v>
      </x:c>
    </x:row>
    <x:row r="8" spans="2:18" ht="12.75" customHeight="1" x14ac:dyDescent="0.2">
      <x:c r="D8" t="s">
        <x:v>81</x:v>
      </x:c>
      <x:c r="E8" t="n">
        <x:v>3528.82</x:v>
      </x:c>
      <x:c r="F8" t="n">
        <x:v>170.02</x:v>
      </x:c>
      <x:c r="G8" t="n">
        <x:v>95.73</x:v>
      </x:c>
      <x:c r="H8" t="n">
        <x:v>50.84</x:v>
      </x:c>
      <x:c r="I8" t="n">
        <x:v>743.09</x:v>
      </x:c>
      <x:c r="J8" t="n">
        <x:v>33.55</x:v>
      </x:c>
      <x:c r="K8" t="n">
        <x:v>0</x:v>
      </x:c>
      <x:c r="L8" t="n">
        <x:v>294.89</x:v>
      </x:c>
      <x:c r="M8" t="n">
        <x:v>285.6</x:v>
      </x:c>
      <x:c r="N8" t="n">
        <x:v>1334.86</x:v>
      </x:c>
      <x:c r="O8" t="n">
        <x:v>465.51</x:v>
      </x:c>
      <x:c r="P8" t="n">
        <x:v>54.68</x:v>
      </x:c>
      <x:c r="Q8" t="n">
        <x:v>0.05</x:v>
      </x:c>
      <x:c r="R8" t="n">
        <x:v>0</x:v>
      </x:c>
    </x:row>
    <x:row r="9" spans="2:18" ht="12.75" customHeight="1" x14ac:dyDescent="0.2">
      <x:c r="C9" t="s">
        <x:v>156</x:v>
      </x:c>
      <x:c r="D9" t="s">
        <x:v>70</x:v>
      </x:c>
      <x:c r="E9" t="n">
        <x:v>68642215.06</x:v>
      </x:c>
      <x:c r="F9" t="n">
        <x:v>3508940.08</x:v>
      </x:c>
      <x:c r="G9" t="n">
        <x:v>1937384.68</x:v>
      </x:c>
      <x:c r="H9" t="n">
        <x:v>1197161.24</x:v>
      </x:c>
      <x:c r="I9" t="n">
        <x:v>11381305.14</x:v>
      </x:c>
      <x:c r="J9" t="n">
        <x:v>443440.65</x:v>
      </x:c>
      <x:c r="K9" t="n">
        <x:v>144941.68</x:v>
      </x:c>
      <x:c r="L9" t="n">
        <x:v>5045762.55</x:v>
      </x:c>
      <x:c r="M9" t="n">
        <x:v>6828379.47</x:v>
      </x:c>
      <x:c r="N9" t="n">
        <x:v>27656324.69</x:v>
      </x:c>
      <x:c r="O9" t="n">
        <x:v>9809777.75</x:v>
      </x:c>
      <x:c r="P9" t="n">
        <x:v>689654.35</x:v>
      </x:c>
      <x:c r="Q9" t="n">
        <x:v>-857.22</x:v>
      </x:c>
      <x:c r="R9" t="n">
        <x:v>0</x:v>
      </x:c>
    </x:row>
    <x:row r="10" spans="2:18" s="286" customFormat="1" ht="12.75" customHeight="1" x14ac:dyDescent="0.2">
      <x:c r="B10" s="286" t="s">
        <x:v>155</x:v>
      </x:c>
      <x:c r="C10" s="286" t="s">
        <x:v>70</x:v>
      </x:c>
      <x:c r="E10" s="286" t="n">
        <x:v>68642215.06</x:v>
      </x:c>
      <x:c r="F10" s="286" t="n">
        <x:v>3508940.08</x:v>
      </x:c>
      <x:c r="G10" s="286" t="n">
        <x:v>1937384.68</x:v>
      </x:c>
      <x:c r="H10" s="286" t="n">
        <x:v>1197161.24</x:v>
      </x:c>
      <x:c r="I10" s="286" t="n">
        <x:v>11381305.14</x:v>
      </x:c>
      <x:c r="J10" s="286" t="n">
        <x:v>443440.65</x:v>
      </x:c>
      <x:c r="K10" s="286" t="n">
        <x:v>144941.68</x:v>
      </x:c>
      <x:c r="L10" s="286" t="n">
        <x:v>5045762.55</x:v>
      </x:c>
      <x:c r="M10" s="286" t="n">
        <x:v>6828379.47</x:v>
      </x:c>
      <x:c r="N10" s="286" t="n">
        <x:v>27656324.69</x:v>
      </x:c>
      <x:c r="O10" s="286" t="n">
        <x:v>9809777.75</x:v>
      </x:c>
      <x:c r="P10" s="286" t="n">
        <x:v>689654.35</x:v>
      </x:c>
      <x:c r="Q10" s="286" t="n">
        <x:v>-857.22</x:v>
      </x:c>
      <x:c r="R10" s="286" t="n">
        <x:v>0</x:v>
      </x:c>
    </x:row>
    <x:row r="11" spans="2:18" ht="12.75" customHeight="1" x14ac:dyDescent="0.2">
      <x:c r="B11" s="142"/>
      <x:c r="D11" t="s">
        <x:v>72</x:v>
      </x:c>
      <x:c r="E11" s="142" t="n">
        <x:v>5479070.67</x:v>
      </x:c>
      <x:c r="F11" t="n">
        <x:v>243932.99</x:v>
      </x:c>
      <x:c r="G11" t="n">
        <x:v>135534</x:v>
      </x:c>
      <x:c r="H11" t="n">
        <x:v>68532.32</x:v>
      </x:c>
      <x:c r="I11" t="n">
        <x:v>1313846.94</x:v>
      </x:c>
      <x:c r="J11" t="n">
        <x:v>46576.22</x:v>
      </x:c>
      <x:c r="K11" t="n">
        <x:v>0</x:v>
      </x:c>
      <x:c r="L11" t="n">
        <x:v>417929.46</x:v>
      </x:c>
      <x:c r="M11" t="n">
        <x:v>436871.77</x:v>
      </x:c>
      <x:c r="N11" t="n">
        <x:v>2070547.96</x:v>
      </x:c>
      <x:c r="O11" t="n">
        <x:v>668883.46</x:v>
      </x:c>
      <x:c r="P11" t="n">
        <x:v>76726.72</x:v>
      </x:c>
      <x:c r="Q11" t="n">
        <x:v>-311.17</x:v>
      </x:c>
      <x:c r="R11" t="n">
        <x:v>0</x:v>
      </x:c>
    </x:row>
    <x:row r="12" spans="2:18" ht="12.75" customHeight="1" x14ac:dyDescent="0.2">
      <x:c r="B12" s="142"/>
      <x:c r="D12" t="s">
        <x:v>81</x:v>
      </x:c>
      <x:c r="E12" s="142" t="n">
        <x:v>24.04</x:v>
      </x:c>
      <x:c r="F12" t="n">
        <x:v>1.51</x:v>
      </x:c>
      <x:c r="G12" t="n">
        <x:v>0.84</x:v>
      </x:c>
      <x:c r="H12" t="n">
        <x:v>0.45</x:v>
      </x:c>
      <x:c r="I12" t="n">
        <x:v>5.71</x:v>
      </x:c>
      <x:c r="J12" t="n">
        <x:v>0.14</x:v>
      </x:c>
      <x:c r="K12" t="n">
        <x:v>0</x:v>
      </x:c>
      <x:c r="L12" t="n">
        <x:v>1.12</x:v>
      </x:c>
      <x:c r="M12" t="n">
        <x:v>1.78</x:v>
      </x:c>
      <x:c r="N12" t="n">
        <x:v>8.4</x:v>
      </x:c>
      <x:c r="O12" t="n">
        <x:v>3.85</x:v>
      </x:c>
      <x:c r="P12" t="n">
        <x:v>0.24</x:v>
      </x:c>
      <x:c r="Q12" t="n">
        <x:v>0</x:v>
      </x:c>
      <x:c r="R12" t="n">
        <x:v>0</x:v>
      </x:c>
    </x:row>
    <x:row r="13" spans="2:18" ht="12.75" customHeight="1" x14ac:dyDescent="0.2">
      <x:c r="B13" s="142"/>
      <x:c r="C13" t="s">
        <x:v>82</x:v>
      </x:c>
      <x:c r="D13" t="s">
        <x:v>70</x:v>
      </x:c>
      <x:c r="E13" s="142" t="n">
        <x:v>5479094.71</x:v>
      </x:c>
      <x:c r="F13" t="n">
        <x:v>243934.5</x:v>
      </x:c>
      <x:c r="G13" t="n">
        <x:v>135534.84</x:v>
      </x:c>
      <x:c r="H13" t="n">
        <x:v>68532.77</x:v>
      </x:c>
      <x:c r="I13" t="n">
        <x:v>1313852.65</x:v>
      </x:c>
      <x:c r="J13" t="n">
        <x:v>46576.36</x:v>
      </x:c>
      <x:c r="K13" t="n">
        <x:v>0</x:v>
      </x:c>
      <x:c r="L13" t="n">
        <x:v>417930.58</x:v>
      </x:c>
      <x:c r="M13" t="n">
        <x:v>436873.55</x:v>
      </x:c>
      <x:c r="N13" t="n">
        <x:v>2070556.36</x:v>
      </x:c>
      <x:c r="O13" t="n">
        <x:v>668887.31</x:v>
      </x:c>
      <x:c r="P13" t="n">
        <x:v>76726.96</x:v>
      </x:c>
      <x:c r="Q13" t="n">
        <x:v>-311.17</x:v>
      </x:c>
      <x:c r="R13" t="n">
        <x:v>0</x:v>
      </x:c>
    </x:row>
    <x:row r="14" spans="2:18" ht="12.75" customHeight="1" x14ac:dyDescent="0.2">
      <x:c r="B14" s="142"/>
      <x:c r="D14" t="s">
        <x:v>72</x:v>
      </x:c>
      <x:c r="E14" t="n">
        <x:v>2699596.44</x:v>
      </x:c>
      <x:c r="F14" t="n">
        <x:v>95549.78</x:v>
      </x:c>
      <x:c r="G14" t="n">
        <x:v>53478.14</x:v>
      </x:c>
      <x:c r="H14" t="n">
        <x:v>29682.43</x:v>
      </x:c>
      <x:c r="I14" t="n">
        <x:v>366661.73</x:v>
      </x:c>
      <x:c r="J14" t="n">
        <x:v>13313.03</x:v>
      </x:c>
      <x:c r="K14" t="n">
        <x:v>0</x:v>
      </x:c>
      <x:c r="L14" t="n">
        <x:v>130811.46</x:v>
      </x:c>
      <x:c r="M14" t="n">
        <x:v>240997.61</x:v>
      </x:c>
      <x:c r="N14" t="n">
        <x:v>1493886.79</x:v>
      </x:c>
      <x:c r="O14" t="n">
        <x:v>253812.51</x:v>
      </x:c>
      <x:c r="P14" t="n">
        <x:v>21392.67</x:v>
      </x:c>
      <x:c r="Q14" t="n">
        <x:v>10.29</x:v>
      </x:c>
      <x:c r="R14" t="n">
        <x:v>0</x:v>
      </x:c>
    </x:row>
    <x:row r="15" spans="2:18" ht="12.75" customHeight="1" x14ac:dyDescent="0.2">
      <x:c r="B15" s="142"/>
      <x:c r="D15" t="s">
        <x:v>81</x:v>
      </x:c>
      <x:c r="E15" t="n">
        <x:v>170.73</x:v>
      </x:c>
      <x:c r="F15" t="n">
        <x:v>2.1</x:v>
      </x:c>
      <x:c r="G15" t="n">
        <x:v>1.34</x:v>
      </x:c>
      <x:c r="H15" t="n">
        <x:v>0.69</x:v>
      </x:c>
      <x:c r="I15" t="n">
        <x:v>38.16</x:v>
      </x:c>
      <x:c r="J15" t="n">
        <x:v>1.84</x:v>
      </x:c>
      <x:c r="K15" t="n">
        <x:v>0</x:v>
      </x:c>
      <x:c r="L15" t="n">
        <x:v>16.16</x:v>
      </x:c>
      <x:c r="M15" t="n">
        <x:v>20.39</x:v>
      </x:c>
      <x:c r="N15" t="n">
        <x:v>80.99</x:v>
      </x:c>
      <x:c r="O15" t="n">
        <x:v>6.05</x:v>
      </x:c>
      <x:c r="P15" t="n">
        <x:v>3.01</x:v>
      </x:c>
      <x:c r="Q15" t="n">
        <x:v>0</x:v>
      </x:c>
      <x:c r="R15" t="n">
        <x:v>0</x:v>
      </x:c>
    </x:row>
    <x:row r="16" spans="2:18" ht="12.75" customHeight="1" x14ac:dyDescent="0.2">
      <x:c r="B16" s="142"/>
      <x:c r="C16" t="s">
        <x:v>86</x:v>
      </x:c>
      <x:c r="D16" t="s">
        <x:v>70</x:v>
      </x:c>
      <x:c r="E16" s="142" t="n">
        <x:v>2699767.17</x:v>
      </x:c>
      <x:c r="F16" t="n">
        <x:v>95551.88</x:v>
      </x:c>
      <x:c r="G16" t="n">
        <x:v>53479.48</x:v>
      </x:c>
      <x:c r="H16" t="n">
        <x:v>29683.12</x:v>
      </x:c>
      <x:c r="I16" t="n">
        <x:v>366699.89</x:v>
      </x:c>
      <x:c r="J16" t="n">
        <x:v>13314.87</x:v>
      </x:c>
      <x:c r="K16" t="n">
        <x:v>0</x:v>
      </x:c>
      <x:c r="L16" t="n">
        <x:v>130827.62</x:v>
      </x:c>
      <x:c r="M16" t="n">
        <x:v>241018</x:v>
      </x:c>
      <x:c r="N16" t="n">
        <x:v>1493967.78</x:v>
      </x:c>
      <x:c r="O16" t="n">
        <x:v>253818.56</x:v>
      </x:c>
      <x:c r="P16" t="n">
        <x:v>21395.68</x:v>
      </x:c>
      <x:c r="Q16" t="n">
        <x:v>10.29</x:v>
      </x:c>
      <x:c r="R16" t="n">
        <x:v>0</x:v>
      </x:c>
    </x:row>
    <x:row r="17" spans="1:18" ht="12.75" customHeight="1" x14ac:dyDescent="0.2">
      <x:c r="B17" s="142"/>
      <x:c r="D17" t="s">
        <x:v>72</x:v>
      </x:c>
      <x:c r="E17" s="142" t="n">
        <x:v>16559735.16</x:v>
      </x:c>
      <x:c r="F17" t="n">
        <x:v>1740094.46</x:v>
      </x:c>
      <x:c r="G17" t="n">
        <x:v>958303.25</x:v>
      </x:c>
      <x:c r="H17" t="n">
        <x:v>447836.01</x:v>
      </x:c>
      <x:c r="I17" t="n">
        <x:v>2709661.22</x:v>
      </x:c>
      <x:c r="J17" t="n">
        <x:v>85664.82</x:v>
      </x:c>
      <x:c r="K17" t="n">
        <x:v>0</x:v>
      </x:c>
      <x:c r="L17" t="n">
        <x:v>781263.06</x:v>
      </x:c>
      <x:c r="M17" t="n">
        <x:v>852821.92</x:v>
      </x:c>
      <x:c r="N17" t="n">
        <x:v>4145411.85</x:v>
      </x:c>
      <x:c r="O17" t="n">
        <x:v>4699990.01</x:v>
      </x:c>
      <x:c r="P17" t="n">
        <x:v>138915.45</x:v>
      </x:c>
      <x:c r="Q17" t="n">
        <x:v>-226.89</x:v>
      </x:c>
      <x:c r="R17" t="n">
        <x:v>0</x:v>
      </x:c>
    </x:row>
    <x:row r="18" spans="1:18" ht="12.75" customHeight="1" x14ac:dyDescent="0.2">
      <x:c r="B18" s="142"/>
      <x:c r="D18" t="s">
        <x:v>81</x:v>
      </x:c>
      <x:c r="E18" s="142" t="n">
        <x:v>97115.22</x:v>
      </x:c>
      <x:c r="F18" t="n">
        <x:v>1611.55</x:v>
      </x:c>
      <x:c r="G18" t="n">
        <x:v>741.57</x:v>
      </x:c>
      <x:c r="H18" t="n">
        <x:v>427.39</x:v>
      </x:c>
      <x:c r="I18" t="n">
        <x:v>6355.99</x:v>
      </x:c>
      <x:c r="J18" t="n">
        <x:v>233.02</x:v>
      </x:c>
      <x:c r="K18" t="n">
        <x:v>0</x:v>
      </x:c>
      <x:c r="L18" t="n">
        <x:v>2044.02</x:v>
      </x:c>
      <x:c r="M18" t="n">
        <x:v>1803.07</x:v>
      </x:c>
      <x:c r="N18" t="n">
        <x:v>8235.95</x:v>
      </x:c>
      <x:c r="O18" t="n">
        <x:v>4412.45</x:v>
      </x:c>
      <x:c r="P18" t="n">
        <x:v>380.2</x:v>
      </x:c>
      <x:c r="Q18" t="n">
        <x:v>70870.01</x:v>
      </x:c>
      <x:c r="R18" t="n">
        <x:v>0</x:v>
      </x:c>
    </x:row>
    <x:row r="19" spans="1:18" ht="12.75" customHeight="1" x14ac:dyDescent="0.2">
      <x:c r="B19" s="142"/>
      <x:c r="C19" s="89" t="s">
        <x:v>87</x:v>
      </x:c>
      <x:c r="D19" s="89" t="s">
        <x:v>70</x:v>
      </x:c>
      <x:c r="E19" s="90" t="n">
        <x:v>16656850.38</x:v>
      </x:c>
      <x:c r="F19" s="90" t="n">
        <x:v>1741706.01</x:v>
      </x:c>
      <x:c r="G19" s="90" t="n">
        <x:v>959044.82</x:v>
      </x:c>
      <x:c r="H19" s="90" t="n">
        <x:v>448263.4</x:v>
      </x:c>
      <x:c r="I19" s="90" t="n">
        <x:v>2716017.21</x:v>
      </x:c>
      <x:c r="J19" s="90" t="n">
        <x:v>85897.84</x:v>
      </x:c>
      <x:c r="K19" s="90" t="n">
        <x:v>0</x:v>
      </x:c>
      <x:c r="L19" s="90" t="n">
        <x:v>783307.08</x:v>
      </x:c>
      <x:c r="M19" s="90" t="n">
        <x:v>854624.99</x:v>
      </x:c>
      <x:c r="N19" s="90" t="n">
        <x:v>4153647.8</x:v>
      </x:c>
      <x:c r="O19" s="90" t="n">
        <x:v>4704402.46</x:v>
      </x:c>
      <x:c r="P19" s="90" t="n">
        <x:v>139295.65</x:v>
      </x:c>
      <x:c r="Q19" s="90" t="n">
        <x:v>70643.12</x:v>
      </x:c>
      <x:c r="R19" t="n">
        <x:v>0</x:v>
      </x:c>
    </x:row>
    <x:row r="20" spans="1:18" s="94" customFormat="1" ht="12.75" customHeight="1" x14ac:dyDescent="0.2">
      <x:c r="B20" s="101" t="s">
        <x:v>119</x:v>
      </x:c>
      <x:c r="C20" s="101" t="s">
        <x:v>70</x:v>
      </x:c>
      <x:c r="E20" s="93" t="n">
        <x:v>24835712.26</x:v>
      </x:c>
      <x:c r="F20" s="93" t="n">
        <x:v>2081192.39</x:v>
      </x:c>
      <x:c r="G20" s="93" t="n">
        <x:v>1148059.14</x:v>
      </x:c>
      <x:c r="H20" s="93" t="n">
        <x:v>546479.29</x:v>
      </x:c>
      <x:c r="I20" s="93" t="n">
        <x:v>4396569.75</x:v>
      </x:c>
      <x:c r="J20" s="93" t="n">
        <x:v>145789.07</x:v>
      </x:c>
      <x:c r="K20" s="93" t="n">
        <x:v>0</x:v>
      </x:c>
      <x:c r="L20" s="93" t="n">
        <x:v>1332065.28</x:v>
      </x:c>
      <x:c r="M20" s="93" t="n">
        <x:v>1532516.54</x:v>
      </x:c>
      <x:c r="N20" s="93" t="n">
        <x:v>7718171.94</x:v>
      </x:c>
      <x:c r="O20" s="93" t="n">
        <x:v>5627108.33</x:v>
      </x:c>
      <x:c r="P20" s="93" t="n">
        <x:v>237418.29</x:v>
      </x:c>
      <x:c r="Q20" s="93" t="n">
        <x:v>70342.24</x:v>
      </x:c>
      <x:c r="R20" s="94" t="n">
        <x:v>0</x:v>
      </x:c>
    </x:row>
    <x:row r="21" spans="1:18" s="226" customFormat="1" ht="12.75" customHeight="1" x14ac:dyDescent="0.2">
      <x:c r="A21" s="98" t="s">
        <x:v>78</x:v>
      </x:c>
      <x:c r="B21" s="98" t="s">
        <x:v>70</x:v>
      </x:c>
      <x:c r="E21" s="100" t="n">
        <x:v>93477927.32</x:v>
      </x:c>
      <x:c r="F21" s="100" t="n">
        <x:v>5590132.47</x:v>
      </x:c>
      <x:c r="G21" s="100" t="n">
        <x:v>3085443.82</x:v>
      </x:c>
      <x:c r="H21" s="100" t="n">
        <x:v>1743640.53</x:v>
      </x:c>
      <x:c r="I21" s="100" t="n">
        <x:v>15777874.89</x:v>
      </x:c>
      <x:c r="J21" s="100" t="n">
        <x:v>589229.72</x:v>
      </x:c>
      <x:c r="K21" s="100" t="n">
        <x:v>144941.68</x:v>
      </x:c>
      <x:c r="L21" s="100" t="n">
        <x:v>6377827.83</x:v>
      </x:c>
      <x:c r="M21" s="100" t="n">
        <x:v>8360896.01</x:v>
      </x:c>
      <x:c r="N21" s="100" t="n">
        <x:v>35374496.63</x:v>
      </x:c>
      <x:c r="O21" s="100" t="n">
        <x:v>15436886.08</x:v>
      </x:c>
      <x:c r="P21" s="100" t="n">
        <x:v>927072.64</x:v>
      </x:c>
      <x:c r="Q21" s="100" t="n">
        <x:v>69485.02</x:v>
      </x:c>
      <x:c r="R21" s="226" t="n">
        <x:v>0</x:v>
      </x:c>
    </x:row>
    <x:row r="22" spans="1:18" ht="12.75" customHeight="1" x14ac:dyDescent="0.2">
      <x:c r="D22" s="89" t="s">
        <x:v>73</x:v>
      </x:c>
      <x:c r="E22" s="371" t="n">
        <x:v>-16919807.52</x:v>
      </x:c>
      <x:c r="F22" s="90" t="n">
        <x:v>-6426.91</x:v>
      </x:c>
      <x:c r="G22" s="90" t="n">
        <x:v>-7107.75</x:v>
      </x:c>
      <x:c r="H22" s="90" t="n">
        <x:v>-34767.29</x:v>
      </x:c>
      <x:c r="I22" s="90" t="n">
        <x:v>-4744685.92</x:v>
      </x:c>
      <x:c r="J22" s="90" t="n">
        <x:v>-208801.3</x:v>
      </x:c>
      <x:c r="K22" s="90" t="n">
        <x:v>0</x:v>
      </x:c>
      <x:c r="L22" s="90" t="n">
        <x:v>-1830873.33</x:v>
      </x:c>
      <x:c r="M22" s="90" t="n">
        <x:v>-1718121.47</x:v>
      </x:c>
      <x:c r="N22" s="90" t="n">
        <x:v>-8045333.68</x:v>
      </x:c>
      <x:c r="O22" s="90" t="n">
        <x:v>17277.31</x:v>
      </x:c>
      <x:c r="P22" s="90" t="n">
        <x:v>-340967.18</x:v>
      </x:c>
      <x:c r="Q22" s="90" t="n">
        <x:v>0</x:v>
      </x:c>
      <x:c r="R22" t="n">
        <x:v>0</x:v>
      </x:c>
    </x:row>
    <x:row r="23" spans="1:18" ht="12.75" customHeight="1" x14ac:dyDescent="0.2">
      <x:c r="C23" s="89" t="s">
        <x:v>156</x:v>
      </x:c>
      <x:c r="D23" s="89" t="s">
        <x:v>70</x:v>
      </x:c>
      <x:c r="E23" s="90" t="n">
        <x:v>-16919807.52</x:v>
      </x:c>
      <x:c r="F23" s="90" t="n">
        <x:v>-6426.91</x:v>
      </x:c>
      <x:c r="G23" s="90" t="n">
        <x:v>-7107.75</x:v>
      </x:c>
      <x:c r="H23" s="90" t="n">
        <x:v>-34767.29</x:v>
      </x:c>
      <x:c r="I23" s="90" t="n">
        <x:v>-4744685.92</x:v>
      </x:c>
      <x:c r="J23" s="90" t="n">
        <x:v>-208801.3</x:v>
      </x:c>
      <x:c r="K23" s="90" t="n">
        <x:v>0</x:v>
      </x:c>
      <x:c r="L23" s="90" t="n">
        <x:v>-1830873.33</x:v>
      </x:c>
      <x:c r="M23" s="90" t="n">
        <x:v>-1718121.47</x:v>
      </x:c>
      <x:c r="N23" s="90" t="n">
        <x:v>-8045333.68</x:v>
      </x:c>
      <x:c r="O23" s="90" t="n">
        <x:v>17277.31</x:v>
      </x:c>
      <x:c r="P23" s="90" t="n">
        <x:v>-340967.18</x:v>
      </x:c>
      <x:c r="Q23" s="90" t="n">
        <x:v>0</x:v>
      </x:c>
      <x:c r="R23" t="n">
        <x:v>0</x:v>
      </x:c>
    </x:row>
    <x:row r="24" spans="1:18" s="286" customFormat="1" ht="12.75" customHeight="1" x14ac:dyDescent="0.2">
      <x:c r="B24" s="286" t="s">
        <x:v>155</x:v>
      </x:c>
      <x:c r="C24" s="286" t="s">
        <x:v>70</x:v>
      </x:c>
      <x:c r="E24" s="286" t="n">
        <x:v>-16919807.52</x:v>
      </x:c>
      <x:c r="F24" s="286" t="n">
        <x:v>-6426.91</x:v>
      </x:c>
      <x:c r="G24" s="286" t="n">
        <x:v>-7107.75</x:v>
      </x:c>
      <x:c r="H24" s="286" t="n">
        <x:v>-34767.29</x:v>
      </x:c>
      <x:c r="I24" s="286" t="n">
        <x:v>-4744685.92</x:v>
      </x:c>
      <x:c r="J24" s="286" t="n">
        <x:v>-208801.3</x:v>
      </x:c>
      <x:c r="K24" s="286" t="n">
        <x:v>0</x:v>
      </x:c>
      <x:c r="L24" s="286" t="n">
        <x:v>-1830873.33</x:v>
      </x:c>
      <x:c r="M24" s="286" t="n">
        <x:v>-1718121.47</x:v>
      </x:c>
      <x:c r="N24" s="286" t="n">
        <x:v>-8045333.68</x:v>
      </x:c>
      <x:c r="O24" s="286" t="n">
        <x:v>17277.31</x:v>
      </x:c>
      <x:c r="P24" s="286" t="n">
        <x:v>-340967.18</x:v>
      </x:c>
      <x:c r="Q24" s="286" t="n">
        <x:v>0</x:v>
      </x:c>
      <x:c r="R24" s="286" t="n">
        <x:v>0</x:v>
      </x:c>
    </x:row>
    <x:row r="25" spans="1:18" ht="12.75" customHeight="1" x14ac:dyDescent="0.2">
      <x:c r="D25" s="89" t="s">
        <x:v>73</x:v>
      </x:c>
      <x:c r="E25" s="371" t="n">
        <x:v>-1356390.25</x:v>
      </x:c>
      <x:c r="F25" s="90" t="n">
        <x:v>-51804.26</x:v>
      </x:c>
      <x:c r="G25" s="90" t="n">
        <x:v>-28844.43</x:v>
      </x:c>
      <x:c r="H25" s="90" t="n">
        <x:v>-17259.48</x:v>
      </x:c>
      <x:c r="I25" s="90" t="n">
        <x:v>-345570.32</x:v>
      </x:c>
      <x:c r="J25" s="90" t="n">
        <x:v>-14236.76</x:v>
      </x:c>
      <x:c r="K25" s="90" t="n">
        <x:v>0</x:v>
      </x:c>
      <x:c r="L25" s="90" t="n">
        <x:v>-122635.53</x:v>
      </x:c>
      <x:c r="M25" s="90" t="n">
        <x:v>-108695.22</x:v>
      </x:c>
      <x:c r="N25" s="90" t="n">
        <x:v>-510206.19</x:v>
      </x:c>
      <x:c r="O25" s="90" t="n">
        <x:v>-133910.1</x:v>
      </x:c>
      <x:c r="P25" s="90" t="n">
        <x:v>-23227.96</x:v>
      </x:c>
      <x:c r="Q25" s="90" t="n">
        <x:v>0</x:v>
      </x:c>
      <x:c r="R25" t="n">
        <x:v>0</x:v>
      </x:c>
    </x:row>
    <x:row r="26" spans="1:18" ht="12.75" customHeight="1" x14ac:dyDescent="0.2">
      <x:c r="C26" s="89" t="s">
        <x:v>82</x:v>
      </x:c>
      <x:c r="D26" s="89" t="s">
        <x:v>70</x:v>
      </x:c>
      <x:c r="E26" s="90" t="n">
        <x:v>-1356390.25</x:v>
      </x:c>
      <x:c r="F26" s="90" t="n">
        <x:v>-51804.26</x:v>
      </x:c>
      <x:c r="G26" s="90" t="n">
        <x:v>-28844.43</x:v>
      </x:c>
      <x:c r="H26" s="90" t="n">
        <x:v>-17259.48</x:v>
      </x:c>
      <x:c r="I26" s="90" t="n">
        <x:v>-345570.32</x:v>
      </x:c>
      <x:c r="J26" s="90" t="n">
        <x:v>-14236.76</x:v>
      </x:c>
      <x:c r="K26" s="90" t="n">
        <x:v>0</x:v>
      </x:c>
      <x:c r="L26" s="90" t="n">
        <x:v>-122635.53</x:v>
      </x:c>
      <x:c r="M26" s="90" t="n">
        <x:v>-108695.22</x:v>
      </x:c>
      <x:c r="N26" s="90" t="n">
        <x:v>-510206.19</x:v>
      </x:c>
      <x:c r="O26" s="90" t="n">
        <x:v>-133910.1</x:v>
      </x:c>
      <x:c r="P26" s="90" t="n">
        <x:v>-23227.96</x:v>
      </x:c>
      <x:c r="Q26" s="90" t="n">
        <x:v>0</x:v>
      </x:c>
      <x:c r="R26" t="n">
        <x:v>0</x:v>
      </x:c>
    </x:row>
    <x:row r="27" spans="1:18" ht="12.75" customHeight="1" x14ac:dyDescent="0.2">
      <x:c r="D27" s="89" t="s">
        <x:v>73</x:v>
      </x:c>
      <x:c r="E27" s="90" t="n">
        <x:v>61917.71</x:v>
      </x:c>
      <x:c r="F27" s="90" t="n">
        <x:v>13174.66</x:v>
      </x:c>
      <x:c r="G27" s="90" t="n">
        <x:v>7205.8</x:v>
      </x:c>
      <x:c r="H27" s="90" t="n">
        <x:v>3797.3</x:v>
      </x:c>
      <x:c r="I27" s="90" t="n">
        <x:v>-12047.96</x:v>
      </x:c>
      <x:c r="J27" s="90" t="n">
        <x:v>-622.88</x:v>
      </x:c>
      <x:c r="K27" s="90" t="n">
        <x:v>0</x:v>
      </x:c>
      <x:c r="L27" s="90" t="n">
        <x:v>-5223.01</x:v>
      </x:c>
      <x:c r="M27" s="90" t="n">
        <x:v>2354.17</x:v>
      </x:c>
      <x:c r="N27" s="90" t="n">
        <x:v>15672.26</x:v>
      </x:c>
      <x:c r="O27" s="90" t="n">
        <x:v>38623.8</x:v>
      </x:c>
      <x:c r="P27" s="90" t="n">
        <x:v>-1016.43</x:v>
      </x:c>
      <x:c r="Q27" s="90" t="n">
        <x:v>0</x:v>
      </x:c>
      <x:c r="R27" t="n">
        <x:v>0</x:v>
      </x:c>
    </x:row>
    <x:row r="28" spans="1:18" ht="12.75" customHeight="1" x14ac:dyDescent="0.2">
      <x:c r="C28" s="89" t="s">
        <x:v>86</x:v>
      </x:c>
      <x:c r="D28" s="89" t="s">
        <x:v>70</x:v>
      </x:c>
      <x:c r="E28" s="90" t="n">
        <x:v>61917.71</x:v>
      </x:c>
      <x:c r="F28" s="90" t="n">
        <x:v>13174.66</x:v>
      </x:c>
      <x:c r="G28" s="90" t="n">
        <x:v>7205.8</x:v>
      </x:c>
      <x:c r="H28" s="90" t="n">
        <x:v>3797.3</x:v>
      </x:c>
      <x:c r="I28" s="90" t="n">
        <x:v>-12047.96</x:v>
      </x:c>
      <x:c r="J28" s="90" t="n">
        <x:v>-622.88</x:v>
      </x:c>
      <x:c r="K28" s="90" t="n">
        <x:v>0</x:v>
      </x:c>
      <x:c r="L28" s="90" t="n">
        <x:v>-5223.01</x:v>
      </x:c>
      <x:c r="M28" s="90" t="n">
        <x:v>2354.17</x:v>
      </x:c>
      <x:c r="N28" s="90" t="n">
        <x:v>15672.26</x:v>
      </x:c>
      <x:c r="O28" s="90" t="n">
        <x:v>38623.8</x:v>
      </x:c>
      <x:c r="P28" s="90" t="n">
        <x:v>-1016.43</x:v>
      </x:c>
      <x:c r="Q28" s="90" t="n">
        <x:v>0</x:v>
      </x:c>
      <x:c r="R28" t="n">
        <x:v>0</x:v>
      </x:c>
    </x:row>
    <x:row r="29" spans="1:18" ht="12.75" customHeight="1" x14ac:dyDescent="0.2">
      <x:c r="D29" s="89" t="s">
        <x:v>73</x:v>
      </x:c>
      <x:c r="E29" s="90" t="n">
        <x:v>4242196.61</x:v>
      </x:c>
      <x:c r="F29" s="90" t="n">
        <x:v>775349.09</x:v>
      </x:c>
      <x:c r="G29" s="90" t="n">
        <x:v>387936.56</x:v>
      </x:c>
      <x:c r="H29" s="90" t="n">
        <x:v>236215.92</x:v>
      </x:c>
      <x:c r="I29" s="90" t="n">
        <x:v>186954.68</x:v>
      </x:c>
      <x:c r="J29" s="90" t="n">
        <x:v>2849.95</x:v>
      </x:c>
      <x:c r="K29" s="90" t="n">
        <x:v>0</x:v>
      </x:c>
      <x:c r="L29" s="90" t="n">
        <x:v>32697.31</x:v>
      </x:c>
      <x:c r="M29" s="90" t="n">
        <x:v>67381.58</x:v>
      </x:c>
      <x:c r="N29" s="90" t="n">
        <x:v>316544.44</x:v>
      </x:c>
      <x:c r="O29" s="90" t="n">
        <x:v>2231313.3</x:v>
      </x:c>
      <x:c r="P29" s="90" t="n">
        <x:v>4953.78</x:v>
      </x:c>
      <x:c r="Q29" s="90" t="n">
        <x:v>0</x:v>
      </x:c>
      <x:c r="R29" t="n">
        <x:v>0</x:v>
      </x:c>
    </x:row>
    <x:row r="30" spans="1:18" ht="12.75" customHeight="1" x14ac:dyDescent="0.2">
      <x:c r="C30" s="89" t="s">
        <x:v>87</x:v>
      </x:c>
      <x:c r="D30" s="89" t="s">
        <x:v>70</x:v>
      </x:c>
      <x:c r="E30" s="90" t="n">
        <x:v>4242196.61</x:v>
      </x:c>
      <x:c r="F30" s="90" t="n">
        <x:v>775349.09</x:v>
      </x:c>
      <x:c r="G30" s="90" t="n">
        <x:v>387936.56</x:v>
      </x:c>
      <x:c r="H30" s="90" t="n">
        <x:v>236215.92</x:v>
      </x:c>
      <x:c r="I30" s="90" t="n">
        <x:v>186954.68</x:v>
      </x:c>
      <x:c r="J30" s="90" t="n">
        <x:v>2849.95</x:v>
      </x:c>
      <x:c r="K30" s="90" t="n">
        <x:v>0</x:v>
      </x:c>
      <x:c r="L30" s="90" t="n">
        <x:v>32697.31</x:v>
      </x:c>
      <x:c r="M30" s="90" t="n">
        <x:v>67381.58</x:v>
      </x:c>
      <x:c r="N30" s="90" t="n">
        <x:v>316544.44</x:v>
      </x:c>
      <x:c r="O30" s="90" t="n">
        <x:v>2231313.3</x:v>
      </x:c>
      <x:c r="P30" s="90" t="n">
        <x:v>4953.78</x:v>
      </x:c>
      <x:c r="Q30" s="90" t="n">
        <x:v>0</x:v>
      </x:c>
      <x:c r="R30" t="n">
        <x:v>0</x:v>
      </x:c>
    </x:row>
    <x:row r="31" spans="1:18" s="94" customFormat="1" ht="12.75" customHeight="1" x14ac:dyDescent="0.2">
      <x:c r="B31" s="101" t="s">
        <x:v>119</x:v>
      </x:c>
      <x:c r="C31" s="101" t="s">
        <x:v>70</x:v>
      </x:c>
      <x:c r="E31" s="93" t="n">
        <x:v>2947724.07</x:v>
      </x:c>
      <x:c r="F31" s="93" t="n">
        <x:v>736719.49</x:v>
      </x:c>
      <x:c r="G31" s="93" t="n">
        <x:v>366297.93</x:v>
      </x:c>
      <x:c r="H31" s="93" t="n">
        <x:v>222753.74</x:v>
      </x:c>
      <x:c r="I31" s="93" t="n">
        <x:v>-170663.6</x:v>
      </x:c>
      <x:c r="J31" s="93" t="n">
        <x:v>-12009.69</x:v>
      </x:c>
      <x:c r="K31" s="93" t="n">
        <x:v>0</x:v>
      </x:c>
      <x:c r="L31" s="93" t="n">
        <x:v>-95161.23</x:v>
      </x:c>
      <x:c r="M31" s="93" t="n">
        <x:v>-38959.47</x:v>
      </x:c>
      <x:c r="N31" s="93" t="n">
        <x:v>-177989.49</x:v>
      </x:c>
      <x:c r="O31" s="93" t="n">
        <x:v>2136027</x:v>
      </x:c>
      <x:c r="P31" s="93" t="n">
        <x:v>-19290.61</x:v>
      </x:c>
      <x:c r="Q31" s="93" t="n">
        <x:v>0</x:v>
      </x:c>
      <x:c r="R31" s="94" t="n">
        <x:v>0</x:v>
      </x:c>
    </x:row>
    <x:row r="32" spans="1:18" s="226" customFormat="1" ht="12.75" customHeight="1" x14ac:dyDescent="0.2">
      <x:c r="A32" s="98" t="s">
        <x:v>79</x:v>
      </x:c>
      <x:c r="B32" s="98" t="s">
        <x:v>70</x:v>
      </x:c>
      <x:c r="E32" s="100" t="n">
        <x:v>-13972083.45</x:v>
      </x:c>
      <x:c r="F32" s="100" t="n">
        <x:v>730292.58</x:v>
      </x:c>
      <x:c r="G32" s="100" t="n">
        <x:v>359190.18</x:v>
      </x:c>
      <x:c r="H32" s="100" t="n">
        <x:v>187986.45</x:v>
      </x:c>
      <x:c r="I32" s="100" t="n">
        <x:v>-4915349.52</x:v>
      </x:c>
      <x:c r="J32" s="100" t="n">
        <x:v>-220810.99</x:v>
      </x:c>
      <x:c r="K32" s="100" t="n">
        <x:v>0</x:v>
      </x:c>
      <x:c r="L32" s="100" t="n">
        <x:v>-1926034.56</x:v>
      </x:c>
      <x:c r="M32" s="100" t="n">
        <x:v>-1757080.94</x:v>
      </x:c>
      <x:c r="N32" s="100" t="n">
        <x:v>-8223323.17</x:v>
      </x:c>
      <x:c r="O32" s="100" t="n">
        <x:v>2153304.31</x:v>
      </x:c>
      <x:c r="P32" s="100" t="n">
        <x:v>-360257.79</x:v>
      </x:c>
      <x:c r="Q32" s="100" t="n">
        <x:v>0</x:v>
      </x:c>
      <x:c r="R32" s="226" t="n">
        <x:v>0</x:v>
      </x:c>
    </x:row>
    <x:row r="33" spans="1:19" ht="12.75" customHeight="1" x14ac:dyDescent="0.2">
      <x:c r="A33" s="89" t="s">
        <x:v>70</x:v>
      </x:c>
      <x:c r="E33" s="90" t="n">
        <x:v>79505843.87</x:v>
      </x:c>
      <x:c r="F33" s="90" t="n">
        <x:v>6320425.05</x:v>
      </x:c>
      <x:c r="G33" s="90" t="n">
        <x:v>3444634</x:v>
      </x:c>
      <x:c r="H33" s="90" t="n">
        <x:v>1931626.98</x:v>
      </x:c>
      <x:c r="I33" s="90" t="n">
        <x:v>10862525.37</x:v>
      </x:c>
      <x:c r="J33" s="90" t="n">
        <x:v>368418.73</x:v>
      </x:c>
      <x:c r="K33" s="90" t="n">
        <x:v>144941.68</x:v>
      </x:c>
      <x:c r="L33" s="90" t="n">
        <x:v>4451793.27</x:v>
      </x:c>
      <x:c r="M33" s="90" t="n">
        <x:v>6603815.07</x:v>
      </x:c>
      <x:c r="N33" s="90" t="n">
        <x:v>27151173.46</x:v>
      </x:c>
      <x:c r="O33" s="90" t="n">
        <x:v>17590190.39</x:v>
      </x:c>
      <x:c r="P33" s="90" t="n">
        <x:v>566814.85</x:v>
      </x:c>
      <x:c r="Q33" s="90" t="n">
        <x:v>69485.02</x:v>
      </x:c>
      <x:c r="R33" s="144" t="n">
        <x:v>0</x:v>
      </x:c>
    </x:row>
    <x:row r="34" spans="1:19" ht="12.75" customHeight="1" x14ac:dyDescent="0.2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2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2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2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2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2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2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2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2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2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2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2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2">
      <x:c r="B47" s="778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2">
      <x:c r="B48" s="778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2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2">
      <x:c r="B50" s="778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2">
      <x:c r="B51" s="778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2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2">
      <x:c r="B53" s="778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2">
      <x:c r="B54" s="778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2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2">
      <x:c r="B56" s="776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2">
      <x:c r="B57" s="776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2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">
      <x:c r="B59" s="778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2">
      <x:c r="B60" s="778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2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">
      <x:c r="B62" s="777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2">
      <x:c r="B63" s="777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2"/>
    <x:row r="65" spans="2:18" x14ac:dyDescent="0.2">
      <x:c r="B65" s="97" t="s">
        <x:v>75</x:v>
      </x:c>
    </x:row>
    <x:row r="66" spans="2:18" ht="12.75" customHeight="1" x14ac:dyDescent="0.2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2">
      <x:c r="D67" s="89" t="s">
        <x:v>72</x:v>
      </x:c>
      <x:c r="E67" s="371">
        <x:v>0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>
        <x:v>0</x:v>
      </x:c>
    </x:row>
    <x:row r="68" spans="2:18" ht="12.75" customHeight="1" x14ac:dyDescent="0.2">
      <x:c r="D68" t="s">
        <x:v>81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  <x:c r="L68">
        <x:v>0</x:v>
      </x:c>
      <x:c r="M68">
        <x:v>0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</x:row>
    <x:row r="69" spans="2:18" ht="12.75" customHeight="1" x14ac:dyDescent="0.2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2">
      <x:c r="B70" s="739" t="s">
        <x:v>85</x:v>
      </x:c>
      <x:c r="C70" s="739" t="s">
        <x:v>70</x:v>
      </x:c>
      <x:c r="D70" s="231"/>
      <x:c r="E70" s="740">
        <x:v>0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2">
      <x:c r="B71" s="142"/>
      <x:c r="D71" s="89" t="s">
        <x:v>72</x:v>
      </x:c>
      <x:c r="E71" s="90" t="n">
        <x:v>51343920.24</x:v>
      </x:c>
      <x:c r="F71" s="90" t="n">
        <x:v>2602110</x:v>
      </x:c>
      <x:c r="G71" s="90" t="n">
        <x:v>1429988.76</x:v>
      </x:c>
      <x:c r="H71" s="90" t="n">
        <x:v>515936.95</x:v>
      </x:c>
      <x:c r="I71" s="90" t="n">
        <x:v>13400417.12</x:v>
      </x:c>
      <x:c r="J71" s="90" t="n">
        <x:v>521328</x:v>
      </x:c>
      <x:c r="K71" s="90" t="n">
        <x:v>28554.96</x:v>
      </x:c>
      <x:c r="L71" s="90" t="n">
        <x:v>4092012.47</x:v>
      </x:c>
      <x:c r="M71" s="90" t="n">
        <x:v>4006644.8</x:v>
      </x:c>
      <x:c r="N71" s="90" t="n">
        <x:v>14502764.2</x:v>
      </x:c>
      <x:c r="O71" s="90" t="n">
        <x:v>9664419.15</x:v>
      </x:c>
      <x:c r="P71" s="90" t="n">
        <x:v>579615.45</x:v>
      </x:c>
      <x:c r="Q71" s="90" t="n">
        <x:v>128.38</x:v>
      </x:c>
      <x:c r="R71" t="n">
        <x:v>0</x:v>
      </x:c>
    </x:row>
    <x:row r="72" spans="2:18" ht="12.75" customHeight="1" x14ac:dyDescent="0.2">
      <x:c r="B72" s="142"/>
      <x:c r="D72" s="89" t="s">
        <x:v>81</x:v>
      </x:c>
      <x:c r="E72" s="90" t="n">
        <x:v>47786.6</x:v>
      </x:c>
      <x:c r="F72" s="90" t="n">
        <x:v>3922.53</x:v>
      </x:c>
      <x:c r="G72" s="90" t="n">
        <x:v>2121.07</x:v>
      </x:c>
      <x:c r="H72" s="90" t="n">
        <x:v>1145.18</x:v>
      </x:c>
      <x:c r="I72" s="90" t="n">
        <x:v>10319.58</x:v>
      </x:c>
      <x:c r="J72" s="90" t="n">
        <x:v>371.38</x:v>
      </x:c>
      <x:c r="K72" s="90" t="n">
        <x:v>0</x:v>
      </x:c>
      <x:c r="L72" s="90" t="n">
        <x:v>3208.8</x:v>
      </x:c>
      <x:c r="M72" s="90" t="n">
        <x:v>3232.38</x:v>
      </x:c>
      <x:c r="N72" s="90" t="n">
        <x:v>15260.76</x:v>
      </x:c>
      <x:c r="O72" s="90" t="n">
        <x:v>7598.97</x:v>
      </x:c>
      <x:c r="P72" s="90" t="n">
        <x:v>605.77</x:v>
      </x:c>
      <x:c r="Q72" s="90" t="n">
        <x:v>0.18</x:v>
      </x:c>
      <x:c r="R72" t="n">
        <x:v>0</x:v>
      </x:c>
    </x:row>
    <x:row r="73" spans="2:18" ht="12.75" customHeight="1" x14ac:dyDescent="0.2">
      <x:c r="B73" s="142"/>
      <x:c r="C73" t="s">
        <x:v>156</x:v>
      </x:c>
      <x:c r="D73" s="89" t="s">
        <x:v>70</x:v>
      </x:c>
      <x:c r="E73" s="371" t="n">
        <x:v>51391706.84</x:v>
      </x:c>
      <x:c r="F73" s="90" t="n">
        <x:v>2606032.53</x:v>
      </x:c>
      <x:c r="G73" s="90" t="n">
        <x:v>1432109.83</x:v>
      </x:c>
      <x:c r="H73" s="90" t="n">
        <x:v>517082.13</x:v>
      </x:c>
      <x:c r="I73" s="90" t="n">
        <x:v>13410736.7</x:v>
      </x:c>
      <x:c r="J73" s="90" t="n">
        <x:v>521699.38</x:v>
      </x:c>
      <x:c r="K73" s="90" t="n">
        <x:v>28554.96</x:v>
      </x:c>
      <x:c r="L73" s="90" t="n">
        <x:v>4095221.27</x:v>
      </x:c>
      <x:c r="M73" s="90" t="n">
        <x:v>4009877.18</x:v>
      </x:c>
      <x:c r="N73" s="90" t="n">
        <x:v>14518024.96</x:v>
      </x:c>
      <x:c r="O73" s="90" t="n">
        <x:v>9672018.12</x:v>
      </x:c>
      <x:c r="P73" s="90" t="n">
        <x:v>580221.22</x:v>
      </x:c>
      <x:c r="Q73" s="90" t="n">
        <x:v>128.56</x:v>
      </x:c>
      <x:c r="R73" t="n">
        <x:v>0</x:v>
      </x:c>
    </x:row>
    <x:row r="74" spans="2:18" s="286" customFormat="1" ht="12.75" customHeight="1" x14ac:dyDescent="0.2">
      <x:c r="B74" s="751" t="s">
        <x:v>155</x:v>
      </x:c>
      <x:c r="C74" s="286" t="s">
        <x:v>70</x:v>
      </x:c>
      <x:c r="D74" s="229"/>
      <x:c r="E74" s="752" t="n">
        <x:v>51391706.84</x:v>
      </x:c>
      <x:c r="F74" s="230" t="n">
        <x:v>2606032.53</x:v>
      </x:c>
      <x:c r="G74" s="230" t="n">
        <x:v>1432109.83</x:v>
      </x:c>
      <x:c r="H74" s="230" t="n">
        <x:v>517082.13</x:v>
      </x:c>
      <x:c r="I74" s="230" t="n">
        <x:v>13410736.7</x:v>
      </x:c>
      <x:c r="J74" s="230" t="n">
        <x:v>521699.38</x:v>
      </x:c>
      <x:c r="K74" s="230" t="n">
        <x:v>28554.96</x:v>
      </x:c>
      <x:c r="L74" s="230" t="n">
        <x:v>4095221.27</x:v>
      </x:c>
      <x:c r="M74" s="230" t="n">
        <x:v>4009877.18</x:v>
      </x:c>
      <x:c r="N74" s="230" t="n">
        <x:v>14518024.96</x:v>
      </x:c>
      <x:c r="O74" s="230" t="n">
        <x:v>9672018.12</x:v>
      </x:c>
      <x:c r="P74" s="230" t="n">
        <x:v>580221.22</x:v>
      </x:c>
      <x:c r="Q74" s="230" t="n">
        <x:v>128.56</x:v>
      </x:c>
      <x:c r="R74" s="286" t="n">
        <x:v>0</x:v>
      </x:c>
    </x:row>
    <x:row r="75" spans="2:18" ht="12.6" customHeight="1" x14ac:dyDescent="0.2">
      <x:c r="B75" s="142"/>
      <x:c r="D75" s="89" t="s">
        <x:v>72</x:v>
      </x:c>
      <x:c r="E75" s="371" t="n">
        <x:v>6840138.12</x:v>
      </x:c>
      <x:c r="F75" s="90" t="n">
        <x:v>454112</x:v>
      </x:c>
      <x:c r="G75" s="90" t="n">
        <x:v>245161.57</x:v>
      </x:c>
      <x:c r="H75" s="90" t="n">
        <x:v>117090.1</x:v>
      </x:c>
      <x:c r="I75" s="90" t="n">
        <x:v>1872723.91</x:v>
      </x:c>
      <x:c r="J75" s="90" t="n">
        <x:v>60005.28</x:v>
      </x:c>
      <x:c r="K75" s="90" t="n">
        <x:v>0</x:v>
      </x:c>
      <x:c r="L75" s="90" t="n">
        <x:v>508018.52</x:v>
      </x:c>
      <x:c r="M75" s="90" t="n">
        <x:v>552024.64</x:v>
      </x:c>
      <x:c r="N75" s="90" t="n">
        <x:v>2050457.28</x:v>
      </x:c>
      <x:c r="O75" s="90" t="n">
        <x:v>910258.22</x:v>
      </x:c>
      <x:c r="P75" s="90" t="n">
        <x:v>70256.97</x:v>
      </x:c>
      <x:c r="Q75" s="90" t="n">
        <x:v>29.63</x:v>
      </x:c>
      <x:c r="R75" t="n">
        <x:v>0</x:v>
      </x:c>
    </x:row>
    <x:row r="76" spans="2:18" ht="12.75" customHeight="1" x14ac:dyDescent="0.2">
      <x:c r="B76" s="142"/>
      <x:c r="D76" s="89" t="s">
        <x:v>81</x:v>
      </x:c>
      <x:c r="E76" s="371" t="n">
        <x:v>709.39</x:v>
      </x:c>
      <x:c r="F76" s="90" t="n">
        <x:v>68.6</x:v>
      </x:c>
      <x:c r="G76" s="90" t="n">
        <x:v>38.73</x:v>
      </x:c>
      <x:c r="H76" s="90" t="n">
        <x:v>20.33</x:v>
      </x:c>
      <x:c r="I76" s="90" t="n">
        <x:v>148.28</x:v>
      </x:c>
      <x:c r="J76" s="90" t="n">
        <x:v>4.93</x:v>
      </x:c>
      <x:c r="K76" s="90" t="n">
        <x:v>0</x:v>
      </x:c>
      <x:c r="L76" s="90" t="n">
        <x:v>43.25</x:v>
      </x:c>
      <x:c r="M76" s="90" t="n">
        <x:v>42.04</x:v>
      </x:c>
      <x:c r="N76" s="90" t="n">
        <x:v>199.02</x:v>
      </x:c>
      <x:c r="O76" s="90" t="n">
        <x:v>136.2</x:v>
      </x:c>
      <x:c r="P76" s="90" t="n">
        <x:v>8.04</x:v>
      </x:c>
      <x:c r="Q76" s="90" t="n">
        <x:v>-0.03</x:v>
      </x:c>
      <x:c r="R76" t="n">
        <x:v>0</x:v>
      </x:c>
    </x:row>
    <x:row r="77" spans="2:18" ht="12.75" customHeight="1" x14ac:dyDescent="0.2">
      <x:c r="B77" s="142"/>
      <x:c r="C77" t="s">
        <x:v>115</x:v>
      </x:c>
      <x:c r="D77" s="89" t="s">
        <x:v>70</x:v>
      </x:c>
      <x:c r="E77" s="90" t="n">
        <x:v>6840847.51</x:v>
      </x:c>
      <x:c r="F77" s="90" t="n">
        <x:v>454180.6</x:v>
      </x:c>
      <x:c r="G77" s="90" t="n">
        <x:v>245200.3</x:v>
      </x:c>
      <x:c r="H77" s="90" t="n">
        <x:v>117110.43</x:v>
      </x:c>
      <x:c r="I77" s="90" t="n">
        <x:v>1872872.19</x:v>
      </x:c>
      <x:c r="J77" s="90" t="n">
        <x:v>60010.21</x:v>
      </x:c>
      <x:c r="K77" s="90" t="n">
        <x:v>0</x:v>
      </x:c>
      <x:c r="L77" s="90" t="n">
        <x:v>508061.77</x:v>
      </x:c>
      <x:c r="M77" s="90" t="n">
        <x:v>552066.68</x:v>
      </x:c>
      <x:c r="N77" s="90" t="n">
        <x:v>2050656.3</x:v>
      </x:c>
      <x:c r="O77" s="90" t="n">
        <x:v>910394.42</x:v>
      </x:c>
      <x:c r="P77" s="90" t="n">
        <x:v>70265.01</x:v>
      </x:c>
      <x:c r="Q77" s="90" t="n">
        <x:v>29.6</x:v>
      </x:c>
      <x:c r="R77" t="n">
        <x:v>0</x:v>
      </x:c>
    </x:row>
    <x:row r="78" spans="2:18" ht="12.75" customHeight="1" x14ac:dyDescent="0.2">
      <x:c r="B78" s="142"/>
      <x:c r="C78" s="89"/>
      <x:c r="D78" s="89" t="s">
        <x:v>72</x:v>
      </x:c>
      <x:c r="E78" s="371" t="n">
        <x:v>673112.23</x:v>
      </x:c>
      <x:c r="F78" s="90" t="n">
        <x:v>32650.05</x:v>
      </x:c>
      <x:c r="G78" s="90" t="n">
        <x:v>17891.02</x:v>
      </x:c>
      <x:c r="H78" s="90" t="n">
        <x:v>9047.72</x:v>
      </x:c>
      <x:c r="I78" s="90" t="n">
        <x:v>167209.89</x:v>
      </x:c>
      <x:c r="J78" s="90" t="n">
        <x:v>5398.62</x:v>
      </x:c>
      <x:c r="K78" s="90" t="n">
        <x:v>0</x:v>
      </x:c>
      <x:c r="L78" s="90" t="n">
        <x:v>55941.8</x:v>
      </x:c>
      <x:c r="M78" s="90" t="n">
        <x:v>60888.8</x:v>
      </x:c>
      <x:c r="N78" s="90" t="n">
        <x:v>234687.16</x:v>
      </x:c>
      <x:c r="O78" s="90" t="n">
        <x:v>81377.99</x:v>
      </x:c>
      <x:c r="P78" s="90" t="n">
        <x:v>8018.16</x:v>
      </x:c>
      <x:c r="Q78" s="90" t="n">
        <x:v>1.02</x:v>
      </x:c>
      <x:c r="R78" t="n">
        <x:v>0</x:v>
      </x:c>
    </x:row>
    <x:row r="79" spans="2:18" ht="12.75" customHeight="1" x14ac:dyDescent="0.2">
      <x:c r="B79" s="142"/>
      <x:c r="D79" s="89" t="s">
        <x:v>81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2:18" ht="12.75" customHeight="1" x14ac:dyDescent="0.2">
      <x:c r="B80" s="142"/>
      <x:c r="C80" s="89" t="s">
        <x:v>116</x:v>
      </x:c>
      <x:c r="D80" s="89" t="s">
        <x:v>70</x:v>
      </x:c>
      <x:c r="E80" s="371" t="n">
        <x:v>673112.23</x:v>
      </x:c>
      <x:c r="F80" s="90" t="n">
        <x:v>32650.05</x:v>
      </x:c>
      <x:c r="G80" s="90" t="n">
        <x:v>17891.02</x:v>
      </x:c>
      <x:c r="H80" s="90" t="n">
        <x:v>9047.72</x:v>
      </x:c>
      <x:c r="I80" s="90" t="n">
        <x:v>167209.89</x:v>
      </x:c>
      <x:c r="J80" s="90" t="n">
        <x:v>5398.62</x:v>
      </x:c>
      <x:c r="K80" s="90" t="n">
        <x:v>0</x:v>
      </x:c>
      <x:c r="L80" s="90" t="n">
        <x:v>55941.8</x:v>
      </x:c>
      <x:c r="M80" s="90" t="n">
        <x:v>60888.8</x:v>
      </x:c>
      <x:c r="N80" s="90" t="n">
        <x:v>234687.16</x:v>
      </x:c>
      <x:c r="O80" s="90" t="n">
        <x:v>81377.99</x:v>
      </x:c>
      <x:c r="P80" s="90" t="n">
        <x:v>8018.16</x:v>
      </x:c>
      <x:c r="Q80" s="90" t="n">
        <x:v>1.02</x:v>
      </x:c>
      <x:c r="R80" t="n">
        <x:v>0</x:v>
      </x:c>
    </x:row>
    <x:row r="81" spans="2:18" ht="12.75" customHeight="1" x14ac:dyDescent="0.2">
      <x:c r="B81" s="142"/>
      <x:c r="C81" s="89"/>
      <x:c r="D81" s="89" t="s">
        <x:v>72</x:v>
      </x:c>
      <x:c r="E81" s="371">
        <x:v>0</x:v>
      </x:c>
      <x:c r="F81" s="90">
        <x:v>0</x:v>
      </x:c>
      <x:c r="G81" s="90">
        <x:v>0</x:v>
      </x:c>
      <x:c r="H81" s="90">
        <x:v>0</x:v>
      </x:c>
      <x:c r="I81" s="90">
        <x:v>0</x:v>
      </x:c>
      <x:c r="J81" s="90">
        <x:v>0</x:v>
      </x:c>
      <x:c r="K81" s="90">
        <x:v>0</x:v>
      </x:c>
      <x:c r="L81" s="90">
        <x:v>0</x:v>
      </x:c>
      <x:c r="M81" s="90">
        <x:v>0</x:v>
      </x:c>
      <x:c r="N81" s="90">
        <x:v>0</x:v>
      </x:c>
      <x:c r="O81" s="90">
        <x:v>0</x:v>
      </x:c>
      <x:c r="P81" s="90">
        <x:v>0</x:v>
      </x:c>
      <x:c r="Q81" s="90">
        <x:v>0</x:v>
      </x:c>
      <x:c r="R81">
        <x:v>0</x:v>
      </x:c>
    </x:row>
    <x:row r="82" spans="2:18" ht="12.75" customHeight="1" x14ac:dyDescent="0.2">
      <x:c r="B82" s="142"/>
      <x:c r="C82" s="89"/>
      <x:c r="D82" s="89" t="s">
        <x:v>81</x:v>
      </x:c>
      <x:c r="E82" s="371">
        <x:v>0</x:v>
      </x:c>
      <x:c r="F82" s="90">
        <x:v>0</x:v>
      </x:c>
      <x:c r="G82" s="90">
        <x:v>0</x:v>
      </x:c>
      <x:c r="H82" s="90">
        <x:v>0</x:v>
      </x:c>
      <x:c r="I82" s="90">
        <x:v>0</x:v>
      </x:c>
      <x:c r="J82" s="90">
        <x:v>0</x:v>
      </x:c>
      <x:c r="K82" s="90">
        <x:v>0</x:v>
      </x:c>
      <x:c r="L82" s="90">
        <x:v>0</x:v>
      </x:c>
      <x:c r="M82" s="90">
        <x:v>0</x:v>
      </x:c>
      <x:c r="N82" s="90">
        <x:v>0</x:v>
      </x:c>
      <x:c r="O82" s="90">
        <x:v>0</x:v>
      </x:c>
      <x:c r="P82" s="90">
        <x:v>0</x:v>
      </x:c>
      <x:c r="Q82" s="90">
        <x:v>0</x:v>
      </x:c>
      <x:c r="R82">
        <x:v>0</x:v>
      </x:c>
    </x:row>
    <x:row r="83" spans="2:18" ht="12.75" customHeight="1" x14ac:dyDescent="0.2">
      <x:c r="B83" s="142"/>
      <x:c r="C83" s="773">
        <x:v>3</x:v>
      </x:c>
      <x:c r="D83" s="89" t="s">
        <x:v>70</x:v>
      </x:c>
      <x:c r="E83" s="371">
        <x:v>0</x:v>
      </x:c>
      <x:c r="F83" s="90">
        <x:v>0</x:v>
      </x:c>
      <x:c r="G83" s="90">
        <x:v>0</x:v>
      </x:c>
      <x:c r="H83" s="90">
        <x:v>0</x:v>
      </x:c>
      <x:c r="I83" s="90">
        <x:v>0</x:v>
      </x:c>
      <x:c r="J83" s="90">
        <x:v>0</x:v>
      </x:c>
      <x:c r="K83" s="90">
        <x:v>0</x:v>
      </x:c>
      <x:c r="L83" s="90">
        <x:v>0</x:v>
      </x:c>
      <x:c r="M83" s="90">
        <x:v>0</x:v>
      </x:c>
      <x:c r="N83" s="90">
        <x:v>0</x:v>
      </x:c>
      <x:c r="O83" s="90">
        <x:v>0</x:v>
      </x:c>
      <x:c r="P83" s="90">
        <x:v>0</x:v>
      </x:c>
      <x:c r="Q83" s="90">
        <x:v>0</x:v>
      </x:c>
      <x:c r="R83">
        <x:v>0</x:v>
      </x:c>
    </x:row>
    <x:row r="84" spans="2:18" ht="12.75" customHeight="1" x14ac:dyDescent="0.2">
      <x:c r="B84" s="142"/>
      <x:c r="C84" s="89"/>
      <x:c r="D84" s="89" t="s">
        <x:v>72</x:v>
      </x:c>
      <x:c r="E84" s="371" t="n">
        <x:v>20435056.81</x:v>
      </x:c>
      <x:c r="F84" s="90" t="n">
        <x:v>1240239.71</x:v>
      </x:c>
      <x:c r="G84" s="90" t="n">
        <x:v>689953.48</x:v>
      </x:c>
      <x:c r="H84" s="90" t="n">
        <x:v>216277.61</x:v>
      </x:c>
      <x:c r="I84" s="90" t="n">
        <x:v>5859087.44</x:v>
      </x:c>
      <x:c r="J84" s="90" t="n">
        <x:v>195777.3</x:v>
      </x:c>
      <x:c r="K84" s="90" t="n">
        <x:v>0</x:v>
      </x:c>
      <x:c r="L84" s="90" t="n">
        <x:v>1695471.12</x:v>
      </x:c>
      <x:c r="M84" s="90" t="n">
        <x:v>1662718.69</x:v>
      </x:c>
      <x:c r="N84" s="90" t="n">
        <x:v>6214722.98</x:v>
      </x:c>
      <x:c r="O84" s="90" t="n">
        <x:v>2429272.63</x:v>
      </x:c>
      <x:c r="P84" s="90" t="n">
        <x:v>231590.8</x:v>
      </x:c>
      <x:c r="Q84" s="90" t="n">
        <x:v>-54.95</x:v>
      </x:c>
      <x:c r="R84" t="n">
        <x:v>0</x:v>
      </x:c>
    </x:row>
    <x:row r="85" spans="2:18" ht="12.75" customHeight="1" x14ac:dyDescent="0.2">
      <x:c r="B85" s="142"/>
      <x:c r="C85" s="89"/>
      <x:c r="D85" s="89" t="s">
        <x:v>81</x:v>
      </x:c>
      <x:c r="E85" s="371" t="n">
        <x:v>702.71</x:v>
      </x:c>
      <x:c r="F85" s="90" t="n">
        <x:v>34.64</x:v>
      </x:c>
      <x:c r="G85" s="90" t="n">
        <x:v>19.29</x:v>
      </x:c>
      <x:c r="H85" s="90" t="n">
        <x:v>10.35</x:v>
      </x:c>
      <x:c r="I85" s="90" t="n">
        <x:v>188.6</x:v>
      </x:c>
      <x:c r="J85" s="90" t="n">
        <x:v>5.12</x:v>
      </x:c>
      <x:c r="K85" s="90" t="n">
        <x:v>0</x:v>
      </x:c>
      <x:c r="L85" s="90" t="n">
        <x:v>44.89</x:v>
      </x:c>
      <x:c r="M85" s="90" t="n">
        <x:v>57.5</x:v>
      </x:c>
      <x:c r="N85" s="90" t="n">
        <x:v>264.51</x:v>
      </x:c>
      <x:c r="O85" s="90" t="n">
        <x:v>69.3</x:v>
      </x:c>
      <x:c r="P85" s="90" t="n">
        <x:v>8.36</x:v>
      </x:c>
      <x:c r="Q85" s="90" t="n">
        <x:v>0.15</x:v>
      </x:c>
      <x:c r="R85" t="n">
        <x:v>0</x:v>
      </x:c>
    </x:row>
    <x:row r="86" spans="2:18" ht="12.75" customHeight="1" x14ac:dyDescent="0.2">
      <x:c r="B86" s="142"/>
      <x:c r="C86" s="89" t="s">
        <x:v>118</x:v>
      </x:c>
      <x:c r="D86" s="89" t="s">
        <x:v>70</x:v>
      </x:c>
      <x:c r="E86" s="371" t="n">
        <x:v>20435759.52</x:v>
      </x:c>
      <x:c r="F86" s="90" t="n">
        <x:v>1240274.35</x:v>
      </x:c>
      <x:c r="G86" s="90" t="n">
        <x:v>689972.77</x:v>
      </x:c>
      <x:c r="H86" s="90" t="n">
        <x:v>216287.96</x:v>
      </x:c>
      <x:c r="I86" s="90" t="n">
        <x:v>5859276.04</x:v>
      </x:c>
      <x:c r="J86" s="90" t="n">
        <x:v>195782.42</x:v>
      </x:c>
      <x:c r="K86" s="90" t="n">
        <x:v>0</x:v>
      </x:c>
      <x:c r="L86" s="90" t="n">
        <x:v>1695516.01</x:v>
      </x:c>
      <x:c r="M86" s="90" t="n">
        <x:v>1662776.19</x:v>
      </x:c>
      <x:c r="N86" s="90" t="n">
        <x:v>6214987.49</x:v>
      </x:c>
      <x:c r="O86" s="90" t="n">
        <x:v>2429341.93</x:v>
      </x:c>
      <x:c r="P86" s="90" t="n">
        <x:v>231599.16</x:v>
      </x:c>
      <x:c r="Q86" s="90" t="n">
        <x:v>-54.8</x:v>
      </x:c>
      <x:c r="R86" t="n">
        <x:v>0</x:v>
      </x:c>
    </x:row>
    <x:row r="87" spans="2:18" ht="12.75" customHeight="1" x14ac:dyDescent="0.2">
      <x:c r="B87" s="142"/>
      <x:c r="C87" s="89"/>
      <x:c r="D87" s="89" t="s">
        <x:v>72</x:v>
      </x:c>
      <x:c r="E87" s="371" t="n">
        <x:v>81263.29</x:v>
      </x:c>
      <x:c r="F87" s="90" t="n">
        <x:v>8070.53</x:v>
      </x:c>
      <x:c r="G87" s="90" t="n">
        <x:v>4576.92</x:v>
      </x:c>
      <x:c r="H87" s="90" t="n">
        <x:v>2482.05</x:v>
      </x:c>
      <x:c r="I87" s="90" t="n">
        <x:v>15776.58</x:v>
      </x:c>
      <x:c r="J87" s="90" t="n">
        <x:v>568.04</x:v>
      </x:c>
      <x:c r="K87" s="90" t="n">
        <x:v>0</x:v>
      </x:c>
      <x:c r="L87" s="90" t="n">
        <x:v>4982.79</x:v>
      </x:c>
      <x:c r="M87" s="90" t="n">
        <x:v>4911.41</x:v>
      </x:c>
      <x:c r="N87" s="90" t="n">
        <x:v>22701.82</x:v>
      </x:c>
      <x:c r="O87" s="90" t="n">
        <x:v>16262.61</x:v>
      </x:c>
      <x:c r="P87" s="90" t="n">
        <x:v>926.79</x:v>
      </x:c>
      <x:c r="Q87" s="90" t="n">
        <x:v>3.75</x:v>
      </x:c>
      <x:c r="R87" t="n">
        <x:v>0</x:v>
      </x:c>
    </x:row>
    <x:row r="88" spans="2:18" ht="12.75" customHeight="1" x14ac:dyDescent="0.2">
      <x:c r="B88" s="142"/>
      <x:c r="C88" s="89"/>
      <x:c r="D88" s="89" t="s">
        <x:v>81</x:v>
      </x:c>
      <x:c r="E88" s="371">
        <x:v>0</x:v>
      </x:c>
      <x:c r="F88" s="90">
        <x:v>0</x:v>
      </x:c>
      <x:c r="G88" s="90">
        <x:v>0</x:v>
      </x:c>
      <x:c r="H88" s="90">
        <x:v>0</x:v>
      </x:c>
      <x:c r="I88" s="90">
        <x:v>0</x:v>
      </x:c>
      <x:c r="J88" s="90">
        <x:v>0</x:v>
      </x:c>
      <x:c r="K88" s="90">
        <x:v>0</x:v>
      </x:c>
      <x:c r="L88" s="90">
        <x:v>0</x:v>
      </x:c>
      <x:c r="M88" s="90">
        <x:v>0</x:v>
      </x:c>
      <x:c r="N88" s="90">
        <x:v>0</x:v>
      </x:c>
      <x:c r="O88" s="90">
        <x:v>0</x:v>
      </x:c>
      <x:c r="P88" s="90">
        <x:v>0</x:v>
      </x:c>
      <x:c r="Q88" s="90">
        <x:v>0</x:v>
      </x:c>
      <x:c r="R88">
        <x:v>0</x:v>
      </x:c>
    </x:row>
    <x:row r="89" spans="2:18" ht="12.75" customHeight="1" x14ac:dyDescent="0.2">
      <x:c r="B89" s="142"/>
      <x:c r="C89" s="773">
        <x:v>9</x:v>
      </x:c>
      <x:c r="D89" s="89" t="s">
        <x:v>70</x:v>
      </x:c>
      <x:c r="E89" s="371" t="n">
        <x:v>81263.29</x:v>
      </x:c>
      <x:c r="F89" s="90" t="n">
        <x:v>8070.53</x:v>
      </x:c>
      <x:c r="G89" s="90" t="n">
        <x:v>4576.92</x:v>
      </x:c>
      <x:c r="H89" s="90" t="n">
        <x:v>2482.05</x:v>
      </x:c>
      <x:c r="I89" s="90" t="n">
        <x:v>15776.58</x:v>
      </x:c>
      <x:c r="J89" s="90" t="n">
        <x:v>568.04</x:v>
      </x:c>
      <x:c r="K89" s="90" t="n">
        <x:v>0</x:v>
      </x:c>
      <x:c r="L89" s="90" t="n">
        <x:v>4982.79</x:v>
      </x:c>
      <x:c r="M89" s="90" t="n">
        <x:v>4911.41</x:v>
      </x:c>
      <x:c r="N89" s="90" t="n">
        <x:v>22701.82</x:v>
      </x:c>
      <x:c r="O89" s="90" t="n">
        <x:v>16262.61</x:v>
      </x:c>
      <x:c r="P89" s="90" t="n">
        <x:v>926.79</x:v>
      </x:c>
      <x:c r="Q89" s="90" t="n">
        <x:v>3.75</x:v>
      </x:c>
      <x:c r="R89" t="n">
        <x:v>0</x:v>
      </x:c>
    </x:row>
    <x:row r="90" spans="2:18" s="224" customFormat="1" ht="12.75" customHeight="1" x14ac:dyDescent="0.2">
      <x:c r="B90" s="224" t="s">
        <x:v>120</x:v>
      </x:c>
      <x:c r="C90" s="224" t="s">
        <x:v>70</x:v>
      </x:c>
      <x:c r="E90" s="224" t="n">
        <x:v>28030982.55</x:v>
      </x:c>
      <x:c r="F90" s="224" t="n">
        <x:v>1735175.53</x:v>
      </x:c>
      <x:c r="G90" s="224" t="n">
        <x:v>957641.01</x:v>
      </x:c>
      <x:c r="H90" s="224" t="n">
        <x:v>344928.16</x:v>
      </x:c>
      <x:c r="I90" s="224" t="n">
        <x:v>7915134.7</x:v>
      </x:c>
      <x:c r="J90" s="224" t="n">
        <x:v>261759.29</x:v>
      </x:c>
      <x:c r="K90" s="224" t="n">
        <x:v>0</x:v>
      </x:c>
      <x:c r="L90" s="224" t="n">
        <x:v>2264502.37</x:v>
      </x:c>
      <x:c r="M90" s="224" t="n">
        <x:v>2280643.08</x:v>
      </x:c>
      <x:c r="N90" s="224" t="n">
        <x:v>8523032.77</x:v>
      </x:c>
      <x:c r="O90" s="224" t="n">
        <x:v>3437376.95</x:v>
      </x:c>
      <x:c r="P90" s="224" t="n">
        <x:v>310809.12</x:v>
      </x:c>
      <x:c r="Q90" s="224" t="n">
        <x:v>-20.43</x:v>
      </x:c>
      <x:c r="R90" s="224" t="n">
        <x:v>0</x:v>
      </x:c>
    </x:row>
    <x:row r="91" spans="2:18" ht="12.75" customHeight="1" x14ac:dyDescent="0.2">
      <x:c r="D91" t="s">
        <x:v>72</x:v>
      </x:c>
      <x:c r="E91" s="142" t="n">
        <x:v>17110679.04</x:v>
      </x:c>
      <x:c r="F91" t="n">
        <x:v>1114965.11</x:v>
      </x:c>
      <x:c r="G91" t="n">
        <x:v>643217.02</x:v>
      </x:c>
      <x:c r="H91" t="n">
        <x:v>278759.27</x:v>
      </x:c>
      <x:c r="I91" t="n">
        <x:v>4743645.52</x:v>
      </x:c>
      <x:c r="J91" t="n">
        <x:v>124686.84</x:v>
      </x:c>
      <x:c r="K91" t="n">
        <x:v>0</x:v>
      </x:c>
      <x:c r="L91" t="n">
        <x:v>1039349.21</x:v>
      </x:c>
      <x:c r="M91" t="n">
        <x:v>1361869.33</x:v>
      </x:c>
      <x:c r="N91" t="n">
        <x:v>5411757.25</x:v>
      </x:c>
      <x:c r="O91" t="n">
        <x:v>2250306.15</x:v>
      </x:c>
      <x:c r="P91" t="n">
        <x:v>142101.98</x:v>
      </x:c>
      <x:c r="Q91" t="n">
        <x:v>21.36</x:v>
      </x:c>
      <x:c r="R91" t="n">
        <x:v>0</x:v>
      </x:c>
    </x:row>
    <x:row r="92" spans="2:18" ht="12.75" customHeight="1" x14ac:dyDescent="0.2">
      <x:c r="D92" t="s">
        <x:v>81</x:v>
      </x:c>
      <x:c r="E92" s="142" t="n">
        <x:v>5496.87</x:v>
      </x:c>
      <x:c r="F92" t="n">
        <x:v>560.72</x:v>
      </x:c>
      <x:c r="G92" t="n">
        <x:v>294.57</x:v>
      </x:c>
      <x:c r="H92" t="n">
        <x:v>160.58</x:v>
      </x:c>
      <x:c r="I92" t="n">
        <x:v>1113.88</x:v>
      </x:c>
      <x:c r="J92" t="n">
        <x:v>33.65</x:v>
      </x:c>
      <x:c r="K92" t="n">
        <x:v>0</x:v>
      </x:c>
      <x:c r="L92" t="n">
        <x:v>294.88</x:v>
      </x:c>
      <x:c r="M92" t="n">
        <x:v>330.22</x:v>
      </x:c>
      <x:c r="N92" t="n">
        <x:v>1524.41</x:v>
      </x:c>
      <x:c r="O92" t="n">
        <x:v>1129.12</x:v>
      </x:c>
      <x:c r="P92" t="n">
        <x:v>54.86</x:v>
      </x:c>
      <x:c r="Q92" t="n">
        <x:v>-0.02</x:v>
      </x:c>
      <x:c r="R92" t="n">
        <x:v>0</x:v>
      </x:c>
    </x:row>
    <x:row r="93" spans="2:18" ht="12.75" customHeight="1" x14ac:dyDescent="0.2">
      <x:c r="C93" t="s">
        <x:v>82</x:v>
      </x:c>
      <x:c r="D93" t="s">
        <x:v>70</x:v>
      </x:c>
      <x:c r="E93" s="142" t="n">
        <x:v>17116175.91</x:v>
      </x:c>
      <x:c r="F93" t="n">
        <x:v>1115525.83</x:v>
      </x:c>
      <x:c r="G93" t="n">
        <x:v>643511.59</x:v>
      </x:c>
      <x:c r="H93" t="n">
        <x:v>278919.85</x:v>
      </x:c>
      <x:c r="I93" t="n">
        <x:v>4744759.4</x:v>
      </x:c>
      <x:c r="J93" t="n">
        <x:v>124720.49</x:v>
      </x:c>
      <x:c r="K93" t="n">
        <x:v>0</x:v>
      </x:c>
      <x:c r="L93" t="n">
        <x:v>1039644.09</x:v>
      </x:c>
      <x:c r="M93" t="n">
        <x:v>1362199.55</x:v>
      </x:c>
      <x:c r="N93" t="n">
        <x:v>5413281.66</x:v>
      </x:c>
      <x:c r="O93" t="n">
        <x:v>2251435.27</x:v>
      </x:c>
      <x:c r="P93" t="n">
        <x:v>142156.84</x:v>
      </x:c>
      <x:c r="Q93" t="n">
        <x:v>21.34</x:v>
      </x:c>
      <x:c r="R93" t="n">
        <x:v>0</x:v>
      </x:c>
    </x:row>
    <x:row r="94" spans="2:18" ht="12.75" customHeight="1" x14ac:dyDescent="0.2">
      <x:c r="D94" t="s">
        <x:v>72</x:v>
      </x:c>
      <x:c r="E94" s="142" t="n">
        <x:v>32351570.86</x:v>
      </x:c>
      <x:c r="F94" t="n">
        <x:v>2802163.53</x:v>
      </x:c>
      <x:c r="G94" t="n">
        <x:v>1486957.55</x:v>
      </x:c>
      <x:c r="H94" t="n">
        <x:v>716604.05</x:v>
      </x:c>
      <x:c r="I94" t="n">
        <x:v>7418941.53</x:v>
      </x:c>
      <x:c r="J94" t="n">
        <x:v>232182.66</x:v>
      </x:c>
      <x:c r="K94" t="n">
        <x:v>0</x:v>
      </x:c>
      <x:c r="L94" t="n">
        <x:v>2029167.74</x:v>
      </x:c>
      <x:c r="M94" t="n">
        <x:v>2313955.29</x:v>
      </x:c>
      <x:c r="N94" t="n">
        <x:v>9378853.3</x:v>
      </x:c>
      <x:c r="O94" t="n">
        <x:v>5650384.97</x:v>
      </x:c>
      <x:c r="P94" t="n">
        <x:v>322358.31</x:v>
      </x:c>
      <x:c r="Q94" t="n">
        <x:v>1.93</x:v>
      </x:c>
      <x:c r="R94" t="n">
        <x:v>0</x:v>
      </x:c>
    </x:row>
    <x:row r="95" spans="2:18" ht="12.75" customHeight="1" x14ac:dyDescent="0.2">
      <x:c r="D95" t="s">
        <x:v>81</x:v>
      </x:c>
      <x:c r="E95" s="142" t="n">
        <x:v>565319.19</x:v>
      </x:c>
      <x:c r="F95" t="n">
        <x:v>88502.96</x:v>
      </x:c>
      <x:c r="G95" t="n">
        <x:v>46189.73</x:v>
      </x:c>
      <x:c r="H95" t="n">
        <x:v>14629.19</x:v>
      </x:c>
      <x:c r="I95" t="n">
        <x:v>80560.75</x:v>
      </x:c>
      <x:c r="J95" t="n">
        <x:v>2874.33</x:v>
      </x:c>
      <x:c r="K95" t="n">
        <x:v>0</x:v>
      </x:c>
      <x:c r="L95" t="n">
        <x:v>25174.27</x:v>
      </x:c>
      <x:c r="M95" t="n">
        <x:v>31831.15</x:v>
      </x:c>
      <x:c r="N95" t="n">
        <x:v>106543.83</x:v>
      </x:c>
      <x:c r="O95" t="n">
        <x:v>164313.7</x:v>
      </x:c>
      <x:c r="P95" t="n">
        <x:v>4695.18</x:v>
      </x:c>
      <x:c r="Q95" t="n">
        <x:v>4.1</x:v>
      </x:c>
      <x:c r="R95" t="n">
        <x:v>0</x:v>
      </x:c>
    </x:row>
    <x:row r="96" spans="2:18" ht="12.75" customHeight="1" x14ac:dyDescent="0.2">
      <x:c r="C96" t="s">
        <x:v>86</x:v>
      </x:c>
      <x:c r="D96" t="s">
        <x:v>70</x:v>
      </x:c>
      <x:c r="E96" t="n">
        <x:v>32916890.05</x:v>
      </x:c>
      <x:c r="F96" t="n">
        <x:v>2890666.49</x:v>
      </x:c>
      <x:c r="G96" t="n">
        <x:v>1533147.28</x:v>
      </x:c>
      <x:c r="H96" t="n">
        <x:v>731233.24</x:v>
      </x:c>
      <x:c r="I96" t="n">
        <x:v>7499502.28</x:v>
      </x:c>
      <x:c r="J96" t="n">
        <x:v>235056.99</x:v>
      </x:c>
      <x:c r="K96" t="n">
        <x:v>0</x:v>
      </x:c>
      <x:c r="L96" t="n">
        <x:v>2054342.01</x:v>
      </x:c>
      <x:c r="M96" t="n">
        <x:v>2345786.44</x:v>
      </x:c>
      <x:c r="N96" t="n">
        <x:v>9485397.13</x:v>
      </x:c>
      <x:c r="O96" t="n">
        <x:v>5814698.67</x:v>
      </x:c>
      <x:c r="P96" t="n">
        <x:v>327053.49</x:v>
      </x:c>
      <x:c r="Q96" t="n">
        <x:v>6.03</x:v>
      </x:c>
      <x:c r="R96" t="n">
        <x:v>0</x:v>
      </x:c>
    </x:row>
    <x:row r="97" spans="1:18" ht="12.75" customHeight="1" x14ac:dyDescent="0.2">
      <x:c r="D97" t="s">
        <x:v>72</x:v>
      </x:c>
      <x:c r="E97" t="n">
        <x:v>53826317.65</x:v>
      </x:c>
      <x:c r="F97" t="n">
        <x:v>9840743.71</x:v>
      </x:c>
      <x:c r="G97" t="n">
        <x:v>5329739.66</x:v>
      </x:c>
      <x:c r="H97" t="n">
        <x:v>2938001.13</x:v>
      </x:c>
      <x:c r="I97" t="n">
        <x:v>4729695.14</x:v>
      </x:c>
      <x:c r="J97" t="n">
        <x:v>121866.12</x:v>
      </x:c>
      <x:c r="K97" t="n">
        <x:v>0</x:v>
      </x:c>
      <x:c r="L97" t="n">
        <x:v>1109113.64</x:v>
      </x:c>
      <x:c r="M97" t="n">
        <x:v>1550787.71</x:v>
      </x:c>
      <x:c r="N97" t="n">
        <x:v>6188221.05</x:v>
      </x:c>
      <x:c r="O97" t="n">
        <x:v>21862537.89</x:v>
      </x:c>
      <x:c r="P97" t="n">
        <x:v>155603.12</x:v>
      </x:c>
      <x:c r="Q97" t="n">
        <x:v>8.48</x:v>
      </x:c>
      <x:c r="R97" t="n">
        <x:v>0</x:v>
      </x:c>
    </x:row>
    <x:row r="98" spans="1:18" ht="12.75" customHeight="1" x14ac:dyDescent="0.2">
      <x:c r="D98" t="s">
        <x:v>81</x:v>
      </x:c>
      <x:c r="E98" s="142" t="n">
        <x:v>40047.6</x:v>
      </x:c>
      <x:c r="F98" t="n">
        <x:v>9707.52</x:v>
      </x:c>
      <x:c r="G98" t="n">
        <x:v>5489.99</x:v>
      </x:c>
      <x:c r="H98" t="n">
        <x:v>2917.7</x:v>
      </x:c>
      <x:c r="I98" t="n">
        <x:v>710.14</x:v>
      </x:c>
      <x:c r="J98" t="n">
        <x:v>28.8</x:v>
      </x:c>
      <x:c r="K98" t="n">
        <x:v>0</x:v>
      </x:c>
      <x:c r="L98" t="n">
        <x:v>249.94</x:v>
      </x:c>
      <x:c r="M98" t="n">
        <x:v>255.78</x:v>
      </x:c>
      <x:c r="N98" t="n">
        <x:v>1213.95</x:v>
      </x:c>
      <x:c r="O98" t="n">
        <x:v>19426.94</x:v>
      </x:c>
      <x:c r="P98" t="n">
        <x:v>46.91</x:v>
      </x:c>
      <x:c r="Q98" t="n">
        <x:v>-0.07</x:v>
      </x:c>
      <x:c r="R98" t="n">
        <x:v>0</x:v>
      </x:c>
    </x:row>
    <x:row r="99" spans="1:18" ht="12.75" customHeight="1" x14ac:dyDescent="0.2">
      <x:c r="C99" s="89" t="s">
        <x:v>87</x:v>
      </x:c>
      <x:c r="D99" s="89" t="s">
        <x:v>70</x:v>
      </x:c>
      <x:c r="E99" s="90" t="n">
        <x:v>53866365.25</x:v>
      </x:c>
      <x:c r="F99" s="90" t="n">
        <x:v>9850451.23</x:v>
      </x:c>
      <x:c r="G99" s="90" t="n">
        <x:v>5335229.65</x:v>
      </x:c>
      <x:c r="H99" s="90" t="n">
        <x:v>2940918.83</x:v>
      </x:c>
      <x:c r="I99" s="90" t="n">
        <x:v>4730405.28</x:v>
      </x:c>
      <x:c r="J99" s="90" t="n">
        <x:v>121894.92</x:v>
      </x:c>
      <x:c r="K99" s="90" t="n">
        <x:v>0</x:v>
      </x:c>
      <x:c r="L99" s="90" t="n">
        <x:v>1109363.58</x:v>
      </x:c>
      <x:c r="M99" s="90" t="n">
        <x:v>1551043.49</x:v>
      </x:c>
      <x:c r="N99" s="90" t="n">
        <x:v>6189435</x:v>
      </x:c>
      <x:c r="O99" s="90" t="n">
        <x:v>21881964.83</x:v>
      </x:c>
      <x:c r="P99" s="90" t="n">
        <x:v>155650.03</x:v>
      </x:c>
      <x:c r="Q99" s="90" t="n">
        <x:v>8.41</x:v>
      </x:c>
      <x:c r="R99" t="n">
        <x:v>0</x:v>
      </x:c>
    </x:row>
    <x:row r="100" spans="1:18" s="94" customFormat="1" ht="12.75" customHeight="1" x14ac:dyDescent="0.2">
      <x:c r="B100" s="94" t="s">
        <x:v>119</x:v>
      </x:c>
      <x:c r="C100" s="101" t="s">
        <x:v>70</x:v>
      </x:c>
      <x:c r="D100" s="101"/>
      <x:c r="E100" s="93" t="n">
        <x:v>103899431.21</x:v>
      </x:c>
      <x:c r="F100" s="93" t="n">
        <x:v>13856643.55</x:v>
      </x:c>
      <x:c r="G100" s="93" t="n">
        <x:v>7511888.52</x:v>
      </x:c>
      <x:c r="H100" s="93" t="n">
        <x:v>3951071.92</x:v>
      </x:c>
      <x:c r="I100" s="93" t="n">
        <x:v>16974666.96</x:v>
      </x:c>
      <x:c r="J100" s="93" t="n">
        <x:v>481672.4</x:v>
      </x:c>
      <x:c r="K100" s="93" t="n">
        <x:v>0</x:v>
      </x:c>
      <x:c r="L100" s="93" t="n">
        <x:v>4203349.68</x:v>
      </x:c>
      <x:c r="M100" s="93" t="n">
        <x:v>5259029.48</x:v>
      </x:c>
      <x:c r="N100" s="93" t="n">
        <x:v>21088113.79</x:v>
      </x:c>
      <x:c r="O100" s="93" t="n">
        <x:v>29948098.77</x:v>
      </x:c>
      <x:c r="P100" s="93" t="n">
        <x:v>624860.36</x:v>
      </x:c>
      <x:c r="Q100" s="93" t="n">
        <x:v>35.78</x:v>
      </x:c>
      <x:c r="R100" s="94" t="n">
        <x:v>0</x:v>
      </x:c>
    </x:row>
    <x:row r="101" spans="1:18" s="226" customFormat="1" ht="12.75" customHeight="1" x14ac:dyDescent="0.2">
      <x:c r="A101" s="98" t="s">
        <x:v>78</x:v>
      </x:c>
      <x:c r="B101" s="98" t="s">
        <x:v>70</x:v>
      </x:c>
      <x:c r="E101" s="100" t="n">
        <x:v>183322120.6</x:v>
      </x:c>
      <x:c r="F101" s="100" t="n">
        <x:v>18197851.61</x:v>
      </x:c>
      <x:c r="G101" s="100" t="n">
        <x:v>9901639.36</x:v>
      </x:c>
      <x:c r="H101" s="100" t="n">
        <x:v>4813082.21</x:v>
      </x:c>
      <x:c r="I101" s="100" t="n">
        <x:v>38300538.36</x:v>
      </x:c>
      <x:c r="J101" s="100" t="n">
        <x:v>1265131.07</x:v>
      </x:c>
      <x:c r="K101" s="100" t="n">
        <x:v>28554.96</x:v>
      </x:c>
      <x:c r="L101" s="100" t="n">
        <x:v>10563073.32</x:v>
      </x:c>
      <x:c r="M101" s="100" t="n">
        <x:v>11549549.74</x:v>
      </x:c>
      <x:c r="N101" s="100" t="n">
        <x:v>44129171.52</x:v>
      </x:c>
      <x:c r="O101" s="100" t="n">
        <x:v>43057493.84</x:v>
      </x:c>
      <x:c r="P101" s="100" t="n">
        <x:v>1515890.7</x:v>
      </x:c>
      <x:c r="Q101" s="100" t="n">
        <x:v>143.91</x:v>
      </x:c>
      <x:c r="R101" s="226" t="n">
        <x:v>0</x:v>
      </x:c>
    </x:row>
    <x:row r="102" spans="1:18" ht="12.75" customHeight="1" x14ac:dyDescent="0.2">
      <x:c r="C102" s="89"/>
      <x:c r="D102" s="89" t="s">
        <x:v>73</x:v>
      </x:c>
      <x:c r="E102" s="90" t="n">
        <x:v>-18164297.27</x:v>
      </x:c>
      <x:c r="F102" s="90" t="n">
        <x:v>-693265.31</x:v>
      </x:c>
      <x:c r="G102" s="90" t="n">
        <x:v>-389013.13</x:v>
      </x:c>
      <x:c r="H102" s="90" t="n">
        <x:v>-209776.64</x:v>
      </x:c>
      <x:c r="I102" s="90" t="n">
        <x:v>-4971553.04</x:v>
      </x:c>
      <x:c r="J102" s="90" t="n">
        <x:v>-176925.19</x:v>
      </x:c>
      <x:c r="K102" s="90" t="n">
        <x:v>0</x:v>
      </x:c>
      <x:c r="L102" s="90" t="n">
        <x:v>-1541962.2</x:v>
      </x:c>
      <x:c r="M102" s="90" t="n">
        <x:v>-1497870.49</x:v>
      </x:c>
      <x:c r="N102" s="90" t="n">
        <x:v>-7051526.59</x:v>
      </x:c>
      <x:c r="O102" s="90" t="n">
        <x:v>-1344264.52</x:v>
      </x:c>
      <x:c r="P102" s="90" t="n">
        <x:v>-288140.16</x:v>
      </x:c>
      <x:c r="Q102" s="90" t="n">
        <x:v>0</x:v>
      </x:c>
      <x:c r="R102" t="n">
        <x:v>0</x:v>
      </x:c>
    </x:row>
    <x:row r="103" spans="1:18" ht="12.75" customHeight="1" x14ac:dyDescent="0.2">
      <x:c r="C103" s="89" t="s">
        <x:v>156</x:v>
      </x:c>
      <x:c r="D103" s="89" t="s">
        <x:v>70</x:v>
      </x:c>
      <x:c r="E103" s="371" t="n">
        <x:v>-18164297.27</x:v>
      </x:c>
      <x:c r="F103" s="90" t="n">
        <x:v>-693265.31</x:v>
      </x:c>
      <x:c r="G103" s="90" t="n">
        <x:v>-389013.13</x:v>
      </x:c>
      <x:c r="H103" s="90" t="n">
        <x:v>-209776.64</x:v>
      </x:c>
      <x:c r="I103" s="90" t="n">
        <x:v>-4971553.04</x:v>
      </x:c>
      <x:c r="J103" s="90" t="n">
        <x:v>-176925.19</x:v>
      </x:c>
      <x:c r="K103" s="90" t="n">
        <x:v>0</x:v>
      </x:c>
      <x:c r="L103" s="90" t="n">
        <x:v>-1541962.2</x:v>
      </x:c>
      <x:c r="M103" s="90" t="n">
        <x:v>-1497870.49</x:v>
      </x:c>
      <x:c r="N103" s="90" t="n">
        <x:v>-7051526.59</x:v>
      </x:c>
      <x:c r="O103" s="90" t="n">
        <x:v>-1344264.52</x:v>
      </x:c>
      <x:c r="P103" s="90" t="n">
        <x:v>-288140.16</x:v>
      </x:c>
      <x:c r="Q103" s="90" t="n">
        <x:v>0</x:v>
      </x:c>
      <x:c r="R103" t="n">
        <x:v>0</x:v>
      </x:c>
    </x:row>
    <x:row r="104" spans="1:18" s="286" customFormat="1" ht="12.75" customHeight="1" x14ac:dyDescent="0.2">
      <x:c r="B104" s="286" t="s">
        <x:v>155</x:v>
      </x:c>
      <x:c r="C104" s="229" t="s">
        <x:v>70</x:v>
      </x:c>
      <x:c r="D104" s="229"/>
      <x:c r="E104" s="752" t="n">
        <x:v>-18164297.27</x:v>
      </x:c>
      <x:c r="F104" s="230" t="n">
        <x:v>-693265.31</x:v>
      </x:c>
      <x:c r="G104" s="230" t="n">
        <x:v>-389013.13</x:v>
      </x:c>
      <x:c r="H104" s="230" t="n">
        <x:v>-209776.64</x:v>
      </x:c>
      <x:c r="I104" s="230" t="n">
        <x:v>-4971553.04</x:v>
      </x:c>
      <x:c r="J104" s="230" t="n">
        <x:v>-176925.19</x:v>
      </x:c>
      <x:c r="K104" s="230" t="n">
        <x:v>0</x:v>
      </x:c>
      <x:c r="L104" s="230" t="n">
        <x:v>-1541962.2</x:v>
      </x:c>
      <x:c r="M104" s="230" t="n">
        <x:v>-1497870.49</x:v>
      </x:c>
      <x:c r="N104" s="230" t="n">
        <x:v>-7051526.59</x:v>
      </x:c>
      <x:c r="O104" s="230" t="n">
        <x:v>-1344264.52</x:v>
      </x:c>
      <x:c r="P104" s="230" t="n">
        <x:v>-288140.16</x:v>
      </x:c>
      <x:c r="Q104" s="230" t="n">
        <x:v>0</x:v>
      </x:c>
      <x:c r="R104" s="286" t="n">
        <x:v>0</x:v>
      </x:c>
    </x:row>
    <x:row r="105" spans="1:18" ht="12.75" customHeight="1" x14ac:dyDescent="0.2">
      <x:c r="C105" s="89"/>
      <x:c r="D105" s="89" t="s">
        <x:v>73</x:v>
      </x:c>
      <x:c r="E105" s="371" t="n">
        <x:v>-1980469.88</x:v>
      </x:c>
      <x:c r="F105" s="90" t="n">
        <x:v>-76573.37</x:v>
      </x:c>
      <x:c r="G105" s="90" t="n">
        <x:v>-43012.32</x:v>
      </x:c>
      <x:c r="H105" s="90" t="n">
        <x:v>-23132.33</x:v>
      </x:c>
      <x:c r="I105" s="90" t="n">
        <x:v>-578166.06</x:v>
      </x:c>
      <x:c r="J105" s="90" t="n">
        <x:v>-15167.61</x:v>
      </x:c>
      <x:c r="K105" s="90" t="n">
        <x:v>0</x:v>
      </x:c>
      <x:c r="L105" s="90" t="n">
        <x:v>-150753.13</x:v>
      </x:c>
      <x:c r="M105" s="90" t="n">
        <x:v>-170817.35</x:v>
      </x:c>
      <x:c r="N105" s="90" t="n">
        <x:v>-748635.28</x:v>
      </x:c>
      <x:c r="O105" s="90" t="n">
        <x:v>-149465.37</x:v>
      </x:c>
      <x:c r="P105" s="90" t="n">
        <x:v>-24747.06</x:v>
      </x:c>
      <x:c r="Q105" s="90" t="n">
        <x:v>0</x:v>
      </x:c>
      <x:c r="R105" t="n">
        <x:v>0</x:v>
      </x:c>
    </x:row>
    <x:row r="106" spans="1:18" ht="12.75" customHeight="1" x14ac:dyDescent="0.2">
      <x:c r="C106" s="89" t="s">
        <x:v>115</x:v>
      </x:c>
      <x:c r="D106" s="89" t="s">
        <x:v>70</x:v>
      </x:c>
      <x:c r="E106" s="90" t="n">
        <x:v>-1980469.88</x:v>
      </x:c>
      <x:c r="F106" s="90" t="n">
        <x:v>-76573.37</x:v>
      </x:c>
      <x:c r="G106" s="90" t="n">
        <x:v>-43012.32</x:v>
      </x:c>
      <x:c r="H106" s="90" t="n">
        <x:v>-23132.33</x:v>
      </x:c>
      <x:c r="I106" s="90" t="n">
        <x:v>-578166.06</x:v>
      </x:c>
      <x:c r="J106" s="90" t="n">
        <x:v>-15167.61</x:v>
      </x:c>
      <x:c r="K106" s="90" t="n">
        <x:v>0</x:v>
      </x:c>
      <x:c r="L106" s="90" t="n">
        <x:v>-150753.13</x:v>
      </x:c>
      <x:c r="M106" s="90" t="n">
        <x:v>-170817.35</x:v>
      </x:c>
      <x:c r="N106" s="90" t="n">
        <x:v>-748635.28</x:v>
      </x:c>
      <x:c r="O106" s="90" t="n">
        <x:v>-149465.37</x:v>
      </x:c>
      <x:c r="P106" s="90" t="n">
        <x:v>-24747.06</x:v>
      </x:c>
      <x:c r="Q106" s="90" t="n">
        <x:v>0</x:v>
      </x:c>
      <x:c r="R106" t="n">
        <x:v>0</x:v>
      </x:c>
    </x:row>
    <x:row r="107" spans="1:18" ht="12.75" customHeight="1" x14ac:dyDescent="0.2">
      <x:c r="C107" s="89"/>
      <x:c r="D107" s="89" t="s">
        <x:v>73</x:v>
      </x:c>
      <x:c r="E107" s="371" t="n">
        <x:v>-241632.93</x:v>
      </x:c>
      <x:c r="F107" s="90" t="n">
        <x:v>-9797.62</x:v>
      </x:c>
      <x:c r="G107" s="90" t="n">
        <x:v>-5505.85</x:v>
      </x:c>
      <x:c r="H107" s="90" t="n">
        <x:v>-2902.58</x:v>
      </x:c>
      <x:c r="I107" s="90" t="n">
        <x:v>-68225.73</x:v>
      </x:c>
      <x:c r="J107" s="90" t="n">
        <x:v>-2234.25</x:v>
      </x:c>
      <x:c r="K107" s="90" t="n">
        <x:v>0</x:v>
      </x:c>
      <x:c r="L107" s="90" t="n">
        <x:v>-19598.29</x:v>
      </x:c>
      <x:c r="M107" s="90" t="n">
        <x:v>-19781.05</x:v>
      </x:c>
      <x:c r="N107" s="90" t="n">
        <x:v>-90737.12</x:v>
      </x:c>
      <x:c r="O107" s="90" t="n">
        <x:v>-19205.14</x:v>
      </x:c>
      <x:c r="P107" s="90" t="n">
        <x:v>-3645.3</x:v>
      </x:c>
      <x:c r="Q107" s="90" t="n">
        <x:v>0</x:v>
      </x:c>
      <x:c r="R107" t="n">
        <x:v>0</x:v>
      </x:c>
    </x:row>
    <x:row r="108" spans="1:18" ht="12.75" customHeight="1" x14ac:dyDescent="0.2">
      <x:c r="C108" s="89" t="s">
        <x:v>116</x:v>
      </x:c>
      <x:c r="D108" s="89" t="s">
        <x:v>70</x:v>
      </x:c>
      <x:c r="E108" s="90" t="n">
        <x:v>-241632.93</x:v>
      </x:c>
      <x:c r="F108" s="90" t="n">
        <x:v>-9797.62</x:v>
      </x:c>
      <x:c r="G108" s="90" t="n">
        <x:v>-5505.85</x:v>
      </x:c>
      <x:c r="H108" s="90" t="n">
        <x:v>-2902.58</x:v>
      </x:c>
      <x:c r="I108" s="90" t="n">
        <x:v>-68225.73</x:v>
      </x:c>
      <x:c r="J108" s="90" t="n">
        <x:v>-2234.25</x:v>
      </x:c>
      <x:c r="K108" s="90" t="n">
        <x:v>0</x:v>
      </x:c>
      <x:c r="L108" s="90" t="n">
        <x:v>-19598.29</x:v>
      </x:c>
      <x:c r="M108" s="90" t="n">
        <x:v>-19781.05</x:v>
      </x:c>
      <x:c r="N108" s="90" t="n">
        <x:v>-90737.12</x:v>
      </x:c>
      <x:c r="O108" s="90" t="n">
        <x:v>-19205.14</x:v>
      </x:c>
      <x:c r="P108" s="90" t="n">
        <x:v>-3645.3</x:v>
      </x:c>
      <x:c r="Q108" s="90" t="n">
        <x:v>0</x:v>
      </x:c>
      <x:c r="R108" t="n">
        <x:v>0</x:v>
      </x:c>
    </x:row>
    <x:row r="109" spans="1:18" ht="12.75" customHeight="1" x14ac:dyDescent="0.2">
      <x:c r="C109" s="89"/>
      <x:c r="D109" s="89" t="s">
        <x:v>73</x:v>
      </x:c>
      <x:c r="E109" s="371">
        <x:v>0</x:v>
      </x:c>
      <x:c r="F109" s="90">
        <x:v>0</x:v>
      </x:c>
      <x:c r="G109" s="90">
        <x:v>0</x:v>
      </x:c>
      <x:c r="H109" s="90">
        <x:v>0</x:v>
      </x:c>
      <x:c r="I109" s="90">
        <x:v>0</x:v>
      </x:c>
      <x:c r="J109" s="90">
        <x:v>0</x:v>
      </x:c>
      <x:c r="K109" s="90">
        <x:v>0</x:v>
      </x:c>
      <x:c r="L109" s="90">
        <x:v>0</x:v>
      </x:c>
      <x:c r="M109" s="90">
        <x:v>0</x:v>
      </x:c>
      <x:c r="N109" s="90">
        <x:v>0</x:v>
      </x:c>
      <x:c r="O109" s="90">
        <x:v>0</x:v>
      </x:c>
      <x:c r="P109" s="90">
        <x:v>0</x:v>
      </x:c>
      <x:c r="Q109" s="90">
        <x:v>0</x:v>
      </x:c>
      <x:c r="R109">
        <x:v>0</x:v>
      </x:c>
    </x:row>
    <x:row r="110" spans="1:18" ht="12.75" customHeight="1" x14ac:dyDescent="0.2">
      <x:c r="C110" s="773">
        <x:v>3</x:v>
      </x:c>
      <x:c r="D110" s="89" t="s">
        <x:v>70</x:v>
      </x:c>
      <x:c r="E110" s="90">
        <x:v>0</x:v>
      </x:c>
      <x:c r="F110" s="90">
        <x:v>0</x:v>
      </x:c>
      <x:c r="G110" s="90">
        <x:v>0</x:v>
      </x:c>
      <x:c r="H110" s="90">
        <x:v>0</x:v>
      </x:c>
      <x:c r="I110" s="90">
        <x:v>0</x:v>
      </x:c>
      <x:c r="J110" s="90">
        <x:v>0</x:v>
      </x:c>
      <x:c r="K110" s="90">
        <x:v>0</x:v>
      </x:c>
      <x:c r="L110" s="90">
        <x:v>0</x:v>
      </x:c>
      <x:c r="M110" s="90">
        <x:v>0</x:v>
      </x:c>
      <x:c r="N110" s="90">
        <x:v>0</x:v>
      </x:c>
      <x:c r="O110" s="90">
        <x:v>0</x:v>
      </x:c>
      <x:c r="P110" s="90">
        <x:v>0</x:v>
      </x:c>
      <x:c r="Q110" s="90">
        <x:v>0</x:v>
      </x:c>
      <x:c r="R110">
        <x:v>0</x:v>
      </x:c>
    </x:row>
    <x:row r="111" spans="1:18" ht="12.75" customHeight="1" x14ac:dyDescent="0.2">
      <x:c r="C111" s="89"/>
      <x:c r="D111" s="89" t="s">
        <x:v>73</x:v>
      </x:c>
      <x:c r="E111" s="371" t="n">
        <x:v>-7912371.11</x:v>
      </x:c>
      <x:c r="F111" s="90" t="n">
        <x:v>-321556.94</x:v>
      </x:c>
      <x:c r="G111" s="90" t="n">
        <x:v>-184379.29</x:v>
      </x:c>
      <x:c r="H111" s="90" t="n">
        <x:v>-97803.02</x:v>
      </x:c>
      <x:c r="I111" s="90" t="n">
        <x:v>-2235433.13</x:v>
      </x:c>
      <x:c r="J111" s="90" t="n">
        <x:v>-73085.65</x:v>
      </x:c>
      <x:c r="K111" s="90" t="n">
        <x:v>0</x:v>
      </x:c>
      <x:c r="L111" s="90" t="n">
        <x:v>-636486.21</x:v>
      </x:c>
      <x:c r="M111" s="90" t="n">
        <x:v>-640153.78</x:v>
      </x:c>
      <x:c r="N111" s="90" t="n">
        <x:v>-3002675.53</x:v>
      </x:c>
      <x:c r="O111" s="90" t="n">
        <x:v>-602120.33</x:v>
      </x:c>
      <x:c r="P111" s="90" t="n">
        <x:v>-118677.23</x:v>
      </x:c>
      <x:c r="Q111" s="90" t="n">
        <x:v>0</x:v>
      </x:c>
      <x:c r="R111" t="n">
        <x:v>0</x:v>
      </x:c>
    </x:row>
    <x:row r="112" spans="1:18" ht="12.75" customHeight="1" x14ac:dyDescent="0.2">
      <x:c r="C112" s="89" t="s">
        <x:v>118</x:v>
      </x:c>
      <x:c r="D112" s="89" t="s">
        <x:v>70</x:v>
      </x:c>
      <x:c r="E112" s="371" t="n">
        <x:v>-7912371.11</x:v>
      </x:c>
      <x:c r="F112" s="90" t="n">
        <x:v>-321556.94</x:v>
      </x:c>
      <x:c r="G112" s="90" t="n">
        <x:v>-184379.29</x:v>
      </x:c>
      <x:c r="H112" s="90" t="n">
        <x:v>-97803.02</x:v>
      </x:c>
      <x:c r="I112" s="90" t="n">
        <x:v>-2235433.13</x:v>
      </x:c>
      <x:c r="J112" s="90" t="n">
        <x:v>-73085.65</x:v>
      </x:c>
      <x:c r="K112" s="90" t="n">
        <x:v>0</x:v>
      </x:c>
      <x:c r="L112" s="90" t="n">
        <x:v>-636486.21</x:v>
      </x:c>
      <x:c r="M112" s="90" t="n">
        <x:v>-640153.78</x:v>
      </x:c>
      <x:c r="N112" s="90" t="n">
        <x:v>-3002675.53</x:v>
      </x:c>
      <x:c r="O112" s="90" t="n">
        <x:v>-602120.33</x:v>
      </x:c>
      <x:c r="P112" s="90" t="n">
        <x:v>-118677.23</x:v>
      </x:c>
      <x:c r="Q112" s="90" t="n">
        <x:v>0</x:v>
      </x:c>
      <x:c r="R112" t="n">
        <x:v>0</x:v>
      </x:c>
    </x:row>
    <x:row r="113" spans="1:19" ht="12.75" customHeight="1" x14ac:dyDescent="0.2">
      <x:c r="C113" s="89"/>
      <x:c r="D113" s="89" t="s">
        <x:v>73</x:v>
      </x:c>
      <x:c r="E113" s="371" t="n">
        <x:v>6719.84</x:v>
      </x:c>
      <x:c r="F113" s="90" t="n">
        <x:v>0</x:v>
      </x:c>
      <x:c r="G113" s="90" t="n">
        <x:v>0</x:v>
      </x:c>
      <x:c r="H113" s="90" t="n">
        <x:v>0</x:v>
      </x:c>
      <x:c r="I113" s="90" t="n">
        <x:v>0</x:v>
      </x:c>
      <x:c r="J113" s="90" t="n">
        <x:v>181.3</x:v>
      </x:c>
      <x:c r="K113" s="90" t="n">
        <x:v>0</x:v>
      </x:c>
      <x:c r="L113" s="90" t="n">
        <x:v>0</x:v>
      </x:c>
      <x:c r="M113" s="90" t="n">
        <x:v>0</x:v>
      </x:c>
      <x:c r="N113" s="90" t="n">
        <x:v>6242.75</x:v>
      </x:c>
      <x:c r="O113" s="90" t="n">
        <x:v>0</x:v>
      </x:c>
      <x:c r="P113" s="90" t="n">
        <x:v>295.79</x:v>
      </x:c>
      <x:c r="Q113" s="90" t="n">
        <x:v>0</x:v>
      </x:c>
      <x:c r="R113" t="n">
        <x:v>0</x:v>
      </x:c>
    </x:row>
    <x:row r="114" spans="1:19" ht="12.75" customHeight="1" x14ac:dyDescent="0.2">
      <x:c r="C114" s="773">
        <x:v>9</x:v>
      </x:c>
      <x:c r="D114" s="89" t="s">
        <x:v>70</x:v>
      </x:c>
      <x:c r="E114" s="371" t="n">
        <x:v>6719.84</x:v>
      </x:c>
      <x:c r="F114" s="90" t="n">
        <x:v>0</x:v>
      </x:c>
      <x:c r="G114" s="90" t="n">
        <x:v>0</x:v>
      </x:c>
      <x:c r="H114" s="90" t="n">
        <x:v>0</x:v>
      </x:c>
      <x:c r="I114" s="90" t="n">
        <x:v>0</x:v>
      </x:c>
      <x:c r="J114" s="90" t="n">
        <x:v>181.3</x:v>
      </x:c>
      <x:c r="K114" s="90" t="n">
        <x:v>0</x:v>
      </x:c>
      <x:c r="L114" s="90" t="n">
        <x:v>0</x:v>
      </x:c>
      <x:c r="M114" s="90" t="n">
        <x:v>0</x:v>
      </x:c>
      <x:c r="N114" s="90" t="n">
        <x:v>6242.75</x:v>
      </x:c>
      <x:c r="O114" s="90" t="n">
        <x:v>0</x:v>
      </x:c>
      <x:c r="P114" s="90" t="n">
        <x:v>295.79</x:v>
      </x:c>
      <x:c r="Q114" s="90" t="n">
        <x:v>0</x:v>
      </x:c>
      <x:c r="R114" t="n">
        <x:v>0</x:v>
      </x:c>
    </x:row>
    <x:row r="115" spans="1:19" s="224" customFormat="1" ht="12.75" customHeight="1" x14ac:dyDescent="0.2">
      <x:c r="B115" s="223" t="s">
        <x:v>120</x:v>
      </x:c>
      <x:c r="C115" s="223" t="s">
        <x:v>70</x:v>
      </x:c>
      <x:c r="E115" s="225" t="n">
        <x:v>-10127754.08</x:v>
      </x:c>
      <x:c r="F115" s="225" t="n">
        <x:v>-407927.93</x:v>
      </x:c>
      <x:c r="G115" s="225" t="n">
        <x:v>-232897.46</x:v>
      </x:c>
      <x:c r="H115" s="225" t="n">
        <x:v>-123837.93</x:v>
      </x:c>
      <x:c r="I115" s="225" t="n">
        <x:v>-2881824.92</x:v>
      </x:c>
      <x:c r="J115" s="225" t="n">
        <x:v>-90306.21</x:v>
      </x:c>
      <x:c r="K115" s="225" t="n">
        <x:v>0</x:v>
      </x:c>
      <x:c r="L115" s="225" t="n">
        <x:v>-806837.63</x:v>
      </x:c>
      <x:c r="M115" s="225" t="n">
        <x:v>-830752.18</x:v>
      </x:c>
      <x:c r="N115" s="225" t="n">
        <x:v>-3835805.18</x:v>
      </x:c>
      <x:c r="O115" s="225" t="n">
        <x:v>-770790.84</x:v>
      </x:c>
      <x:c r="P115" s="225" t="n">
        <x:v>-146773.8</x:v>
      </x:c>
      <x:c r="Q115" s="225" t="n">
        <x:v>0</x:v>
      </x:c>
      <x:c r="R115" s="224" t="n">
        <x:v>0</x:v>
      </x:c>
    </x:row>
    <x:row r="116" spans="1:19" ht="12.75" customHeight="1" x14ac:dyDescent="0.2">
      <x:c r="D116" s="89" t="s">
        <x:v>73</x:v>
      </x:c>
      <x:c r="E116" s="371" t="n">
        <x:v>-3182911.67</x:v>
      </x:c>
      <x:c r="F116" s="90" t="n">
        <x:v>-139157.84</x:v>
      </x:c>
      <x:c r="G116" s="90" t="n">
        <x:v>-86072.83</x:v>
      </x:c>
      <x:c r="H116" s="90" t="n">
        <x:v>-50455.48</x:v>
      </x:c>
      <x:c r="I116" s="90" t="n">
        <x:v>-1005938.26</x:v>
      </x:c>
      <x:c r="J116" s="90" t="n">
        <x:v>-25590.57</x:v>
      </x:c>
      <x:c r="K116" s="90" t="n">
        <x:v>0</x:v>
      </x:c>
      <x:c r="L116" s="90" t="n">
        <x:v>-206580.44</x:v>
      </x:c>
      <x:c r="M116" s="90" t="n">
        <x:v>-276320.95</x:v>
      </x:c>
      <x:c r="N116" s="90" t="n">
        <x:v>-1228793.59</x:v>
      </x:c>
      <x:c r="O116" s="90" t="n">
        <x:v>-123045.53</x:v>
      </x:c>
      <x:c r="P116" s="90" t="n">
        <x:v>-40956.18</x:v>
      </x:c>
      <x:c r="Q116" s="90" t="n">
        <x:v>0</x:v>
      </x:c>
      <x:c r="R116" t="n">
        <x:v>0</x:v>
      </x:c>
    </x:row>
    <x:row r="117" spans="1:19" ht="12.75" customHeight="1" x14ac:dyDescent="0.2">
      <x:c r="C117" t="s">
        <x:v>82</x:v>
      </x:c>
      <x:c r="D117" s="89" t="s">
        <x:v>70</x:v>
      </x:c>
      <x:c r="E117" s="371" t="n">
        <x:v>-3182911.67</x:v>
      </x:c>
      <x:c r="F117" s="90" t="n">
        <x:v>-139157.84</x:v>
      </x:c>
      <x:c r="G117" s="90" t="n">
        <x:v>-86072.83</x:v>
      </x:c>
      <x:c r="H117" s="90" t="n">
        <x:v>-50455.48</x:v>
      </x:c>
      <x:c r="I117" s="90" t="n">
        <x:v>-1005938.26</x:v>
      </x:c>
      <x:c r="J117" s="90" t="n">
        <x:v>-25590.57</x:v>
      </x:c>
      <x:c r="K117" s="90" t="n">
        <x:v>0</x:v>
      </x:c>
      <x:c r="L117" s="90" t="n">
        <x:v>-206580.44</x:v>
      </x:c>
      <x:c r="M117" s="90" t="n">
        <x:v>-276320.95</x:v>
      </x:c>
      <x:c r="N117" s="90" t="n">
        <x:v>-1228793.59</x:v>
      </x:c>
      <x:c r="O117" s="90" t="n">
        <x:v>-123045.53</x:v>
      </x:c>
      <x:c r="P117" s="90" t="n">
        <x:v>-40956.18</x:v>
      </x:c>
      <x:c r="Q117" s="90" t="n">
        <x:v>0</x:v>
      </x:c>
      <x:c r="R117" t="n">
        <x:v>0</x:v>
      </x:c>
    </x:row>
    <x:row r="118" spans="1:19" ht="12.75" customHeight="1" x14ac:dyDescent="0.2">
      <x:c r="D118" s="89" t="s">
        <x:v>73</x:v>
      </x:c>
      <x:c r="E118" s="371" t="n">
        <x:v>-4176689.77</x:v>
      </x:c>
      <x:c r="F118" s="90" t="n">
        <x:v>451770.66</x:v>
      </x:c>
      <x:c r="G118" s="90" t="n">
        <x:v>48673.05</x:v>
      </x:c>
      <x:c r="H118" s="90" t="n">
        <x:v>72202.01</x:v>
      </x:c>
      <x:c r="I118" s="90" t="n">
        <x:v>-1893477.11</x:v>
      </x:c>
      <x:c r="J118" s="90" t="n">
        <x:v>-59581.05</x:v>
      </x:c>
      <x:c r="K118" s="90" t="n">
        <x:v>0</x:v>
      </x:c>
      <x:c r="L118" s="90" t="n">
        <x:v>-518650.72</x:v>
      </x:c>
      <x:c r="M118" s="90" t="n">
        <x:v>-601656.88</x:v>
      </x:c>
      <x:c r="N118" s="90" t="n">
        <x:v>-2836991.94</x:v>
      </x:c>
      <x:c r="O118" s="90" t="n">
        <x:v>1257256.04</x:v>
      </x:c>
      <x:c r="P118" s="90" t="n">
        <x:v>-96233.83</x:v>
      </x:c>
      <x:c r="Q118" s="90" t="n">
        <x:v>0</x:v>
      </x:c>
      <x:c r="R118" t="n">
        <x:v>0</x:v>
      </x:c>
    </x:row>
    <x:row r="119" spans="1:19" ht="12.75" customHeight="1" x14ac:dyDescent="0.2">
      <x:c r="C119" t="s">
        <x:v>86</x:v>
      </x:c>
      <x:c r="D119" s="89" t="s">
        <x:v>70</x:v>
      </x:c>
      <x:c r="E119" s="371" t="n">
        <x:v>-4176689.77</x:v>
      </x:c>
      <x:c r="F119" s="90" t="n">
        <x:v>451770.66</x:v>
      </x:c>
      <x:c r="G119" s="90" t="n">
        <x:v>48673.05</x:v>
      </x:c>
      <x:c r="H119" s="90" t="n">
        <x:v>72202.01</x:v>
      </x:c>
      <x:c r="I119" s="90" t="n">
        <x:v>-1893477.11</x:v>
      </x:c>
      <x:c r="J119" s="90" t="n">
        <x:v>-59581.05</x:v>
      </x:c>
      <x:c r="K119" s="90" t="n">
        <x:v>0</x:v>
      </x:c>
      <x:c r="L119" s="90" t="n">
        <x:v>-518650.72</x:v>
      </x:c>
      <x:c r="M119" s="90" t="n">
        <x:v>-601656.88</x:v>
      </x:c>
      <x:c r="N119" s="90" t="n">
        <x:v>-2836991.94</x:v>
      </x:c>
      <x:c r="O119" s="90" t="n">
        <x:v>1257256.04</x:v>
      </x:c>
      <x:c r="P119" s="90" t="n">
        <x:v>-96233.83</x:v>
      </x:c>
      <x:c r="Q119" s="90" t="n">
        <x:v>0</x:v>
      </x:c>
      <x:c r="R119" t="n">
        <x:v>0</x:v>
      </x:c>
    </x:row>
    <x:row r="120" spans="1:19" ht="12.75" customHeight="1" x14ac:dyDescent="0.2">
      <x:c r="D120" s="89" t="s">
        <x:v>73</x:v>
      </x:c>
      <x:c r="E120" s="371" t="n">
        <x:v>522999.54</x:v>
      </x:c>
      <x:c r="F120" s="90" t="n">
        <x:v>54236.07</x:v>
      </x:c>
      <x:c r="G120" s="90" t="n">
        <x:v>-13360.86</x:v>
      </x:c>
      <x:c r="H120" s="90" t="n">
        <x:v>-8558.53</x:v>
      </x:c>
      <x:c r="I120" s="90" t="n">
        <x:v>-495268.04</x:v>
      </x:c>
      <x:c r="J120" s="90" t="n">
        <x:v>-11654.1</x:v>
      </x:c>
      <x:c r="K120" s="90" t="n">
        <x:v>0</x:v>
      </x:c>
      <x:c r="L120" s="90" t="n">
        <x:v>-52422.98</x:v>
      </x:c>
      <x:c r="M120" s="90" t="n">
        <x:v>-98595.04</x:v>
      </x:c>
      <x:c r="N120" s="90" t="n">
        <x:v>-410478.9</x:v>
      </x:c>
      <x:c r="O120" s="90" t="n">
        <x:v>1577530.55</x:v>
      </x:c>
      <x:c r="P120" s="90" t="n">
        <x:v>-18428.63</x:v>
      </x:c>
      <x:c r="Q120" s="90" t="n">
        <x:v>0</x:v>
      </x:c>
      <x:c r="R120" t="n">
        <x:v>0</x:v>
      </x:c>
    </x:row>
    <x:row r="121" spans="1:19" ht="12.75" customHeight="1" x14ac:dyDescent="0.2">
      <x:c r="C121" t="s">
        <x:v>87</x:v>
      </x:c>
      <x:c r="D121" s="89" t="s">
        <x:v>70</x:v>
      </x:c>
      <x:c r="E121" s="90" t="n">
        <x:v>522999.54</x:v>
      </x:c>
      <x:c r="F121" s="90" t="n">
        <x:v>54236.07</x:v>
      </x:c>
      <x:c r="G121" s="90" t="n">
        <x:v>-13360.86</x:v>
      </x:c>
      <x:c r="H121" s="90" t="n">
        <x:v>-8558.53</x:v>
      </x:c>
      <x:c r="I121" s="90" t="n">
        <x:v>-495268.04</x:v>
      </x:c>
      <x:c r="J121" s="90" t="n">
        <x:v>-11654.1</x:v>
      </x:c>
      <x:c r="K121" s="90" t="n">
        <x:v>0</x:v>
      </x:c>
      <x:c r="L121" s="90" t="n">
        <x:v>-52422.98</x:v>
      </x:c>
      <x:c r="M121" s="90" t="n">
        <x:v>-98595.04</x:v>
      </x:c>
      <x:c r="N121" s="90" t="n">
        <x:v>-410478.9</x:v>
      </x:c>
      <x:c r="O121" s="90" t="n">
        <x:v>1577530.55</x:v>
      </x:c>
      <x:c r="P121" s="90" t="n">
        <x:v>-18428.63</x:v>
      </x:c>
      <x:c r="Q121" s="90" t="n">
        <x:v>0</x:v>
      </x:c>
      <x:c r="R121" t="n">
        <x:v>0</x:v>
      </x:c>
    </x:row>
    <x:row r="122" spans="1:19" s="94" customFormat="1" ht="12.75" customHeight="1" x14ac:dyDescent="0.2">
      <x:c r="B122" s="101" t="s">
        <x:v>119</x:v>
      </x:c>
      <x:c r="C122" s="101" t="s">
        <x:v>70</x:v>
      </x:c>
      <x:c r="E122" s="93" t="n">
        <x:v>-6836601.9</x:v>
      </x:c>
      <x:c r="F122" s="93" t="n">
        <x:v>366848.89</x:v>
      </x:c>
      <x:c r="G122" s="93" t="n">
        <x:v>-50760.64</x:v>
      </x:c>
      <x:c r="H122" s="93" t="n">
        <x:v>13188</x:v>
      </x:c>
      <x:c r="I122" s="93" t="n">
        <x:v>-3394683.41</x:v>
      </x:c>
      <x:c r="J122" s="93" t="n">
        <x:v>-96825.72</x:v>
      </x:c>
      <x:c r="K122" s="93" t="n">
        <x:v>0</x:v>
      </x:c>
      <x:c r="L122" s="93" t="n">
        <x:v>-777654.14</x:v>
      </x:c>
      <x:c r="M122" s="93" t="n">
        <x:v>-976572.87</x:v>
      </x:c>
      <x:c r="N122" s="93" t="n">
        <x:v>-4476264.43</x:v>
      </x:c>
      <x:c r="O122" s="93" t="n">
        <x:v>2711741.06</x:v>
      </x:c>
      <x:c r="P122" s="93" t="n">
        <x:v>-155618.64</x:v>
      </x:c>
      <x:c r="Q122" s="93" t="n">
        <x:v>0</x:v>
      </x:c>
      <x:c r="R122" s="94" t="n">
        <x:v>0</x:v>
      </x:c>
    </x:row>
    <x:row r="123" spans="1:19" s="226" customFormat="1" ht="12.75" customHeight="1" x14ac:dyDescent="0.2">
      <x:c r="A123" s="98" t="s">
        <x:v>79</x:v>
      </x:c>
      <x:c r="B123" s="98" t="s">
        <x:v>70</x:v>
      </x:c>
      <x:c r="E123" s="100" t="n">
        <x:v>-35128653.25</x:v>
      </x:c>
      <x:c r="F123" s="100" t="n">
        <x:v>-734344.35</x:v>
      </x:c>
      <x:c r="G123" s="100" t="n">
        <x:v>-672671.23</x:v>
      </x:c>
      <x:c r="H123" s="100" t="n">
        <x:v>-320426.57</x:v>
      </x:c>
      <x:c r="I123" s="100" t="n">
        <x:v>-11248061.37</x:v>
      </x:c>
      <x:c r="J123" s="100" t="n">
        <x:v>-364057.12</x:v>
      </x:c>
      <x:c r="K123" s="100" t="n">
        <x:v>0</x:v>
      </x:c>
      <x:c r="L123" s="100" t="n">
        <x:v>-3126453.97</x:v>
      </x:c>
      <x:c r="M123" s="100" t="n">
        <x:v>-3305195.54</x:v>
      </x:c>
      <x:c r="N123" s="100" t="n">
        <x:v>-15363596.2</x:v>
      </x:c>
      <x:c r="O123" s="100" t="n">
        <x:v>596685.7</x:v>
      </x:c>
      <x:c r="P123" s="100" t="n">
        <x:v>-590532.6</x:v>
      </x:c>
      <x:c r="Q123" s="100" t="n">
        <x:v>0</x:v>
      </x:c>
      <x:c r="R123" s="226" t="n">
        <x:v>0</x:v>
      </x:c>
    </x:row>
    <x:row r="124" spans="1:19" ht="12.75" customHeight="1" x14ac:dyDescent="0.2">
      <x:c r="A124" s="89" t="s">
        <x:v>70</x:v>
      </x:c>
      <x:c r="E124" s="90" t="n">
        <x:v>148193467.35</x:v>
      </x:c>
      <x:c r="F124" s="90" t="n">
        <x:v>17463507.26</x:v>
      </x:c>
      <x:c r="G124" s="90" t="n">
        <x:v>9228968.13</x:v>
      </x:c>
      <x:c r="H124" s="90" t="n">
        <x:v>4492655.64</x:v>
      </x:c>
      <x:c r="I124" s="90" t="n">
        <x:v>27052476.99</x:v>
      </x:c>
      <x:c r="J124" s="90" t="n">
        <x:v>901073.95</x:v>
      </x:c>
      <x:c r="K124" s="90" t="n">
        <x:v>28554.96</x:v>
      </x:c>
      <x:c r="L124" s="90" t="n">
        <x:v>7436619.35</x:v>
      </x:c>
      <x:c r="M124" s="90" t="n">
        <x:v>8244354.2</x:v>
      </x:c>
      <x:c r="N124" s="90" t="n">
        <x:v>28765575.32</x:v>
      </x:c>
      <x:c r="O124" s="90" t="n">
        <x:v>43654179.54</x:v>
      </x:c>
      <x:c r="P124" s="90" t="n">
        <x:v>925358.1</x:v>
      </x:c>
      <x:c r="Q124" s="90" t="n">
        <x:v>143.91</x:v>
      </x:c>
      <x:c r="R124" t="n">
        <x:v>0</x:v>
      </x:c>
    </x:row>
    <x:row r="125" spans="1:19" ht="12.75" customHeight="1" x14ac:dyDescent="0.2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2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2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2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2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2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2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2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2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2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2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2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2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2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2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2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2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2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hidden="1" customHeight="1" x14ac:dyDescent="0.2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hidden="1" customHeight="1" x14ac:dyDescent="0.2">
      <x:c r="A144" s="89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</x:row>
    <x:row r="145" spans="1:19" ht="12.75" hidden="1" customHeight="1" x14ac:dyDescent="0.2">
      <x:c r="A145" s="89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</x:row>
    <x:row r="146" spans="1:19" ht="12.75" hidden="1" customHeight="1" x14ac:dyDescent="0.2">
      <x:c r="A146" s="89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</x:row>
    <x:row r="147" spans="1:19" ht="12.75" hidden="1" customHeight="1" x14ac:dyDescent="0.2">
      <x:c r="A147" s="89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</x:row>
    <x:row r="148" spans="1:19" ht="12.75" hidden="1" customHeight="1" x14ac:dyDescent="0.2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customHeight="1" x14ac:dyDescent="0.2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customHeight="1" x14ac:dyDescent="0.2">
      <x:c r="B155" s="778" t="s">
        <x:v>2</x:v>
      </x:c>
      <x:c r="C155" s="775" t="s">
        <x:v>132</x:v>
      </x:c>
      <x:c r="D155" s="98" t="s">
        <x:v>70</x:v>
      </x:c>
      <x:c r="E155" s="100">
        <x:f>E101+E123-K101</x:f>
        <x:v>0</x:v>
      </x:c>
      <x:c r="F155" s="100">
        <x:f t="shared" ref="F155:R155" si="3">F101</x:f>
        <x:v>0</x:v>
      </x:c>
      <x:c r="G155" s="100">
        <x:f t="shared" si="3"/>
        <x:v>0</x:v>
      </x:c>
      <x:c r="H155" s="100">
        <x:f t="shared" si="3"/>
        <x:v>0</x:v>
      </x:c>
      <x:c r="I155" s="100">
        <x:f t="shared" si="3"/>
        <x:v>0</x:v>
      </x:c>
      <x:c r="J155" s="100">
        <x:f t="shared" si="3"/>
        <x:v>0</x:v>
      </x:c>
      <x:c r="K155" s="100">
        <x:f t="shared" si="3"/>
        <x:v>0</x:v>
      </x:c>
      <x:c r="L155" s="100">
        <x:f t="shared" si="3"/>
        <x:v>0</x:v>
      </x:c>
      <x:c r="M155" s="100">
        <x:f t="shared" si="3"/>
        <x:v>0</x:v>
      </x:c>
      <x:c r="N155" s="100">
        <x:f t="shared" si="3"/>
        <x:v>0</x:v>
      </x:c>
      <x:c r="O155" s="100">
        <x:f t="shared" si="3"/>
        <x:v>0</x:v>
      </x:c>
      <x:c r="P155" s="100">
        <x:f t="shared" si="3"/>
        <x:v>0</x:v>
      </x:c>
      <x:c r="Q155" s="100">
        <x:f t="shared" si="3"/>
        <x:v>0</x:v>
      </x:c>
      <x:c r="R155" s="100">
        <x:f t="shared" si="3"/>
        <x:v>0</x:v>
      </x:c>
    </x:row>
    <x:row r="156" spans="1:19" ht="12.75" customHeight="1" x14ac:dyDescent="0.2">
      <x:c r="B156" s="778"/>
      <x:c r="C156" s="775"/>
      <x:c r="D156" s="98" t="s">
        <x:v>73</x:v>
      </x:c>
      <x:c r="E156" s="100">
        <x:f>E123</x:f>
        <x:v>0</x:v>
      </x:c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</x:row>
    <x:row r="157" spans="1:19" ht="12.75" customHeight="1" x14ac:dyDescent="0.2">
      <x:c r="A157" s="89"/>
      <x:c r="B157" s="97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9" ht="12.75" customHeight="1" x14ac:dyDescent="0.2">
      <x:c r="B158" s="778" t="s">
        <x:v>160</x:v>
      </x:c>
      <x:c r="C158" s="775" t="s">
        <x:v>132</x:v>
      </x:c>
      <x:c r="D158" s="223" t="s">
        <x:v>70</x:v>
      </x:c>
      <x:c r="E158" s="225">
        <x:f>E115+E90+E70-K70-K90</x:f>
        <x:v>0</x:v>
      </x:c>
      <x:c r="F158" s="225">
        <x:f>F90+F70</x:f>
        <x:v>0</x:v>
      </x:c>
      <x:c r="G158" s="225">
        <x:f t="shared" ref="G158:R158" si="4">G90+G70</x:f>
        <x:v>0</x:v>
      </x:c>
      <x:c r="H158" s="225">
        <x:f t="shared" si="4"/>
        <x:v>0</x:v>
      </x:c>
      <x:c r="I158" s="225">
        <x:f t="shared" si="4"/>
        <x:v>0</x:v>
      </x:c>
      <x:c r="J158" s="225">
        <x:f t="shared" si="4"/>
        <x:v>0</x:v>
      </x:c>
      <x:c r="K158" s="225">
        <x:f t="shared" si="4"/>
        <x:v>0</x:v>
      </x:c>
      <x:c r="L158" s="225">
        <x:f t="shared" si="4"/>
        <x:v>0</x:v>
      </x:c>
      <x:c r="M158" s="225">
        <x:f t="shared" si="4"/>
        <x:v>0</x:v>
      </x:c>
      <x:c r="N158" s="225">
        <x:f t="shared" si="4"/>
        <x:v>0</x:v>
      </x:c>
      <x:c r="O158" s="225">
        <x:f t="shared" si="4"/>
        <x:v>0</x:v>
      </x:c>
      <x:c r="P158" s="225">
        <x:f t="shared" si="4"/>
        <x:v>0</x:v>
      </x:c>
      <x:c r="Q158" s="225">
        <x:f t="shared" si="4"/>
        <x:v>0</x:v>
      </x:c>
      <x:c r="R158" s="225">
        <x:f t="shared" si="4"/>
        <x:v>0</x:v>
      </x:c>
    </x:row>
    <x:row r="159" spans="1:19" ht="12.75" customHeight="1" x14ac:dyDescent="0.2">
      <x:c r="B159" s="778"/>
      <x:c r="C159" s="775"/>
      <x:c r="D159" s="223" t="s">
        <x:v>73</x:v>
      </x:c>
      <x:c r="E159" s="225">
        <x:f>E115</x:f>
        <x:v>0</x:v>
      </x:c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</x:row>
    <x:row r="160" spans="1:19" ht="12.6" customHeight="1" x14ac:dyDescent="0.2">
      <x:c r="A160" s="89"/>
      <x:c r="B160" s="97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1:18" ht="12.75" customHeight="1" x14ac:dyDescent="0.2">
      <x:c r="B161" s="778" t="s">
        <x:v>155</x:v>
      </x:c>
      <x:c r="C161" s="775" t="s">
        <x:v>132</x:v>
      </x:c>
      <x:c r="D161" s="221" t="s">
        <x:v>70</x:v>
      </x:c>
      <x:c r="E161" s="222">
        <x:f>E104+E74-K74</x:f>
        <x:v>0</x:v>
      </x:c>
      <x:c r="F161" s="222">
        <x:f t="shared" ref="F161:R161" si="5">F74</x:f>
        <x:v>0</x:v>
      </x:c>
      <x:c r="G161" s="222">
        <x:f t="shared" si="5"/>
        <x:v>0</x:v>
      </x:c>
      <x:c r="H161" s="222">
        <x:f t="shared" si="5"/>
        <x:v>0</x:v>
      </x:c>
      <x:c r="I161" s="222">
        <x:f t="shared" si="5"/>
        <x:v>0</x:v>
      </x:c>
      <x:c r="J161" s="222">
        <x:f t="shared" si="5"/>
        <x:v>0</x:v>
      </x:c>
      <x:c r="K161" s="222">
        <x:f t="shared" si="5"/>
        <x:v>0</x:v>
      </x:c>
      <x:c r="L161" s="222">
        <x:f t="shared" si="5"/>
        <x:v>0</x:v>
      </x:c>
      <x:c r="M161" s="222">
        <x:f t="shared" si="5"/>
        <x:v>0</x:v>
      </x:c>
      <x:c r="N161" s="222">
        <x:f t="shared" si="5"/>
        <x:v>0</x:v>
      </x:c>
      <x:c r="O161" s="222">
        <x:f t="shared" si="5"/>
        <x:v>0</x:v>
      </x:c>
      <x:c r="P161" s="222">
        <x:f t="shared" si="5"/>
        <x:v>0</x:v>
      </x:c>
      <x:c r="Q161" s="222">
        <x:f t="shared" si="5"/>
        <x:v>0</x:v>
      </x:c>
      <x:c r="R161" s="222">
        <x:f t="shared" si="5"/>
        <x:v>0</x:v>
      </x:c>
    </x:row>
    <x:row r="162" spans="1:18" ht="12.75" customHeight="1" x14ac:dyDescent="0.2">
      <x:c r="B162" s="778"/>
      <x:c r="C162" s="775"/>
      <x:c r="D162" s="221" t="s">
        <x:v>73</x:v>
      </x:c>
      <x:c r="E162" s="222">
        <x:f>E104</x:f>
        <x:v>0</x:v>
      </x:c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</x:row>
    <x:row r="163" spans="1:18" ht="12.75" customHeight="1" x14ac:dyDescent="0.2">
      <x:c r="A163" s="89"/>
      <x:c r="B163" s="97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</x:row>
    <x:row r="164" spans="1:18" ht="12.75" customHeight="1" x14ac:dyDescent="0.2">
      <x:c r="B164" s="776" t="s">
        <x:v>326</x:v>
      </x:c>
      <x:c r="C164" s="775" t="s">
        <x:v>132</x:v>
      </x:c>
      <x:c r="D164" s="373" t="s">
        <x:v>70</x:v>
      </x:c>
      <x:c r="E164" s="374">
        <x:v>0</x:v>
      </x:c>
      <x:c r="F164" s="374">
        <x:v>0</x:v>
      </x:c>
      <x:c r="G164" s="374">
        <x:v>0</x:v>
      </x:c>
      <x:c r="H164" s="374">
        <x:v>0</x:v>
      </x:c>
      <x:c r="I164" s="374">
        <x:v>0</x:v>
      </x:c>
      <x:c r="J164" s="374">
        <x:v>0</x:v>
      </x:c>
      <x:c r="K164" s="374">
        <x:v>0</x:v>
      </x:c>
      <x:c r="L164" s="374">
        <x:v>0</x:v>
      </x:c>
      <x:c r="M164" s="374">
        <x:v>0</x:v>
      </x:c>
      <x:c r="N164" s="374">
        <x:v>0</x:v>
      </x:c>
      <x:c r="O164" s="374">
        <x:v>0</x:v>
      </x:c>
      <x:c r="P164" s="374">
        <x:v>0</x:v>
      </x:c>
      <x:c r="Q164" s="374">
        <x:v>0</x:v>
      </x:c>
      <x:c r="R164" s="374">
        <x:v>0</x:v>
      </x:c>
    </x:row>
    <x:row r="165" spans="1:18" ht="12.75" customHeight="1" x14ac:dyDescent="0.2">
      <x:c r="B165" s="776"/>
      <x:c r="C165" s="775"/>
      <x:c r="D165" s="373" t="s">
        <x:v>73</x:v>
      </x:c>
      <x:c r="E165" s="374">
        <x:v>0</x:v>
      </x:c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</x:row>
    <x:row r="166" spans="1:18" ht="12.75" customHeight="1" x14ac:dyDescent="0.2">
      <x:c r="A166" s="89"/>
      <x:c r="B166" s="97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</x:row>
    <x:row r="167" spans="1:18" ht="12.75" customHeight="1" x14ac:dyDescent="0.2">
      <x:c r="B167" s="778" t="s">
        <x:v>119</x:v>
      </x:c>
      <x:c r="C167" s="775" t="s">
        <x:v>132</x:v>
      </x:c>
      <x:c r="D167" s="101" t="s">
        <x:v>70</x:v>
      </x:c>
      <x:c r="E167" s="93">
        <x:f>E100+E122-K100</x:f>
        <x:v>0</x:v>
      </x:c>
      <x:c r="F167" s="93">
        <x:f t="shared" ref="F167:R167" si="6">F100</x:f>
        <x:v>0</x:v>
      </x:c>
      <x:c r="G167" s="93">
        <x:f t="shared" si="6"/>
        <x:v>0</x:v>
      </x:c>
      <x:c r="H167" s="93">
        <x:f t="shared" si="6"/>
        <x:v>0</x:v>
      </x:c>
      <x:c r="I167" s="93">
        <x:f t="shared" si="6"/>
        <x:v>0</x:v>
      </x:c>
      <x:c r="J167" s="93">
        <x:f t="shared" si="6"/>
        <x:v>0</x:v>
      </x:c>
      <x:c r="K167" s="93">
        <x:f t="shared" si="6"/>
        <x:v>0</x:v>
      </x:c>
      <x:c r="L167" s="93">
        <x:f t="shared" si="6"/>
        <x:v>0</x:v>
      </x:c>
      <x:c r="M167" s="93">
        <x:f t="shared" si="6"/>
        <x:v>0</x:v>
      </x:c>
      <x:c r="N167" s="93">
        <x:f t="shared" si="6"/>
        <x:v>0</x:v>
      </x:c>
      <x:c r="O167" s="93">
        <x:f t="shared" si="6"/>
        <x:v>0</x:v>
      </x:c>
      <x:c r="P167" s="93">
        <x:f t="shared" si="6"/>
        <x:v>0</x:v>
      </x:c>
      <x:c r="Q167" s="93">
        <x:f t="shared" si="6"/>
        <x:v>0</x:v>
      </x:c>
      <x:c r="R167" s="93">
        <x:f t="shared" si="6"/>
        <x:v>0</x:v>
      </x:c>
    </x:row>
    <x:row r="168" spans="1:18" ht="12.75" customHeight="1" x14ac:dyDescent="0.2">
      <x:c r="B168" s="778"/>
      <x:c r="C168" s="775"/>
      <x:c r="D168" s="101" t="s">
        <x:v>73</x:v>
      </x:c>
      <x:c r="E168" s="93">
        <x:f>E122</x:f>
        <x:v>0</x:v>
      </x:c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</x:row>
    <x:row r="169" spans="1:18" ht="12.75" customHeight="1" x14ac:dyDescent="0.2">
      <x:c r="A169" s="89"/>
      <x:c r="B169" s="97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</x:row>
    <x:row r="170" spans="1:18" ht="12.75" customHeight="1" x14ac:dyDescent="0.2">
      <x:c r="B170" s="777" t="s">
        <x:v>161</x:v>
      </x:c>
      <x:c r="C170" s="775" t="s">
        <x:v>132</x:v>
      </x:c>
      <x:c r="D170" s="231" t="s">
        <x:v>70</x:v>
      </x:c>
      <x:c r="E170" s="232">
        <x:v>0</x:v>
      </x:c>
      <x:c r="F170" s="232">
        <x:v>0</x:v>
      </x:c>
      <x:c r="G170" s="232">
        <x:v>0</x:v>
      </x:c>
      <x:c r="H170" s="232">
        <x:v>0</x:v>
      </x:c>
      <x:c r="I170" s="232">
        <x:v>0</x:v>
      </x:c>
      <x:c r="J170" s="232">
        <x:v>0</x:v>
      </x:c>
      <x:c r="K170" s="232">
        <x:v>0</x:v>
      </x:c>
      <x:c r="L170" s="232">
        <x:v>0</x:v>
      </x:c>
      <x:c r="M170" s="232">
        <x:v>0</x:v>
      </x:c>
      <x:c r="N170" s="232">
        <x:v>0</x:v>
      </x:c>
      <x:c r="O170" s="232">
        <x:v>0</x:v>
      </x:c>
      <x:c r="P170" s="232">
        <x:v>0</x:v>
      </x:c>
      <x:c r="Q170" s="232">
        <x:v>0</x:v>
      </x:c>
      <x:c r="R170" s="232">
        <x:v>0</x:v>
      </x:c>
    </x:row>
    <x:row r="171" spans="1:18" ht="12.75" customHeight="1" x14ac:dyDescent="0.2">
      <x:c r="B171" s="777"/>
      <x:c r="C171" s="775"/>
      <x:c r="D171" s="231" t="s">
        <x:v>73</x:v>
      </x:c>
      <x:c r="E171" s="232">
        <x:v>0</x:v>
      </x:c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</x:row>
    <x:row r="172" spans="1:18" s="238" customFormat="1" x14ac:dyDescent="0.2"/>
    <x:row r="173" spans="1:18" x14ac:dyDescent="0.2">
      <x:c r="B173" s="97" t="s">
        <x:v>76</x:v>
      </x:c>
    </x:row>
    <x:row r="174" spans="1:18" ht="12.6" customHeight="1" x14ac:dyDescent="0.2">
      <x:c r="E174" s="89" t="s">
        <x:v>70</x:v>
      </x:c>
      <x:c r="F174" s="89" t="s">
        <x:v>64</x:v>
      </x:c>
      <x:c r="G174" s="89" t="s">
        <x:v>65</x:v>
      </x:c>
      <x:c r="H174" s="219" t="s">
        <x:v>164</x:v>
      </x:c>
      <x:c r="I174" s="89" t="s">
        <x:v>69</x:v>
      </x:c>
      <x:c r="J174" s="89" t="s">
        <x:v>68</x:v>
      </x:c>
      <x:c r="K174" s="89" t="s">
        <x:v>83</x:v>
      </x:c>
      <x:c r="L174" s="89" t="s">
        <x:v>66</x:v>
      </x:c>
      <x:c r="M174" s="89" t="s">
        <x:v>63</x:v>
      </x:c>
      <x:c r="N174" s="89" t="s">
        <x:v>61</x:v>
      </x:c>
      <x:c r="O174" s="89" t="s">
        <x:v>62</x:v>
      </x:c>
      <x:c r="P174" s="89" t="s">
        <x:v>67</x:v>
      </x:c>
      <x:c r="Q174" s="89" t="s">
        <x:v>84</x:v>
      </x:c>
      <x:c r="R174" s="384" t="s">
        <x:v>225</x:v>
      </x:c>
    </x:row>
    <x:row r="175" spans="1:18" ht="12.75" customHeight="1" x14ac:dyDescent="0.2">
      <x:c r="D175" s="89" t="s">
        <x:v>72</x:v>
      </x:c>
      <x:c r="E175" s="371" t="n">
        <x:v>71689.77</x:v>
      </x:c>
      <x:c r="F175" s="90" t="n">
        <x:v>9519.44</x:v>
      </x:c>
      <x:c r="G175" s="90" t="n">
        <x:v>5317.82</x:v>
      </x:c>
      <x:c r="H175" s="90" t="n">
        <x:v>2821.02</x:v>
      </x:c>
      <x:c r="I175" s="90" t="n">
        <x:v>10477.14</x:v>
      </x:c>
      <x:c r="J175" s="90" t="n">
        <x:v>248.4</x:v>
      </x:c>
      <x:c r="K175" s="90" t="n">
        <x:v>0</x:v>
      </x:c>
      <x:c r="L175" s="90" t="n">
        <x:v>2178.96</x:v>
      </x:c>
      <x:c r="M175" s="90" t="n">
        <x:v>3183.54</x:v>
      </x:c>
      <x:c r="N175" s="90" t="n">
        <x:v>14966.57</x:v>
      </x:c>
      <x:c r="O175" s="90" t="n">
        <x:v>22571.59</x:v>
      </x:c>
      <x:c r="P175" s="90" t="n">
        <x:v>405.29</x:v>
      </x:c>
      <x:c r="Q175" s="90" t="n">
        <x:v>0</x:v>
      </x:c>
      <x:c r="R175" t="n">
        <x:v>0</x:v>
      </x:c>
    </x:row>
    <x:row r="176" spans="1:18" ht="12.75" customHeight="1" x14ac:dyDescent="0.2">
      <x:c r="D176" t="s">
        <x:v>81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  <x:c r="L176">
        <x:v>0</x:v>
      </x:c>
      <x:c r="M176">
        <x:v>0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</x:row>
    <x:row r="177" spans="1:18" ht="12.75" customHeight="1" x14ac:dyDescent="0.2">
      <x:c r="C177" t="s">
        <x:v>332</x:v>
      </x:c>
      <x:c r="D177" s="89" t="s">
        <x:v>70</x:v>
      </x:c>
      <x:c r="E177" s="371" t="n">
        <x:v>71689.77</x:v>
      </x:c>
      <x:c r="F177" s="90" t="n">
        <x:v>9519.44</x:v>
      </x:c>
      <x:c r="G177" s="90" t="n">
        <x:v>5317.82</x:v>
      </x:c>
      <x:c r="H177" s="90" t="n">
        <x:v>2821.02</x:v>
      </x:c>
      <x:c r="I177" s="90" t="n">
        <x:v>10477.14</x:v>
      </x:c>
      <x:c r="J177" s="90" t="n">
        <x:v>248.4</x:v>
      </x:c>
      <x:c r="K177" s="90" t="n">
        <x:v>0</x:v>
      </x:c>
      <x:c r="L177" s="90" t="n">
        <x:v>2178.96</x:v>
      </x:c>
      <x:c r="M177" s="90" t="n">
        <x:v>3183.54</x:v>
      </x:c>
      <x:c r="N177" s="90" t="n">
        <x:v>14966.57</x:v>
      </x:c>
      <x:c r="O177" s="90" t="n">
        <x:v>22571.59</x:v>
      </x:c>
      <x:c r="P177" s="90" t="n">
        <x:v>405.29</x:v>
      </x:c>
      <x:c r="Q177" s="90" t="n">
        <x:v>0</x:v>
      </x:c>
      <x:c r="R177" t="n">
        <x:v>0</x:v>
      </x:c>
    </x:row>
    <x:row r="178" spans="1:18" s="739" customFormat="1" ht="12.75" customHeight="1" x14ac:dyDescent="0.2">
      <x:c r="B178" s="739" t="s">
        <x:v>85</x:v>
      </x:c>
      <x:c r="C178" s="739" t="s">
        <x:v>70</x:v>
      </x:c>
      <x:c r="D178" s="231"/>
      <x:c r="E178" s="740" t="n">
        <x:v>71689.77</x:v>
      </x:c>
      <x:c r="F178" s="232" t="n">
        <x:v>9519.44</x:v>
      </x:c>
      <x:c r="G178" s="232" t="n">
        <x:v>5317.82</x:v>
      </x:c>
      <x:c r="H178" s="232" t="n">
        <x:v>2821.02</x:v>
      </x:c>
      <x:c r="I178" s="232" t="n">
        <x:v>10477.14</x:v>
      </x:c>
      <x:c r="J178" s="232" t="n">
        <x:v>248.4</x:v>
      </x:c>
      <x:c r="K178" s="232" t="n">
        <x:v>0</x:v>
      </x:c>
      <x:c r="L178" s="232" t="n">
        <x:v>2178.96</x:v>
      </x:c>
      <x:c r="M178" s="232" t="n">
        <x:v>3183.54</x:v>
      </x:c>
      <x:c r="N178" s="232" t="n">
        <x:v>14966.57</x:v>
      </x:c>
      <x:c r="O178" s="232" t="n">
        <x:v>22571.59</x:v>
      </x:c>
      <x:c r="P178" s="232" t="n">
        <x:v>405.29</x:v>
      </x:c>
      <x:c r="Q178" s="232" t="n">
        <x:v>0</x:v>
      </x:c>
      <x:c r="R178" s="739" t="n">
        <x:v>0</x:v>
      </x:c>
    </x:row>
    <x:row r="179" spans="1:18" ht="12.6" customHeight="1" x14ac:dyDescent="0.2">
      <x:c r="D179" t="s">
        <x:v>72</x:v>
      </x:c>
      <x:c r="E179" t="n">
        <x:v>20780327.05</x:v>
      </x:c>
      <x:c r="F179" t="n">
        <x:v>1047974.97</x:v>
      </x:c>
      <x:c r="G179" t="n">
        <x:v>587808.66</x:v>
      </x:c>
      <x:c r="H179" t="n">
        <x:v>307631.5</x:v>
      </x:c>
      <x:c r="I179" t="n">
        <x:v>5279450.36</x:v>
      </x:c>
      <x:c r="J179" t="n">
        <x:v>214847.64</x:v>
      </x:c>
      <x:c r="K179" t="n">
        <x:v>36736.31</x:v>
      </x:c>
      <x:c r="L179" t="n">
        <x:v>1562524.53</x:v>
      </x:c>
      <x:c r="M179" t="n">
        <x:v>1515836.66</x:v>
      </x:c>
      <x:c r="N179" t="n">
        <x:v>7491037.1</x:v>
      </x:c>
      <x:c r="O179" t="n">
        <x:v>2467881.7</x:v>
      </x:c>
      <x:c r="P179" t="n">
        <x:v>268589.75</x:v>
      </x:c>
      <x:c r="Q179" t="n">
        <x:v>7.87</x:v>
      </x:c>
      <x:c r="R179" t="n">
        <x:v>0</x:v>
      </x:c>
    </x:row>
    <x:row r="180" spans="1:18" ht="12.75" customHeight="1" x14ac:dyDescent="0.2">
      <x:c r="D180" t="s">
        <x:v>81</x:v>
      </x:c>
      <x:c r="E180" t="n">
        <x:v>115525.6</x:v>
      </x:c>
      <x:c r="F180" t="n">
        <x:v>5946.51</x:v>
      </x:c>
      <x:c r="G180" t="n">
        <x:v>3104.08</x:v>
      </x:c>
      <x:c r="H180" t="n">
        <x:v>1702.32</x:v>
      </x:c>
      <x:c r="I180" t="n">
        <x:v>30148.49</x:v>
      </x:c>
      <x:c r="J180" t="n">
        <x:v>1047.66</x:v>
      </x:c>
      <x:c r="K180" t="n">
        <x:v>0</x:v>
      </x:c>
      <x:c r="L180" t="n">
        <x:v>9297.12</x:v>
      </x:c>
      <x:c r="M180" t="n">
        <x:v>8569.54</x:v>
      </x:c>
      <x:c r="N180" t="n">
        <x:v>40091.17</x:v>
      </x:c>
      <x:c r="O180" t="n">
        <x:v>13885.15</x:v>
      </x:c>
      <x:c r="P180" t="n">
        <x:v>1732.95</x:v>
      </x:c>
      <x:c r="Q180" t="n">
        <x:v>0.61</x:v>
      </x:c>
      <x:c r="R180" t="n">
        <x:v>0</x:v>
      </x:c>
    </x:row>
    <x:row r="181" spans="1:18" ht="12.75" customHeight="1" x14ac:dyDescent="0.2">
      <x:c r="C181" t="s">
        <x:v>156</x:v>
      </x:c>
      <x:c r="D181" s="89" t="s">
        <x:v>70</x:v>
      </x:c>
      <x:c r="E181" s="371" t="n">
        <x:v>20895852.65</x:v>
      </x:c>
      <x:c r="F181" s="90" t="n">
        <x:v>1053921.48</x:v>
      </x:c>
      <x:c r="G181" s="90" t="n">
        <x:v>590912.74</x:v>
      </x:c>
      <x:c r="H181" s="90" t="n">
        <x:v>309333.82</x:v>
      </x:c>
      <x:c r="I181" s="90" t="n">
        <x:v>5309598.85</x:v>
      </x:c>
      <x:c r="J181" s="90" t="n">
        <x:v>215895.3</x:v>
      </x:c>
      <x:c r="K181" s="90" t="n">
        <x:v>36736.31</x:v>
      </x:c>
      <x:c r="L181" s="90" t="n">
        <x:v>1571821.65</x:v>
      </x:c>
      <x:c r="M181" s="90" t="n">
        <x:v>1524406.2</x:v>
      </x:c>
      <x:c r="N181" s="90" t="n">
        <x:v>7531128.27</x:v>
      </x:c>
      <x:c r="O181" s="90" t="n">
        <x:v>2481766.85</x:v>
      </x:c>
      <x:c r="P181" s="90" t="n">
        <x:v>270322.7</x:v>
      </x:c>
      <x:c r="Q181" s="90" t="n">
        <x:v>8.48</x:v>
      </x:c>
      <x:c r="R181" t="n">
        <x:v>0</x:v>
      </x:c>
    </x:row>
    <x:row r="182" spans="1:18" s="656" customFormat="1" ht="12.75" customHeight="1" x14ac:dyDescent="0.2">
      <x:c r="B182" s="656" t="s">
        <x:v>155</x:v>
      </x:c>
      <x:c r="C182" s="656" t="s">
        <x:v>70</x:v>
      </x:c>
      <x:c r="E182" s="741" t="n">
        <x:v>20895852.65</x:v>
      </x:c>
      <x:c r="F182" s="656" t="n">
        <x:v>1053921.48</x:v>
      </x:c>
      <x:c r="G182" s="656" t="n">
        <x:v>590912.74</x:v>
      </x:c>
      <x:c r="H182" s="656" t="n">
        <x:v>309333.82</x:v>
      </x:c>
      <x:c r="I182" s="656" t="n">
        <x:v>5309598.85</x:v>
      </x:c>
      <x:c r="J182" s="656" t="n">
        <x:v>215895.3</x:v>
      </x:c>
      <x:c r="K182" s="656" t="n">
        <x:v>36736.31</x:v>
      </x:c>
      <x:c r="L182" s="656" t="n">
        <x:v>1571821.65</x:v>
      </x:c>
      <x:c r="M182" s="656" t="n">
        <x:v>1524406.2</x:v>
      </x:c>
      <x:c r="N182" s="656" t="n">
        <x:v>7531128.27</x:v>
      </x:c>
      <x:c r="O182" s="656" t="n">
        <x:v>2481766.85</x:v>
      </x:c>
      <x:c r="P182" s="656" t="n">
        <x:v>270322.7</x:v>
      </x:c>
      <x:c r="Q182" s="656" t="n">
        <x:v>8.48</x:v>
      </x:c>
      <x:c r="R182" s="656" t="n">
        <x:v>0</x:v>
      </x:c>
    </x:row>
    <x:row r="183" spans="1:18" ht="12.75" customHeight="1" x14ac:dyDescent="0.2">
      <x:c r="D183" t="s">
        <x:v>72</x:v>
      </x:c>
      <x:c r="E183" s="142" t="n">
        <x:v>2141936.39</x:v>
      </x:c>
      <x:c r="F183" t="n">
        <x:v>107760.84</x:v>
      </x:c>
      <x:c r="G183" t="n">
        <x:v>61054.54</x:v>
      </x:c>
      <x:c r="H183" t="n">
        <x:v>32102.62</x:v>
      </x:c>
      <x:c r="I183" t="n">
        <x:v>544505.66</x:v>
      </x:c>
      <x:c r="J183" t="n">
        <x:v>13898.97</x:v>
      </x:c>
      <x:c r="K183" t="n">
        <x:v>0</x:v>
      </x:c>
      <x:c r="L183" t="n">
        <x:v>130215.59</x:v>
      </x:c>
      <x:c r="M183" t="n">
        <x:v>187164.88</x:v>
      </x:c>
      <x:c r="N183" t="n">
        <x:v>774211.74</x:v>
      </x:c>
      <x:c r="O183" t="n">
        <x:v>269185.05</x:v>
      </x:c>
      <x:c r="P183" t="n">
        <x:v>21866.99</x:v>
      </x:c>
      <x:c r="Q183" t="n">
        <x:v>-30.49</x:v>
      </x:c>
      <x:c r="R183" t="n">
        <x:v>0</x:v>
      </x:c>
    </x:row>
    <x:row r="184" spans="1:18" ht="12.75" customHeight="1" x14ac:dyDescent="0.2">
      <x:c r="D184" t="s">
        <x:v>81</x:v>
      </x:c>
      <x:c r="E184" s="142" t="n">
        <x:v>221.62</x:v>
      </x:c>
      <x:c r="F184" t="n">
        <x:v>10.01</x:v>
      </x:c>
      <x:c r="G184" t="n">
        <x:v>5.62</x:v>
      </x:c>
      <x:c r="H184" t="n">
        <x:v>2.96</x:v>
      </x:c>
      <x:c r="I184" t="n">
        <x:v>57.44</x:v>
      </x:c>
      <x:c r="J184" t="n">
        <x:v>1.91</x:v>
      </x:c>
      <x:c r="K184" t="n">
        <x:v>0</x:v>
      </x:c>
      <x:c r="L184" t="n">
        <x:v>16.75</x:v>
      </x:c>
      <x:c r="M184" t="n">
        <x:v>17.53</x:v>
      </x:c>
      <x:c r="N184" t="n">
        <x:v>82.77</x:v>
      </x:c>
      <x:c r="O184" t="n">
        <x:v>23.51</x:v>
      </x:c>
      <x:c r="P184" t="n">
        <x:v>3.11</x:v>
      </x:c>
      <x:c r="Q184" t="n">
        <x:v>0.01</x:v>
      </x:c>
      <x:c r="R184" t="n">
        <x:v>0</x:v>
      </x:c>
    </x:row>
    <x:row r="185" spans="1:18" ht="12.75" customHeight="1" x14ac:dyDescent="0.2">
      <x:c r="C185" t="s">
        <x:v>82</x:v>
      </x:c>
      <x:c r="D185" t="s">
        <x:v>70</x:v>
      </x:c>
      <x:c r="E185" s="142" t="n">
        <x:v>2142158.01</x:v>
      </x:c>
      <x:c r="F185" t="n">
        <x:v>107770.85</x:v>
      </x:c>
      <x:c r="G185" t="n">
        <x:v>61060.16</x:v>
      </x:c>
      <x:c r="H185" t="n">
        <x:v>32105.58</x:v>
      </x:c>
      <x:c r="I185" t="n">
        <x:v>544563.1</x:v>
      </x:c>
      <x:c r="J185" t="n">
        <x:v>13900.88</x:v>
      </x:c>
      <x:c r="K185" t="n">
        <x:v>0</x:v>
      </x:c>
      <x:c r="L185" t="n">
        <x:v>130232.34</x:v>
      </x:c>
      <x:c r="M185" t="n">
        <x:v>187182.41</x:v>
      </x:c>
      <x:c r="N185" t="n">
        <x:v>774294.51</x:v>
      </x:c>
      <x:c r="O185" t="n">
        <x:v>269208.56</x:v>
      </x:c>
      <x:c r="P185" t="n">
        <x:v>21870.1</x:v>
      </x:c>
      <x:c r="Q185" t="n">
        <x:v>-30.48</x:v>
      </x:c>
      <x:c r="R185" t="n">
        <x:v>0</x:v>
      </x:c>
    </x:row>
    <x:row r="186" spans="1:18" ht="12.75" customHeight="1" x14ac:dyDescent="0.2">
      <x:c r="D186" t="s">
        <x:v>72</x:v>
      </x:c>
      <x:c r="E186" s="142" t="n">
        <x:v>525701.49</x:v>
      </x:c>
      <x:c r="F186" t="n">
        <x:v>15618.67</x:v>
      </x:c>
      <x:c r="G186" t="n">
        <x:v>8726.8</x:v>
      </x:c>
      <x:c r="H186" t="n">
        <x:v>7279.34</x:v>
      </x:c>
      <x:c r="I186" t="n">
        <x:v>106934.25</x:v>
      </x:c>
      <x:c r="J186" t="n">
        <x:v>3097.58</x:v>
      </x:c>
      <x:c r="K186" t="n">
        <x:v>120000</x:v>
      </x:c>
      <x:c r="L186" t="n">
        <x:v>30431.04</x:v>
      </x:c>
      <x:c r="M186" t="n">
        <x:v>54437.52</x:v>
      </x:c>
      <x:c r="N186" t="n">
        <x:v>133166.83</x:v>
      </x:c>
      <x:c r="O186" t="n">
        <x:v>40855.77</x:v>
      </x:c>
      <x:c r="P186" t="n">
        <x:v>5151.8</x:v>
      </x:c>
      <x:c r="Q186" t="n">
        <x:v>1.89</x:v>
      </x:c>
      <x:c r="R186" t="n">
        <x:v>0</x:v>
      </x:c>
    </x:row>
    <x:row r="187" spans="1:18" ht="12.75" customHeight="1" x14ac:dyDescent="0.2">
      <x:c r="D187" t="s">
        <x:v>81</x:v>
      </x:c>
      <x:c r="E187" s="142" t="n">
        <x:v>9760.23</x:v>
      </x:c>
      <x:c r="F187" t="n">
        <x:v>896.57</x:v>
      </x:c>
      <x:c r="G187" t="n">
        <x:v>405.16</x:v>
      </x:c>
      <x:c r="H187" t="n">
        <x:v>226.4</x:v>
      </x:c>
      <x:c r="I187" t="n">
        <x:v>1948.96</x:v>
      </x:c>
      <x:c r="J187" t="n">
        <x:v>78.43</x:v>
      </x:c>
      <x:c r="K187" t="n">
        <x:v>0</x:v>
      </x:c>
      <x:c r="L187" t="n">
        <x:v>681.68</x:v>
      </x:c>
      <x:c r="M187" t="n">
        <x:v>578.84</x:v>
      </x:c>
      <x:c r="N187" t="n">
        <x:v>2724.4</x:v>
      </x:c>
      <x:c r="O187" t="n">
        <x:v>2088.5</x:v>
      </x:c>
      <x:c r="P187" t="n">
        <x:v>131.11</x:v>
      </x:c>
      <x:c r="Q187" t="n">
        <x:v>0.18</x:v>
      </x:c>
      <x:c r="R187" t="n">
        <x:v>0</x:v>
      </x:c>
    </x:row>
    <x:row r="188" spans="1:18" ht="12.75" customHeight="1" x14ac:dyDescent="0.2">
      <x:c r="C188" t="s">
        <x:v>86</x:v>
      </x:c>
      <x:c r="D188" t="s">
        <x:v>70</x:v>
      </x:c>
      <x:c r="E188" s="142" t="n">
        <x:v>535461.72</x:v>
      </x:c>
      <x:c r="F188" t="n">
        <x:v>16515.24</x:v>
      </x:c>
      <x:c r="G188" t="n">
        <x:v>9131.96</x:v>
      </x:c>
      <x:c r="H188" t="n">
        <x:v>7505.74</x:v>
      </x:c>
      <x:c r="I188" t="n">
        <x:v>108883.21</x:v>
      </x:c>
      <x:c r="J188" t="n">
        <x:v>3176.01</x:v>
      </x:c>
      <x:c r="K188" t="n">
        <x:v>120000</x:v>
      </x:c>
      <x:c r="L188" t="n">
        <x:v>31112.72</x:v>
      </x:c>
      <x:c r="M188" t="n">
        <x:v>55016.36</x:v>
      </x:c>
      <x:c r="N188" t="n">
        <x:v>135891.23</x:v>
      </x:c>
      <x:c r="O188" t="n">
        <x:v>42944.27</x:v>
      </x:c>
      <x:c r="P188" t="n">
        <x:v>5282.91</x:v>
      </x:c>
      <x:c r="Q188" t="n">
        <x:v>2.07</x:v>
      </x:c>
      <x:c r="R188" t="n">
        <x:v>0</x:v>
      </x:c>
    </x:row>
    <x:row r="189" spans="1:18" ht="12.75" customHeight="1" x14ac:dyDescent="0.2">
      <x:c r="D189" t="s">
        <x:v>72</x:v>
      </x:c>
      <x:c r="E189" s="142" t="n">
        <x:v>7586032.92</x:v>
      </x:c>
      <x:c r="F189" t="n">
        <x:v>578033.66</x:v>
      </x:c>
      <x:c r="G189" t="n">
        <x:v>324640.69</x:v>
      </x:c>
      <x:c r="H189" t="n">
        <x:v>170520.15</x:v>
      </x:c>
      <x:c r="I189" t="n">
        <x:v>1398189.24</x:v>
      </x:c>
      <x:c r="J189" t="n">
        <x:v>37731.96</x:v>
      </x:c>
      <x:c r="K189" t="n">
        <x:v>0</x:v>
      </x:c>
      <x:c r="L189" t="n">
        <x:v>357249.37</x:v>
      </x:c>
      <x:c r="M189" t="n">
        <x:v>541637.72</x:v>
      </x:c>
      <x:c r="N189" t="n">
        <x:v>2105036.7</x:v>
      </x:c>
      <x:c r="O189" t="n">
        <x:v>2013630.97</x:v>
      </x:c>
      <x:c r="P189" t="n">
        <x:v>59403.9</x:v>
      </x:c>
      <x:c r="Q189" t="n">
        <x:v>-41.44</x:v>
      </x:c>
      <x:c r="R189" t="n">
        <x:v>0</x:v>
      </x:c>
    </x:row>
    <x:row r="190" spans="1:18" ht="12.75" customHeight="1" x14ac:dyDescent="0.2">
      <x:c r="D190" t="s">
        <x:v>81</x:v>
      </x:c>
      <x:c r="E190" s="142" t="n">
        <x:v>195.2</x:v>
      </x:c>
      <x:c r="F190" t="n">
        <x:v>9.47</x:v>
      </x:c>
      <x:c r="G190" t="n">
        <x:v>5.18</x:v>
      </x:c>
      <x:c r="H190" t="n">
        <x:v>2.79</x:v>
      </x:c>
      <x:c r="I190" t="n">
        <x:v>50.6</x:v>
      </x:c>
      <x:c r="J190" t="n">
        <x:v>1.24</x:v>
      </x:c>
      <x:c r="K190" t="n">
        <x:v>0</x:v>
      </x:c>
      <x:c r="L190" t="n">
        <x:v>11</x:v>
      </x:c>
      <x:c r="M190" t="n">
        <x:v>16.01</x:v>
      </x:c>
      <x:c r="N190" t="n">
        <x:v>74.7</x:v>
      </x:c>
      <x:c r="O190" t="n">
        <x:v>22.2</x:v>
      </x:c>
      <x:c r="P190" t="n">
        <x:v>2.01</x:v>
      </x:c>
      <x:c r="Q190" t="n">
        <x:v>0</x:v>
      </x:c>
      <x:c r="R190" t="n">
        <x:v>0</x:v>
      </x:c>
    </x:row>
    <x:row r="191" spans="1:18" ht="12.75" customHeight="1" x14ac:dyDescent="0.2">
      <x:c r="A191" s="89"/>
      <x:c r="B191" s="89"/>
      <x:c r="C191" t="s">
        <x:v>87</x:v>
      </x:c>
      <x:c r="D191" t="s">
        <x:v>70</x:v>
      </x:c>
      <x:c r="E191" s="90" t="n">
        <x:v>7586228.12</x:v>
      </x:c>
      <x:c r="F191" s="90" t="n">
        <x:v>578043.13</x:v>
      </x:c>
      <x:c r="G191" s="90" t="n">
        <x:v>324645.87</x:v>
      </x:c>
      <x:c r="H191" s="90" t="n">
        <x:v>170522.94</x:v>
      </x:c>
      <x:c r="I191" s="90" t="n">
        <x:v>1398239.84</x:v>
      </x:c>
      <x:c r="J191" s="90" t="n">
        <x:v>37733.2</x:v>
      </x:c>
      <x:c r="K191" s="90" t="n">
        <x:v>0</x:v>
      </x:c>
      <x:c r="L191" s="90" t="n">
        <x:v>357260.37</x:v>
      </x:c>
      <x:c r="M191" s="90" t="n">
        <x:v>541653.73</x:v>
      </x:c>
      <x:c r="N191" s="90" t="n">
        <x:v>2105111.4</x:v>
      </x:c>
      <x:c r="O191" s="90" t="n">
        <x:v>2013653.17</x:v>
      </x:c>
      <x:c r="P191" s="90" t="n">
        <x:v>59405.91</x:v>
      </x:c>
      <x:c r="Q191" s="90" t="n">
        <x:v>-41.44</x:v>
      </x:c>
      <x:c r="R191" t="n">
        <x:v>0</x:v>
      </x:c>
    </x:row>
    <x:row r="192" spans="1:18" s="94" customFormat="1" ht="12.75" customHeight="1" x14ac:dyDescent="0.2">
      <x:c r="A192" s="101"/>
      <x:c r="B192" s="101" t="s">
        <x:v>119</x:v>
      </x:c>
      <x:c r="C192" s="94" t="s">
        <x:v>70</x:v>
      </x:c>
      <x:c r="E192" s="93" t="n">
        <x:v>10263847.85</x:v>
      </x:c>
      <x:c r="F192" s="93" t="n">
        <x:v>702329.22</x:v>
      </x:c>
      <x:c r="G192" s="93" t="n">
        <x:v>394837.99</x:v>
      </x:c>
      <x:c r="H192" s="93" t="n">
        <x:v>210134.26</x:v>
      </x:c>
      <x:c r="I192" s="93" t="n">
        <x:v>2051686.15</x:v>
      </x:c>
      <x:c r="J192" s="93" t="n">
        <x:v>54810.09</x:v>
      </x:c>
      <x:c r="K192" s="93" t="n">
        <x:v>120000</x:v>
      </x:c>
      <x:c r="L192" s="93" t="n">
        <x:v>518605.43</x:v>
      </x:c>
      <x:c r="M192" s="93" t="n">
        <x:v>783852.5</x:v>
      </x:c>
      <x:c r="N192" s="93" t="n">
        <x:v>3015297.14</x:v>
      </x:c>
      <x:c r="O192" s="93" t="n">
        <x:v>2325806</x:v>
      </x:c>
      <x:c r="P192" s="93" t="n">
        <x:v>86558.92</x:v>
      </x:c>
      <x:c r="Q192" s="93" t="n">
        <x:v>-69.85</x:v>
      </x:c>
      <x:c r="R192" s="94" t="n">
        <x:v>0</x:v>
      </x:c>
    </x:row>
    <x:row r="193" spans="1:18" s="226" customFormat="1" ht="12.75" customHeight="1" x14ac:dyDescent="0.2">
      <x:c r="A193" s="226" t="s">
        <x:v>78</x:v>
      </x:c>
      <x:c r="B193" s="226" t="s">
        <x:v>70</x:v>
      </x:c>
      <x:c r="D193" s="98"/>
      <x:c r="E193" s="100" t="n">
        <x:v>31231390.27</x:v>
      </x:c>
      <x:c r="F193" s="100" t="n">
        <x:v>1765770.14</x:v>
      </x:c>
      <x:c r="G193" s="100" t="n">
        <x:v>991068.55</x:v>
      </x:c>
      <x:c r="H193" s="100" t="n">
        <x:v>522289.1</x:v>
      </x:c>
      <x:c r="I193" s="100" t="n">
        <x:v>7371762.14</x:v>
      </x:c>
      <x:c r="J193" s="100" t="n">
        <x:v>270953.79</x:v>
      </x:c>
      <x:c r="K193" s="100" t="n">
        <x:v>156736.31</x:v>
      </x:c>
      <x:c r="L193" s="100" t="n">
        <x:v>2092606.04</x:v>
      </x:c>
      <x:c r="M193" s="100" t="n">
        <x:v>2311442.24</x:v>
      </x:c>
      <x:c r="N193" s="100" t="n">
        <x:v>10561391.98</x:v>
      </x:c>
      <x:c r="O193" s="100" t="n">
        <x:v>4830144.44</x:v>
      </x:c>
      <x:c r="P193" s="100" t="n">
        <x:v>357286.91</x:v>
      </x:c>
      <x:c r="Q193" s="100" t="n">
        <x:v>-61.37</x:v>
      </x:c>
      <x:c r="R193" s="226" t="n">
        <x:v>0</x:v>
      </x:c>
    </x:row>
    <x:row r="194" spans="1:18" ht="12.75" customHeight="1" x14ac:dyDescent="0.2">
      <x:c r="C194" s="89"/>
      <x:c r="D194" s="89" t="s">
        <x:v>73</x:v>
      </x:c>
      <x:c r="E194" s="371" t="n">
        <x:v>-4108392.95</x:v>
      </x:c>
      <x:c r="F194" s="90" t="n">
        <x:v>-57677.34</x:v>
      </x:c>
      <x:c r="G194" s="90" t="n">
        <x:v>-31488.55</x:v>
      </x:c>
      <x:c r="H194" s="90" t="n">
        <x:v>-24448.94</x:v>
      </x:c>
      <x:c r="I194" s="90" t="n">
        <x:v>-1316572.92</x:v>
      </x:c>
      <x:c r="J194" s="90" t="n">
        <x:v>-42856.96</x:v>
      </x:c>
      <x:c r="K194" s="90" t="n">
        <x:v>0</x:v>
      </x:c>
      <x:c r="L194" s="90" t="n">
        <x:v>-368515.44</x:v>
      </x:c>
      <x:c r="M194" s="90" t="n">
        <x:v>-360215.14</x:v>
      </x:c>
      <x:c r="N194" s="90" t="n">
        <x:v>-1691604.18</x:v>
      </x:c>
      <x:c r="O194" s="90" t="n">
        <x:v>-145142.98</x:v>
      </x:c>
      <x:c r="P194" s="90" t="n">
        <x:v>-69870.5</x:v>
      </x:c>
      <x:c r="Q194" s="90" t="n">
        <x:v>0</x:v>
      </x:c>
      <x:c r="R194" t="n">
        <x:v>0</x:v>
      </x:c>
    </x:row>
    <x:row r="195" spans="1:18" ht="12.75" customHeight="1" x14ac:dyDescent="0.2">
      <x:c r="C195" s="89" t="s">
        <x:v>156</x:v>
      </x:c>
      <x:c r="D195" s="89" t="s">
        <x:v>70</x:v>
      </x:c>
      <x:c r="E195" s="371" t="n">
        <x:v>-4108392.95</x:v>
      </x:c>
      <x:c r="F195" s="90" t="n">
        <x:v>-57677.34</x:v>
      </x:c>
      <x:c r="G195" s="90" t="n">
        <x:v>-31488.55</x:v>
      </x:c>
      <x:c r="H195" s="90" t="n">
        <x:v>-24448.94</x:v>
      </x:c>
      <x:c r="I195" s="90" t="n">
        <x:v>-1316572.92</x:v>
      </x:c>
      <x:c r="J195" s="90" t="n">
        <x:v>-42856.96</x:v>
      </x:c>
      <x:c r="K195" s="90" t="n">
        <x:v>0</x:v>
      </x:c>
      <x:c r="L195" s="90" t="n">
        <x:v>-368515.44</x:v>
      </x:c>
      <x:c r="M195" s="90" t="n">
        <x:v>-360215.14</x:v>
      </x:c>
      <x:c r="N195" s="90" t="n">
        <x:v>-1691604.18</x:v>
      </x:c>
      <x:c r="O195" s="90" t="n">
        <x:v>-145142.98</x:v>
      </x:c>
      <x:c r="P195" s="90" t="n">
        <x:v>-69870.5</x:v>
      </x:c>
      <x:c r="Q195" s="90" t="n">
        <x:v>0</x:v>
      </x:c>
      <x:c r="R195" t="n">
        <x:v>0</x:v>
      </x:c>
    </x:row>
    <x:row r="196" spans="1:18" s="237" customFormat="1" ht="12.75" customHeight="1" x14ac:dyDescent="0.2">
      <x:c r="B196" s="237" t="s">
        <x:v>155</x:v>
      </x:c>
      <x:c r="C196" s="221" t="s">
        <x:v>70</x:v>
      </x:c>
      <x:c r="D196" s="221"/>
      <x:c r="E196" s="566" t="n">
        <x:v>-4108392.95</x:v>
      </x:c>
      <x:c r="F196" s="222" t="n">
        <x:v>-57677.34</x:v>
      </x:c>
      <x:c r="G196" s="222" t="n">
        <x:v>-31488.55</x:v>
      </x:c>
      <x:c r="H196" s="222" t="n">
        <x:v>-24448.94</x:v>
      </x:c>
      <x:c r="I196" s="222" t="n">
        <x:v>-1316572.92</x:v>
      </x:c>
      <x:c r="J196" s="222" t="n">
        <x:v>-42856.96</x:v>
      </x:c>
      <x:c r="K196" s="222" t="n">
        <x:v>0</x:v>
      </x:c>
      <x:c r="L196" s="222" t="n">
        <x:v>-368515.44</x:v>
      </x:c>
      <x:c r="M196" s="222" t="n">
        <x:v>-360215.14</x:v>
      </x:c>
      <x:c r="N196" s="222" t="n">
        <x:v>-1691604.18</x:v>
      </x:c>
      <x:c r="O196" s="222" t="n">
        <x:v>-145142.98</x:v>
      </x:c>
      <x:c r="P196" s="222" t="n">
        <x:v>-69870.5</x:v>
      </x:c>
      <x:c r="Q196" s="222" t="n">
        <x:v>0</x:v>
      </x:c>
      <x:c r="R196" s="237" t="n">
        <x:v>0</x:v>
      </x:c>
    </x:row>
    <x:row r="197" spans="1:18" ht="12.75" customHeight="1" x14ac:dyDescent="0.2">
      <x:c r="C197" s="89"/>
      <x:c r="D197" s="89" t="s">
        <x:v>73</x:v>
      </x:c>
      <x:c r="E197" s="371" t="n">
        <x:v>2133.86</x:v>
      </x:c>
      <x:c r="F197" s="90" t="n">
        <x:v>3031.43</x:v>
      </x:c>
      <x:c r="G197" s="90" t="n">
        <x:v>1691.19</x:v>
      </x:c>
      <x:c r="H197" s="90" t="n">
        <x:v>89.27</x:v>
      </x:c>
      <x:c r="I197" s="90" t="n">
        <x:v>-4359.54</x:v>
      </x:c>
      <x:c r="J197" s="90" t="n">
        <x:v>-322.8</x:v>
      </x:c>
      <x:c r="K197" s="90" t="n">
        <x:v>0</x:v>
      </x:c>
      <x:c r="L197" s="90" t="n">
        <x:v>-1074.38</x:v>
      </x:c>
      <x:c r="M197" s="90" t="n">
        <x:v>-625.48</x:v>
      </x:c>
      <x:c r="N197" s="90" t="n">
        <x:v>-2962.38</x:v>
      </x:c>
      <x:c r="O197" s="90" t="n">
        <x:v>7193.19</x:v>
      </x:c>
      <x:c r="P197" s="90" t="n">
        <x:v>-526.64</x:v>
      </x:c>
      <x:c r="Q197" s="90" t="n">
        <x:v>0</x:v>
      </x:c>
      <x:c r="R197" t="n">
        <x:v>0</x:v>
      </x:c>
    </x:row>
    <x:row r="198" spans="1:18" ht="12.75" customHeight="1" x14ac:dyDescent="0.2">
      <x:c r="C198" t="s">
        <x:v>82</x:v>
      </x:c>
      <x:c r="D198" t="s">
        <x:v>70</x:v>
      </x:c>
      <x:c r="E198" t="n">
        <x:v>2133.86</x:v>
      </x:c>
      <x:c r="F198" t="n">
        <x:v>3031.43</x:v>
      </x:c>
      <x:c r="G198" t="n">
        <x:v>1691.19</x:v>
      </x:c>
      <x:c r="H198" t="n">
        <x:v>89.27</x:v>
      </x:c>
      <x:c r="I198" t="n">
        <x:v>-4359.54</x:v>
      </x:c>
      <x:c r="J198" t="n">
        <x:v>-322.8</x:v>
      </x:c>
      <x:c r="K198" t="n">
        <x:v>0</x:v>
      </x:c>
      <x:c r="L198" t="n">
        <x:v>-1074.38</x:v>
      </x:c>
      <x:c r="M198" t="n">
        <x:v>-625.48</x:v>
      </x:c>
      <x:c r="N198" t="n">
        <x:v>-2962.38</x:v>
      </x:c>
      <x:c r="O198" t="n">
        <x:v>7193.19</x:v>
      </x:c>
      <x:c r="P198" t="n">
        <x:v>-526.64</x:v>
      </x:c>
      <x:c r="Q198" t="n">
        <x:v>0</x:v>
      </x:c>
      <x:c r="R198" t="n">
        <x:v>0</x:v>
      </x:c>
    </x:row>
    <x:row r="199" spans="1:18" ht="12.75" customHeight="1" x14ac:dyDescent="0.2">
      <x:c r="D199" t="s">
        <x:v>73</x:v>
      </x:c>
      <x:c r="E199" t="n">
        <x:v>-96566.76</x:v>
      </x:c>
      <x:c r="F199" t="n">
        <x:v>-3758.26</x:v>
      </x:c>
      <x:c r="G199" t="n">
        <x:v>-2101.99</x:v>
      </x:c>
      <x:c r="H199" t="n">
        <x:v>-1113.73</x:v>
      </x:c>
      <x:c r="I199" t="n">
        <x:v>-28290.02</x:v>
      </x:c>
      <x:c r="J199" t="n">
        <x:v>-854.64</x:v>
      </x:c>
      <x:c r="K199" t="n">
        <x:v>0</x:v>
      </x:c>
      <x:c r="L199" t="n">
        <x:v>-7496.94</x:v>
      </x:c>
      <x:c r="M199" t="n">
        <x:v>-7474.02</x:v>
      </x:c>
      <x:c r="N199" t="n">
        <x:v>-35171.5</x:v>
      </x:c>
      <x:c r="O199" t="n">
        <x:v>-8911.23</x:v>
      </x:c>
      <x:c r="P199" t="n">
        <x:v>-1394.43</x:v>
      </x:c>
      <x:c r="Q199" t="n">
        <x:v>0</x:v>
      </x:c>
      <x:c r="R199" t="n">
        <x:v>0</x:v>
      </x:c>
    </x:row>
    <x:row r="200" spans="1:18" ht="12.75" customHeight="1" x14ac:dyDescent="0.2">
      <x:c r="C200" t="s">
        <x:v>86</x:v>
      </x:c>
      <x:c r="D200" t="s">
        <x:v>70</x:v>
      </x:c>
      <x:c r="E200" t="n">
        <x:v>-96566.76</x:v>
      </x:c>
      <x:c r="F200" t="n">
        <x:v>-3758.26</x:v>
      </x:c>
      <x:c r="G200" t="n">
        <x:v>-2101.99</x:v>
      </x:c>
      <x:c r="H200" t="n">
        <x:v>-1113.73</x:v>
      </x:c>
      <x:c r="I200" t="n">
        <x:v>-28290.02</x:v>
      </x:c>
      <x:c r="J200" t="n">
        <x:v>-854.64</x:v>
      </x:c>
      <x:c r="K200" t="n">
        <x:v>0</x:v>
      </x:c>
      <x:c r="L200" t="n">
        <x:v>-7496.94</x:v>
      </x:c>
      <x:c r="M200" t="n">
        <x:v>-7474.02</x:v>
      </x:c>
      <x:c r="N200" t="n">
        <x:v>-35171.5</x:v>
      </x:c>
      <x:c r="O200" t="n">
        <x:v>-8911.23</x:v>
      </x:c>
      <x:c r="P200" t="n">
        <x:v>-1394.43</x:v>
      </x:c>
      <x:c r="Q200" t="n">
        <x:v>0</x:v>
      </x:c>
      <x:c r="R200" t="n">
        <x:v>0</x:v>
      </x:c>
    </x:row>
    <x:row r="201" spans="1:18" ht="12.75" customHeight="1" x14ac:dyDescent="0.2">
      <x:c r="D201" s="89" t="s">
        <x:v>73</x:v>
      </x:c>
      <x:c r="E201" s="90" t="n">
        <x:v>935036.86</x:v>
      </x:c>
      <x:c r="F201" s="90" t="n">
        <x:v>238469.13</x:v>
      </x:c>
      <x:c r="G201" s="90" t="n">
        <x:v>130178.93</x:v>
      </x:c>
      <x:c r="H201" s="90" t="n">
        <x:v>69506.49</x:v>
      </x:c>
      <x:c r="I201" s="90" t="n">
        <x:v>-33082.03</x:v>
      </x:c>
      <x:c r="J201" s="90" t="n">
        <x:v>-1108.39</x:v>
      </x:c>
      <x:c r="K201" s="90" t="n">
        <x:v>0</x:v>
      </x:c>
      <x:c r="L201" s="90" t="n">
        <x:v>-6208.08</x:v>
      </x:c>
      <x:c r="M201" s="90" t="n">
        <x:v>-5916.1</x:v>
      </x:c>
      <x:c r="N201" s="90" t="n">
        <x:v>-28059.85</x:v>
      </x:c>
      <x:c r="O201" s="90" t="n">
        <x:v>572901.58</x:v>
      </x:c>
      <x:c r="P201" s="90" t="n">
        <x:v>-1644.82</x:v>
      </x:c>
      <x:c r="Q201" s="90" t="n">
        <x:v>0</x:v>
      </x:c>
      <x:c r="R201" t="n">
        <x:v>0</x:v>
      </x:c>
    </x:row>
    <x:row r="202" spans="1:18" ht="12.75" customHeight="1" x14ac:dyDescent="0.2">
      <x:c r="C202" t="s">
        <x:v>87</x:v>
      </x:c>
      <x:c r="D202" s="89" t="s">
        <x:v>70</x:v>
      </x:c>
      <x:c r="E202" s="90" t="n">
        <x:v>935036.86</x:v>
      </x:c>
      <x:c r="F202" s="90" t="n">
        <x:v>238469.13</x:v>
      </x:c>
      <x:c r="G202" s="90" t="n">
        <x:v>130178.93</x:v>
      </x:c>
      <x:c r="H202" s="90" t="n">
        <x:v>69506.49</x:v>
      </x:c>
      <x:c r="I202" s="90" t="n">
        <x:v>-33082.03</x:v>
      </x:c>
      <x:c r="J202" s="90" t="n">
        <x:v>-1108.39</x:v>
      </x:c>
      <x:c r="K202" s="90" t="n">
        <x:v>0</x:v>
      </x:c>
      <x:c r="L202" s="90" t="n">
        <x:v>-6208.08</x:v>
      </x:c>
      <x:c r="M202" s="90" t="n">
        <x:v>-5916.1</x:v>
      </x:c>
      <x:c r="N202" s="90" t="n">
        <x:v>-28059.85</x:v>
      </x:c>
      <x:c r="O202" s="90" t="n">
        <x:v>572901.58</x:v>
      </x:c>
      <x:c r="P202" s="90" t="n">
        <x:v>-1644.82</x:v>
      </x:c>
      <x:c r="Q202" s="90" t="n">
        <x:v>0</x:v>
      </x:c>
      <x:c r="R202" t="n">
        <x:v>0</x:v>
      </x:c>
    </x:row>
    <x:row r="203" spans="1:18" s="94" customFormat="1" ht="12.75" customHeight="1" x14ac:dyDescent="0.2">
      <x:c r="B203" s="101" t="s">
        <x:v>119</x:v>
      </x:c>
      <x:c r="C203" s="101" t="s">
        <x:v>70</x:v>
      </x:c>
      <x:c r="E203" s="93" t="n">
        <x:v>840603.96</x:v>
      </x:c>
      <x:c r="F203" s="93" t="n">
        <x:v>237742.3</x:v>
      </x:c>
      <x:c r="G203" s="93" t="n">
        <x:v>129768.13</x:v>
      </x:c>
      <x:c r="H203" s="93" t="n">
        <x:v>68482.03</x:v>
      </x:c>
      <x:c r="I203" s="93" t="n">
        <x:v>-65731.59</x:v>
      </x:c>
      <x:c r="J203" s="93" t="n">
        <x:v>-2285.83</x:v>
      </x:c>
      <x:c r="K203" s="93" t="n">
        <x:v>0</x:v>
      </x:c>
      <x:c r="L203" s="93" t="n">
        <x:v>-14779.4</x:v>
      </x:c>
      <x:c r="M203" s="93" t="n">
        <x:v>-14015.6</x:v>
      </x:c>
      <x:c r="N203" s="93" t="n">
        <x:v>-66193.73</x:v>
      </x:c>
      <x:c r="O203" s="93" t="n">
        <x:v>571183.54</x:v>
      </x:c>
      <x:c r="P203" s="93" t="n">
        <x:v>-3565.89</x:v>
      </x:c>
      <x:c r="Q203" s="93" t="n">
        <x:v>0</x:v>
      </x:c>
      <x:c r="R203" s="94" t="n">
        <x:v>0</x:v>
      </x:c>
    </x:row>
    <x:row r="204" spans="1:18" s="226" customFormat="1" ht="12.75" customHeight="1" x14ac:dyDescent="0.2">
      <x:c r="A204" s="98" t="s">
        <x:v>79</x:v>
      </x:c>
      <x:c r="B204" s="98" t="s">
        <x:v>70</x:v>
      </x:c>
      <x:c r="E204" s="100" t="n">
        <x:v>-3267788.99</x:v>
      </x:c>
      <x:c r="F204" s="100" t="n">
        <x:v>180064.96</x:v>
      </x:c>
      <x:c r="G204" s="100" t="n">
        <x:v>98279.58</x:v>
      </x:c>
      <x:c r="H204" s="100" t="n">
        <x:v>44033.09</x:v>
      </x:c>
      <x:c r="I204" s="100" t="n">
        <x:v>-1382304.51</x:v>
      </x:c>
      <x:c r="J204" s="100" t="n">
        <x:v>-45142.79</x:v>
      </x:c>
      <x:c r="K204" s="100" t="n">
        <x:v>0</x:v>
      </x:c>
      <x:c r="L204" s="100" t="n">
        <x:v>-383294.84</x:v>
      </x:c>
      <x:c r="M204" s="100" t="n">
        <x:v>-374230.74</x:v>
      </x:c>
      <x:c r="N204" s="100" t="n">
        <x:v>-1757797.91</x:v>
      </x:c>
      <x:c r="O204" s="100" t="n">
        <x:v>426040.56</x:v>
      </x:c>
      <x:c r="P204" s="100" t="n">
        <x:v>-73436.39</x:v>
      </x:c>
      <x:c r="Q204" s="100" t="n">
        <x:v>0</x:v>
      </x:c>
      <x:c r="R204" s="226" t="n">
        <x:v>0</x:v>
      </x:c>
    </x:row>
    <x:row r="205" spans="1:18" ht="12.75" customHeight="1" x14ac:dyDescent="0.2">
      <x:c r="A205" s="89" t="s">
        <x:v>70</x:v>
      </x:c>
      <x:c r="E205" s="90" t="n">
        <x:v>27963601.28</x:v>
      </x:c>
      <x:c r="F205" s="90" t="n">
        <x:v>1945835.1</x:v>
      </x:c>
      <x:c r="G205" s="90" t="n">
        <x:v>1089348.13</x:v>
      </x:c>
      <x:c r="H205" s="90" t="n">
        <x:v>566322.19</x:v>
      </x:c>
      <x:c r="I205" s="90" t="n">
        <x:v>5989457.63</x:v>
      </x:c>
      <x:c r="J205" s="90" t="n">
        <x:v>225811</x:v>
      </x:c>
      <x:c r="K205" s="90" t="n">
        <x:v>156736.31</x:v>
      </x:c>
      <x:c r="L205" s="90" t="n">
        <x:v>1709311.2</x:v>
      </x:c>
      <x:c r="M205" s="90" t="n">
        <x:v>1937211.5</x:v>
      </x:c>
      <x:c r="N205" s="90" t="n">
        <x:v>8803594.07</x:v>
      </x:c>
      <x:c r="O205" s="90" t="n">
        <x:v>5256185</x:v>
      </x:c>
      <x:c r="P205" s="90" t="n">
        <x:v>283850.52</x:v>
      </x:c>
      <x:c r="Q205" s="90" t="n">
        <x:v>-61.37</x:v>
      </x:c>
      <x:c r="R205" t="n">
        <x:v>0</x:v>
      </x:c>
    </x:row>
    <x:row r="206" spans="1:18" ht="12.75" customHeight="1" x14ac:dyDescent="0.2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2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2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2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2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2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2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2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2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2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2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2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2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2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2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2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2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2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2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2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hidden="1" customHeight="1" x14ac:dyDescent="0.2">
      <x:c r="A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</x:row>
    <x:row r="227" spans="1:18" ht="12.75" hidden="1" customHeight="1" x14ac:dyDescent="0.2">
      <x:c r="A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</x:row>
    <x:row r="228" spans="1:18" ht="12.75" hidden="1" customHeight="1" x14ac:dyDescent="0.2">
      <x:c r="A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</x:row>
    <x:row r="229" spans="1:18" ht="12.75" hidden="1" customHeight="1" x14ac:dyDescent="0.2">
      <x:c r="A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</x:row>
    <x:row r="230" spans="1:18" ht="12.75" hidden="1" customHeight="1" x14ac:dyDescent="0.2">
      <x:c r="A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</x:row>
    <x:row r="231" spans="1:18" ht="12.75" hidden="1" customHeight="1" x14ac:dyDescent="0.2">
      <x:c r="A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</x:row>
    <x:row r="232" spans="1:18" ht="12.75" hidden="1" customHeight="1" x14ac:dyDescent="0.2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customHeight="1" x14ac:dyDescent="0.2">
      <x:c r="C237" s="89"/>
      <x:c r="D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</x:row>
    <x:row r="238" spans="1:18" ht="12.75" hidden="1" customHeight="1" x14ac:dyDescent="0.2">
      <x:c r="D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</x:row>
    <x:row r="239" spans="1:18" ht="12.75" hidden="1" customHeight="1" x14ac:dyDescent="0.2">
      <x:c r="C239" s="89"/>
      <x:c r="D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</x:row>
    <x:row r="240" spans="1:18" ht="12.75" hidden="1" customHeight="1" x14ac:dyDescent="0.2">
      <x:c r="D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</x:row>
    <x:row r="241" spans="1:18" ht="12.75" hidden="1" customHeight="1" x14ac:dyDescent="0.2">
      <x:c r="C241" s="89"/>
      <x:c r="D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</x:row>
    <x:row r="242" spans="1:18" ht="12.75" hidden="1" customHeight="1" x14ac:dyDescent="0.2">
      <x:c r="B242" s="89"/>
      <x:c r="C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</x:row>
    <x:row r="243" spans="1:18" ht="12.75" hidden="1" customHeight="1" x14ac:dyDescent="0.2">
      <x:c r="A243" s="89"/>
      <x:c r="B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</x:row>
    <x:row r="244" spans="1:18" ht="12.75" hidden="1" customHeight="1" x14ac:dyDescent="0.2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</x:row>
    <x:row r="245" spans="1:18" ht="12.75" hidden="1" customHeight="1" x14ac:dyDescent="0.2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8" ht="12.75" hidden="1" customHeight="1" x14ac:dyDescent="0.2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8" ht="12.75" hidden="1" customHeight="1" x14ac:dyDescent="0.2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8" ht="12.75" hidden="1" customHeight="1" x14ac:dyDescent="0.2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8" ht="12.75" hidden="1" customHeight="1" x14ac:dyDescent="0.2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8" ht="12.75" hidden="1" customHeight="1" x14ac:dyDescent="0.2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8" ht="12.75" hidden="1" customHeight="1" x14ac:dyDescent="0.2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8" ht="12.75" hidden="1" customHeight="1" x14ac:dyDescent="0.2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8" ht="12.75" hidden="1" customHeight="1" x14ac:dyDescent="0.2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8" ht="12.75" hidden="1" customHeight="1" x14ac:dyDescent="0.2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8" ht="12.75" hidden="1" customHeight="1" x14ac:dyDescent="0.2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8" ht="12.75" hidden="1" customHeight="1" x14ac:dyDescent="0.2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7" ht="12.75" hidden="1" customHeight="1" x14ac:dyDescent="0.2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7" ht="12.75" hidden="1" customHeight="1" x14ac:dyDescent="0.2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7" ht="12.75" hidden="1" customHeight="1" x14ac:dyDescent="0.2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7" ht="12.75" hidden="1" customHeight="1" x14ac:dyDescent="0.2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7" ht="12.75" hidden="1" customHeight="1" x14ac:dyDescent="0.2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7" ht="12.75" hidden="1" customHeight="1" x14ac:dyDescent="0.2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7" ht="12.75" hidden="1" customHeight="1" x14ac:dyDescent="0.2">
      <x:c r="A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</x:row>
    <x:row r="264" spans="1:17" ht="12.75" hidden="1" customHeight="1" x14ac:dyDescent="0.2">
      <x:c r="A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</x:row>
    <x:row r="265" spans="1:17" ht="12.75" hidden="1" customHeight="1" x14ac:dyDescent="0.2">
      <x:c r="A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</x:row>
    <x:row r="266" spans="1:17" ht="12.75" hidden="1" customHeight="1" x14ac:dyDescent="0.2">
      <x:c r="A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</x:row>
    <x:row r="267" spans="1:17" ht="12.75" hidden="1" customHeight="1" x14ac:dyDescent="0.2">
      <x:c r="A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</x:row>
    <x:row r="268" spans="1:17" ht="12.75" hidden="1" customHeight="1" x14ac:dyDescent="0.2">
      <x:c r="A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</x:row>
    <x:row r="269" spans="1:17" ht="12.75" hidden="1" customHeight="1" x14ac:dyDescent="0.2">
      <x:c r="A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</x:row>
    <x:row r="270" spans="1:17" ht="12.75" hidden="1" customHeight="1" x14ac:dyDescent="0.2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</x:row>
    <x:row r="271" spans="1:17" ht="12.75" hidden="1" customHeight="1" x14ac:dyDescent="0.2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7" ht="12.75" customHeight="1" x14ac:dyDescent="0.2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8" ht="12.75" customHeight="1" x14ac:dyDescent="0.2">
      <x:c r="B273" s="778" t="s">
        <x:v>2</x:v>
      </x:c>
      <x:c r="C273" s="775" t="s">
        <x:v>132</x:v>
      </x:c>
      <x:c r="D273" s="98" t="s">
        <x:v>70</x:v>
      </x:c>
      <x:c r="E273" s="100">
        <x:f>E193+E204-K193</x:f>
        <x:v>0</x:v>
      </x:c>
      <x:c r="F273" s="100">
        <x:f>F193</x:f>
        <x:v>0</x:v>
      </x:c>
      <x:c r="G273" s="100">
        <x:f t="shared" ref="G273:R273" si="7">G193</x:f>
        <x:v>0</x:v>
      </x:c>
      <x:c r="H273" s="100">
        <x:f t="shared" si="7"/>
        <x:v>0</x:v>
      </x:c>
      <x:c r="I273" s="100">
        <x:f t="shared" si="7"/>
        <x:v>0</x:v>
      </x:c>
      <x:c r="J273" s="100">
        <x:f t="shared" si="7"/>
        <x:v>0</x:v>
      </x:c>
      <x:c r="K273" s="100">
        <x:f t="shared" si="7"/>
        <x:v>0</x:v>
      </x:c>
      <x:c r="L273" s="100">
        <x:f t="shared" si="7"/>
        <x:v>0</x:v>
      </x:c>
      <x:c r="M273" s="100">
        <x:f t="shared" si="7"/>
        <x:v>0</x:v>
      </x:c>
      <x:c r="N273" s="100">
        <x:f t="shared" si="7"/>
        <x:v>0</x:v>
      </x:c>
      <x:c r="O273" s="100">
        <x:f t="shared" si="7"/>
        <x:v>0</x:v>
      </x:c>
      <x:c r="P273" s="100">
        <x:f t="shared" si="7"/>
        <x:v>0</x:v>
      </x:c>
      <x:c r="Q273" s="100">
        <x:f t="shared" si="7"/>
        <x:v>0</x:v>
      </x:c>
      <x:c r="R273" s="100">
        <x:f t="shared" si="7"/>
        <x:v>0</x:v>
      </x:c>
    </x:row>
    <x:row r="274" spans="1:18" ht="12.75" customHeight="1" x14ac:dyDescent="0.2">
      <x:c r="B274" s="778"/>
      <x:c r="C274" s="775"/>
      <x:c r="D274" s="98" t="s">
        <x:v>73</x:v>
      </x:c>
      <x:c r="E274" s="100">
        <x:f>E204</x:f>
        <x:v>0</x:v>
      </x:c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  <x:c r="R274" s="90"/>
    </x:row>
    <x:row r="275" spans="1:18" ht="12.75" customHeight="1" x14ac:dyDescent="0.2">
      <x:c r="A275" s="89"/>
      <x:c r="B275" s="97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2">
      <x:c r="B276" s="778" t="s">
        <x:v>160</x:v>
      </x:c>
      <x:c r="C276" s="775" t="s">
        <x:v>132</x:v>
      </x:c>
      <x:c r="D276" s="223" t="s">
        <x:v>70</x:v>
      </x:c>
      <x:c r="E276" s="225">
        <x:v>0</x:v>
      </x:c>
      <x:c r="F276" s="225">
        <x:v>0</x:v>
      </x:c>
      <x:c r="G276" s="225">
        <x:v>0</x:v>
      </x:c>
      <x:c r="H276" s="225">
        <x:v>0</x:v>
      </x:c>
      <x:c r="I276" s="225">
        <x:v>0</x:v>
      </x:c>
      <x:c r="J276" s="225">
        <x:v>0</x:v>
      </x:c>
      <x:c r="K276" s="225">
        <x:v>0</x:v>
      </x:c>
      <x:c r="L276" s="225">
        <x:v>0</x:v>
      </x:c>
      <x:c r="M276" s="225">
        <x:v>0</x:v>
      </x:c>
      <x:c r="N276" s="225">
        <x:v>0</x:v>
      </x:c>
      <x:c r="O276" s="225">
        <x:v>0</x:v>
      </x:c>
      <x:c r="P276" s="225">
        <x:v>0</x:v>
      </x:c>
      <x:c r="Q276" s="225">
        <x:v>0</x:v>
      </x:c>
      <x:c r="R276" s="225">
        <x:v>0</x:v>
      </x:c>
    </x:row>
    <x:row r="277" spans="1:18" ht="12.75" customHeight="1" x14ac:dyDescent="0.2">
      <x:c r="B277" s="778"/>
      <x:c r="C277" s="775"/>
      <x:c r="D277" s="223" t="s">
        <x:v>73</x:v>
      </x:c>
      <x:c r="E277" s="225">
        <x:v>0</x:v>
      </x:c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18" ht="12.75" customHeight="1" x14ac:dyDescent="0.2">
      <x:c r="A278" s="89"/>
      <x:c r="B278" s="97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ht="12.75" customHeight="1" x14ac:dyDescent="0.2">
      <x:c r="B279" s="778" t="s">
        <x:v>155</x:v>
      </x:c>
      <x:c r="C279" s="775" t="s">
        <x:v>132</x:v>
      </x:c>
      <x:c r="D279" s="221" t="s">
        <x:v>70</x:v>
      </x:c>
      <x:c r="E279" s="222">
        <x:f>E196+E182+E178-K182-K178</x:f>
        <x:v>0</x:v>
      </x:c>
      <x:c r="F279" s="222">
        <x:f>F178+F182</x:f>
        <x:v>0</x:v>
      </x:c>
      <x:c r="G279" s="222">
        <x:f t="shared" ref="G279:R279" si="8">G178+G182</x:f>
        <x:v>0</x:v>
      </x:c>
      <x:c r="H279" s="222">
        <x:f t="shared" si="8"/>
        <x:v>0</x:v>
      </x:c>
      <x:c r="I279" s="222">
        <x:f t="shared" si="8"/>
        <x:v>0</x:v>
      </x:c>
      <x:c r="J279" s="222">
        <x:f t="shared" si="8"/>
        <x:v>0</x:v>
      </x:c>
      <x:c r="K279" s="222">
        <x:f t="shared" si="8"/>
        <x:v>0</x:v>
      </x:c>
      <x:c r="L279" s="222">
        <x:f t="shared" si="8"/>
        <x:v>0</x:v>
      </x:c>
      <x:c r="M279" s="222">
        <x:f t="shared" si="8"/>
        <x:v>0</x:v>
      </x:c>
      <x:c r="N279" s="222">
        <x:f t="shared" si="8"/>
        <x:v>0</x:v>
      </x:c>
      <x:c r="O279" s="222">
        <x:f t="shared" si="8"/>
        <x:v>0</x:v>
      </x:c>
      <x:c r="P279" s="222">
        <x:f t="shared" si="8"/>
        <x:v>0</x:v>
      </x:c>
      <x:c r="Q279" s="222">
        <x:f t="shared" si="8"/>
        <x:v>0</x:v>
      </x:c>
      <x:c r="R279" s="222">
        <x:f t="shared" si="8"/>
        <x:v>0</x:v>
      </x:c>
    </x:row>
    <x:row r="280" spans="1:18" ht="12.75" customHeight="1" x14ac:dyDescent="0.2">
      <x:c r="B280" s="778"/>
      <x:c r="C280" s="775"/>
      <x:c r="D280" s="221" t="s">
        <x:v>73</x:v>
      </x:c>
      <x:c r="E280" s="222">
        <x:f>E196</x:f>
        <x:v>0</x:v>
      </x:c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</x:row>
    <x:row r="281" spans="1:18" ht="12.75" customHeight="1" x14ac:dyDescent="0.2">
      <x:c r="B281" s="719"/>
      <x:c r="C281" s="220"/>
      <x:c r="D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</x:row>
    <x:row r="282" spans="1:18" ht="12.75" customHeight="1" x14ac:dyDescent="0.2">
      <x:c r="B282" s="776" t="s">
        <x:v>326</x:v>
      </x:c>
      <x:c r="C282" s="775" t="s">
        <x:v>132</x:v>
      </x:c>
      <x:c r="D282" s="373" t="s">
        <x:v>70</x:v>
      </x:c>
      <x:c r="E282" s="374">
        <x:v>0</x:v>
      </x:c>
      <x:c r="F282" s="374">
        <x:v>0</x:v>
      </x:c>
      <x:c r="G282" s="374">
        <x:v>0</x:v>
      </x:c>
      <x:c r="H282" s="374">
        <x:v>0</x:v>
      </x:c>
      <x:c r="I282" s="374">
        <x:v>0</x:v>
      </x:c>
      <x:c r="J282" s="374">
        <x:v>0</x:v>
      </x:c>
      <x:c r="K282" s="374">
        <x:v>0</x:v>
      </x:c>
      <x:c r="L282" s="374">
        <x:v>0</x:v>
      </x:c>
      <x:c r="M282" s="374">
        <x:v>0</x:v>
      </x:c>
      <x:c r="N282" s="374">
        <x:v>0</x:v>
      </x:c>
      <x:c r="O282" s="374">
        <x:v>0</x:v>
      </x:c>
      <x:c r="P282" s="374">
        <x:v>0</x:v>
      </x:c>
      <x:c r="Q282" s="374">
        <x:v>0</x:v>
      </x:c>
      <x:c r="R282" s="374">
        <x:v>0</x:v>
      </x:c>
    </x:row>
    <x:row r="283" spans="1:18" ht="12.75" customHeight="1" x14ac:dyDescent="0.2">
      <x:c r="B283" s="776"/>
      <x:c r="C283" s="775"/>
      <x:c r="D283" s="373" t="s">
        <x:v>73</x:v>
      </x:c>
      <x:c r="E283" s="374">
        <x:v>0</x:v>
      </x:c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18" ht="12.75" customHeight="1" x14ac:dyDescent="0.2">
      <x:c r="B284" s="719"/>
      <x:c r="C284" s="220"/>
      <x:c r="D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</x:row>
    <x:row r="285" spans="1:18" ht="12.75" customHeight="1" x14ac:dyDescent="0.2">
      <x:c r="B285" s="778" t="s">
        <x:v>119</x:v>
      </x:c>
      <x:c r="C285" s="775" t="s">
        <x:v>132</x:v>
      </x:c>
      <x:c r="D285" s="101" t="s">
        <x:v>70</x:v>
      </x:c>
      <x:c r="E285" s="93">
        <x:f>E192+E203-K192</x:f>
        <x:v>0</x:v>
      </x:c>
      <x:c r="F285" s="93">
        <x:f>F192</x:f>
        <x:v>0</x:v>
      </x:c>
      <x:c r="G285" s="93">
        <x:f t="shared" ref="G285:R285" si="9">G192</x:f>
        <x:v>0</x:v>
      </x:c>
      <x:c r="H285" s="93">
        <x:f t="shared" si="9"/>
        <x:v>0</x:v>
      </x:c>
      <x:c r="I285" s="93">
        <x:f t="shared" si="9"/>
        <x:v>0</x:v>
      </x:c>
      <x:c r="J285" s="93">
        <x:f t="shared" si="9"/>
        <x:v>0</x:v>
      </x:c>
      <x:c r="K285" s="93">
        <x:f t="shared" si="9"/>
        <x:v>0</x:v>
      </x:c>
      <x:c r="L285" s="93">
        <x:f t="shared" si="9"/>
        <x:v>0</x:v>
      </x:c>
      <x:c r="M285" s="93">
        <x:f t="shared" si="9"/>
        <x:v>0</x:v>
      </x:c>
      <x:c r="N285" s="93">
        <x:f t="shared" si="9"/>
        <x:v>0</x:v>
      </x:c>
      <x:c r="O285" s="93">
        <x:f t="shared" si="9"/>
        <x:v>0</x:v>
      </x:c>
      <x:c r="P285" s="93">
        <x:f t="shared" si="9"/>
        <x:v>0</x:v>
      </x:c>
      <x:c r="Q285" s="93">
        <x:f t="shared" si="9"/>
        <x:v>0</x:v>
      </x:c>
      <x:c r="R285" s="93">
        <x:f t="shared" si="9"/>
        <x:v>0</x:v>
      </x:c>
    </x:row>
    <x:row r="286" spans="1:18" ht="12.75" customHeight="1" x14ac:dyDescent="0.2">
      <x:c r="B286" s="778"/>
      <x:c r="C286" s="775"/>
      <x:c r="D286" s="101" t="s">
        <x:v>73</x:v>
      </x:c>
      <x:c r="E286" s="93">
        <x:f>E203</x:f>
        <x:v>0</x:v>
      </x:c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</x:row>
    <x:row r="287" spans="1:18" ht="12.75" customHeight="1" x14ac:dyDescent="0.2">
      <x:c r="A287" s="89"/>
      <x:c r="B287" s="97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</x:row>
    <x:row r="288" spans="1:18" ht="12.75" customHeight="1" x14ac:dyDescent="0.2">
      <x:c r="B288" s="777" t="s">
        <x:v>161</x:v>
      </x:c>
      <x:c r="C288" s="775" t="s">
        <x:v>132</x:v>
      </x:c>
      <x:c r="D288" s="231" t="s">
        <x:v>70</x:v>
      </x:c>
      <x:c r="E288" s="232">
        <x:v>0</x:v>
      </x:c>
      <x:c r="F288" s="232">
        <x:v>0</x:v>
      </x:c>
      <x:c r="G288" s="232">
        <x:v>0</x:v>
      </x:c>
      <x:c r="H288" s="232">
        <x:v>0</x:v>
      </x:c>
      <x:c r="I288" s="232">
        <x:v>0</x:v>
      </x:c>
      <x:c r="J288" s="232">
        <x:v>0</x:v>
      </x:c>
      <x:c r="K288" s="232">
        <x:v>0</x:v>
      </x:c>
      <x:c r="L288" s="232">
        <x:v>0</x:v>
      </x:c>
      <x:c r="M288" s="232">
        <x:v>0</x:v>
      </x:c>
      <x:c r="N288" s="232">
        <x:v>0</x:v>
      </x:c>
      <x:c r="O288" s="232">
        <x:v>0</x:v>
      </x:c>
      <x:c r="P288" s="232">
        <x:v>0</x:v>
      </x:c>
      <x:c r="Q288" s="232">
        <x:v>0</x:v>
      </x:c>
      <x:c r="R288" s="232">
        <x:v>0</x:v>
      </x:c>
    </x:row>
    <x:row r="289" spans="2:18" ht="12.75" customHeight="1" x14ac:dyDescent="0.2">
      <x:c r="B289" s="777"/>
      <x:c r="C289" s="775"/>
      <x:c r="D289" s="231" t="s">
        <x:v>73</x:v>
      </x:c>
      <x:c r="E289" s="232">
        <x:v>0</x:v>
      </x:c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</x:row>
    <x:row r="290" spans="2:18" s="238" customFormat="1" x14ac:dyDescent="0.2"/>
    <x:row r="291" spans="2:18" ht="15" customHeight="1" x14ac:dyDescent="0.2">
      <x:c r="B291" s="97" t="s">
        <x:v>88</x:v>
      </x:c>
    </x:row>
    <x:row r="292" spans="2:18" ht="11.45" customHeight="1" x14ac:dyDescent="0.2">
      <x:c r="E292" s="89" t="s">
        <x:v>70</x:v>
      </x:c>
      <x:c r="F292" s="89" t="s">
        <x:v>64</x:v>
      </x:c>
      <x:c r="G292" s="89" t="s">
        <x:v>65</x:v>
      </x:c>
      <x:c r="H292" s="219" t="s">
        <x:v>164</x:v>
      </x:c>
      <x:c r="I292" s="89" t="s">
        <x:v>69</x:v>
      </x:c>
      <x:c r="J292" s="89" t="s">
        <x:v>68</x:v>
      </x:c>
      <x:c r="K292" s="89" t="s">
        <x:v>83</x:v>
      </x:c>
      <x:c r="L292" s="89" t="s">
        <x:v>66</x:v>
      </x:c>
      <x:c r="M292" s="89" t="s">
        <x:v>63</x:v>
      </x:c>
      <x:c r="N292" s="89" t="s">
        <x:v>61</x:v>
      </x:c>
      <x:c r="O292" s="89" t="s">
        <x:v>62</x:v>
      </x:c>
      <x:c r="P292" s="89" t="s">
        <x:v>67</x:v>
      </x:c>
      <x:c r="Q292" s="89" t="s">
        <x:v>84</x:v>
      </x:c>
      <x:c r="R292" s="384" t="s">
        <x:v>225</x:v>
      </x:c>
    </x:row>
    <x:row r="293" spans="2:18" ht="11.45" customHeight="1" x14ac:dyDescent="0.2">
      <x:c r="D293" t="s">
        <x:v>72</x:v>
      </x:c>
      <x:c r="E293" s="89" t="n">
        <x:v>71673.26</x:v>
      </x:c>
      <x:c r="F293" s="89" t="n">
        <x:v>4582.13</x:v>
      </x:c>
      <x:c r="G293" s="89" t="n">
        <x:v>2587.09</x:v>
      </x:c>
      <x:c r="H293" s="384" t="n">
        <x:v>713.47</x:v>
      </x:c>
      <x:c r="I293" s="89" t="n">
        <x:v>20145.33</x:v>
      </x:c>
      <x:c r="J293" s="89" t="n">
        <x:v>488.67</x:v>
      </x:c>
      <x:c r="K293" s="89" t="n">
        <x:v>0</x:v>
      </x:c>
      <x:c r="L293" s="89" t="n">
        <x:v>0</x:v>
      </x:c>
      <x:c r="M293" s="89" t="n">
        <x:v>5385.19</x:v>
      </x:c>
      <x:c r="N293" s="89" t="n">
        <x:v>32356.45</x:v>
      </x:c>
      <x:c r="O293" s="89" t="n">
        <x:v>4618.03</x:v>
      </x:c>
      <x:c r="P293" s="89" t="n">
        <x:v>797.32</x:v>
      </x:c>
      <x:c r="Q293" s="89" t="n">
        <x:v>-0.42</x:v>
      </x:c>
      <x:c r="R293" s="384" t="n">
        <x:v>0</x:v>
      </x:c>
    </x:row>
    <x:row r="294" spans="2:18" ht="12.75" customHeight="1" x14ac:dyDescent="0.2">
      <x:c r="D294" t="s">
        <x:v>81</x:v>
      </x:c>
      <x:c r="E294" s="384">
        <x:v>0</x:v>
      </x:c>
      <x:c r="F294" s="89">
        <x:v>0</x:v>
      </x:c>
      <x:c r="G294" s="89">
        <x:v>0</x:v>
      </x:c>
      <x:c r="H294" s="384">
        <x:v>0</x:v>
      </x:c>
      <x:c r="I294" s="89">
        <x:v>0</x:v>
      </x:c>
      <x:c r="J294" s="89">
        <x:v>0</x:v>
      </x:c>
      <x:c r="K294" s="89">
        <x:v>0</x:v>
      </x:c>
      <x:c r="L294" s="89">
        <x:v>0</x:v>
      </x:c>
      <x:c r="M294" s="89">
        <x:v>0</x:v>
      </x:c>
      <x:c r="N294" s="89">
        <x:v>0</x:v>
      </x:c>
      <x:c r="O294" s="89">
        <x:v>0</x:v>
      </x:c>
      <x:c r="P294" s="89">
        <x:v>0</x:v>
      </x:c>
      <x:c r="Q294" s="89">
        <x:v>0</x:v>
      </x:c>
      <x:c r="R294" s="384">
        <x:v>0</x:v>
      </x:c>
    </x:row>
    <x:row r="295" spans="2:18" ht="11.45" customHeight="1" x14ac:dyDescent="0.2">
      <x:c r="C295" t="s">
        <x:v>332</x:v>
      </x:c>
      <x:c r="D295" t="s">
        <x:v>70</x:v>
      </x:c>
      <x:c r="E295" s="384" t="n">
        <x:v>71673.26</x:v>
      </x:c>
      <x:c r="F295" s="89" t="n">
        <x:v>4582.13</x:v>
      </x:c>
      <x:c r="G295" s="89" t="n">
        <x:v>2587.09</x:v>
      </x:c>
      <x:c r="H295" s="384" t="n">
        <x:v>713.47</x:v>
      </x:c>
      <x:c r="I295" s="89" t="n">
        <x:v>20145.33</x:v>
      </x:c>
      <x:c r="J295" s="89" t="n">
        <x:v>488.67</x:v>
      </x:c>
      <x:c r="K295" s="89" t="n">
        <x:v>0</x:v>
      </x:c>
      <x:c r="L295" s="89" t="n">
        <x:v>0</x:v>
      </x:c>
      <x:c r="M295" s="89" t="n">
        <x:v>5385.19</x:v>
      </x:c>
      <x:c r="N295" s="89" t="n">
        <x:v>32356.45</x:v>
      </x:c>
      <x:c r="O295" s="89" t="n">
        <x:v>4618.03</x:v>
      </x:c>
      <x:c r="P295" s="89" t="n">
        <x:v>797.32</x:v>
      </x:c>
      <x:c r="Q295" s="89" t="n">
        <x:v>-0.42</x:v>
      </x:c>
      <x:c r="R295" s="384" t="n">
        <x:v>0</x:v>
      </x:c>
    </x:row>
    <x:row r="296" spans="2:18" s="739" customFormat="1" ht="11.45" customHeight="1" x14ac:dyDescent="0.2">
      <x:c r="B296" s="739" t="s">
        <x:v>85</x:v>
      </x:c>
      <x:c r="C296" s="739" t="s">
        <x:v>70</x:v>
      </x:c>
      <x:c r="E296" s="769" t="n">
        <x:v>71673.26</x:v>
      </x:c>
      <x:c r="F296" s="231" t="n">
        <x:v>4582.13</x:v>
      </x:c>
      <x:c r="G296" s="231" t="n">
        <x:v>2587.09</x:v>
      </x:c>
      <x:c r="H296" s="769" t="n">
        <x:v>713.47</x:v>
      </x:c>
      <x:c r="I296" s="231" t="n">
        <x:v>20145.33</x:v>
      </x:c>
      <x:c r="J296" s="231" t="n">
        <x:v>488.67</x:v>
      </x:c>
      <x:c r="K296" s="231" t="n">
        <x:v>0</x:v>
      </x:c>
      <x:c r="L296" s="231" t="n">
        <x:v>0</x:v>
      </x:c>
      <x:c r="M296" s="231" t="n">
        <x:v>5385.19</x:v>
      </x:c>
      <x:c r="N296" s="231" t="n">
        <x:v>32356.45</x:v>
      </x:c>
      <x:c r="O296" s="231" t="n">
        <x:v>4618.03</x:v>
      </x:c>
      <x:c r="P296" s="231" t="n">
        <x:v>797.32</x:v>
      </x:c>
      <x:c r="Q296" s="231" t="n">
        <x:v>-0.42</x:v>
      </x:c>
      <x:c r="R296" s="769" t="n">
        <x:v>0</x:v>
      </x:c>
    </x:row>
    <x:row r="297" spans="2:18" ht="11.45" customHeight="1" x14ac:dyDescent="0.2">
      <x:c r="D297" t="s">
        <x:v>72</x:v>
      </x:c>
      <x:c r="E297" s="384" t="n">
        <x:v>73072211.95</x:v>
      </x:c>
      <x:c r="F297" s="89" t="n">
        <x:v>3755763.36</x:v>
      </x:c>
      <x:c r="G297" s="89" t="n">
        <x:v>2095717.85</x:v>
      </x:c>
      <x:c r="H297" s="384" t="n">
        <x:v>896790.46</x:v>
      </x:c>
      <x:c r="I297" s="89" t="n">
        <x:v>17900218.06</x:v>
      </x:c>
      <x:c r="J297" s="89" t="n">
        <x:v>687344.67</x:v>
      </x:c>
      <x:c r="K297" s="89" t="n">
        <x:v>24851.72</x:v>
      </x:c>
      <x:c r="L297" s="89" t="n">
        <x:v>6029326.02</x:v>
      </x:c>
      <x:c r="M297" s="89" t="n">
        <x:v>5448727.8</x:v>
      </x:c>
      <x:c r="N297" s="89" t="n">
        <x:v>25019020.23</x:v>
      </x:c>
      <x:c r="O297" s="89" t="n">
        <x:v>10324104.43</x:v>
      </x:c>
      <x:c r="P297" s="89" t="n">
        <x:v>890543.52</x:v>
      </x:c>
      <x:c r="Q297" s="89" t="n">
        <x:v>-196.17</x:v>
      </x:c>
      <x:c r="R297" s="384" t="n">
        <x:v>0</x:v>
      </x:c>
    </x:row>
    <x:row r="298" spans="2:18" ht="12.75" customHeight="1" x14ac:dyDescent="0.2">
      <x:c r="D298" t="s">
        <x:v>81</x:v>
      </x:c>
      <x:c r="E298" s="384" t="n">
        <x:v>-71515.19</x:v>
      </x:c>
      <x:c r="F298" s="89" t="n">
        <x:v>6863.82</x:v>
      </x:c>
      <x:c r="G298" s="89" t="n">
        <x:v>3575.51</x:v>
      </x:c>
      <x:c r="H298" s="384" t="n">
        <x:v>1852.66</x:v>
      </x:c>
      <x:c r="I298" s="89" t="n">
        <x:v>23052.17</x:v>
      </x:c>
      <x:c r="J298" s="89" t="n">
        <x:v>806.46</x:v>
      </x:c>
      <x:c r="K298" s="89" t="n">
        <x:v>0</x:v>
      </x:c>
      <x:c r="L298" s="89" t="n">
        <x:v>7085.18</x:v>
      </x:c>
      <x:c r="M298" s="89" t="n">
        <x:v>7541.96</x:v>
      </x:c>
      <x:c r="N298" s="89" t="n">
        <x:v>-141829.34</x:v>
      </x:c>
      <x:c r="O298" s="89" t="n">
        <x:v>18220.05</x:v>
      </x:c>
      <x:c r="P298" s="89" t="n">
        <x:v>1316.02</x:v>
      </x:c>
      <x:c r="Q298" s="89" t="n">
        <x:v>0.32</x:v>
      </x:c>
      <x:c r="R298" s="384" t="n">
        <x:v>0</x:v>
      </x:c>
    </x:row>
    <x:row r="299" spans="2:18" ht="12.75" customHeight="1" x14ac:dyDescent="0.2">
      <x:c r="C299" t="s">
        <x:v>156</x:v>
      </x:c>
      <x:c r="D299" t="s">
        <x:v>70</x:v>
      </x:c>
      <x:c r="E299" s="384" t="n">
        <x:v>73000696.76</x:v>
      </x:c>
      <x:c r="F299" s="89" t="n">
        <x:v>3762627.18</x:v>
      </x:c>
      <x:c r="G299" s="89" t="n">
        <x:v>2099293.36</x:v>
      </x:c>
      <x:c r="H299" s="384" t="n">
        <x:v>898643.12</x:v>
      </x:c>
      <x:c r="I299" s="89" t="n">
        <x:v>17923270.23</x:v>
      </x:c>
      <x:c r="J299" s="89" t="n">
        <x:v>688151.13</x:v>
      </x:c>
      <x:c r="K299" s="89" t="n">
        <x:v>24851.72</x:v>
      </x:c>
      <x:c r="L299" s="89" t="n">
        <x:v>6036411.2</x:v>
      </x:c>
      <x:c r="M299" s="89" t="n">
        <x:v>5456269.76</x:v>
      </x:c>
      <x:c r="N299" s="89" t="n">
        <x:v>24877190.89</x:v>
      </x:c>
      <x:c r="O299" s="89" t="n">
        <x:v>10342324.48</x:v>
      </x:c>
      <x:c r="P299" s="89" t="n">
        <x:v>891859.54</x:v>
      </x:c>
      <x:c r="Q299" s="89" t="n">
        <x:v>-195.85</x:v>
      </x:c>
      <x:c r="R299" t="n">
        <x:v>0</x:v>
      </x:c>
    </x:row>
    <x:row r="300" spans="2:18" s="286" customFormat="1" ht="12.75" customHeight="1" x14ac:dyDescent="0.2">
      <x:c r="B300" s="286" t="s">
        <x:v>155</x:v>
      </x:c>
      <x:c r="C300" s="286" t="s">
        <x:v>70</x:v>
      </x:c>
      <x:c r="E300" s="753" t="n">
        <x:v>73000696.76</x:v>
      </x:c>
      <x:c r="F300" s="229" t="n">
        <x:v>3762627.18</x:v>
      </x:c>
      <x:c r="G300" s="229" t="n">
        <x:v>2099293.36</x:v>
      </x:c>
      <x:c r="H300" s="753" t="n">
        <x:v>898643.12</x:v>
      </x:c>
      <x:c r="I300" s="229" t="n">
        <x:v>17923270.23</x:v>
      </x:c>
      <x:c r="J300" s="229" t="n">
        <x:v>688151.13</x:v>
      </x:c>
      <x:c r="K300" s="229" t="n">
        <x:v>24851.72</x:v>
      </x:c>
      <x:c r="L300" s="229" t="n">
        <x:v>6036411.2</x:v>
      </x:c>
      <x:c r="M300" s="229" t="n">
        <x:v>5456269.76</x:v>
      </x:c>
      <x:c r="N300" s="229" t="n">
        <x:v>24877190.89</x:v>
      </x:c>
      <x:c r="O300" s="229" t="n">
        <x:v>10342324.48</x:v>
      </x:c>
      <x:c r="P300" s="229" t="n">
        <x:v>891859.54</x:v>
      </x:c>
      <x:c r="Q300" s="229" t="n">
        <x:v>-195.85</x:v>
      </x:c>
      <x:c r="R300" s="286" t="n">
        <x:v>0</x:v>
      </x:c>
    </x:row>
    <x:row r="301" spans="2:18" ht="12.75" customHeight="1" x14ac:dyDescent="0.2">
      <x:c r="D301" t="s">
        <x:v>72</x:v>
      </x:c>
      <x:c r="E301" s="384" t="n">
        <x:v>5291124.28</x:v>
      </x:c>
      <x:c r="F301" s="89" t="n">
        <x:v>376000.75</x:v>
      </x:c>
      <x:c r="G301" s="89" t="n">
        <x:v>199323.19</x:v>
      </x:c>
      <x:c r="H301" s="384" t="n">
        <x:v>90624.73</x:v>
      </x:c>
      <x:c r="I301" s="89" t="n">
        <x:v>1211600.64</x:v>
      </x:c>
      <x:c r="J301" s="89" t="n">
        <x:v>36367.15</x:v>
      </x:c>
      <x:c r="K301" s="89" t="n">
        <x:v>0</x:v>
      </x:c>
      <x:c r="L301" s="89" t="n">
        <x:v>347475.78</x:v>
      </x:c>
      <x:c r="M301" s="89" t="n">
        <x:v>360320.11</x:v>
      </x:c>
      <x:c r="N301" s="89" t="n">
        <x:v>1616585.14</x:v>
      </x:c>
      <x:c r="O301" s="89" t="n">
        <x:v>1003069.44</x:v>
      </x:c>
      <x:c r="P301" s="89" t="n">
        <x:v>49727.57</x:v>
      </x:c>
      <x:c r="Q301" s="89" t="n">
        <x:v>29.78</x:v>
      </x:c>
      <x:c r="R301" t="n">
        <x:v>0</x:v>
      </x:c>
    </x:row>
    <x:row r="302" spans="2:18" ht="12.75" customHeight="1" x14ac:dyDescent="0.2">
      <x:c r="D302" t="s">
        <x:v>81</x:v>
      </x:c>
      <x:c r="E302" s="384" t="n">
        <x:v>-2561.2</x:v>
      </x:c>
      <x:c r="F302" s="89" t="n">
        <x:v>228.57</x:v>
      </x:c>
      <x:c r="G302" s="89" t="n">
        <x:v>110.59</x:v>
      </x:c>
      <x:c r="H302" s="384" t="n">
        <x:v>56.09</x:v>
      </x:c>
      <x:c r="I302" s="89" t="n">
        <x:v>362.41</x:v>
      </x:c>
      <x:c r="J302" s="89" t="n">
        <x:v>11.79</x:v>
      </x:c>
      <x:c r="K302" s="89" t="n">
        <x:v>0</x:v>
      </x:c>
      <x:c r="L302" s="89" t="n">
        <x:v>103.46</x:v>
      </x:c>
      <x:c r="M302" s="89" t="n">
        <x:v>125.25</x:v>
      </x:c>
      <x:c r="N302" s="89" t="n">
        <x:v>-4187.03</x:v>
      </x:c>
      <x:c r="O302" s="89" t="n">
        <x:v>608.42</x:v>
      </x:c>
      <x:c r="P302" s="89" t="n">
        <x:v>19.24</x:v>
      </x:c>
      <x:c r="Q302" s="89" t="n">
        <x:v>0.01</x:v>
      </x:c>
      <x:c r="R302" t="n">
        <x:v>0</x:v>
      </x:c>
    </x:row>
    <x:row r="303" spans="2:18" ht="12.75" customHeight="1" x14ac:dyDescent="0.2">
      <x:c r="C303" t="s">
        <x:v>115</x:v>
      </x:c>
      <x:c r="D303" t="s">
        <x:v>70</x:v>
      </x:c>
      <x:c r="E303" s="384" t="n">
        <x:v>5288563.08</x:v>
      </x:c>
      <x:c r="F303" s="89" t="n">
        <x:v>376229.32</x:v>
      </x:c>
      <x:c r="G303" s="89" t="n">
        <x:v>199433.78</x:v>
      </x:c>
      <x:c r="H303" s="384" t="n">
        <x:v>90680.82</x:v>
      </x:c>
      <x:c r="I303" s="89" t="n">
        <x:v>1211963.05</x:v>
      </x:c>
      <x:c r="J303" s="89" t="n">
        <x:v>36378.94</x:v>
      </x:c>
      <x:c r="K303" s="89" t="n">
        <x:v>0</x:v>
      </x:c>
      <x:c r="L303" s="89" t="n">
        <x:v>347579.24</x:v>
      </x:c>
      <x:c r="M303" s="89" t="n">
        <x:v>360445.36</x:v>
      </x:c>
      <x:c r="N303" s="89" t="n">
        <x:v>1612398.11</x:v>
      </x:c>
      <x:c r="O303" s="89" t="n">
        <x:v>1003677.86</x:v>
      </x:c>
      <x:c r="P303" s="89" t="n">
        <x:v>49746.81</x:v>
      </x:c>
      <x:c r="Q303" s="89" t="n">
        <x:v>29.79</x:v>
      </x:c>
      <x:c r="R303" t="n">
        <x:v>0</x:v>
      </x:c>
    </x:row>
    <x:row r="304" spans="2:18" ht="12.75" customHeight="1" x14ac:dyDescent="0.2">
      <x:c r="D304" t="s">
        <x:v>72</x:v>
      </x:c>
      <x:c r="E304" s="384" t="n">
        <x:v>785227.71</x:v>
      </x:c>
      <x:c r="F304" s="89" t="n">
        <x:v>90173.21</x:v>
      </x:c>
      <x:c r="G304" s="89" t="n">
        <x:v>50747.68</x:v>
      </x:c>
      <x:c r="H304" s="384" t="n">
        <x:v>22898.36</x:v>
      </x:c>
      <x:c r="I304" s="89" t="n">
        <x:v>154863.56</x:v>
      </x:c>
      <x:c r="J304" s="89" t="n">
        <x:v>3691.97</x:v>
      </x:c>
      <x:c r="K304" s="89" t="n">
        <x:v>0</x:v>
      </x:c>
      <x:c r="L304" s="89" t="n">
        <x:v>35034.7</x:v>
      </x:c>
      <x:c r="M304" s="89" t="n">
        <x:v>38643.37</x:v>
      </x:c>
      <x:c r="N304" s="89" t="n">
        <x:v>145009.41</x:v>
      </x:c>
      <x:c r="O304" s="89" t="n">
        <x:v>238935.23</x:v>
      </x:c>
      <x:c r="P304" s="89" t="n">
        <x:v>5239.99</x:v>
      </x:c>
      <x:c r="Q304" s="89" t="n">
        <x:v>-9.77</x:v>
      </x:c>
      <x:c r="R304" t="n">
        <x:v>0</x:v>
      </x:c>
    </x:row>
    <x:row r="305" spans="2:18" ht="12.75" customHeight="1" x14ac:dyDescent="0.2">
      <x:c r="D305" t="s">
        <x:v>81</x:v>
      </x:c>
      <x:c r="E305" s="384" t="n">
        <x:v>-1647.69</x:v>
      </x:c>
      <x:c r="F305" s="89" t="n">
        <x:v>0</x:v>
      </x:c>
      <x:c r="G305" s="89" t="n">
        <x:v>0</x:v>
      </x:c>
      <x:c r="H305" s="384" t="n">
        <x:v>0</x:v>
      </x:c>
      <x:c r="I305" s="89" t="n">
        <x:v>0</x:v>
      </x:c>
      <x:c r="J305" s="89" t="n">
        <x:v>0</x:v>
      </x:c>
      <x:c r="K305" s="89" t="n">
        <x:v>0</x:v>
      </x:c>
      <x:c r="L305" s="89" t="n">
        <x:v>0</x:v>
      </x:c>
      <x:c r="M305" s="89" t="n">
        <x:v>0</x:v>
      </x:c>
      <x:c r="N305" s="89" t="n">
        <x:v>-1647.71</x:v>
      </x:c>
      <x:c r="O305" s="89" t="n">
        <x:v>0</x:v>
      </x:c>
      <x:c r="P305" s="89" t="n">
        <x:v>0</x:v>
      </x:c>
      <x:c r="Q305" s="89" t="n">
        <x:v>0.02</x:v>
      </x:c>
      <x:c r="R305" t="n">
        <x:v>0</x:v>
      </x:c>
    </x:row>
    <x:row r="306" spans="2:18" ht="12.75" customHeight="1" x14ac:dyDescent="0.2">
      <x:c r="C306" t="s">
        <x:v>116</x:v>
      </x:c>
      <x:c r="D306" t="s">
        <x:v>70</x:v>
      </x:c>
      <x:c r="E306" s="384" t="n">
        <x:v>783580.02</x:v>
      </x:c>
      <x:c r="F306" s="89" t="n">
        <x:v>90173.21</x:v>
      </x:c>
      <x:c r="G306" s="89" t="n">
        <x:v>50747.68</x:v>
      </x:c>
      <x:c r="H306" s="384" t="n">
        <x:v>22898.36</x:v>
      </x:c>
      <x:c r="I306" s="89" t="n">
        <x:v>154863.56</x:v>
      </x:c>
      <x:c r="J306" s="89" t="n">
        <x:v>3691.97</x:v>
      </x:c>
      <x:c r="K306" s="89" t="n">
        <x:v>0</x:v>
      </x:c>
      <x:c r="L306" s="89" t="n">
        <x:v>35034.7</x:v>
      </x:c>
      <x:c r="M306" s="89" t="n">
        <x:v>38643.37</x:v>
      </x:c>
      <x:c r="N306" s="89" t="n">
        <x:v>143361.7</x:v>
      </x:c>
      <x:c r="O306" s="89" t="n">
        <x:v>238935.23</x:v>
      </x:c>
      <x:c r="P306" s="89" t="n">
        <x:v>5239.99</x:v>
      </x:c>
      <x:c r="Q306" s="89" t="n">
        <x:v>-9.75</x:v>
      </x:c>
      <x:c r="R306" t="n">
        <x:v>0</x:v>
      </x:c>
    </x:row>
    <x:row r="307" spans="2:18" ht="12.75" customHeight="1" x14ac:dyDescent="0.2">
      <x:c r="D307" t="s">
        <x:v>72</x:v>
      </x:c>
      <x:c r="E307" s="384">
        <x:v>0</x:v>
      </x:c>
      <x:c r="F307" s="89">
        <x:v>0</x:v>
      </x:c>
      <x:c r="G307" s="89">
        <x:v>0</x:v>
      </x:c>
      <x:c r="H307" s="384">
        <x:v>0</x:v>
      </x:c>
      <x:c r="I307" s="89">
        <x:v>0</x:v>
      </x:c>
      <x:c r="J307" s="89">
        <x:v>0</x:v>
      </x:c>
      <x:c r="K307" s="89">
        <x:v>0</x:v>
      </x:c>
      <x:c r="L307" s="89">
        <x:v>0</x:v>
      </x:c>
      <x:c r="M307" s="89">
        <x:v>0</x:v>
      </x:c>
      <x:c r="N307" s="89">
        <x:v>0</x:v>
      </x:c>
      <x:c r="O307" s="89">
        <x:v>0</x:v>
      </x:c>
      <x:c r="P307" s="89">
        <x:v>0</x:v>
      </x:c>
      <x:c r="Q307" s="89">
        <x:v>0</x:v>
      </x:c>
      <x:c r="R307">
        <x:v>0</x:v>
      </x:c>
    </x:row>
    <x:row r="308" spans="2:18" ht="12.75" customHeight="1" x14ac:dyDescent="0.2">
      <x:c r="D308" t="s">
        <x:v>81</x:v>
      </x:c>
      <x:c r="E308" s="384">
        <x:v>0</x:v>
      </x:c>
      <x:c r="F308" s="89">
        <x:v>0</x:v>
      </x:c>
      <x:c r="G308" s="89">
        <x:v>0</x:v>
      </x:c>
      <x:c r="H308" s="384">
        <x:v>0</x:v>
      </x:c>
      <x:c r="I308" s="89">
        <x:v>0</x:v>
      </x:c>
      <x:c r="J308" s="89">
        <x:v>0</x:v>
      </x:c>
      <x:c r="K308" s="89">
        <x:v>0</x:v>
      </x:c>
      <x:c r="L308" s="89">
        <x:v>0</x:v>
      </x:c>
      <x:c r="M308" s="89">
        <x:v>0</x:v>
      </x:c>
      <x:c r="N308" s="89">
        <x:v>0</x:v>
      </x:c>
      <x:c r="O308" s="89">
        <x:v>0</x:v>
      </x:c>
      <x:c r="P308" s="89">
        <x:v>0</x:v>
      </x:c>
      <x:c r="Q308" s="89">
        <x:v>0</x:v>
      </x:c>
      <x:c r="R308">
        <x:v>0</x:v>
      </x:c>
    </x:row>
    <x:row r="309" spans="2:18" ht="12.75" customHeight="1" x14ac:dyDescent="0.2">
      <x:c r="C309" s="772">
        <x:v>3</x:v>
      </x:c>
      <x:c r="D309" t="s">
        <x:v>70</x:v>
      </x:c>
      <x:c r="E309" s="384">
        <x:v>0</x:v>
      </x:c>
      <x:c r="F309" s="89">
        <x:v>0</x:v>
      </x:c>
      <x:c r="G309" s="89">
        <x:v>0</x:v>
      </x:c>
      <x:c r="H309" s="384">
        <x:v>0</x:v>
      </x:c>
      <x:c r="I309" s="89">
        <x:v>0</x:v>
      </x:c>
      <x:c r="J309" s="89">
        <x:v>0</x:v>
      </x:c>
      <x:c r="K309" s="89">
        <x:v>0</x:v>
      </x:c>
      <x:c r="L309" s="89">
        <x:v>0</x:v>
      </x:c>
      <x:c r="M309" s="89">
        <x:v>0</x:v>
      </x:c>
      <x:c r="N309" s="89">
        <x:v>0</x:v>
      </x:c>
      <x:c r="O309" s="89">
        <x:v>0</x:v>
      </x:c>
      <x:c r="P309" s="89">
        <x:v>0</x:v>
      </x:c>
      <x:c r="Q309" s="89">
        <x:v>0</x:v>
      </x:c>
      <x:c r="R309">
        <x:v>0</x:v>
      </x:c>
    </x:row>
    <x:row r="310" spans="2:18" ht="12.75" customHeight="1" x14ac:dyDescent="0.2">
      <x:c r="B310" s="89"/>
      <x:c r="C310" s="89"/>
      <x:c r="D310" t="s">
        <x:v>72</x:v>
      </x:c>
      <x:c r="E310" s="371" t="n">
        <x:v>11833449.62</x:v>
      </x:c>
      <x:c r="F310" s="90" t="n">
        <x:v>687056.26</x:v>
      </x:c>
      <x:c r="G310" s="90" t="n">
        <x:v>394060.53</x:v>
      </x:c>
      <x:c r="H310" s="90" t="n">
        <x:v>134509.24</x:v>
      </x:c>
      <x:c r="I310" s="90" t="n">
        <x:v>3125015.24</x:v>
      </x:c>
      <x:c r="J310" s="90" t="n">
        <x:v>100233</x:v>
      </x:c>
      <x:c r="K310" s="90" t="n">
        <x:v>0</x:v>
      </x:c>
      <x:c r="L310" s="90" t="n">
        <x:v>936416.05</x:v>
      </x:c>
      <x:c r="M310" s="90" t="n">
        <x:v>865571.07</x:v>
      </x:c>
      <x:c r="N310" s="90" t="n">
        <x:v>3617316.45</x:v>
      </x:c>
      <x:c r="O310" s="90" t="n">
        <x:v>1866016.89</x:v>
      </x:c>
      <x:c r="P310" s="90" t="n">
        <x:v>107260.94</x:v>
      </x:c>
      <x:c r="Q310" s="90" t="n">
        <x:v>-6.05</x:v>
      </x:c>
      <x:c r="R310" t="n">
        <x:v>0</x:v>
      </x:c>
    </x:row>
    <x:row r="311" spans="2:18" ht="12.75" customHeight="1" x14ac:dyDescent="0.2">
      <x:c r="B311" s="89"/>
      <x:c r="C311" s="89"/>
      <x:c r="D311" t="s">
        <x:v>81</x:v>
      </x:c>
      <x:c r="E311" s="371" t="n">
        <x:v>-16370.84</x:v>
      </x:c>
      <x:c r="F311" s="90" t="n">
        <x:v>42.79</x:v>
      </x:c>
      <x:c r="G311" s="90" t="n">
        <x:v>24.18</x:v>
      </x:c>
      <x:c r="H311" s="90" t="n">
        <x:v>12.75</x:v>
      </x:c>
      <x:c r="I311" s="90" t="n">
        <x:v>140.34</x:v>
      </x:c>
      <x:c r="J311" s="90" t="n">
        <x:v>5.07</x:v>
      </x:c>
      <x:c r="K311" s="90" t="n">
        <x:v>0</x:v>
      </x:c>
      <x:c r="L311" s="90" t="n">
        <x:v>44.47</x:v>
      </x:c>
      <x:c r="M311" s="90" t="n">
        <x:v>43.31</x:v>
      </x:c>
      <x:c r="N311" s="90" t="n">
        <x:v>-16805.8</x:v>
      </x:c>
      <x:c r="O311" s="90" t="n">
        <x:v>113.77</x:v>
      </x:c>
      <x:c r="P311" s="90" t="n">
        <x:v>8.27</x:v>
      </x:c>
      <x:c r="Q311" s="90" t="n">
        <x:v>0.01</x:v>
      </x:c>
      <x:c r="R311" t="n">
        <x:v>0</x:v>
      </x:c>
    </x:row>
    <x:row r="312" spans="2:18" ht="12.75" customHeight="1" x14ac:dyDescent="0.2">
      <x:c r="B312" s="89"/>
      <x:c r="C312" s="89" t="s">
        <x:v>118</x:v>
      </x:c>
      <x:c r="D312" t="s">
        <x:v>70</x:v>
      </x:c>
      <x:c r="E312" s="371" t="n">
        <x:v>11817078.78</x:v>
      </x:c>
      <x:c r="F312" s="90" t="n">
        <x:v>687099.05</x:v>
      </x:c>
      <x:c r="G312" s="90" t="n">
        <x:v>394084.71</x:v>
      </x:c>
      <x:c r="H312" s="90" t="n">
        <x:v>134521.99</x:v>
      </x:c>
      <x:c r="I312" s="90" t="n">
        <x:v>3125155.58</x:v>
      </x:c>
      <x:c r="J312" s="90" t="n">
        <x:v>100238.07</x:v>
      </x:c>
      <x:c r="K312" s="90" t="n">
        <x:v>0</x:v>
      </x:c>
      <x:c r="L312" s="90" t="n">
        <x:v>936460.52</x:v>
      </x:c>
      <x:c r="M312" s="90" t="n">
        <x:v>865614.38</x:v>
      </x:c>
      <x:c r="N312" s="90" t="n">
        <x:v>3600510.65</x:v>
      </x:c>
      <x:c r="O312" s="90" t="n">
        <x:v>1866130.66</x:v>
      </x:c>
      <x:c r="P312" s="90" t="n">
        <x:v>107269.21</x:v>
      </x:c>
      <x:c r="Q312" s="90" t="n">
        <x:v>-6.04</x:v>
      </x:c>
      <x:c r="R312" t="n">
        <x:v>0</x:v>
      </x:c>
    </x:row>
    <x:row r="313" spans="2:18" ht="12.75" customHeight="1" x14ac:dyDescent="0.2">
      <x:c r="B313" s="89"/>
      <x:c r="C313" s="89"/>
      <x:c r="D313" t="s">
        <x:v>72</x:v>
      </x:c>
      <x:c r="E313" s="371">
        <x:v>0</x:v>
      </x:c>
      <x:c r="F313" s="90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>
        <x:v>0</x:v>
      </x:c>
    </x:row>
    <x:row r="314" spans="2:18" ht="12.75" customHeight="1" x14ac:dyDescent="0.2">
      <x:c r="B314" s="89"/>
      <x:c r="C314" s="89"/>
      <x:c r="D314" t="s">
        <x:v>81</x:v>
      </x:c>
      <x:c r="E314" s="371">
        <x:v>0</x:v>
      </x:c>
      <x:c r="F314" s="90">
        <x:v>0</x:v>
      </x:c>
      <x:c r="G314" s="90">
        <x:v>0</x:v>
      </x:c>
      <x:c r="H314" s="90">
        <x:v>0</x:v>
      </x:c>
      <x:c r="I314" s="90">
        <x:v>0</x:v>
      </x:c>
      <x:c r="J314" s="90">
        <x:v>0</x:v>
      </x:c>
      <x:c r="K314" s="90">
        <x:v>0</x:v>
      </x:c>
      <x:c r="L314" s="90">
        <x:v>0</x:v>
      </x:c>
      <x:c r="M314" s="90">
        <x:v>0</x:v>
      </x:c>
      <x:c r="N314" s="90">
        <x:v>0</x:v>
      </x:c>
      <x:c r="O314" s="90">
        <x:v>0</x:v>
      </x:c>
      <x:c r="P314" s="90">
        <x:v>0</x:v>
      </x:c>
      <x:c r="Q314" s="90">
        <x:v>0</x:v>
      </x:c>
      <x:c r="R314">
        <x:v>0</x:v>
      </x:c>
    </x:row>
    <x:row r="315" spans="2:18" ht="12.75" customHeight="1" x14ac:dyDescent="0.2">
      <x:c r="B315" s="89"/>
      <x:c r="C315" s="773">
        <x:v>9</x:v>
      </x:c>
      <x:c r="D315" t="s">
        <x:v>70</x:v>
      </x:c>
      <x:c r="E315" s="371">
        <x:v>0</x:v>
      </x:c>
      <x:c r="F315" s="90">
        <x:v>0</x:v>
      </x:c>
      <x:c r="G315" s="90">
        <x:v>0</x:v>
      </x:c>
      <x:c r="H315" s="90">
        <x:v>0</x:v>
      </x:c>
      <x:c r="I315" s="90">
        <x:v>0</x:v>
      </x:c>
      <x:c r="J315" s="90">
        <x:v>0</x:v>
      </x:c>
      <x:c r="K315" s="90">
        <x:v>0</x:v>
      </x:c>
      <x:c r="L315" s="90">
        <x:v>0</x:v>
      </x:c>
      <x:c r="M315" s="90">
        <x:v>0</x:v>
      </x:c>
      <x:c r="N315" s="90">
        <x:v>0</x:v>
      </x:c>
      <x:c r="O315" s="90">
        <x:v>0</x:v>
      </x:c>
      <x:c r="P315" s="90">
        <x:v>0</x:v>
      </x:c>
      <x:c r="Q315" s="90">
        <x:v>0</x:v>
      </x:c>
      <x:c r="R315">
        <x:v>0</x:v>
      </x:c>
    </x:row>
    <x:row r="316" spans="2:18" s="224" customFormat="1" ht="12.75" customHeight="1" x14ac:dyDescent="0.2">
      <x:c r="B316" s="224" t="s">
        <x:v>120</x:v>
      </x:c>
      <x:c r="C316" s="223" t="s">
        <x:v>70</x:v>
      </x:c>
      <x:c r="D316" s="223"/>
      <x:c r="E316" s="225" t="n">
        <x:v>17889221.88</x:v>
      </x:c>
      <x:c r="F316" s="225" t="n">
        <x:v>1153501.58</x:v>
      </x:c>
      <x:c r="G316" s="225" t="n">
        <x:v>644266.17</x:v>
      </x:c>
      <x:c r="H316" s="225" t="n">
        <x:v>248101.17</x:v>
      </x:c>
      <x:c r="I316" s="225" t="n">
        <x:v>4491982.19</x:v>
      </x:c>
      <x:c r="J316" s="225" t="n">
        <x:v>140308.98</x:v>
      </x:c>
      <x:c r="K316" s="225" t="n">
        <x:v>0</x:v>
      </x:c>
      <x:c r="L316" s="225" t="n">
        <x:v>1319074.46</x:v>
      </x:c>
      <x:c r="M316" s="225" t="n">
        <x:v>1264703.11</x:v>
      </x:c>
      <x:c r="N316" s="225" t="n">
        <x:v>5356270.46</x:v>
      </x:c>
      <x:c r="O316" s="225" t="n">
        <x:v>3108743.75</x:v>
      </x:c>
      <x:c r="P316" s="225" t="n">
        <x:v>162256.01</x:v>
      </x:c>
      <x:c r="Q316" s="225" t="n">
        <x:v>14</x:v>
      </x:c>
      <x:c r="R316" s="224" t="n">
        <x:v>0</x:v>
      </x:c>
    </x:row>
    <x:row r="317" spans="2:18" ht="12.75" customHeight="1" x14ac:dyDescent="0.2">
      <x:c r="C317" s="89"/>
      <x:c r="D317" s="89" t="s">
        <x:v>72</x:v>
      </x:c>
      <x:c r="E317" s="371" t="n">
        <x:v>2935915.68</x:v>
      </x:c>
      <x:c r="F317" s="90" t="n">
        <x:v>165004.76</x:v>
      </x:c>
      <x:c r="G317" s="90" t="n">
        <x:v>90924.57</x:v>
      </x:c>
      <x:c r="H317" s="90" t="n">
        <x:v>41755.8</x:v>
      </x:c>
      <x:c r="I317" s="90" t="n">
        <x:v>655865.83</x:v>
      </x:c>
      <x:c r="J317" s="90" t="n">
        <x:v>19420.96</x:v>
      </x:c>
      <x:c r="K317" s="90" t="n">
        <x:v>0</x:v>
      </x:c>
      <x:c r="L317" s="90" t="n">
        <x:v>182768.14</x:v>
      </x:c>
      <x:c r="M317" s="90" t="n">
        <x:v>234953.54</x:v>
      </x:c>
      <x:c r="N317" s="90" t="n">
        <x:v>1056399.01</x:v>
      </x:c>
      <x:c r="O317" s="90" t="n">
        <x:v>461182.06</x:v>
      </x:c>
      <x:c r="P317" s="90" t="n">
        <x:v>27646.08</x:v>
      </x:c>
      <x:c r="Q317" s="90" t="n">
        <x:v>-5.07</x:v>
      </x:c>
      <x:c r="R317" t="n">
        <x:v>0</x:v>
      </x:c>
    </x:row>
    <x:row r="318" spans="2:18" ht="12.75" customHeight="1" x14ac:dyDescent="0.2">
      <x:c r="C318" s="89"/>
      <x:c r="D318" s="89" t="s">
        <x:v>81</x:v>
      </x:c>
      <x:c r="E318" s="371" t="n">
        <x:v>-2830.74</x:v>
      </x:c>
      <x:c r="F318" s="90" t="n">
        <x:v>11.66</x:v>
      </x:c>
      <x:c r="G318" s="90" t="n">
        <x:v>6.59</x:v>
      </x:c>
      <x:c r="H318" s="90" t="n">
        <x:v>3.49</x:v>
      </x:c>
      <x:c r="I318" s="90" t="n">
        <x:v>17.57</x:v>
      </x:c>
      <x:c r="J318" s="90" t="n">
        <x:v>12.87</x:v>
      </x:c>
      <x:c r="K318" s="90" t="n">
        <x:v>0</x:v>
      </x:c>
      <x:c r="L318" s="90" t="n">
        <x:v>112.97</x:v>
      </x:c>
      <x:c r="M318" s="90" t="n">
        <x:v>110.83</x:v>
      </x:c>
      <x:c r="N318" s="90" t="n">
        <x:v>-3158.73</x:v>
      </x:c>
      <x:c r="O318" s="90" t="n">
        <x:v>31.02</x:v>
      </x:c>
      <x:c r="P318" s="90" t="n">
        <x:v>21</x:v>
      </x:c>
      <x:c r="Q318" s="90" t="n">
        <x:v>-0.01</x:v>
      </x:c>
      <x:c r="R318" t="n">
        <x:v>0</x:v>
      </x:c>
    </x:row>
    <x:row r="319" spans="2:18" ht="12.75" customHeight="1" x14ac:dyDescent="0.2">
      <x:c r="C319" s="89" t="s">
        <x:v>82</x:v>
      </x:c>
      <x:c r="D319" s="89" t="s">
        <x:v>70</x:v>
      </x:c>
      <x:c r="E319" s="371" t="n">
        <x:v>2933084.94</x:v>
      </x:c>
      <x:c r="F319" s="90" t="n">
        <x:v>165016.42</x:v>
      </x:c>
      <x:c r="G319" s="90" t="n">
        <x:v>90931.16</x:v>
      </x:c>
      <x:c r="H319" s="90" t="n">
        <x:v>41759.29</x:v>
      </x:c>
      <x:c r="I319" s="90" t="n">
        <x:v>655883.4</x:v>
      </x:c>
      <x:c r="J319" s="90" t="n">
        <x:v>19433.83</x:v>
      </x:c>
      <x:c r="K319" s="90" t="n">
        <x:v>0</x:v>
      </x:c>
      <x:c r="L319" s="90" t="n">
        <x:v>182881.11</x:v>
      </x:c>
      <x:c r="M319" s="90" t="n">
        <x:v>235064.37</x:v>
      </x:c>
      <x:c r="N319" s="90" t="n">
        <x:v>1053240.28</x:v>
      </x:c>
      <x:c r="O319" s="90" t="n">
        <x:v>461213.08</x:v>
      </x:c>
      <x:c r="P319" s="90" t="n">
        <x:v>27667.08</x:v>
      </x:c>
      <x:c r="Q319" s="90" t="n">
        <x:v>-5.08</x:v>
      </x:c>
      <x:c r="R319" t="n">
        <x:v>0</x:v>
      </x:c>
    </x:row>
    <x:row r="320" spans="2:18" ht="12.75" customHeight="1" x14ac:dyDescent="0.2">
      <x:c r="C320" s="89"/>
      <x:c r="D320" s="89" t="s">
        <x:v>72</x:v>
      </x:c>
      <x:c r="E320" s="371" t="n">
        <x:v>11191122.91</x:v>
      </x:c>
      <x:c r="F320" s="90" t="n">
        <x:v>614822.13</x:v>
      </x:c>
      <x:c r="G320" s="90" t="n">
        <x:v>344645.24</x:v>
      </x:c>
      <x:c r="H320" s="90" t="n">
        <x:v>152456.87</x:v>
      </x:c>
      <x:c r="I320" s="90" t="n">
        <x:v>2725647.53</x:v>
      </x:c>
      <x:c r="J320" s="90" t="n">
        <x:v>92386.38</x:v>
      </x:c>
      <x:c r="K320" s="90" t="n">
        <x:v>0</x:v>
      </x:c>
      <x:c r="L320" s="90" t="n">
        <x:v>843063.7</x:v>
      </x:c>
      <x:c r="M320" s="90" t="n">
        <x:v>823570.03</x:v>
      </x:c>
      <x:c r="N320" s="90" t="n">
        <x:v>3813596.77</x:v>
      </x:c>
      <x:c r="O320" s="90" t="n">
        <x:v>1669126.56</x:v>
      </x:c>
      <x:c r="P320" s="90" t="n">
        <x:v>111835.5</x:v>
      </x:c>
      <x:c r="Q320" s="90" t="n">
        <x:v>-27.8</x:v>
      </x:c>
      <x:c r="R320" t="n">
        <x:v>0</x:v>
      </x:c>
    </x:row>
    <x:row r="321" spans="1:18" ht="12.75" customHeight="1" x14ac:dyDescent="0.2">
      <x:c r="C321" s="89"/>
      <x:c r="D321" s="89" t="s">
        <x:v>81</x:v>
      </x:c>
      <x:c r="E321" s="371" t="n">
        <x:v>438.3</x:v>
      </x:c>
      <x:c r="F321" s="90" t="n">
        <x:v>1420.03</x:v>
      </x:c>
      <x:c r="G321" s="90" t="n">
        <x:v>734.15</x:v>
      </x:c>
      <x:c r="H321" s="90" t="n">
        <x:v>392.29</x:v>
      </x:c>
      <x:c r="I321" s="90" t="n">
        <x:v>5077.55</x:v>
      </x:c>
      <x:c r="J321" s="90" t="n">
        <x:v>165.82</x:v>
      </x:c>
      <x:c r="K321" s="90" t="n">
        <x:v>0</x:v>
      </x:c>
      <x:c r="L321" s="90" t="n">
        <x:v>1454.36</x:v>
      </x:c>
      <x:c r="M321" s="90" t="n">
        <x:v>1628.88</x:v>
      </x:c>
      <x:c r="N321" s="90" t="n">
        <x:v>-14504.38</x:v>
      </x:c>
      <x:c r="O321" s="90" t="n">
        <x:v>3798.82</x:v>
      </x:c>
      <x:c r="P321" s="90" t="n">
        <x:v>270.51</x:v>
      </x:c>
      <x:c r="Q321" s="90" t="n">
        <x:v>0.27</x:v>
      </x:c>
      <x:c r="R321" t="n">
        <x:v>0</x:v>
      </x:c>
    </x:row>
    <x:row r="322" spans="1:18" ht="12.75" customHeight="1" x14ac:dyDescent="0.2">
      <x:c r="C322" s="89" t="s">
        <x:v>86</x:v>
      </x:c>
      <x:c r="D322" s="89" t="s">
        <x:v>70</x:v>
      </x:c>
      <x:c r="E322" s="371" t="n">
        <x:v>11191561.21</x:v>
      </x:c>
      <x:c r="F322" s="90" t="n">
        <x:v>616242.16</x:v>
      </x:c>
      <x:c r="G322" s="90" t="n">
        <x:v>345379.39</x:v>
      </x:c>
      <x:c r="H322" s="90" t="n">
        <x:v>152849.16</x:v>
      </x:c>
      <x:c r="I322" s="90" t="n">
        <x:v>2730725.08</x:v>
      </x:c>
      <x:c r="J322" s="90" t="n">
        <x:v>92552.2</x:v>
      </x:c>
      <x:c r="K322" s="90" t="n">
        <x:v>0</x:v>
      </x:c>
      <x:c r="L322" s="90" t="n">
        <x:v>844518.06</x:v>
      </x:c>
      <x:c r="M322" s="90" t="n">
        <x:v>825198.91</x:v>
      </x:c>
      <x:c r="N322" s="90" t="n">
        <x:v>3799092.39</x:v>
      </x:c>
      <x:c r="O322" s="90" t="n">
        <x:v>1672925.38</x:v>
      </x:c>
      <x:c r="P322" s="90" t="n">
        <x:v>112106.01</x:v>
      </x:c>
      <x:c r="Q322" s="90" t="n">
        <x:v>-27.53</x:v>
      </x:c>
      <x:c r="R322" t="n">
        <x:v>0</x:v>
      </x:c>
    </x:row>
    <x:row r="323" spans="1:18" ht="12.75" customHeight="1" x14ac:dyDescent="0.2">
      <x:c r="C323" s="89"/>
      <x:c r="D323" s="89" t="s">
        <x:v>72</x:v>
      </x:c>
      <x:c r="E323" s="371" t="n">
        <x:v>21700543.39</x:v>
      </x:c>
      <x:c r="F323" s="90" t="n">
        <x:v>3577177.74</x:v>
      </x:c>
      <x:c r="G323" s="90" t="n">
        <x:v>2006982.21</x:v>
      </x:c>
      <x:c r="H323" s="90" t="n">
        <x:v>1070133.77</x:v>
      </x:c>
      <x:c r="I323" s="90" t="n">
        <x:v>1787448.93</x:v>
      </x:c>
      <x:c r="J323" s="90" t="n">
        <x:v>43607.14</x:v>
      </x:c>
      <x:c r="K323" s="90" t="n">
        <x:v>70913.19</x:v>
      </x:c>
      <x:c r="L323" s="90" t="n">
        <x:v>414836.95</x:v>
      </x:c>
      <x:c r="M323" s="90" t="n">
        <x:v>540383.17</x:v>
      </x:c>
      <x:c r="N323" s="90" t="n">
        <x:v>2323950.78</x:v>
      </x:c>
      <x:c r="O323" s="90" t="n">
        <x:v>9795966.18</x:v>
      </x:c>
      <x:c r="P323" s="90" t="n">
        <x:v>69146.07</x:v>
      </x:c>
      <x:c r="Q323" s="90" t="n">
        <x:v>-2.74</x:v>
      </x:c>
      <x:c r="R323" t="n">
        <x:v>0</x:v>
      </x:c>
    </x:row>
    <x:row r="324" spans="1:18" ht="12.75" customHeight="1" x14ac:dyDescent="0.2">
      <x:c r="C324" s="89"/>
      <x:c r="D324" s="89" t="s">
        <x:v>81</x:v>
      </x:c>
      <x:c r="E324" s="371" t="n">
        <x:v>-4328.01</x:v>
      </x:c>
      <x:c r="F324" s="90" t="n">
        <x:v>5.93</x:v>
      </x:c>
      <x:c r="G324" s="90" t="n">
        <x:v>3.36</x:v>
      </x:c>
      <x:c r="H324" s="90" t="n">
        <x:v>1.8</x:v>
      </x:c>
      <x:c r="I324" s="90" t="n">
        <x:v>24</x:v>
      </x:c>
      <x:c r="J324" s="90" t="n">
        <x:v>0.67</x:v>
      </x:c>
      <x:c r="K324" s="90" t="n">
        <x:v>0</x:v>
      </x:c>
      <x:c r="L324" s="90" t="n">
        <x:v>5.82</x:v>
      </x:c>
      <x:c r="M324" s="90" t="n">
        <x:v>7.75</x:v>
      </x:c>
      <x:c r="N324" s="90" t="n">
        <x:v>-4394.5</x:v>
      </x:c>
      <x:c r="O324" s="90" t="n">
        <x:v>16.08</x:v>
      </x:c>
      <x:c r="P324" s="90" t="n">
        <x:v>1.08</x:v>
      </x:c>
      <x:c r="Q324" s="90" t="n">
        <x:v>0</x:v>
      </x:c>
      <x:c r="R324" t="n">
        <x:v>0</x:v>
      </x:c>
    </x:row>
    <x:row r="325" spans="1:18" ht="12.75" customHeight="1" x14ac:dyDescent="0.2">
      <x:c r="A325" s="89"/>
      <x:c r="B325" s="89"/>
      <x:c r="C325" t="s">
        <x:v>87</x:v>
      </x:c>
      <x:c r="D325" t="s">
        <x:v>70</x:v>
      </x:c>
      <x:c r="E325" s="90" t="n">
        <x:v>21696215.38</x:v>
      </x:c>
      <x:c r="F325" s="90" t="n">
        <x:v>3577183.67</x:v>
      </x:c>
      <x:c r="G325" s="90" t="n">
        <x:v>2006985.57</x:v>
      </x:c>
      <x:c r="H325" s="90" t="n">
        <x:v>1070135.57</x:v>
      </x:c>
      <x:c r="I325" s="90" t="n">
        <x:v>1787472.93</x:v>
      </x:c>
      <x:c r="J325" s="90" t="n">
        <x:v>43607.81</x:v>
      </x:c>
      <x:c r="K325" s="90" t="n">
        <x:v>70913.19</x:v>
      </x:c>
      <x:c r="L325" s="90" t="n">
        <x:v>414842.77</x:v>
      </x:c>
      <x:c r="M325" s="90" t="n">
        <x:v>540390.92</x:v>
      </x:c>
      <x:c r="N325" s="90" t="n">
        <x:v>2319556.28</x:v>
      </x:c>
      <x:c r="O325" s="90" t="n">
        <x:v>9795982.26</x:v>
      </x:c>
      <x:c r="P325" s="90" t="n">
        <x:v>69147.15</x:v>
      </x:c>
      <x:c r="Q325" s="90" t="n">
        <x:v>-2.74</x:v>
      </x:c>
      <x:c r="R325" t="n">
        <x:v>0</x:v>
      </x:c>
    </x:row>
    <x:row r="326" spans="1:18" s="94" customFormat="1" ht="12.75" customHeight="1" x14ac:dyDescent="0.2">
      <x:c r="B326" s="101" t="s">
        <x:v>119</x:v>
      </x:c>
      <x:c r="C326" s="101" t="s">
        <x:v>70</x:v>
      </x:c>
      <x:c r="E326" s="93" t="n">
        <x:v>35820861.53</x:v>
      </x:c>
      <x:c r="F326" s="93" t="n">
        <x:v>4358442.25</x:v>
      </x:c>
      <x:c r="G326" s="93" t="n">
        <x:v>2443296.12</x:v>
      </x:c>
      <x:c r="H326" s="93" t="n">
        <x:v>1264744.02</x:v>
      </x:c>
      <x:c r="I326" s="93" t="n">
        <x:v>5174081.41</x:v>
      </x:c>
      <x:c r="J326" s="93" t="n">
        <x:v>155593.84</x:v>
      </x:c>
      <x:c r="K326" s="93" t="n">
        <x:v>70913.19</x:v>
      </x:c>
      <x:c r="L326" s="93" t="n">
        <x:v>1442241.94</x:v>
      </x:c>
      <x:c r="M326" s="93" t="n">
        <x:v>1600654.2</x:v>
      </x:c>
      <x:c r="N326" s="93" t="n">
        <x:v>7171888.95</x:v>
      </x:c>
      <x:c r="O326" s="93" t="n">
        <x:v>11930120.72</x:v>
      </x:c>
      <x:c r="P326" s="93" t="n">
        <x:v>208920.24</x:v>
      </x:c>
      <x:c r="Q326" s="93" t="n">
        <x:v>-35.35</x:v>
      </x:c>
      <x:c r="R326" s="94" t="n">
        <x:v>0</x:v>
      </x:c>
    </x:row>
    <x:row r="327" spans="1:18" s="226" customFormat="1" ht="12.75" customHeight="1" x14ac:dyDescent="0.2">
      <x:c r="A327" s="98" t="s">
        <x:v>78</x:v>
      </x:c>
      <x:c r="B327" s="98" t="s">
        <x:v>70</x:v>
      </x:c>
      <x:c r="E327" s="100" t="n">
        <x:v>126782453.43</x:v>
      </x:c>
      <x:c r="F327" s="100" t="n">
        <x:v>9279153.14</x:v>
      </x:c>
      <x:c r="G327" s="100" t="n">
        <x:v>5189442.74</x:v>
      </x:c>
      <x:c r="H327" s="100" t="n">
        <x:v>2412201.78</x:v>
      </x:c>
      <x:c r="I327" s="100" t="n">
        <x:v>27609479.16</x:v>
      </x:c>
      <x:c r="J327" s="100" t="n">
        <x:v>984542.62</x:v>
      </x:c>
      <x:c r="K327" s="100" t="n">
        <x:v>95764.91</x:v>
      </x:c>
      <x:c r="L327" s="100" t="n">
        <x:v>8797727.6</x:v>
      </x:c>
      <x:c r="M327" s="100" t="n">
        <x:v>8327012.26</x:v>
      </x:c>
      <x:c r="N327" s="100" t="n">
        <x:v>37437706.75</x:v>
      </x:c>
      <x:c r="O327" s="100" t="n">
        <x:v>25385806.98</x:v>
      </x:c>
      <x:c r="P327" s="100" t="n">
        <x:v>1263833.11</x:v>
      </x:c>
      <x:c r="Q327" s="100" t="n">
        <x:v>-217.62</x:v>
      </x:c>
      <x:c r="R327" s="226" t="n">
        <x:v>0</x:v>
      </x:c>
    </x:row>
    <x:row r="328" spans="1:18" ht="12.75" customHeight="1" x14ac:dyDescent="0.2">
      <x:c r="B328" s="89"/>
      <x:c r="C328" s="89"/>
      <x:c r="D328" t="s">
        <x:v>73</x:v>
      </x:c>
      <x:c r="E328" s="371" t="n">
        <x:v>-13809324.04</x:v>
      </x:c>
      <x:c r="F328" s="90" t="n">
        <x:v>-419190.55</x:v>
      </x:c>
      <x:c r="G328" s="90" t="n">
        <x:v>-254242.75</x:v>
      </x:c>
      <x:c r="H328" s="90" t="n">
        <x:v>-148207</x:v>
      </x:c>
      <x:c r="I328" s="90" t="n">
        <x:v>-3632209.98</x:v>
      </x:c>
      <x:c r="J328" s="90" t="n">
        <x:v>-132042.87</x:v>
      </x:c>
      <x:c r="K328" s="90" t="n">
        <x:v>0</x:v>
      </x:c>
      <x:c r="L328" s="90" t="n">
        <x:v>-1134871.86</x:v>
      </x:c>
      <x:c r="M328" s="90" t="n">
        <x:v>-1113502.01</x:v>
      </x:c>
      <x:c r="N328" s="90" t="n">
        <x:v>-5685263.01</x:v>
      </x:c>
      <x:c r="O328" s="90" t="n">
        <x:v>-1074168.73</x:v>
      </x:c>
      <x:c r="P328" s="90" t="n">
        <x:v>-215625.28</x:v>
      </x:c>
      <x:c r="Q328" s="90" t="n">
        <x:v>0</x:v>
      </x:c>
      <x:c r="R328" t="n">
        <x:v>0</x:v>
      </x:c>
    </x:row>
    <x:row r="329" spans="1:18" ht="12.75" customHeight="1" x14ac:dyDescent="0.2">
      <x:c r="B329" s="89"/>
      <x:c r="C329" s="89" t="s">
        <x:v>156</x:v>
      </x:c>
      <x:c r="D329" t="s">
        <x:v>70</x:v>
      </x:c>
      <x:c r="E329" s="371" t="n">
        <x:v>-13809324.04</x:v>
      </x:c>
      <x:c r="F329" s="90" t="n">
        <x:v>-419190.55</x:v>
      </x:c>
      <x:c r="G329" s="90" t="n">
        <x:v>-254242.75</x:v>
      </x:c>
      <x:c r="H329" s="90" t="n">
        <x:v>-148207</x:v>
      </x:c>
      <x:c r="I329" s="90" t="n">
        <x:v>-3632209.98</x:v>
      </x:c>
      <x:c r="J329" s="90" t="n">
        <x:v>-132042.87</x:v>
      </x:c>
      <x:c r="K329" s="90" t="n">
        <x:v>0</x:v>
      </x:c>
      <x:c r="L329" s="90" t="n">
        <x:v>-1134871.86</x:v>
      </x:c>
      <x:c r="M329" s="90" t="n">
        <x:v>-1113502.01</x:v>
      </x:c>
      <x:c r="N329" s="90" t="n">
        <x:v>-5685263.01</x:v>
      </x:c>
      <x:c r="O329" s="90" t="n">
        <x:v>-1074168.73</x:v>
      </x:c>
      <x:c r="P329" s="90" t="n">
        <x:v>-215625.28</x:v>
      </x:c>
      <x:c r="Q329" s="90" t="n">
        <x:v>0</x:v>
      </x:c>
      <x:c r="R329" t="n">
        <x:v>0</x:v>
      </x:c>
    </x:row>
    <x:row r="330" spans="1:18" s="286" customFormat="1" ht="12.75" customHeight="1" x14ac:dyDescent="0.2">
      <x:c r="B330" s="229" t="s">
        <x:v>155</x:v>
      </x:c>
      <x:c r="C330" s="229" t="s">
        <x:v>70</x:v>
      </x:c>
      <x:c r="E330" s="752" t="n">
        <x:v>-13809324.04</x:v>
      </x:c>
      <x:c r="F330" s="230" t="n">
        <x:v>-419190.55</x:v>
      </x:c>
      <x:c r="G330" s="230" t="n">
        <x:v>-254242.75</x:v>
      </x:c>
      <x:c r="H330" s="230" t="n">
        <x:v>-148207</x:v>
      </x:c>
      <x:c r="I330" s="230" t="n">
        <x:v>-3632209.98</x:v>
      </x:c>
      <x:c r="J330" s="230" t="n">
        <x:v>-132042.87</x:v>
      </x:c>
      <x:c r="K330" s="230" t="n">
        <x:v>0</x:v>
      </x:c>
      <x:c r="L330" s="230" t="n">
        <x:v>-1134871.86</x:v>
      </x:c>
      <x:c r="M330" s="230" t="n">
        <x:v>-1113502.01</x:v>
      </x:c>
      <x:c r="N330" s="230" t="n">
        <x:v>-5685263.01</x:v>
      </x:c>
      <x:c r="O330" s="230" t="n">
        <x:v>-1074168.73</x:v>
      </x:c>
      <x:c r="P330" s="230" t="n">
        <x:v>-215625.28</x:v>
      </x:c>
      <x:c r="Q330" s="230" t="n">
        <x:v>0</x:v>
      </x:c>
      <x:c r="R330" s="286" t="n">
        <x:v>0</x:v>
      </x:c>
    </x:row>
    <x:row r="331" spans="1:18" ht="12.75" customHeight="1" x14ac:dyDescent="0.2">
      <x:c r="B331" s="89"/>
      <x:c r="C331" s="89"/>
      <x:c r="D331" t="s">
        <x:v>73</x:v>
      </x:c>
      <x:c r="E331" s="371" t="n">
        <x:v>8470.97</x:v>
      </x:c>
      <x:c r="F331" s="90" t="n">
        <x:v>16043.41</x:v>
      </x:c>
      <x:c r="G331" s="90" t="n">
        <x:v>7345.71</x:v>
      </x:c>
      <x:c r="H331" s="90" t="n">
        <x:v>8576.19</x:v>
      </x:c>
      <x:c r="I331" s="90" t="n">
        <x:v>-74530.4</x:v>
      </x:c>
      <x:c r="J331" s="90" t="n">
        <x:v>-859.48</x:v>
      </x:c>
      <x:c r="K331" s="90" t="n">
        <x:v>0</x:v>
      </x:c>
      <x:c r="L331" s="90" t="n">
        <x:v>-5318.33</x:v>
      </x:c>
      <x:c r="M331" s="90" t="n">
        <x:v>-5909.81</x:v>
      </x:c>
      <x:c r="N331" s="90" t="n">
        <x:v>-32527.65</x:v>
      </x:c>
      <x:c r="O331" s="90" t="n">
        <x:v>97519.78</x:v>
      </x:c>
      <x:c r="P331" s="90" t="n">
        <x:v>-1868.45</x:v>
      </x:c>
      <x:c r="Q331" s="90" t="n">
        <x:v>0</x:v>
      </x:c>
      <x:c r="R331" t="n">
        <x:v>0</x:v>
      </x:c>
    </x:row>
    <x:row r="332" spans="1:18" ht="12.75" customHeight="1" x14ac:dyDescent="0.2">
      <x:c r="B332" s="89"/>
      <x:c r="C332" s="89" t="s">
        <x:v>115</x:v>
      </x:c>
      <x:c r="D332" t="s">
        <x:v>70</x:v>
      </x:c>
      <x:c r="E332" s="371" t="n">
        <x:v>8470.97</x:v>
      </x:c>
      <x:c r="F332" s="90" t="n">
        <x:v>16043.41</x:v>
      </x:c>
      <x:c r="G332" s="90" t="n">
        <x:v>7345.71</x:v>
      </x:c>
      <x:c r="H332" s="90" t="n">
        <x:v>8576.19</x:v>
      </x:c>
      <x:c r="I332" s="90" t="n">
        <x:v>-74530.4</x:v>
      </x:c>
      <x:c r="J332" s="90" t="n">
        <x:v>-859.48</x:v>
      </x:c>
      <x:c r="K332" s="90" t="n">
        <x:v>0</x:v>
      </x:c>
      <x:c r="L332" s="90" t="n">
        <x:v>-5318.33</x:v>
      </x:c>
      <x:c r="M332" s="90" t="n">
        <x:v>-5909.81</x:v>
      </x:c>
      <x:c r="N332" s="90" t="n">
        <x:v>-32527.65</x:v>
      </x:c>
      <x:c r="O332" s="90" t="n">
        <x:v>97519.78</x:v>
      </x:c>
      <x:c r="P332" s="90" t="n">
        <x:v>-1868.45</x:v>
      </x:c>
      <x:c r="Q332" s="90" t="n">
        <x:v>0</x:v>
      </x:c>
      <x:c r="R332" t="n">
        <x:v>0</x:v>
      </x:c>
    </x:row>
    <x:row r="333" spans="1:18" ht="12.75" customHeight="1" x14ac:dyDescent="0.2">
      <x:c r="B333" s="89"/>
      <x:c r="C333" s="89"/>
      <x:c r="D333" t="s">
        <x:v>73</x:v>
      </x:c>
      <x:c r="E333" s="371" t="n">
        <x:v>226637.63</x:v>
      </x:c>
      <x:c r="F333" s="90" t="n">
        <x:v>47255.63</x:v>
      </x:c>
      <x:c r="G333" s="90" t="n">
        <x:v>26520.31</x:v>
      </x:c>
      <x:c r="H333" s="90" t="n">
        <x:v>14003.9</x:v>
      </x:c>
      <x:c r="I333" s="90" t="n">
        <x:v>5204.15</x:v>
      </x:c>
      <x:c r="J333" s="90" t="n">
        <x:v>1.14</x:v>
      </x:c>
      <x:c r="K333" s="90" t="n">
        <x:v>0</x:v>
      </x:c>
      <x:c r="L333" s="90" t="n">
        <x:v>10</x:v>
      </x:c>
      <x:c r="M333" s="90" t="n">
        <x:v>1379.14</x:v>
      </x:c>
      <x:c r="N333" s="90" t="n">
        <x:v>7140.75</x:v>
      </x:c>
      <x:c r="O333" s="90" t="n">
        <x:v>125120.75</x:v>
      </x:c>
      <x:c r="P333" s="90" t="n">
        <x:v>1.86</x:v>
      </x:c>
      <x:c r="Q333" s="90" t="n">
        <x:v>0</x:v>
      </x:c>
      <x:c r="R333" t="n">
        <x:v>0</x:v>
      </x:c>
    </x:row>
    <x:row r="334" spans="1:18" ht="12.75" customHeight="1" x14ac:dyDescent="0.2">
      <x:c r="B334" s="89"/>
      <x:c r="C334" s="89" t="s">
        <x:v>116</x:v>
      </x:c>
      <x:c r="D334" t="s">
        <x:v>70</x:v>
      </x:c>
      <x:c r="E334" s="371" t="n">
        <x:v>226637.63</x:v>
      </x:c>
      <x:c r="F334" s="90" t="n">
        <x:v>47255.63</x:v>
      </x:c>
      <x:c r="G334" s="90" t="n">
        <x:v>26520.31</x:v>
      </x:c>
      <x:c r="H334" s="90" t="n">
        <x:v>14003.9</x:v>
      </x:c>
      <x:c r="I334" s="90" t="n">
        <x:v>5204.15</x:v>
      </x:c>
      <x:c r="J334" s="90" t="n">
        <x:v>1.14</x:v>
      </x:c>
      <x:c r="K334" s="90" t="n">
        <x:v>0</x:v>
      </x:c>
      <x:c r="L334" s="90" t="n">
        <x:v>10</x:v>
      </x:c>
      <x:c r="M334" s="90" t="n">
        <x:v>1379.14</x:v>
      </x:c>
      <x:c r="N334" s="90" t="n">
        <x:v>7140.75</x:v>
      </x:c>
      <x:c r="O334" s="90" t="n">
        <x:v>125120.75</x:v>
      </x:c>
      <x:c r="P334" s="90" t="n">
        <x:v>1.86</x:v>
      </x:c>
      <x:c r="Q334" s="90" t="n">
        <x:v>0</x:v>
      </x:c>
      <x:c r="R334" t="n">
        <x:v>0</x:v>
      </x:c>
    </x:row>
    <x:row r="335" spans="1:18" ht="12.75" customHeight="1" x14ac:dyDescent="0.2">
      <x:c r="B335" s="89"/>
      <x:c r="C335" s="89"/>
      <x:c r="D335" t="s">
        <x:v>73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1:18" ht="12.75" customHeight="1" x14ac:dyDescent="0.2">
      <x:c r="B336" s="89"/>
      <x:c r="C336" s="773">
        <x:v>3</x:v>
      </x:c>
      <x:c r="D336" t="s">
        <x:v>70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1:18" ht="12.75" customHeight="1" x14ac:dyDescent="0.2">
      <x:c r="B337" s="89"/>
      <x:c r="C337" s="89"/>
      <x:c r="D337" t="s">
        <x:v>73</x:v>
      </x:c>
      <x:c r="E337" s="371" t="n">
        <x:v>-1169837.75</x:v>
      </x:c>
      <x:c r="F337" s="90" t="n">
        <x:v>10652.74</x:v>
      </x:c>
      <x:c r="G337" s="90" t="n">
        <x:v>3932.11</x:v>
      </x:c>
      <x:c r="H337" s="90" t="n">
        <x:v>4646.7</x:v>
      </x:c>
      <x:c r="I337" s="90" t="n">
        <x:v>-436345.76</x:v>
      </x:c>
      <x:c r="J337" s="90" t="n">
        <x:v>-14105.8</x:v>
      </x:c>
      <x:c r="K337" s="90" t="n">
        <x:v>0</x:v>
      </x:c>
      <x:c r="L337" s="90" t="n">
        <x:v>-115114.68</x:v>
      </x:c>
      <x:c r="M337" s="90" t="n">
        <x:v>-108502.1</x:v>
      </x:c>
      <x:c r="N337" s="90" t="n">
        <x:v>-547937.34</x:v>
      </x:c>
      <x:c r="O337" s="90" t="n">
        <x:v>54051.68</x:v>
      </x:c>
      <x:c r="P337" s="90" t="n">
        <x:v>-21115.3</x:v>
      </x:c>
      <x:c r="Q337" s="90" t="n">
        <x:v>0</x:v>
      </x:c>
      <x:c r="R337" t="n">
        <x:v>0</x:v>
      </x:c>
    </x:row>
    <x:row r="338" spans="1:18" ht="12.75" customHeight="1" x14ac:dyDescent="0.2">
      <x:c r="B338" s="89"/>
      <x:c r="C338" s="89" t="s">
        <x:v>118</x:v>
      </x:c>
      <x:c r="D338" t="s">
        <x:v>70</x:v>
      </x:c>
      <x:c r="E338" s="371" t="n">
        <x:v>-1169837.75</x:v>
      </x:c>
      <x:c r="F338" s="90" t="n">
        <x:v>10652.74</x:v>
      </x:c>
      <x:c r="G338" s="90" t="n">
        <x:v>3932.11</x:v>
      </x:c>
      <x:c r="H338" s="90" t="n">
        <x:v>4646.7</x:v>
      </x:c>
      <x:c r="I338" s="90" t="n">
        <x:v>-436345.76</x:v>
      </x:c>
      <x:c r="J338" s="90" t="n">
        <x:v>-14105.8</x:v>
      </x:c>
      <x:c r="K338" s="90" t="n">
        <x:v>0</x:v>
      </x:c>
      <x:c r="L338" s="90" t="n">
        <x:v>-115114.68</x:v>
      </x:c>
      <x:c r="M338" s="90" t="n">
        <x:v>-108502.1</x:v>
      </x:c>
      <x:c r="N338" s="90" t="n">
        <x:v>-547937.34</x:v>
      </x:c>
      <x:c r="O338" s="90" t="n">
        <x:v>54051.68</x:v>
      </x:c>
      <x:c r="P338" s="90" t="n">
        <x:v>-21115.3</x:v>
      </x:c>
      <x:c r="Q338" s="90" t="n">
        <x:v>0</x:v>
      </x:c>
      <x:c r="R338" t="n">
        <x:v>0</x:v>
      </x:c>
    </x:row>
    <x:row r="339" spans="1:18" ht="12.75" customHeight="1" x14ac:dyDescent="0.2">
      <x:c r="B339" s="89"/>
      <x:c r="C339" s="89"/>
      <x:c r="D339" t="s">
        <x:v>73</x:v>
      </x:c>
      <x:c r="E339" s="371">
        <x:v>0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>
        <x:v>0</x:v>
      </x:c>
    </x:row>
    <x:row r="340" spans="1:18" ht="12.75" customHeight="1" x14ac:dyDescent="0.2">
      <x:c r="B340" s="89"/>
      <x:c r="C340" s="773">
        <x:v>9</x:v>
      </x:c>
      <x:c r="D340" t="s">
        <x:v>70</x:v>
      </x:c>
      <x:c r="E340" s="371">
        <x:v>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>
        <x:v>0</x:v>
      </x:c>
    </x:row>
    <x:row r="341" spans="1:18" s="224" customFormat="1" ht="12.75" customHeight="1" x14ac:dyDescent="0.2">
      <x:c r="B341" s="224" t="s">
        <x:v>120</x:v>
      </x:c>
      <x:c r="C341" s="224" t="s">
        <x:v>70</x:v>
      </x:c>
      <x:c r="D341" s="223"/>
      <x:c r="E341" s="225" t="n">
        <x:v>-934729.15</x:v>
      </x:c>
      <x:c r="F341" s="225" t="n">
        <x:v>73951.78</x:v>
      </x:c>
      <x:c r="G341" s="225" t="n">
        <x:v>37798.13</x:v>
      </x:c>
      <x:c r="H341" s="225" t="n">
        <x:v>27226.79</x:v>
      </x:c>
      <x:c r="I341" s="225" t="n">
        <x:v>-505672.01</x:v>
      </x:c>
      <x:c r="J341" s="225" t="n">
        <x:v>-14964.14</x:v>
      </x:c>
      <x:c r="K341" s="225" t="n">
        <x:v>0</x:v>
      </x:c>
      <x:c r="L341" s="225" t="n">
        <x:v>-120423.01</x:v>
      </x:c>
      <x:c r="M341" s="225" t="n">
        <x:v>-113032.77</x:v>
      </x:c>
      <x:c r="N341" s="225" t="n">
        <x:v>-573324.24</x:v>
      </x:c>
      <x:c r="O341" s="225" t="n">
        <x:v>276692.21</x:v>
      </x:c>
      <x:c r="P341" s="225" t="n">
        <x:v>-22981.89</x:v>
      </x:c>
      <x:c r="Q341" s="225" t="n">
        <x:v>0</x:v>
      </x:c>
      <x:c r="R341" s="224" t="n">
        <x:v>0</x:v>
      </x:c>
    </x:row>
    <x:row r="342" spans="1:18" ht="12.75" customHeight="1" x14ac:dyDescent="0.2">
      <x:c r="D342" s="89" t="s">
        <x:v>73</x:v>
      </x:c>
      <x:c r="E342" s="371" t="n">
        <x:v>107339.23</x:v>
      </x:c>
      <x:c r="F342" s="90" t="n">
        <x:v>19896.29</x:v>
      </x:c>
      <x:c r="G342" s="90" t="n">
        <x:v>11215.97</x:v>
      </x:c>
      <x:c r="H342" s="90" t="n">
        <x:v>4307.69</x:v>
      </x:c>
      <x:c r="I342" s="90" t="n">
        <x:v>18268.3</x:v>
      </x:c>
      <x:c r="J342" s="90" t="n">
        <x:v>-398.32</x:v>
      </x:c>
      <x:c r="K342" s="90" t="n">
        <x:v>0</x:v>
      </x:c>
      <x:c r="L342" s="90" t="n">
        <x:v>-1387.23</x:v>
      </x:c>
      <x:c r="M342" s="90" t="n">
        <x:v>454.92</x:v>
      </x:c>
      <x:c r="N342" s="90" t="n">
        <x:v>2798.02</x:v>
      </x:c>
      <x:c r="O342" s="90" t="n">
        <x:v>52664.28</x:v>
      </x:c>
      <x:c r="P342" s="90" t="n">
        <x:v>-480.69</x:v>
      </x:c>
      <x:c r="Q342" s="90" t="n">
        <x:v>0</x:v>
      </x:c>
      <x:c r="R342" t="n">
        <x:v>0</x:v>
      </x:c>
    </x:row>
    <x:row r="343" spans="1:18" ht="12.75" customHeight="1" x14ac:dyDescent="0.2">
      <x:c r="C343" t="s">
        <x:v>82</x:v>
      </x:c>
      <x:c r="D343" s="89" t="s">
        <x:v>70</x:v>
      </x:c>
      <x:c r="E343" s="371" t="n">
        <x:v>107339.23</x:v>
      </x:c>
      <x:c r="F343" s="90" t="n">
        <x:v>19896.29</x:v>
      </x:c>
      <x:c r="G343" s="90" t="n">
        <x:v>11215.97</x:v>
      </x:c>
      <x:c r="H343" s="90" t="n">
        <x:v>4307.69</x:v>
      </x:c>
      <x:c r="I343" s="90" t="n">
        <x:v>18268.3</x:v>
      </x:c>
      <x:c r="J343" s="90" t="n">
        <x:v>-398.32</x:v>
      </x:c>
      <x:c r="K343" s="90" t="n">
        <x:v>0</x:v>
      </x:c>
      <x:c r="L343" s="90" t="n">
        <x:v>-1387.23</x:v>
      </x:c>
      <x:c r="M343" s="90" t="n">
        <x:v>454.92</x:v>
      </x:c>
      <x:c r="N343" s="90" t="n">
        <x:v>2798.02</x:v>
      </x:c>
      <x:c r="O343" s="90" t="n">
        <x:v>52664.28</x:v>
      </x:c>
      <x:c r="P343" s="90" t="n">
        <x:v>-480.69</x:v>
      </x:c>
      <x:c r="Q343" s="90" t="n">
        <x:v>0</x:v>
      </x:c>
      <x:c r="R343" t="n">
        <x:v>0</x:v>
      </x:c>
    </x:row>
    <x:row r="344" spans="1:18" ht="12.75" customHeight="1" x14ac:dyDescent="0.2">
      <x:c r="D344" s="89" t="s">
        <x:v>73</x:v>
      </x:c>
      <x:c r="E344" s="371" t="n">
        <x:v>-1969502.32</x:v>
      </x:c>
      <x:c r="F344" s="90" t="n">
        <x:v>-56206.5</x:v>
      </x:c>
      <x:c r="G344" s="90" t="n">
        <x:v>-32450.85</x:v>
      </x:c>
      <x:c r="H344" s="90" t="n">
        <x:v>-19682.81</x:v>
      </x:c>
      <x:c r="I344" s="90" t="n">
        <x:v>-529365.66</x:v>
      </x:c>
      <x:c r="J344" s="90" t="n">
        <x:v>-19079.09</x:v>
      </x:c>
      <x:c r="K344" s="90" t="n">
        <x:v>0</x:v>
      </x:c>
      <x:c r="L344" s="90" t="n">
        <x:v>-159961.89</x:v>
      </x:c>
      <x:c r="M344" s="90" t="n">
        <x:v>-160437.57</x:v>
      </x:c>
      <x:c r="N344" s="90" t="n">
        <x:v>-812383.52</x:v>
      </x:c>
      <x:c r="O344" s="90" t="n">
        <x:v>-148671.54</x:v>
      </x:c>
      <x:c r="P344" s="90" t="n">
        <x:v>-31262.89</x:v>
      </x:c>
      <x:c r="Q344" s="90" t="n">
        <x:v>0</x:v>
      </x:c>
      <x:c r="R344" t="n">
        <x:v>0</x:v>
      </x:c>
    </x:row>
    <x:row r="345" spans="1:18" ht="12.75" customHeight="1" x14ac:dyDescent="0.2">
      <x:c r="C345" t="s">
        <x:v>86</x:v>
      </x:c>
      <x:c r="D345" s="89" t="s">
        <x:v>70</x:v>
      </x:c>
      <x:c r="E345" s="371" t="n">
        <x:v>-1969502.32</x:v>
      </x:c>
      <x:c r="F345" s="90" t="n">
        <x:v>-56206.5</x:v>
      </x:c>
      <x:c r="G345" s="90" t="n">
        <x:v>-32450.85</x:v>
      </x:c>
      <x:c r="H345" s="90" t="n">
        <x:v>-19682.81</x:v>
      </x:c>
      <x:c r="I345" s="90" t="n">
        <x:v>-529365.66</x:v>
      </x:c>
      <x:c r="J345" s="90" t="n">
        <x:v>-19079.09</x:v>
      </x:c>
      <x:c r="K345" s="90" t="n">
        <x:v>0</x:v>
      </x:c>
      <x:c r="L345" s="90" t="n">
        <x:v>-159961.89</x:v>
      </x:c>
      <x:c r="M345" s="90" t="n">
        <x:v>-160437.57</x:v>
      </x:c>
      <x:c r="N345" s="90" t="n">
        <x:v>-812383.52</x:v>
      </x:c>
      <x:c r="O345" s="90" t="n">
        <x:v>-148671.54</x:v>
      </x:c>
      <x:c r="P345" s="90" t="n">
        <x:v>-31262.89</x:v>
      </x:c>
      <x:c r="Q345" s="90" t="n">
        <x:v>0</x:v>
      </x:c>
      <x:c r="R345" t="n">
        <x:v>0</x:v>
      </x:c>
    </x:row>
    <x:row r="346" spans="1:18" ht="12.75" customHeight="1" x14ac:dyDescent="0.2">
      <x:c r="C346" s="89"/>
      <x:c r="D346" s="89" t="s">
        <x:v>73</x:v>
      </x:c>
      <x:c r="E346" s="90" t="n">
        <x:v>1049925.46</x:v>
      </x:c>
      <x:c r="F346" s="90" t="n">
        <x:v>102209.27</x:v>
      </x:c>
      <x:c r="G346" s="90" t="n">
        <x:v>51104.12</x:v>
      </x:c>
      <x:c r="H346" s="90" t="n">
        <x:v>25299.35</x:v>
      </x:c>
      <x:c r="I346" s="90" t="n">
        <x:v>188378.68</x:v>
      </x:c>
      <x:c r="J346" s="90" t="n">
        <x:v>4847.79</x:v>
      </x:c>
      <x:c r="K346" s="90" t="n">
        <x:v>0</x:v>
      </x:c>
      <x:c r="L346" s="90" t="n">
        <x:v>45724.45</x:v>
      </x:c>
      <x:c r="M346" s="90" t="n">
        <x:v>57529.49</x:v>
      </x:c>
      <x:c r="N346" s="90" t="n">
        <x:v>294859.41</x:v>
      </x:c>
      <x:c r="O346" s="90" t="n">
        <x:v>271957.87</x:v>
      </x:c>
      <x:c r="P346" s="90" t="n">
        <x:v>8015.03</x:v>
      </x:c>
      <x:c r="Q346" s="90" t="n">
        <x:v>0</x:v>
      </x:c>
      <x:c r="R346" t="n">
        <x:v>0</x:v>
      </x:c>
    </x:row>
    <x:row r="347" spans="1:18" ht="12.75" customHeight="1" x14ac:dyDescent="0.2">
      <x:c r="B347" s="89"/>
      <x:c r="C347" s="89" t="s">
        <x:v>87</x:v>
      </x:c>
      <x:c r="D347" t="s">
        <x:v>70</x:v>
      </x:c>
      <x:c r="E347" s="90" t="n">
        <x:v>1049925.46</x:v>
      </x:c>
      <x:c r="F347" s="90" t="n">
        <x:v>102209.27</x:v>
      </x:c>
      <x:c r="G347" s="90" t="n">
        <x:v>51104.12</x:v>
      </x:c>
      <x:c r="H347" s="90" t="n">
        <x:v>25299.35</x:v>
      </x:c>
      <x:c r="I347" s="90" t="n">
        <x:v>188378.68</x:v>
      </x:c>
      <x:c r="J347" s="90" t="n">
        <x:v>4847.79</x:v>
      </x:c>
      <x:c r="K347" s="90" t="n">
        <x:v>0</x:v>
      </x:c>
      <x:c r="L347" s="90" t="n">
        <x:v>45724.45</x:v>
      </x:c>
      <x:c r="M347" s="90" t="n">
        <x:v>57529.49</x:v>
      </x:c>
      <x:c r="N347" s="90" t="n">
        <x:v>294859.41</x:v>
      </x:c>
      <x:c r="O347" s="90" t="n">
        <x:v>271957.87</x:v>
      </x:c>
      <x:c r="P347" s="90" t="n">
        <x:v>8015.03</x:v>
      </x:c>
      <x:c r="Q347" s="90" t="n">
        <x:v>0</x:v>
      </x:c>
      <x:c r="R347" t="n">
        <x:v>0</x:v>
      </x:c>
    </x:row>
    <x:row r="348" spans="1:18" s="94" customFormat="1" ht="12.75" customHeight="1" x14ac:dyDescent="0.2">
      <x:c r="B348" s="101" t="s">
        <x:v>119</x:v>
      </x:c>
      <x:c r="C348" s="101" t="s">
        <x:v>70</x:v>
      </x:c>
      <x:c r="E348" s="93" t="n">
        <x:v>-812237.63</x:v>
      </x:c>
      <x:c r="F348" s="93" t="n">
        <x:v>65899.06</x:v>
      </x:c>
      <x:c r="G348" s="93" t="n">
        <x:v>29869.24</x:v>
      </x:c>
      <x:c r="H348" s="93" t="n">
        <x:v>9924.23</x:v>
      </x:c>
      <x:c r="I348" s="93" t="n">
        <x:v>-322718.68</x:v>
      </x:c>
      <x:c r="J348" s="93" t="n">
        <x:v>-14629.62</x:v>
      </x:c>
      <x:c r="K348" s="93" t="n">
        <x:v>0</x:v>
      </x:c>
      <x:c r="L348" s="93" t="n">
        <x:v>-115624.67</x:v>
      </x:c>
      <x:c r="M348" s="93" t="n">
        <x:v>-102453.16</x:v>
      </x:c>
      <x:c r="N348" s="93" t="n">
        <x:v>-514726.09</x:v>
      </x:c>
      <x:c r="O348" s="93" t="n">
        <x:v>175950.61</x:v>
      </x:c>
      <x:c r="P348" s="93" t="n">
        <x:v>-23728.55</x:v>
      </x:c>
      <x:c r="Q348" s="93" t="n">
        <x:v>0</x:v>
      </x:c>
      <x:c r="R348" s="94" t="n">
        <x:v>0</x:v>
      </x:c>
    </x:row>
    <x:row r="349" spans="1:18" s="226" customFormat="1" ht="12.75" customHeight="1" x14ac:dyDescent="0.2">
      <x:c r="A349" s="98" t="s">
        <x:v>79</x:v>
      </x:c>
      <x:c r="B349" s="98" t="s">
        <x:v>70</x:v>
      </x:c>
      <x:c r="E349" s="100" t="n">
        <x:v>-15568753.08</x:v>
      </x:c>
      <x:c r="F349" s="100" t="n">
        <x:v>-279963.13</x:v>
      </x:c>
      <x:c r="G349" s="100" t="n">
        <x:v>-186927.38</x:v>
      </x:c>
      <x:c r="H349" s="100" t="n">
        <x:v>-111240.73</x:v>
      </x:c>
      <x:c r="I349" s="100" t="n">
        <x:v>-4463622.47</x:v>
      </x:c>
      <x:c r="J349" s="100" t="n">
        <x:v>-161709.93</x:v>
      </x:c>
      <x:c r="K349" s="100" t="n">
        <x:v>0</x:v>
      </x:c>
      <x:c r="L349" s="100" t="n">
        <x:v>-1371562.54</x:v>
      </x:c>
      <x:c r="M349" s="100" t="n">
        <x:v>-1329928.7</x:v>
      </x:c>
      <x:c r="N349" s="100" t="n">
        <x:v>-6778166.8</x:v>
      </x:c>
      <x:c r="O349" s="100" t="n">
        <x:v>-623176.08</x:v>
      </x:c>
      <x:c r="P349" s="100" t="n">
        <x:v>-262455.32</x:v>
      </x:c>
      <x:c r="Q349" s="100" t="n">
        <x:v>0</x:v>
      </x:c>
      <x:c r="R349" s="226" t="n">
        <x:v>0</x:v>
      </x:c>
    </x:row>
    <x:row r="350" spans="1:18" ht="12.75" customHeight="1" x14ac:dyDescent="0.2">
      <x:c r="A350" s="89" t="s">
        <x:v>70</x:v>
      </x:c>
      <x:c r="E350" s="90" t="n">
        <x:v>111213700.35</x:v>
      </x:c>
      <x:c r="F350" s="90" t="n">
        <x:v>8999190.01</x:v>
      </x:c>
      <x:c r="G350" s="90" t="n">
        <x:v>5002515.36</x:v>
      </x:c>
      <x:c r="H350" s="90" t="n">
        <x:v>2300961.05</x:v>
      </x:c>
      <x:c r="I350" s="90" t="n">
        <x:v>23145856.69</x:v>
      </x:c>
      <x:c r="J350" s="90" t="n">
        <x:v>822832.69</x:v>
      </x:c>
      <x:c r="K350" s="90" t="n">
        <x:v>95764.91</x:v>
      </x:c>
      <x:c r="L350" s="90" t="n">
        <x:v>7426165.06</x:v>
      </x:c>
      <x:c r="M350" s="90" t="n">
        <x:v>6997083.56</x:v>
      </x:c>
      <x:c r="N350" s="90" t="n">
        <x:v>30659539.95</x:v>
      </x:c>
      <x:c r="O350" s="90" t="n">
        <x:v>24762630.9</x:v>
      </x:c>
      <x:c r="P350" s="90" t="n">
        <x:v>1001377.79</x:v>
      </x:c>
      <x:c r="Q350" s="90" t="n">
        <x:v>-217.62</x:v>
      </x:c>
      <x:c r="R350" t="n">
        <x:v>0</x:v>
      </x:c>
    </x:row>
    <x:row r="351" spans="1:18" ht="12.75" customHeight="1" x14ac:dyDescent="0.2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1:18" ht="12.75" customHeight="1" x14ac:dyDescent="0.2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3:17" ht="12.75" hidden="1" customHeight="1" x14ac:dyDescent="0.2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3:17" ht="12.75" hidden="1" customHeight="1" x14ac:dyDescent="0.2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3:17" ht="12.75" hidden="1" customHeight="1" x14ac:dyDescent="0.2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3:17" ht="12.75" hidden="1" customHeight="1" x14ac:dyDescent="0.2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3:17" ht="12.75" hidden="1" customHeight="1" x14ac:dyDescent="0.2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3:17" ht="12.75" hidden="1" customHeight="1" x14ac:dyDescent="0.2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3:17" ht="12.75" hidden="1" customHeight="1" x14ac:dyDescent="0.2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3:17" ht="12.75" hidden="1" customHeight="1" x14ac:dyDescent="0.2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3:17" ht="12.75" hidden="1" customHeight="1" x14ac:dyDescent="0.2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3:17" ht="12.75" hidden="1" customHeight="1" x14ac:dyDescent="0.2">
      <x:c r="C362" s="89"/>
      <x:c r="D362" s="89"/>
      <x:c r="E362" s="90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</x:row>
    <x:row r="363" spans="3:17" ht="12.75" hidden="1" customHeight="1" x14ac:dyDescent="0.2">
      <x:c r="C363" s="89"/>
      <x:c r="D363" s="89"/>
      <x:c r="E363" s="90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</x:row>
    <x:row r="364" spans="3:17" ht="12.75" hidden="1" customHeight="1" x14ac:dyDescent="0.2">
      <x:c r="C364" s="89"/>
      <x:c r="D364" s="89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</x:row>
    <x:row r="365" spans="3:17" ht="12.75" hidden="1" customHeight="1" x14ac:dyDescent="0.2">
      <x:c r="C365" s="89"/>
      <x:c r="D365" s="89"/>
      <x:c r="E365" s="90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</x:row>
    <x:row r="366" spans="3:17" ht="12.75" hidden="1" customHeight="1" x14ac:dyDescent="0.2">
      <x:c r="C366" s="89"/>
      <x:c r="D366" s="89"/>
      <x:c r="E366" s="90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</x:row>
    <x:row r="367" spans="3:17" ht="12.75" hidden="1" customHeight="1" x14ac:dyDescent="0.2">
      <x:c r="C367" s="89"/>
      <x:c r="D367" s="89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</x:row>
    <x:row r="368" spans="3:17" ht="12.75" hidden="1" customHeight="1" x14ac:dyDescent="0.2">
      <x:c r="C368" s="89"/>
      <x:c r="D368" s="89"/>
      <x:c r="E368" s="90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</x:row>
    <x:row r="369" spans="2:18" ht="12.75" hidden="1" customHeight="1" x14ac:dyDescent="0.2">
      <x:c r="C369" s="89"/>
      <x:c r="D369" s="89"/>
      <x:c r="E369" s="90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</x:row>
    <x:row r="370" spans="2:18" ht="12.75" hidden="1" customHeight="1" x14ac:dyDescent="0.2">
      <x:c r="C370" s="89"/>
      <x:c r="D370" s="89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</x:row>
    <x:row r="371" spans="2:18" ht="12.75" hidden="1" customHeight="1" x14ac:dyDescent="0.2">
      <x:c r="C371" s="89"/>
      <x:c r="D371" s="89"/>
      <x:c r="E371" s="90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</x:row>
    <x:row r="372" spans="2:18" ht="12.75" hidden="1" customHeight="1" x14ac:dyDescent="0.2">
      <x:c r="C372" s="89"/>
      <x:c r="D372" s="89"/>
      <x:c r="E372" s="90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</x:row>
    <x:row r="373" spans="2:18" ht="12.75" hidden="1" customHeight="1" x14ac:dyDescent="0.2">
      <x:c r="C373" s="89"/>
      <x:c r="D373" s="89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</x:row>
    <x:row r="374" spans="2:18" ht="12.75" hidden="1" customHeight="1" x14ac:dyDescent="0.2">
      <x:c r="C374" s="89"/>
      <x:c r="D374" s="89"/>
      <x:c r="E374" s="90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</x:row>
    <x:row r="375" spans="2:18" ht="12.75" hidden="1" customHeight="1" x14ac:dyDescent="0.2">
      <x:c r="C375" s="89"/>
      <x:c r="D375" s="89"/>
      <x:c r="E375" s="90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</x:row>
    <x:row r="376" spans="2:18" ht="12.75" hidden="1" customHeight="1" x14ac:dyDescent="0.2">
      <x:c r="C376" s="89"/>
      <x:c r="D376" s="89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</x:row>
    <x:row r="377" spans="2:18" ht="12.75" hidden="1" customHeight="1" x14ac:dyDescent="0.2">
      <x:c r="C377" s="89"/>
      <x:c r="D377" s="89"/>
      <x:c r="E377" s="90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</x:row>
    <x:row r="378" spans="2:18" ht="12.75" hidden="1" customHeight="1" x14ac:dyDescent="0.2">
      <x:c r="C378" s="89"/>
      <x:c r="D378" s="89"/>
      <x:c r="E378" s="90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</x:row>
    <x:row r="379" spans="2:18" ht="12.75" hidden="1" customHeight="1" x14ac:dyDescent="0.2">
      <x:c r="C379" s="89"/>
      <x:c r="D379" s="89"/>
      <x:c r="E379" s="90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</x:row>
    <x:row r="380" spans="2:18" ht="12.75" hidden="1" customHeight="1" x14ac:dyDescent="0.2">
      <x:c r="C380" s="89"/>
      <x:c r="D380" s="89"/>
      <x:c r="E380" s="90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</x:row>
    <x:row r="381" spans="2:18" ht="12.75" hidden="1" customHeight="1" x14ac:dyDescent="0.2">
      <x:c r="C381" s="89"/>
      <x:c r="D381" s="89"/>
      <x:c r="E381" s="90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</x:row>
    <x:row r="382" spans="2:18" ht="12.75" hidden="1" customHeight="1" x14ac:dyDescent="0.2">
      <x:c r="C382" s="89"/>
      <x:c r="D382" s="89"/>
      <x:c r="E382" s="90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</x:row>
    <x:row r="383" spans="2:18" ht="12.75" customHeight="1" x14ac:dyDescent="0.2">
      <x:c r="C383" s="89"/>
      <x:c r="D383" s="89"/>
      <x:c r="E383" s="90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</x:row>
    <x:row r="384" spans="2:18" ht="12.75" customHeight="1" x14ac:dyDescent="0.2">
      <x:c r="B384" s="778" t="s">
        <x:v>2</x:v>
      </x:c>
      <x:c r="C384" s="775" t="s">
        <x:v>132</x:v>
      </x:c>
      <x:c r="D384" s="98" t="s">
        <x:v>70</x:v>
      </x:c>
      <x:c r="E384" s="100">
        <x:f>E327+E349-K327</x:f>
        <x:v>0</x:v>
      </x:c>
      <x:c r="F384" s="100">
        <x:f t="shared" ref="F384:R384" si="10">F327</x:f>
        <x:v>0</x:v>
      </x:c>
      <x:c r="G384" s="100">
        <x:f t="shared" si="10"/>
        <x:v>0</x:v>
      </x:c>
      <x:c r="H384" s="100">
        <x:f t="shared" si="10"/>
        <x:v>0</x:v>
      </x:c>
      <x:c r="I384" s="100">
        <x:f t="shared" si="10"/>
        <x:v>0</x:v>
      </x:c>
      <x:c r="J384" s="100">
        <x:f t="shared" si="10"/>
        <x:v>0</x:v>
      </x:c>
      <x:c r="K384" s="100">
        <x:f t="shared" si="10"/>
        <x:v>0</x:v>
      </x:c>
      <x:c r="L384" s="100">
        <x:f t="shared" si="10"/>
        <x:v>0</x:v>
      </x:c>
      <x:c r="M384" s="100">
        <x:f t="shared" si="10"/>
        <x:v>0</x:v>
      </x:c>
      <x:c r="N384" s="100">
        <x:f t="shared" si="10"/>
        <x:v>0</x:v>
      </x:c>
      <x:c r="O384" s="100">
        <x:f t="shared" si="10"/>
        <x:v>0</x:v>
      </x:c>
      <x:c r="P384" s="100">
        <x:f t="shared" si="10"/>
        <x:v>0</x:v>
      </x:c>
      <x:c r="Q384" s="100">
        <x:f t="shared" si="10"/>
        <x:v>0</x:v>
      </x:c>
      <x:c r="R384" s="100">
        <x:f t="shared" si="10"/>
        <x:v>0</x:v>
      </x:c>
    </x:row>
    <x:row r="385" spans="1:18" ht="12.75" customHeight="1" x14ac:dyDescent="0.2">
      <x:c r="B385" s="778"/>
      <x:c r="C385" s="775"/>
      <x:c r="D385" s="98" t="s">
        <x:v>73</x:v>
      </x:c>
      <x:c r="E385" s="100">
        <x:f>E349</x:f>
        <x:v>0</x:v>
      </x:c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</x:row>
    <x:row r="386" spans="1:18" ht="12.75" customHeight="1" x14ac:dyDescent="0.2">
      <x:c r="A386" s="89"/>
      <x:c r="B386" s="97"/>
      <x:c r="E386" s="90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</x:row>
    <x:row r="387" spans="1:18" ht="12.75" customHeight="1" x14ac:dyDescent="0.2">
      <x:c r="B387" s="778" t="s">
        <x:v>160</x:v>
      </x:c>
      <x:c r="C387" s="775" t="s">
        <x:v>132</x:v>
      </x:c>
      <x:c r="D387" s="223" t="s">
        <x:v>70</x:v>
      </x:c>
      <x:c r="E387" s="225">
        <x:f>E341+E316+E296-K296-K316</x:f>
        <x:v>0</x:v>
      </x:c>
      <x:c r="F387" s="225">
        <x:f t="shared" ref="F387:R387" si="11">F316+F296</x:f>
        <x:v>0</x:v>
      </x:c>
      <x:c r="G387" s="225">
        <x:f t="shared" si="11"/>
        <x:v>0</x:v>
      </x:c>
      <x:c r="H387" s="225">
        <x:f t="shared" si="11"/>
        <x:v>0</x:v>
      </x:c>
      <x:c r="I387" s="225">
        <x:f t="shared" si="11"/>
        <x:v>0</x:v>
      </x:c>
      <x:c r="J387" s="225">
        <x:f t="shared" si="11"/>
        <x:v>0</x:v>
      </x:c>
      <x:c r="K387" s="225">
        <x:f t="shared" si="11"/>
        <x:v>0</x:v>
      </x:c>
      <x:c r="L387" s="225">
        <x:f t="shared" si="11"/>
        <x:v>0</x:v>
      </x:c>
      <x:c r="M387" s="225">
        <x:f t="shared" si="11"/>
        <x:v>0</x:v>
      </x:c>
      <x:c r="N387" s="225">
        <x:f t="shared" si="11"/>
        <x:v>0</x:v>
      </x:c>
      <x:c r="O387" s="225">
        <x:f t="shared" si="11"/>
        <x:v>0</x:v>
      </x:c>
      <x:c r="P387" s="225">
        <x:f t="shared" si="11"/>
        <x:v>0</x:v>
      </x:c>
      <x:c r="Q387" s="225">
        <x:f t="shared" si="11"/>
        <x:v>0</x:v>
      </x:c>
      <x:c r="R387" s="225">
        <x:f t="shared" si="11"/>
        <x:v>0</x:v>
      </x:c>
    </x:row>
    <x:row r="388" spans="1:18" ht="12.75" customHeight="1" x14ac:dyDescent="0.2">
      <x:c r="B388" s="778"/>
      <x:c r="C388" s="775"/>
      <x:c r="D388" s="223" t="s">
        <x:v>73</x:v>
      </x:c>
      <x:c r="E388" s="225">
        <x:f>E341</x:f>
        <x:v>0</x:v>
      </x:c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</x:row>
    <x:row r="389" spans="1:18" ht="12.75" customHeight="1" x14ac:dyDescent="0.2">
      <x:c r="A389" s="89"/>
      <x:c r="B389" s="97"/>
      <x:c r="E389" s="90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</x:row>
    <x:row r="390" spans="1:18" ht="12.75" customHeight="1" x14ac:dyDescent="0.2">
      <x:c r="B390" s="778" t="s">
        <x:v>155</x:v>
      </x:c>
      <x:c r="C390" s="775" t="s">
        <x:v>132</x:v>
      </x:c>
      <x:c r="D390" s="221" t="s">
        <x:v>70</x:v>
      </x:c>
      <x:c r="E390" s="222">
        <x:f>E330+E300-K300</x:f>
        <x:v>0</x:v>
      </x:c>
      <x:c r="F390" s="222">
        <x:f t="shared" ref="F390:R390" si="12">F300</x:f>
        <x:v>0</x:v>
      </x:c>
      <x:c r="G390" s="222">
        <x:f t="shared" si="12"/>
        <x:v>0</x:v>
      </x:c>
      <x:c r="H390" s="222">
        <x:f t="shared" si="12"/>
        <x:v>0</x:v>
      </x:c>
      <x:c r="I390" s="222">
        <x:f t="shared" si="12"/>
        <x:v>0</x:v>
      </x:c>
      <x:c r="J390" s="222">
        <x:f t="shared" si="12"/>
        <x:v>0</x:v>
      </x:c>
      <x:c r="K390" s="222">
        <x:f t="shared" si="12"/>
        <x:v>0</x:v>
      </x:c>
      <x:c r="L390" s="222">
        <x:f t="shared" si="12"/>
        <x:v>0</x:v>
      </x:c>
      <x:c r="M390" s="222">
        <x:f t="shared" si="12"/>
        <x:v>0</x:v>
      </x:c>
      <x:c r="N390" s="222">
        <x:f t="shared" si="12"/>
        <x:v>0</x:v>
      </x:c>
      <x:c r="O390" s="222">
        <x:f t="shared" si="12"/>
        <x:v>0</x:v>
      </x:c>
      <x:c r="P390" s="222">
        <x:f t="shared" si="12"/>
        <x:v>0</x:v>
      </x:c>
      <x:c r="Q390" s="222">
        <x:f t="shared" si="12"/>
        <x:v>0</x:v>
      </x:c>
      <x:c r="R390" s="222">
        <x:f t="shared" si="12"/>
        <x:v>0</x:v>
      </x:c>
    </x:row>
    <x:row r="391" spans="1:18" ht="12.75" customHeight="1" x14ac:dyDescent="0.2">
      <x:c r="B391" s="778"/>
      <x:c r="C391" s="775"/>
      <x:c r="D391" s="221" t="s">
        <x:v>73</x:v>
      </x:c>
      <x:c r="E391" s="222">
        <x:f>E330</x:f>
        <x:v>0</x:v>
      </x:c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</x:row>
    <x:row r="392" spans="1:18" ht="12.75" customHeight="1" x14ac:dyDescent="0.2">
      <x:c r="A392" s="89"/>
      <x:c r="B392" s="97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</x:row>
    <x:row r="393" spans="1:18" ht="12.75" customHeight="1" x14ac:dyDescent="0.2">
      <x:c r="B393" s="776" t="s">
        <x:v>326</x:v>
      </x:c>
      <x:c r="C393" s="775" t="s">
        <x:v>132</x:v>
      </x:c>
      <x:c r="D393" s="373" t="s">
        <x:v>70</x:v>
      </x:c>
      <x:c r="E393" s="374">
        <x:v>0</x:v>
      </x:c>
      <x:c r="F393" s="374">
        <x:v>0</x:v>
      </x:c>
      <x:c r="G393" s="374">
        <x:v>0</x:v>
      </x:c>
      <x:c r="H393" s="374">
        <x:v>0</x:v>
      </x:c>
      <x:c r="I393" s="374">
        <x:v>0</x:v>
      </x:c>
      <x:c r="J393" s="374">
        <x:v>0</x:v>
      </x:c>
      <x:c r="K393" s="374">
        <x:v>0</x:v>
      </x:c>
      <x:c r="L393" s="374">
        <x:v>0</x:v>
      </x:c>
      <x:c r="M393" s="374">
        <x:v>0</x:v>
      </x:c>
      <x:c r="N393" s="374">
        <x:v>0</x:v>
      </x:c>
      <x:c r="O393" s="374">
        <x:v>0</x:v>
      </x:c>
      <x:c r="P393" s="374">
        <x:v>0</x:v>
      </x:c>
      <x:c r="Q393" s="374">
        <x:v>0</x:v>
      </x:c>
      <x:c r="R393" s="374">
        <x:v>0</x:v>
      </x:c>
    </x:row>
    <x:row r="394" spans="1:18" ht="12.75" customHeight="1" x14ac:dyDescent="0.2">
      <x:c r="B394" s="776"/>
      <x:c r="C394" s="775"/>
      <x:c r="D394" s="373" t="s">
        <x:v>73</x:v>
      </x:c>
      <x:c r="E394" s="374">
        <x:v>0</x:v>
      </x:c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</x:row>
    <x:row r="395" spans="1:18" ht="12.75" customHeight="1" x14ac:dyDescent="0.2">
      <x:c r="A395" s="89"/>
      <x:c r="B395" s="97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</x:row>
    <x:row r="396" spans="1:18" ht="12.75" customHeight="1" x14ac:dyDescent="0.2">
      <x:c r="A396" s="142" t="s">
        <x:v>226</x:v>
      </x:c>
      <x:c r="B396" s="778" t="s">
        <x:v>119</x:v>
      </x:c>
      <x:c r="C396" s="775" t="s">
        <x:v>132</x:v>
      </x:c>
      <x:c r="D396" s="101" t="s">
        <x:v>70</x:v>
      </x:c>
      <x:c r="E396" s="93">
        <x:f>E326+E348-K326</x:f>
        <x:v>0</x:v>
      </x:c>
      <x:c r="F396" s="93">
        <x:f t="shared" ref="F396:R396" si="13">F326</x:f>
        <x:v>0</x:v>
      </x:c>
      <x:c r="G396" s="93">
        <x:f t="shared" si="13"/>
        <x:v>0</x:v>
      </x:c>
      <x:c r="H396" s="93">
        <x:f t="shared" si="13"/>
        <x:v>0</x:v>
      </x:c>
      <x:c r="I396" s="93">
        <x:f t="shared" si="13"/>
        <x:v>0</x:v>
      </x:c>
      <x:c r="J396" s="93">
        <x:f t="shared" si="13"/>
        <x:v>0</x:v>
      </x:c>
      <x:c r="K396" s="93">
        <x:f t="shared" si="13"/>
        <x:v>0</x:v>
      </x:c>
      <x:c r="L396" s="93">
        <x:f t="shared" si="13"/>
        <x:v>0</x:v>
      </x:c>
      <x:c r="M396" s="93">
        <x:f t="shared" si="13"/>
        <x:v>0</x:v>
      </x:c>
      <x:c r="N396" s="93">
        <x:f t="shared" si="13"/>
        <x:v>0</x:v>
      </x:c>
      <x:c r="O396" s="93">
        <x:f t="shared" si="13"/>
        <x:v>0</x:v>
      </x:c>
      <x:c r="P396" s="93">
        <x:f t="shared" si="13"/>
        <x:v>0</x:v>
      </x:c>
      <x:c r="Q396" s="93">
        <x:f t="shared" si="13"/>
        <x:v>0</x:v>
      </x:c>
      <x:c r="R396" s="93">
        <x:f t="shared" si="13"/>
        <x:v>0</x:v>
      </x:c>
    </x:row>
    <x:row r="397" spans="1:18" ht="12.75" customHeight="1" x14ac:dyDescent="0.2">
      <x:c r="B397" s="778"/>
      <x:c r="C397" s="775"/>
      <x:c r="D397" s="101" t="s">
        <x:v>73</x:v>
      </x:c>
      <x:c r="E397" s="93">
        <x:f>E348</x:f>
        <x:v>0</x:v>
      </x:c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</x:row>
    <x:row r="398" spans="1:18" ht="12.75" customHeight="1" x14ac:dyDescent="0.2">
      <x:c r="A398" s="89"/>
      <x:c r="B398" s="97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</x:row>
    <x:row r="399" spans="1:18" ht="12.75" customHeight="1" x14ac:dyDescent="0.2">
      <x:c r="B399" s="777" t="s">
        <x:v>161</x:v>
      </x:c>
      <x:c r="C399" s="775" t="s">
        <x:v>132</x:v>
      </x:c>
      <x:c r="D399" s="231" t="s">
        <x:v>70</x:v>
      </x:c>
      <x:c r="E399" s="232">
        <x:v>0</x:v>
      </x:c>
      <x:c r="F399" s="232">
        <x:v>0</x:v>
      </x:c>
      <x:c r="G399" s="232">
        <x:v>0</x:v>
      </x:c>
      <x:c r="H399" s="232">
        <x:v>0</x:v>
      </x:c>
      <x:c r="I399" s="232">
        <x:v>0</x:v>
      </x:c>
      <x:c r="J399" s="232">
        <x:v>0</x:v>
      </x:c>
      <x:c r="K399" s="232">
        <x:v>0</x:v>
      </x:c>
      <x:c r="L399" s="232">
        <x:v>0</x:v>
      </x:c>
      <x:c r="M399" s="232">
        <x:v>0</x:v>
      </x:c>
      <x:c r="N399" s="232">
        <x:v>0</x:v>
      </x:c>
      <x:c r="O399" s="232">
        <x:v>0</x:v>
      </x:c>
      <x:c r="P399" s="232">
        <x:v>0</x:v>
      </x:c>
      <x:c r="Q399" s="232">
        <x:v>0</x:v>
      </x:c>
      <x:c r="R399" s="232">
        <x:v>0</x:v>
      </x:c>
    </x:row>
    <x:row r="400" spans="1:18" ht="12.75" customHeight="1" x14ac:dyDescent="0.2">
      <x:c r="B400" s="777"/>
      <x:c r="C400" s="775"/>
      <x:c r="D400" s="231" t="s">
        <x:v>73</x:v>
      </x:c>
      <x:c r="E400" s="232">
        <x:v>0</x:v>
      </x:c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</x:row>
    <x:row r="401" spans="2:19" s="238" customFormat="1" x14ac:dyDescent="0.2"/>
    <x:row r="402" spans="2:19" x14ac:dyDescent="0.2">
      <x:c r="B402" s="97" t="s">
        <x:v>93</x:v>
      </x:c>
    </x:row>
    <x:row r="403" spans="2:19" x14ac:dyDescent="0.2">
      <x:c r="E403" s="89" t="s">
        <x:v>70</x:v>
      </x:c>
      <x:c r="F403" s="89" t="s">
        <x:v>64</x:v>
      </x:c>
      <x:c r="G403" s="89" t="s">
        <x:v>65</x:v>
      </x:c>
      <x:c r="H403" s="219" t="s">
        <x:v>164</x:v>
      </x:c>
      <x:c r="I403" s="89" t="s">
        <x:v>69</x:v>
      </x:c>
      <x:c r="J403" s="89" t="s">
        <x:v>68</x:v>
      </x:c>
      <x:c r="K403" s="89" t="s">
        <x:v>83</x:v>
      </x:c>
      <x:c r="L403" s="89" t="s">
        <x:v>66</x:v>
      </x:c>
      <x:c r="M403" s="89" t="s">
        <x:v>63</x:v>
      </x:c>
      <x:c r="N403" s="89" t="s">
        <x:v>61</x:v>
      </x:c>
      <x:c r="O403" s="89" t="s">
        <x:v>62</x:v>
      </x:c>
      <x:c r="P403" s="89" t="s">
        <x:v>67</x:v>
      </x:c>
      <x:c r="Q403" s="89" t="s">
        <x:v>84</x:v>
      </x:c>
      <x:c r="R403" s="384" t="s">
        <x:v>225</x:v>
      </x:c>
    </x:row>
    <x:row r="404" spans="2:19" ht="11.45" customHeight="1" x14ac:dyDescent="0.2">
      <x:c r="D404" t="s">
        <x:v>72</x:v>
      </x:c>
      <x:c r="E404" s="89">
        <x:v>0</x:v>
      </x:c>
      <x:c r="F404" s="89">
        <x:v>0</x:v>
      </x:c>
      <x:c r="G404" s="89">
        <x:v>0</x:v>
      </x:c>
      <x:c r="H404" s="384">
        <x:v>0</x:v>
      </x:c>
      <x:c r="I404" s="89">
        <x:v>0</x:v>
      </x:c>
      <x:c r="J404" s="89">
        <x:v>0</x:v>
      </x:c>
      <x:c r="K404" s="89">
        <x:v>0</x:v>
      </x:c>
      <x:c r="L404" s="89">
        <x:v>0</x:v>
      </x:c>
      <x:c r="M404" s="89">
        <x:v>0</x:v>
      </x:c>
      <x:c r="N404" s="89">
        <x:v>0</x:v>
      </x:c>
      <x:c r="O404" s="89">
        <x:v>0</x:v>
      </x:c>
      <x:c r="P404" s="89">
        <x:v>0</x:v>
      </x:c>
      <x:c r="Q404" s="89">
        <x:v>0</x:v>
      </x:c>
      <x:c r="R404" s="384">
        <x:v>0</x:v>
      </x:c>
    </x:row>
    <x:row r="405" spans="2:19" ht="12.75" customHeight="1" x14ac:dyDescent="0.2">
      <x:c r="D405" t="s">
        <x:v>81</x:v>
      </x:c>
      <x:c r="E405" s="384">
        <x:v>0</x:v>
      </x:c>
      <x:c r="F405" s="89">
        <x:v>0</x:v>
      </x:c>
      <x:c r="G405" s="89">
        <x:v>0</x:v>
      </x:c>
      <x:c r="H405" s="384">
        <x:v>0</x:v>
      </x:c>
      <x:c r="I405" s="89">
        <x:v>0</x:v>
      </x:c>
      <x:c r="J405" s="89">
        <x:v>0</x:v>
      </x:c>
      <x:c r="K405" s="89">
        <x:v>0</x:v>
      </x:c>
      <x:c r="L405" s="89">
        <x:v>0</x:v>
      </x:c>
      <x:c r="M405" s="89">
        <x:v>0</x:v>
      </x:c>
      <x:c r="N405" s="89">
        <x:v>0</x:v>
      </x:c>
      <x:c r="O405" s="89">
        <x:v>0</x:v>
      </x:c>
      <x:c r="P405" s="89">
        <x:v>0</x:v>
      </x:c>
      <x:c r="Q405" s="89">
        <x:v>0</x:v>
      </x:c>
      <x:c r="R405" s="384">
        <x:v>0</x:v>
      </x:c>
    </x:row>
    <x:row r="406" spans="2:19" ht="11.45" customHeight="1" x14ac:dyDescent="0.2">
      <x:c r="C406" t="s">
        <x:v>332</x:v>
      </x:c>
      <x:c r="D406" t="s">
        <x:v>70</x:v>
      </x:c>
      <x:c r="E406" s="384">
        <x:v>0</x:v>
      </x:c>
      <x:c r="F406" s="89">
        <x:v>0</x:v>
      </x:c>
      <x:c r="G406" s="89">
        <x:v>0</x:v>
      </x:c>
      <x:c r="H406" s="384">
        <x:v>0</x:v>
      </x:c>
      <x:c r="I406" s="89">
        <x:v>0</x:v>
      </x:c>
      <x:c r="J406" s="89">
        <x:v>0</x:v>
      </x:c>
      <x:c r="K406" s="89">
        <x:v>0</x:v>
      </x:c>
      <x:c r="L406" s="89">
        <x:v>0</x:v>
      </x:c>
      <x:c r="M406" s="89">
        <x:v>0</x:v>
      </x:c>
      <x:c r="N406" s="89">
        <x:v>0</x:v>
      </x:c>
      <x:c r="O406" s="89">
        <x:v>0</x:v>
      </x:c>
      <x:c r="P406" s="89">
        <x:v>0</x:v>
      </x:c>
      <x:c r="Q406" s="89">
        <x:v>0</x:v>
      </x:c>
      <x:c r="R406" s="384">
        <x:v>0</x:v>
      </x:c>
    </x:row>
    <x:row r="407" spans="2:19" s="739" customFormat="1" ht="11.45" customHeight="1" x14ac:dyDescent="0.2">
      <x:c r="B407" s="739" t="s">
        <x:v>85</x:v>
      </x:c>
      <x:c r="C407" s="739" t="s">
        <x:v>70</x:v>
      </x:c>
      <x:c r="E407" s="769">
        <x:v>0</x:v>
      </x:c>
      <x:c r="F407" s="231">
        <x:v>0</x:v>
      </x:c>
      <x:c r="G407" s="231">
        <x:v>0</x:v>
      </x:c>
      <x:c r="H407" s="769">
        <x:v>0</x:v>
      </x:c>
      <x:c r="I407" s="231">
        <x:v>0</x:v>
      </x:c>
      <x:c r="J407" s="231">
        <x:v>0</x:v>
      </x:c>
      <x:c r="K407" s="231">
        <x:v>0</x:v>
      </x:c>
      <x:c r="L407" s="231">
        <x:v>0</x:v>
      </x:c>
      <x:c r="M407" s="231">
        <x:v>0</x:v>
      </x:c>
      <x:c r="N407" s="231">
        <x:v>0</x:v>
      </x:c>
      <x:c r="O407" s="231">
        <x:v>0</x:v>
      </x:c>
      <x:c r="P407" s="231">
        <x:v>0</x:v>
      </x:c>
      <x:c r="Q407" s="231">
        <x:v>0</x:v>
      </x:c>
      <x:c r="R407" s="769">
        <x:v>0</x:v>
      </x:c>
    </x:row>
    <x:row r="408" spans="2:19" ht="12.75" customHeight="1" x14ac:dyDescent="0.2">
      <x:c r="D408" s="89" t="s">
        <x:v>72</x:v>
      </x:c>
      <x:c r="E408" s="90" t="n">
        <x:v>15858979.21</x:v>
      </x:c>
      <x:c r="F408" s="90" t="n">
        <x:v>1142884.84</x:v>
      </x:c>
      <x:c r="G408" s="90" t="n">
        <x:v>647979.45</x:v>
      </x:c>
      <x:c r="H408" s="90" t="n">
        <x:v>293455.67</x:v>
      </x:c>
      <x:c r="I408" s="90" t="n">
        <x:v>3902193.94</x:v>
      </x:c>
      <x:c r="J408" s="90" t="n">
        <x:v>167665.98</x:v>
      </x:c>
      <x:c r="K408" s="90" t="n">
        <x:v>7.53</x:v>
      </x:c>
      <x:c r="L408" s="90" t="n">
        <x:v>883679.59</x:v>
      </x:c>
      <x:c r="M408" s="90" t="n">
        <x:v>829763.71</x:v>
      </x:c>
      <x:c r="N408" s="90" t="n">
        <x:v>4424793.64</x:v>
      </x:c>
      <x:c r="O408" s="90" t="n">
        <x:v>3371296.37</x:v>
      </x:c>
      <x:c r="P408" s="90" t="n">
        <x:v>195445.23</x:v>
      </x:c>
      <x:c r="Q408" s="90" t="n">
        <x:v>-186.74</x:v>
      </x:c>
      <x:c r="R408" t="n">
        <x:v>0</x:v>
      </x:c>
    </x:row>
    <x:row r="409" spans="2:19" ht="12.75" customHeight="1" x14ac:dyDescent="0.2">
      <x:c r="D409" s="89" t="s">
        <x:v>81</x:v>
      </x:c>
      <x:c r="E409" s="90" t="n">
        <x:v>10920.65</x:v>
      </x:c>
      <x:c r="F409" s="90" t="n">
        <x:v>668.59</x:v>
      </x:c>
      <x:c r="G409" s="90" t="n">
        <x:v>376.6</x:v>
      </x:c>
      <x:c r="H409" s="90" t="n">
        <x:v>197.43</x:v>
      </x:c>
      <x:c r="I409" s="90" t="n">
        <x:v>2261.21</x:v>
      </x:c>
      <x:c r="J409" s="90" t="n">
        <x:v>85.19</x:v>
      </x:c>
      <x:c r="K409" s="90" t="n">
        <x:v>0</x:v>
      </x:c>
      <x:c r="L409" s="90" t="n">
        <x:v>748.02</x:v>
      </x:c>
      <x:c r="M409" s="90" t="n">
        <x:v>682.38</x:v>
      </x:c>
      <x:c r="N409" s="90" t="n">
        <x:v>3766.04</x:v>
      </x:c>
      <x:c r="O409" s="90" t="n">
        <x:v>1992.99</x:v>
      </x:c>
      <x:c r="P409" s="90" t="n">
        <x:v>142.17</x:v>
      </x:c>
      <x:c r="Q409" s="90" t="n">
        <x:v>0.03</x:v>
      </x:c>
      <x:c r="R409" t="n">
        <x:v>0</x:v>
      </x:c>
    </x:row>
    <x:row r="410" spans="2:19" ht="12.75" customHeight="1" x14ac:dyDescent="0.2">
      <x:c r="B410" s="89"/>
      <x:c r="C410" s="89" t="s">
        <x:v>156</x:v>
      </x:c>
      <x:c r="D410" t="s">
        <x:v>70</x:v>
      </x:c>
      <x:c r="E410" s="90" t="n">
        <x:v>15869899.86</x:v>
      </x:c>
      <x:c r="F410" s="90" t="n">
        <x:v>1143553.43</x:v>
      </x:c>
      <x:c r="G410" s="90" t="n">
        <x:v>648356.05</x:v>
      </x:c>
      <x:c r="H410" s="90" t="n">
        <x:v>293653.1</x:v>
      </x:c>
      <x:c r="I410" s="90" t="n">
        <x:v>3904455.15</x:v>
      </x:c>
      <x:c r="J410" s="90" t="n">
        <x:v>167751.17</x:v>
      </x:c>
      <x:c r="K410" s="90" t="n">
        <x:v>7.53</x:v>
      </x:c>
      <x:c r="L410" s="90" t="n">
        <x:v>884427.61</x:v>
      </x:c>
      <x:c r="M410" s="90" t="n">
        <x:v>830446.09</x:v>
      </x:c>
      <x:c r="N410" s="90" t="n">
        <x:v>4428559.68</x:v>
      </x:c>
      <x:c r="O410" s="90" t="n">
        <x:v>3373289.36</x:v>
      </x:c>
      <x:c r="P410" s="90" t="n">
        <x:v>195587.4</x:v>
      </x:c>
      <x:c r="Q410" s="90" t="n">
        <x:v>-186.71</x:v>
      </x:c>
      <x:c r="R410" t="n">
        <x:v>0</x:v>
      </x:c>
    </x:row>
    <x:row r="411" spans="2:19" s="237" customFormat="1" ht="12.75" customHeight="1" x14ac:dyDescent="0.2">
      <x:c r="B411" s="221" t="s">
        <x:v>155</x:v>
      </x:c>
      <x:c r="C411" s="221" t="s">
        <x:v>70</x:v>
      </x:c>
      <x:c r="E411" s="222" t="n">
        <x:v>15869899.86</x:v>
      </x:c>
      <x:c r="F411" s="222" t="n">
        <x:v>1143553.43</x:v>
      </x:c>
      <x:c r="G411" s="222" t="n">
        <x:v>648356.05</x:v>
      </x:c>
      <x:c r="H411" s="222" t="n">
        <x:v>293653.1</x:v>
      </x:c>
      <x:c r="I411" s="222" t="n">
        <x:v>3904455.15</x:v>
      </x:c>
      <x:c r="J411" s="222" t="n">
        <x:v>167751.17</x:v>
      </x:c>
      <x:c r="K411" s="222" t="n">
        <x:v>7.53</x:v>
      </x:c>
      <x:c r="L411" s="222" t="n">
        <x:v>884427.61</x:v>
      </x:c>
      <x:c r="M411" s="222" t="n">
        <x:v>830446.09</x:v>
      </x:c>
      <x:c r="N411" s="222" t="n">
        <x:v>4428559.68</x:v>
      </x:c>
      <x:c r="O411" s="222" t="n">
        <x:v>3373289.36</x:v>
      </x:c>
      <x:c r="P411" s="222" t="n">
        <x:v>195587.4</x:v>
      </x:c>
      <x:c r="Q411" s="222" t="n">
        <x:v>-186.71</x:v>
      </x:c>
      <x:c r="R411" s="237" t="n">
        <x:v>0</x:v>
      </x:c>
    </x:row>
    <x:row r="412" spans="2:19" ht="12.75" customHeight="1" x14ac:dyDescent="0.2">
      <x:c r="D412" t="s">
        <x:v>72</x:v>
      </x:c>
      <x:c r="E412" s="142" t="n">
        <x:v>7067395.92</x:v>
      </x:c>
      <x:c r="F412" t="n">
        <x:v>393399.47</x:v>
      </x:c>
      <x:c r="G412" t="n">
        <x:v>221866.96</x:v>
      </x:c>
      <x:c r="H412" t="n">
        <x:v>109783.76</x:v>
      </x:c>
      <x:c r="I412" t="n">
        <x:v>1570660.98</x:v>
      </x:c>
      <x:c r="J412" t="n">
        <x:v>53945.48</x:v>
      </x:c>
      <x:c r="K412" t="n">
        <x:v>0</x:v>
      </x:c>
      <x:c r="L412" t="n">
        <x:v>519042.52</x:v>
      </x:c>
      <x:c r="M412" t="n">
        <x:v>517973.35</x:v>
      </x:c>
      <x:c r="N412" t="n">
        <x:v>2375543.37</x:v>
      </x:c>
      <x:c r="O412" t="n">
        <x:v>1218824.38</x:v>
      </x:c>
      <x:c r="P412" t="n">
        <x:v>86340.36</x:v>
      </x:c>
      <x:c r="Q412" t="n">
        <x:v>15.29</x:v>
      </x:c>
      <x:c r="R412" t="n">
        <x:v>0</x:v>
      </x:c>
    </x:row>
    <x:row r="413" spans="2:19" ht="12.75" customHeight="1" x14ac:dyDescent="0.2">
      <x:c r="D413" t="s">
        <x:v>81</x:v>
      </x:c>
      <x:c r="E413" s="142" t="n">
        <x:v>3693.62</x:v>
      </x:c>
      <x:c r="F413" t="n">
        <x:v>209.47</x:v>
      </x:c>
      <x:c r="G413" t="n">
        <x:v>117.42</x:v>
      </x:c>
      <x:c r="H413" t="n">
        <x:v>62.17</x:v>
      </x:c>
      <x:c r="I413" t="n">
        <x:v>821.12</x:v>
      </x:c>
      <x:c r="J413" t="n">
        <x:v>29.04</x:v>
      </x:c>
      <x:c r="K413" t="n">
        <x:v>0</x:v>
      </x:c>
      <x:c r="L413" t="n">
        <x:v>251</x:v>
      </x:c>
      <x:c r="M413" t="n">
        <x:v>249.35</x:v>
      </x:c>
      <x:c r="N413" t="n">
        <x:v>1282.37</x:v>
      </x:c>
      <x:c r="O413" t="n">
        <x:v>624.24</x:v>
      </x:c>
      <x:c r="P413" t="n">
        <x:v>47.42</x:v>
      </x:c>
      <x:c r="Q413" t="n">
        <x:v>0.02</x:v>
      </x:c>
      <x:c r="R413" t="n">
        <x:v>0</x:v>
      </x:c>
    </x:row>
    <x:row r="414" spans="2:19" ht="12.75" customHeight="1" x14ac:dyDescent="0.2">
      <x:c r="C414" t="s">
        <x:v>156</x:v>
      </x:c>
      <x:c r="D414" t="s">
        <x:v>70</x:v>
      </x:c>
      <x:c r="E414" s="142" t="n">
        <x:v>7071089.54</x:v>
      </x:c>
      <x:c r="F414" t="n">
        <x:v>393608.94</x:v>
      </x:c>
      <x:c r="G414" t="n">
        <x:v>221984.38</x:v>
      </x:c>
      <x:c r="H414" t="n">
        <x:v>109845.93</x:v>
      </x:c>
      <x:c r="I414" t="n">
        <x:v>1571482.1</x:v>
      </x:c>
      <x:c r="J414" t="n">
        <x:v>53974.52</x:v>
      </x:c>
      <x:c r="K414" t="n">
        <x:v>0</x:v>
      </x:c>
      <x:c r="L414" t="n">
        <x:v>519293.52</x:v>
      </x:c>
      <x:c r="M414" t="n">
        <x:v>518222.7</x:v>
      </x:c>
      <x:c r="N414" t="n">
        <x:v>2376825.74</x:v>
      </x:c>
      <x:c r="O414" t="n">
        <x:v>1219448.62</x:v>
      </x:c>
      <x:c r="P414" t="n">
        <x:v>86387.78</x:v>
      </x:c>
      <x:c r="Q414" t="n">
        <x:v>15.31</x:v>
      </x:c>
      <x:c r="R414" t="n">
        <x:v>0</x:v>
      </x:c>
    </x:row>
    <x:row r="415" spans="2:19" s="739" customFormat="1" ht="12.75" customHeight="1" x14ac:dyDescent="0.2">
      <x:c r="B415" s="739" t="s">
        <x:v>326</x:v>
      </x:c>
      <x:c r="C415" s="739" t="s">
        <x:v>70</x:v>
      </x:c>
      <x:c r="E415" s="231" t="n">
        <x:v>7071089.54</x:v>
      </x:c>
      <x:c r="F415" s="740" t="n">
        <x:v>393608.94</x:v>
      </x:c>
      <x:c r="G415" s="232" t="n">
        <x:v>221984.38</x:v>
      </x:c>
      <x:c r="H415" s="232" t="n">
        <x:v>109845.93</x:v>
      </x:c>
      <x:c r="I415" s="232" t="n">
        <x:v>1571482.1</x:v>
      </x:c>
      <x:c r="J415" s="232" t="n">
        <x:v>53974.52</x:v>
      </x:c>
      <x:c r="K415" s="232" t="n">
        <x:v>0</x:v>
      </x:c>
      <x:c r="L415" s="232" t="n">
        <x:v>519293.52</x:v>
      </x:c>
      <x:c r="M415" s="232" t="n">
        <x:v>518222.7</x:v>
      </x:c>
      <x:c r="N415" s="232" t="n">
        <x:v>2376825.74</x:v>
      </x:c>
      <x:c r="O415" s="232" t="n">
        <x:v>1219448.62</x:v>
      </x:c>
      <x:c r="P415" s="232" t="n">
        <x:v>86387.78</x:v>
      </x:c>
      <x:c r="Q415" s="232" t="n">
        <x:v>15.31</x:v>
      </x:c>
      <x:c r="R415" s="232" t="n">
        <x:v>0</x:v>
      </x:c>
      <x:c r="S415" s="232"/>
    </x:row>
    <x:row r="416" spans="2:19" ht="12.75" customHeight="1" x14ac:dyDescent="0.2">
      <x:c r="D416" t="s">
        <x:v>72</x:v>
      </x:c>
      <x:c r="E416" s="142" t="n">
        <x:v>1844611.99</x:v>
      </x:c>
      <x:c r="F416" t="n">
        <x:v>95285.21</x:v>
      </x:c>
      <x:c r="G416" t="n">
        <x:v>53059.64</x:v>
      </x:c>
      <x:c r="H416" t="n">
        <x:v>24579.26</x:v>
      </x:c>
      <x:c r="I416" t="n">
        <x:v>413299.15</x:v>
      </x:c>
      <x:c r="J416" t="n">
        <x:v>13648.04</x:v>
      </x:c>
      <x:c r="K416" t="n">
        <x:v>0</x:v>
      </x:c>
      <x:c r="L416" t="n">
        <x:v>119701.46</x:v>
      </x:c>
      <x:c r="M416" t="n">
        <x:v>117793.01</x:v>
      </x:c>
      <x:c r="N416" t="n">
        <x:v>696050.14</x:v>
      </x:c>
      <x:c r="O416" t="n">
        <x:v>291977.02</x:v>
      </x:c>
      <x:c r="P416" t="n">
        <x:v>19217.07</x:v>
      </x:c>
      <x:c r="Q416" t="n">
        <x:v>1.99</x:v>
      </x:c>
      <x:c r="R416" t="n">
        <x:v>0</x:v>
      </x:c>
    </x:row>
    <x:row r="417" spans="1:19" ht="12.75" customHeight="1" x14ac:dyDescent="0.2">
      <x:c r="D417" t="s">
        <x:v>81</x:v>
      </x:c>
      <x:c r="E417" s="142" t="n">
        <x:v>6095.4</x:v>
      </x:c>
      <x:c r="F417" t="n">
        <x:v>381.36</x:v>
      </x:c>
      <x:c r="G417" t="n">
        <x:v>189.7</x:v>
      </x:c>
      <x:c r="H417" t="n">
        <x:v>106.63</x:v>
      </x:c>
      <x:c r="I417" t="n">
        <x:v>1419.33</x:v>
      </x:c>
      <x:c r="J417" t="n">
        <x:v>35.03</x:v>
      </x:c>
      <x:c r="K417" t="n">
        <x:v>0</x:v>
      </x:c>
      <x:c r="L417" t="n">
        <x:v>306.46</x:v>
      </x:c>
      <x:c r="M417" t="n">
        <x:v>410.51</x:v>
      </x:c>
      <x:c r="N417" t="n">
        <x:v>2047.73</x:v>
      </x:c>
      <x:c r="O417" t="n">
        <x:v>1141.46</x:v>
      </x:c>
      <x:c r="P417" t="n">
        <x:v>57.07</x:v>
      </x:c>
      <x:c r="Q417" t="n">
        <x:v>0.12</x:v>
      </x:c>
      <x:c r="R417" t="n">
        <x:v>0</x:v>
      </x:c>
    </x:row>
    <x:row r="418" spans="1:19" ht="12.75" customHeight="1" x14ac:dyDescent="0.2">
      <x:c r="C418" t="s">
        <x:v>82</x:v>
      </x:c>
      <x:c r="D418" t="s">
        <x:v>70</x:v>
      </x:c>
      <x:c r="E418" s="142" t="n">
        <x:v>1850707.39</x:v>
      </x:c>
      <x:c r="F418" t="n">
        <x:v>95666.57</x:v>
      </x:c>
      <x:c r="G418" t="n">
        <x:v>53249.34</x:v>
      </x:c>
      <x:c r="H418" t="n">
        <x:v>24685.89</x:v>
      </x:c>
      <x:c r="I418" t="n">
        <x:v>414718.48</x:v>
      </x:c>
      <x:c r="J418" t="n">
        <x:v>13683.07</x:v>
      </x:c>
      <x:c r="K418" t="n">
        <x:v>0</x:v>
      </x:c>
      <x:c r="L418" t="n">
        <x:v>120007.92</x:v>
      </x:c>
      <x:c r="M418" t="n">
        <x:v>118203.52</x:v>
      </x:c>
      <x:c r="N418" t="n">
        <x:v>698097.87</x:v>
      </x:c>
      <x:c r="O418" t="n">
        <x:v>293118.48</x:v>
      </x:c>
      <x:c r="P418" t="n">
        <x:v>19274.14</x:v>
      </x:c>
      <x:c r="Q418" t="n">
        <x:v>2.11</x:v>
      </x:c>
      <x:c r="R418" t="n">
        <x:v>0</x:v>
      </x:c>
    </x:row>
    <x:row r="419" spans="1:19" ht="12.75" customHeight="1" x14ac:dyDescent="0.2">
      <x:c r="D419" t="s">
        <x:v>72</x:v>
      </x:c>
      <x:c r="E419" s="142" t="n">
        <x:v>534266.78</x:v>
      </x:c>
      <x:c r="F419" t="n">
        <x:v>32938.61</x:v>
      </x:c>
      <x:c r="G419" t="n">
        <x:v>18430.99</x:v>
      </x:c>
      <x:c r="H419" t="n">
        <x:v>8405.81</x:v>
      </x:c>
      <x:c r="I419" t="n">
        <x:v>129200.63</x:v>
      </x:c>
      <x:c r="J419" t="n">
        <x:v>4646.49</x:v>
      </x:c>
      <x:c r="K419" t="n">
        <x:v>0</x:v>
      </x:c>
      <x:c r="L419" t="n">
        <x:v>31973.6</x:v>
      </x:c>
      <x:c r="M419" t="n">
        <x:v>27737.2</x:v>
      </x:c>
      <x:c r="N419" t="n">
        <x:v>181281.16</x:v>
      </x:c>
      <x:c r="O419" t="n">
        <x:v>94114.42</x:v>
      </x:c>
      <x:c r="P419" t="n">
        <x:v>5537.75</x:v>
      </x:c>
      <x:c r="Q419" t="n">
        <x:v>0.12</x:v>
      </x:c>
      <x:c r="R419" t="n">
        <x:v>0</x:v>
      </x:c>
    </x:row>
    <x:row r="420" spans="1:19" ht="12.75" customHeight="1" x14ac:dyDescent="0.2">
      <x:c r="D420" t="s">
        <x:v>81</x:v>
      </x:c>
      <x:c r="E420" s="142" t="n">
        <x:v>61.39</x:v>
      </x:c>
      <x:c r="F420" t="n">
        <x:v>3.35</x:v>
      </x:c>
      <x:c r="G420" t="n">
        <x:v>1.89</x:v>
      </x:c>
      <x:c r="H420" t="n">
        <x:v>0.99</x:v>
      </x:c>
      <x:c r="I420" t="n">
        <x:v>13.82</x:v>
      </x:c>
      <x:c r="J420" t="n">
        <x:v>0.5</x:v>
      </x:c>
      <x:c r="K420" t="n">
        <x:v>0</x:v>
      </x:c>
      <x:c r="L420" t="n">
        <x:v>4.41</x:v>
      </x:c>
      <x:c r="M420" t="n">
        <x:v>4.29</x:v>
      </x:c>
      <x:c r="N420" t="n">
        <x:v>22.2</x:v>
      </x:c>
      <x:c r="O420" t="n">
        <x:v>9.13</x:v>
      </x:c>
      <x:c r="P420" t="n">
        <x:v>0.82</x:v>
      </x:c>
      <x:c r="Q420" t="n">
        <x:v>-0.01</x:v>
      </x:c>
      <x:c r="R420" t="n">
        <x:v>0</x:v>
      </x:c>
    </x:row>
    <x:row r="421" spans="1:19" ht="12.75" customHeight="1" x14ac:dyDescent="0.2">
      <x:c r="C421" t="s">
        <x:v>86</x:v>
      </x:c>
      <x:c r="D421" t="s">
        <x:v>70</x:v>
      </x:c>
      <x:c r="E421" s="142" t="n">
        <x:v>534328.17</x:v>
      </x:c>
      <x:c r="F421" t="n">
        <x:v>32941.96</x:v>
      </x:c>
      <x:c r="G421" t="n">
        <x:v>18432.88</x:v>
      </x:c>
      <x:c r="H421" t="n">
        <x:v>8406.8</x:v>
      </x:c>
      <x:c r="I421" t="n">
        <x:v>129214.45</x:v>
      </x:c>
      <x:c r="J421" t="n">
        <x:v>4646.99</x:v>
      </x:c>
      <x:c r="K421" t="n">
        <x:v>0</x:v>
      </x:c>
      <x:c r="L421" t="n">
        <x:v>31978.01</x:v>
      </x:c>
      <x:c r="M421" t="n">
        <x:v>27741.49</x:v>
      </x:c>
      <x:c r="N421" t="n">
        <x:v>181303.36</x:v>
      </x:c>
      <x:c r="O421" t="n">
        <x:v>94123.55</x:v>
      </x:c>
      <x:c r="P421" t="n">
        <x:v>5538.57</x:v>
      </x:c>
      <x:c r="Q421" t="n">
        <x:v>0.11</x:v>
      </x:c>
      <x:c r="R421" t="n">
        <x:v>0</x:v>
      </x:c>
    </x:row>
    <x:row r="422" spans="1:19" ht="12.75" customHeight="1" x14ac:dyDescent="0.2">
      <x:c r="D422" t="s">
        <x:v>72</x:v>
      </x:c>
      <x:c r="E422" s="142" t="n">
        <x:v>7576099.95</x:v>
      </x:c>
      <x:c r="F422" t="n">
        <x:v>881196.61</x:v>
      </x:c>
      <x:c r="G422" t="n">
        <x:v>492974.75</x:v>
      </x:c>
      <x:c r="H422" t="n">
        <x:v>254953.92</x:v>
      </x:c>
      <x:c r="I422" t="n">
        <x:v>710964.65</x:v>
      </x:c>
      <x:c r="J422" t="n">
        <x:v>24397.55</x:v>
      </x:c>
      <x:c r="K422" t="n">
        <x:v>855793.65</x:v>
      </x:c>
      <x:c r="L422" t="n">
        <x:v>202636.34</x:v>
      </x:c>
      <x:c r="M422" t="n">
        <x:v>247407.32</x:v>
      </x:c>
      <x:c r="N422" t="n">
        <x:v>1235151</x:v>
      </x:c>
      <x:c r="O422" t="n">
        <x:v>2639545.8</x:v>
      </x:c>
      <x:c r="P422" t="n">
        <x:v>31074.58</x:v>
      </x:c>
      <x:c r="Q422" t="n">
        <x:v>3.78</x:v>
      </x:c>
      <x:c r="R422" t="n">
        <x:v>0</x:v>
      </x:c>
    </x:row>
    <x:row r="423" spans="1:19" ht="12.75" customHeight="1" x14ac:dyDescent="0.2">
      <x:c r="B423" s="142"/>
      <x:c r="D423" t="s">
        <x:v>81</x:v>
      </x:c>
      <x:c r="E423" s="142" t="n">
        <x:v>432.36</x:v>
      </x:c>
      <x:c r="F423" t="n">
        <x:v>27.62</x:v>
      </x:c>
      <x:c r="G423" t="n">
        <x:v>15.56</x:v>
      </x:c>
      <x:c r="H423" t="n">
        <x:v>8.07</x:v>
      </x:c>
      <x:c r="I423" t="n">
        <x:v>88.27</x:v>
      </x:c>
      <x:c r="J423" t="n">
        <x:v>2.71</x:v>
      </x:c>
      <x:c r="K423" t="n">
        <x:v>0</x:v>
      </x:c>
      <x:c r="L423" t="n">
        <x:v>23.83</x:v>
      </x:c>
      <x:c r="M423" t="n">
        <x:v>29.4</x:v>
      </x:c>
      <x:c r="N423" t="n">
        <x:v>150.87</x:v>
      </x:c>
      <x:c r="O423" t="n">
        <x:v>81.59</x:v>
      </x:c>
      <x:c r="P423" t="n">
        <x:v>4.44</x:v>
      </x:c>
      <x:c r="Q423" t="n">
        <x:v>0</x:v>
      </x:c>
      <x:c r="R423" t="n">
        <x:v>0</x:v>
      </x:c>
    </x:row>
    <x:row r="424" spans="1:19" ht="12.75" customHeight="1" x14ac:dyDescent="0.2">
      <x:c r="B424" s="142"/>
      <x:c r="C424" t="s">
        <x:v>87</x:v>
      </x:c>
      <x:c r="D424" t="s">
        <x:v>70</x:v>
      </x:c>
      <x:c r="E424" s="142" t="n">
        <x:v>7576532.31</x:v>
      </x:c>
      <x:c r="F424" t="n">
        <x:v>881224.23</x:v>
      </x:c>
      <x:c r="G424" t="n">
        <x:v>492990.31</x:v>
      </x:c>
      <x:c r="H424" t="n">
        <x:v>254961.99</x:v>
      </x:c>
      <x:c r="I424" t="n">
        <x:v>711052.92</x:v>
      </x:c>
      <x:c r="J424" t="n">
        <x:v>24400.26</x:v>
      </x:c>
      <x:c r="K424" t="n">
        <x:v>855793.65</x:v>
      </x:c>
      <x:c r="L424" t="n">
        <x:v>202660.17</x:v>
      </x:c>
      <x:c r="M424" t="n">
        <x:v>247436.72</x:v>
      </x:c>
      <x:c r="N424" t="n">
        <x:v>1235301.87</x:v>
      </x:c>
      <x:c r="O424" t="n">
        <x:v>2639627.39</x:v>
      </x:c>
      <x:c r="P424" t="n">
        <x:v>31079.02</x:v>
      </x:c>
      <x:c r="Q424" t="n">
        <x:v>3.78</x:v>
      </x:c>
      <x:c r="R424" t="n">
        <x:v>0</x:v>
      </x:c>
    </x:row>
    <x:row r="425" spans="1:19" s="94" customFormat="1" ht="12.75" customHeight="1" x14ac:dyDescent="0.2">
      <x:c r="B425" s="101" t="s">
        <x:v>119</x:v>
      </x:c>
      <x:c r="C425" s="101" t="s">
        <x:v>70</x:v>
      </x:c>
      <x:c r="E425" s="93" t="n">
        <x:v>9961567.87</x:v>
      </x:c>
      <x:c r="F425" s="93" t="n">
        <x:v>1009832.76</x:v>
      </x:c>
      <x:c r="G425" s="93" t="n">
        <x:v>564672.53</x:v>
      </x:c>
      <x:c r="H425" s="93" t="n">
        <x:v>288054.68</x:v>
      </x:c>
      <x:c r="I425" s="93" t="n">
        <x:v>1254985.85</x:v>
      </x:c>
      <x:c r="J425" s="93" t="n">
        <x:v>42730.32</x:v>
      </x:c>
      <x:c r="K425" s="93" t="n">
        <x:v>855793.65</x:v>
      </x:c>
      <x:c r="L425" s="93" t="n">
        <x:v>354646.1</x:v>
      </x:c>
      <x:c r="M425" s="93" t="n">
        <x:v>393381.73</x:v>
      </x:c>
      <x:c r="N425" s="93" t="n">
        <x:v>2114703.1</x:v>
      </x:c>
      <x:c r="O425" s="93" t="n">
        <x:v>3026869.42</x:v>
      </x:c>
      <x:c r="P425" s="93" t="n">
        <x:v>55891.73</x:v>
      </x:c>
      <x:c r="Q425" s="93" t="n">
        <x:v>6</x:v>
      </x:c>
      <x:c r="R425" s="94" t="n">
        <x:v>0</x:v>
      </x:c>
    </x:row>
    <x:row r="426" spans="1:19" s="226" customFormat="1" ht="12.75" customHeight="1" x14ac:dyDescent="0.2">
      <x:c r="A426" s="98" t="s">
        <x:v>78</x:v>
      </x:c>
      <x:c r="B426" s="98" t="s">
        <x:v>70</x:v>
      </x:c>
      <x:c r="E426" s="100" t="n">
        <x:v>32902557.27</x:v>
      </x:c>
      <x:c r="F426" s="100" t="n">
        <x:v>2546995.13</x:v>
      </x:c>
      <x:c r="G426" s="100" t="n">
        <x:v>1435012.96</x:v>
      </x:c>
      <x:c r="H426" s="100" t="n">
        <x:v>691553.71</x:v>
      </x:c>
      <x:c r="I426" s="100" t="n">
        <x:v>6730923.1</x:v>
      </x:c>
      <x:c r="J426" s="100" t="n">
        <x:v>264456.01</x:v>
      </x:c>
      <x:c r="K426" s="100" t="n">
        <x:v>855801.18</x:v>
      </x:c>
      <x:c r="L426" s="100" t="n">
        <x:v>1758367.23</x:v>
      </x:c>
      <x:c r="M426" s="100" t="n">
        <x:v>1742050.52</x:v>
      </x:c>
      <x:c r="N426" s="100" t="n">
        <x:v>8920088.52</x:v>
      </x:c>
      <x:c r="O426" s="100" t="n">
        <x:v>7619607.4</x:v>
      </x:c>
      <x:c r="P426" s="100" t="n">
        <x:v>337866.91</x:v>
      </x:c>
      <x:c r="Q426" s="100" t="n">
        <x:v>-165.4</x:v>
      </x:c>
      <x:c r="R426" s="226" t="n">
        <x:v>0</x:v>
      </x:c>
    </x:row>
    <x:row r="427" spans="1:19" ht="12.75" customHeight="1" x14ac:dyDescent="0.2">
      <x:c r="C427" s="89"/>
      <x:c r="D427" s="89" t="s">
        <x:v>73</x:v>
      </x:c>
      <x:c r="E427" s="90" t="n">
        <x:v>1212644.66</x:v>
      </x:c>
      <x:c r="F427" s="90" t="n">
        <x:v>300295.61</x:v>
      </x:c>
      <x:c r="G427" s="90" t="n">
        <x:v>156618.41</x:v>
      </x:c>
      <x:c r="H427" s="90" t="n">
        <x:v>56719.55</x:v>
      </x:c>
      <x:c r="I427" s="90" t="n">
        <x:v>-63990.5</x:v>
      </x:c>
      <x:c r="J427" s="90" t="n">
        <x:v>-3304.98</x:v>
      </x:c>
      <x:c r="K427" s="90" t="n">
        <x:v>0</x:v>
      </x:c>
      <x:c r="L427" s="90" t="n">
        <x:v>-19654.63</x:v>
      </x:c>
      <x:c r="M427" s="90" t="n">
        <x:v>-40788.54</x:v>
      </x:c>
      <x:c r="N427" s="90" t="n">
        <x:v>-133483.2</x:v>
      </x:c>
      <x:c r="O427" s="90" t="n">
        <x:v>965622.64</x:v>
      </x:c>
      <x:c r="P427" s="90" t="n">
        <x:v>-5389.7</x:v>
      </x:c>
      <x:c r="Q427" s="90" t="n">
        <x:v>0</x:v>
      </x:c>
      <x:c r="R427" t="n">
        <x:v>0</x:v>
      </x:c>
    </x:row>
    <x:row r="428" spans="1:19" ht="12.75" customHeight="1" x14ac:dyDescent="0.2">
      <x:c r="B428" s="89"/>
      <x:c r="C428" s="89" t="s">
        <x:v>156</x:v>
      </x:c>
      <x:c r="D428" t="s">
        <x:v>70</x:v>
      </x:c>
      <x:c r="E428" s="90" t="n">
        <x:v>1212644.66</x:v>
      </x:c>
      <x:c r="F428" s="90" t="n">
        <x:v>300295.61</x:v>
      </x:c>
      <x:c r="G428" s="90" t="n">
        <x:v>156618.41</x:v>
      </x:c>
      <x:c r="H428" s="90" t="n">
        <x:v>56719.55</x:v>
      </x:c>
      <x:c r="I428" s="90" t="n">
        <x:v>-63990.5</x:v>
      </x:c>
      <x:c r="J428" s="90" t="n">
        <x:v>-3304.98</x:v>
      </x:c>
      <x:c r="K428" s="90" t="n">
        <x:v>0</x:v>
      </x:c>
      <x:c r="L428" s="90" t="n">
        <x:v>-19654.63</x:v>
      </x:c>
      <x:c r="M428" s="90" t="n">
        <x:v>-40788.54</x:v>
      </x:c>
      <x:c r="N428" s="90" t="n">
        <x:v>-133483.2</x:v>
      </x:c>
      <x:c r="O428" s="90" t="n">
        <x:v>965622.64</x:v>
      </x:c>
      <x:c r="P428" s="90" t="n">
        <x:v>-5389.7</x:v>
      </x:c>
      <x:c r="Q428" s="90" t="n">
        <x:v>0</x:v>
      </x:c>
      <x:c r="R428" t="n">
        <x:v>0</x:v>
      </x:c>
    </x:row>
    <x:row r="429" spans="1:19" s="237" customFormat="1" ht="12.75" customHeight="1" x14ac:dyDescent="0.2">
      <x:c r="B429" s="221" t="s">
        <x:v>155</x:v>
      </x:c>
      <x:c r="C429" s="221" t="s">
        <x:v>70</x:v>
      </x:c>
      <x:c r="E429" s="222" t="n">
        <x:v>1212644.66</x:v>
      </x:c>
      <x:c r="F429" s="222" t="n">
        <x:v>300295.61</x:v>
      </x:c>
      <x:c r="G429" s="222" t="n">
        <x:v>156618.41</x:v>
      </x:c>
      <x:c r="H429" s="222" t="n">
        <x:v>56719.55</x:v>
      </x:c>
      <x:c r="I429" s="222" t="n">
        <x:v>-63990.5</x:v>
      </x:c>
      <x:c r="J429" s="222" t="n">
        <x:v>-3304.98</x:v>
      </x:c>
      <x:c r="K429" s="222" t="n">
        <x:v>0</x:v>
      </x:c>
      <x:c r="L429" s="222" t="n">
        <x:v>-19654.63</x:v>
      </x:c>
      <x:c r="M429" s="222" t="n">
        <x:v>-40788.54</x:v>
      </x:c>
      <x:c r="N429" s="222" t="n">
        <x:v>-133483.2</x:v>
      </x:c>
      <x:c r="O429" s="222" t="n">
        <x:v>965622.64</x:v>
      </x:c>
      <x:c r="P429" s="222" t="n">
        <x:v>-5389.7</x:v>
      </x:c>
      <x:c r="Q429" s="222" t="n">
        <x:v>0</x:v>
      </x:c>
      <x:c r="R429" s="237" t="n">
        <x:v>0</x:v>
      </x:c>
    </x:row>
    <x:row r="430" spans="1:19" ht="12.75" customHeight="1" x14ac:dyDescent="0.2">
      <x:c r="B430" s="142"/>
      <x:c r="C430" s="89"/>
      <x:c r="D430" s="89" t="s">
        <x:v>73</x:v>
      </x:c>
      <x:c r="E430" s="371" t="n">
        <x:v>-1016066.59</x:v>
      </x:c>
      <x:c r="F430" s="90" t="n">
        <x:v>-49407.45</x:v>
      </x:c>
      <x:c r="G430" s="90" t="n">
        <x:v>-27659.65</x:v>
      </x:c>
      <x:c r="H430" s="90" t="n">
        <x:v>-15373.39</x:v>
      </x:c>
      <x:c r="I430" s="90" t="n">
        <x:v>-232568.66</x:v>
      </x:c>
      <x:c r="J430" s="90" t="n">
        <x:v>-8659.23</x:v>
      </x:c>
      <x:c r="K430" s="90" t="n">
        <x:v>0</x:v>
      </x:c>
      <x:c r="L430" s="90" t="n">
        <x:v>-74894.67</x:v>
      </x:c>
      <x:c r="M430" s="90" t="n">
        <x:v>-73038.96</x:v>
      </x:c>
      <x:c r="N430" s="90" t="n">
        <x:v>-372015.89</x:v>
      </x:c>
      <x:c r="O430" s="90" t="n">
        <x:v>-148320.76</x:v>
      </x:c>
      <x:c r="P430" s="90" t="n">
        <x:v>-14127.93</x:v>
      </x:c>
      <x:c r="Q430" s="90" t="n">
        <x:v>0</x:v>
      </x:c>
      <x:c r="R430" t="n">
        <x:v>0</x:v>
      </x:c>
    </x:row>
    <x:row r="431" spans="1:19" ht="12.75" customHeight="1" x14ac:dyDescent="0.2">
      <x:c r="B431" s="142"/>
      <x:c r="C431" s="89" t="s">
        <x:v>156</x:v>
      </x:c>
      <x:c r="D431" s="89" t="s">
        <x:v>70</x:v>
      </x:c>
      <x:c r="E431" s="371" t="n">
        <x:v>-1016066.59</x:v>
      </x:c>
      <x:c r="F431" s="90" t="n">
        <x:v>-49407.45</x:v>
      </x:c>
      <x:c r="G431" s="90" t="n">
        <x:v>-27659.65</x:v>
      </x:c>
      <x:c r="H431" s="90" t="n">
        <x:v>-15373.39</x:v>
      </x:c>
      <x:c r="I431" s="90" t="n">
        <x:v>-232568.66</x:v>
      </x:c>
      <x:c r="J431" s="90" t="n">
        <x:v>-8659.23</x:v>
      </x:c>
      <x:c r="K431" s="90" t="n">
        <x:v>0</x:v>
      </x:c>
      <x:c r="L431" s="90" t="n">
        <x:v>-74894.67</x:v>
      </x:c>
      <x:c r="M431" s="90" t="n">
        <x:v>-73038.96</x:v>
      </x:c>
      <x:c r="N431" s="90" t="n">
        <x:v>-372015.89</x:v>
      </x:c>
      <x:c r="O431" s="90" t="n">
        <x:v>-148320.76</x:v>
      </x:c>
      <x:c r="P431" s="90" t="n">
        <x:v>-14127.93</x:v>
      </x:c>
      <x:c r="Q431" s="90" t="n">
        <x:v>0</x:v>
      </x:c>
      <x:c r="R431" t="n">
        <x:v>0</x:v>
      </x:c>
    </x:row>
    <x:row r="432" spans="1:19" s="739" customFormat="1" ht="12.75" customHeight="1" x14ac:dyDescent="0.2">
      <x:c r="B432" s="739" t="s">
        <x:v>326</x:v>
      </x:c>
      <x:c r="C432" s="739" t="s">
        <x:v>70</x:v>
      </x:c>
      <x:c r="E432" s="231" t="n">
        <x:v>-1016066.59</x:v>
      </x:c>
      <x:c r="F432" s="740" t="n">
        <x:v>-49407.45</x:v>
      </x:c>
      <x:c r="G432" s="232" t="n">
        <x:v>-27659.65</x:v>
      </x:c>
      <x:c r="H432" s="232" t="n">
        <x:v>-15373.39</x:v>
      </x:c>
      <x:c r="I432" s="232" t="n">
        <x:v>-232568.66</x:v>
      </x:c>
      <x:c r="J432" s="232" t="n">
        <x:v>-8659.23</x:v>
      </x:c>
      <x:c r="K432" s="232" t="n">
        <x:v>0</x:v>
      </x:c>
      <x:c r="L432" s="232" t="n">
        <x:v>-74894.67</x:v>
      </x:c>
      <x:c r="M432" s="232" t="n">
        <x:v>-73038.96</x:v>
      </x:c>
      <x:c r="N432" s="232" t="n">
        <x:v>-372015.89</x:v>
      </x:c>
      <x:c r="O432" s="232" t="n">
        <x:v>-148320.76</x:v>
      </x:c>
      <x:c r="P432" s="232" t="n">
        <x:v>-14127.93</x:v>
      </x:c>
      <x:c r="Q432" s="232" t="n">
        <x:v>0</x:v>
      </x:c>
      <x:c r="R432" s="232" t="n">
        <x:v>0</x:v>
      </x:c>
      <x:c r="S432" s="232"/>
    </x:row>
    <x:row r="433" spans="1:18" ht="12.75" customHeight="1" x14ac:dyDescent="0.2">
      <x:c r="B433" s="142"/>
      <x:c r="C433" s="89"/>
      <x:c r="D433" s="89" t="s">
        <x:v>73</x:v>
      </x:c>
      <x:c r="E433" s="371" t="n">
        <x:v>-202401.75</x:v>
      </x:c>
      <x:c r="F433" s="90" t="n">
        <x:v>-10371.91</x:v>
      </x:c>
      <x:c r="G433" s="90" t="n">
        <x:v>-5797.61</x:v>
      </x:c>
      <x:c r="H433" s="90" t="n">
        <x:v>-3073.75</x:v>
      </x:c>
      <x:c r="I433" s="90" t="n">
        <x:v>-42172.53</x:v>
      </x:c>
      <x:c r="J433" s="90" t="n">
        <x:v>-1395.23</x:v>
      </x:c>
      <x:c r="K433" s="90" t="n">
        <x:v>0</x:v>
      </x:c>
      <x:c r="L433" s="90" t="n">
        <x:v>-12238.08</x:v>
      </x:c>
      <x:c r="M433" s="90" t="n">
        <x:v>-14241.93</x:v>
      </x:c>
      <x:c r="N433" s="90" t="n">
        <x:v>-79770.19</x:v>
      </x:c>
      <x:c r="O433" s="90" t="n">
        <x:v>-31064.18</x:v>
      </x:c>
      <x:c r="P433" s="90" t="n">
        <x:v>-2276.34</x:v>
      </x:c>
      <x:c r="Q433" s="90" t="n">
        <x:v>0</x:v>
      </x:c>
      <x:c r="R433" t="n">
        <x:v>0</x:v>
      </x:c>
    </x:row>
    <x:row r="434" spans="1:18" ht="12.75" customHeight="1" x14ac:dyDescent="0.2">
      <x:c r="B434" s="142"/>
      <x:c r="C434" s="89" t="s">
        <x:v>82</x:v>
      </x:c>
      <x:c r="D434" s="89" t="s">
        <x:v>70</x:v>
      </x:c>
      <x:c r="E434" s="371" t="n">
        <x:v>-202401.75</x:v>
      </x:c>
      <x:c r="F434" s="90" t="n">
        <x:v>-10371.91</x:v>
      </x:c>
      <x:c r="G434" s="90" t="n">
        <x:v>-5797.61</x:v>
      </x:c>
      <x:c r="H434" s="90" t="n">
        <x:v>-3073.75</x:v>
      </x:c>
      <x:c r="I434" s="90" t="n">
        <x:v>-42172.53</x:v>
      </x:c>
      <x:c r="J434" s="90" t="n">
        <x:v>-1395.23</x:v>
      </x:c>
      <x:c r="K434" s="90" t="n">
        <x:v>0</x:v>
      </x:c>
      <x:c r="L434" s="90" t="n">
        <x:v>-12238.08</x:v>
      </x:c>
      <x:c r="M434" s="90" t="n">
        <x:v>-14241.93</x:v>
      </x:c>
      <x:c r="N434" s="90" t="n">
        <x:v>-79770.19</x:v>
      </x:c>
      <x:c r="O434" s="90" t="n">
        <x:v>-31064.18</x:v>
      </x:c>
      <x:c r="P434" s="90" t="n">
        <x:v>-2276.34</x:v>
      </x:c>
      <x:c r="Q434" s="90" t="n">
        <x:v>0</x:v>
      </x:c>
      <x:c r="R434" t="n">
        <x:v>0</x:v>
      </x:c>
    </x:row>
    <x:row r="435" spans="1:18" ht="12.75" customHeight="1" x14ac:dyDescent="0.2">
      <x:c r="B435" s="142"/>
      <x:c r="C435" s="89"/>
      <x:c r="D435" s="89" t="s">
        <x:v>73</x:v>
      </x:c>
      <x:c r="E435" s="371" t="n">
        <x:v>24207.89</x:v>
      </x:c>
      <x:c r="F435" s="90" t="n">
        <x:v>5602.44</x:v>
      </x:c>
      <x:c r="G435" s="90" t="n">
        <x:v>3131.09</x:v>
      </x:c>
      <x:c r="H435" s="90" t="n">
        <x:v>1660.22</x:v>
      </x:c>
      <x:c r="I435" s="90" t="n">
        <x:v>1208.86</x:v>
      </x:c>
      <x:c r="J435" s="90" t="n">
        <x:v>-0.64</x:v>
      </x:c>
      <x:c r="K435" s="90" t="n">
        <x:v>0</x:v>
      </x:c>
      <x:c r="L435" s="90" t="n">
        <x:v>-5.21</x:v>
      </x:c>
      <x:c r="M435" s="90" t="n">
        <x:v>-1263.54</x:v>
      </x:c>
      <x:c r="N435" s="90" t="n">
        <x:v>-3010.67</x:v>
      </x:c>
      <x:c r="O435" s="90" t="n">
        <x:v>16886.31</x:v>
      </x:c>
      <x:c r="P435" s="90" t="n">
        <x:v>-0.97</x:v>
      </x:c>
      <x:c r="Q435" s="90" t="n">
        <x:v>0</x:v>
      </x:c>
      <x:c r="R435" t="n">
        <x:v>0</x:v>
      </x:c>
    </x:row>
    <x:row r="436" spans="1:18" ht="12.75" customHeight="1" x14ac:dyDescent="0.2">
      <x:c r="B436" s="142"/>
      <x:c r="C436" s="89" t="s">
        <x:v>86</x:v>
      </x:c>
      <x:c r="D436" s="89" t="s">
        <x:v>70</x:v>
      </x:c>
      <x:c r="E436" s="371" t="n">
        <x:v>24207.89</x:v>
      </x:c>
      <x:c r="F436" s="90" t="n">
        <x:v>5602.44</x:v>
      </x:c>
      <x:c r="G436" s="90" t="n">
        <x:v>3131.09</x:v>
      </x:c>
      <x:c r="H436" s="90" t="n">
        <x:v>1660.22</x:v>
      </x:c>
      <x:c r="I436" s="90" t="n">
        <x:v>1208.86</x:v>
      </x:c>
      <x:c r="J436" s="90" t="n">
        <x:v>-0.64</x:v>
      </x:c>
      <x:c r="K436" s="90" t="n">
        <x:v>0</x:v>
      </x:c>
      <x:c r="L436" s="90" t="n">
        <x:v>-5.21</x:v>
      </x:c>
      <x:c r="M436" s="90" t="n">
        <x:v>-1263.54</x:v>
      </x:c>
      <x:c r="N436" s="90" t="n">
        <x:v>-3010.67</x:v>
      </x:c>
      <x:c r="O436" s="90" t="n">
        <x:v>16886.31</x:v>
      </x:c>
      <x:c r="P436" s="90" t="n">
        <x:v>-0.97</x:v>
      </x:c>
      <x:c r="Q436" s="90" t="n">
        <x:v>0</x:v>
      </x:c>
      <x:c r="R436" t="n">
        <x:v>0</x:v>
      </x:c>
    </x:row>
    <x:row r="437" spans="1:18" ht="12.75" customHeight="1" x14ac:dyDescent="0.2">
      <x:c r="B437" s="142"/>
      <x:c r="C437" s="89"/>
      <x:c r="D437" s="89" t="s">
        <x:v>73</x:v>
      </x:c>
      <x:c r="E437" s="371" t="n">
        <x:v>2898013.48</x:v>
      </x:c>
      <x:c r="F437" s="90" t="n">
        <x:v>626240.98</x:v>
      </x:c>
      <x:c r="G437" s="90" t="n">
        <x:v>349842.57</x:v>
      </x:c>
      <x:c r="H437" s="90" t="n">
        <x:v>184958.86</x:v>
      </x:c>
      <x:c r="I437" s="90" t="n">
        <x:v>-22160.63</x:v>
      </x:c>
      <x:c r="J437" s="90" t="n">
        <x:v>-1504.1</x:v>
      </x:c>
      <x:c r="K437" s="90" t="n">
        <x:v>0</x:v>
      </x:c>
      <x:c r="L437" s="90" t="n">
        <x:v>-12937.69</x:v>
      </x:c>
      <x:c r="M437" s="90" t="n">
        <x:v>-14848.9</x:v>
      </x:c>
      <x:c r="N437" s="90" t="n">
        <x:v>-83001.36</x:v>
      </x:c>
      <x:c r="O437" s="90" t="n">
        <x:v>1873877.63</x:v>
      </x:c>
      <x:c r="P437" s="90" t="n">
        <x:v>-2453.88</x:v>
      </x:c>
      <x:c r="Q437" s="90" t="n">
        <x:v>0</x:v>
      </x:c>
      <x:c r="R437" t="n">
        <x:v>0</x:v>
      </x:c>
    </x:row>
    <x:row r="438" spans="1:18" ht="12.75" customHeight="1" x14ac:dyDescent="0.2">
      <x:c r="B438" s="142"/>
      <x:c r="C438" s="89" t="s">
        <x:v>87</x:v>
      </x:c>
      <x:c r="D438" s="89" t="s">
        <x:v>70</x:v>
      </x:c>
      <x:c r="E438" s="371" t="n">
        <x:v>2898013.48</x:v>
      </x:c>
      <x:c r="F438" s="90" t="n">
        <x:v>626240.98</x:v>
      </x:c>
      <x:c r="G438" s="90" t="n">
        <x:v>349842.57</x:v>
      </x:c>
      <x:c r="H438" s="90" t="n">
        <x:v>184958.86</x:v>
      </x:c>
      <x:c r="I438" s="90" t="n">
        <x:v>-22160.63</x:v>
      </x:c>
      <x:c r="J438" s="90" t="n">
        <x:v>-1504.1</x:v>
      </x:c>
      <x:c r="K438" s="90" t="n">
        <x:v>0</x:v>
      </x:c>
      <x:c r="L438" s="90" t="n">
        <x:v>-12937.69</x:v>
      </x:c>
      <x:c r="M438" s="90" t="n">
        <x:v>-14848.9</x:v>
      </x:c>
      <x:c r="N438" s="90" t="n">
        <x:v>-83001.36</x:v>
      </x:c>
      <x:c r="O438" s="90" t="n">
        <x:v>1873877.63</x:v>
      </x:c>
      <x:c r="P438" s="90" t="n">
        <x:v>-2453.88</x:v>
      </x:c>
      <x:c r="Q438" s="90" t="n">
        <x:v>0</x:v>
      </x:c>
      <x:c r="R438" t="n">
        <x:v>0</x:v>
      </x:c>
    </x:row>
    <x:row r="439" spans="1:18" s="94" customFormat="1" ht="12.75" customHeight="1" x14ac:dyDescent="0.2">
      <x:c r="B439" s="101" t="s">
        <x:v>119</x:v>
      </x:c>
      <x:c r="C439" s="101" t="s">
        <x:v>70</x:v>
      </x:c>
      <x:c r="E439" s="93" t="n">
        <x:v>2719819.62</x:v>
      </x:c>
      <x:c r="F439" s="93" t="n">
        <x:v>621471.51</x:v>
      </x:c>
      <x:c r="G439" s="93" t="n">
        <x:v>347176.05</x:v>
      </x:c>
      <x:c r="H439" s="93" t="n">
        <x:v>183545.33</x:v>
      </x:c>
      <x:c r="I439" s="93" t="n">
        <x:v>-63124.3</x:v>
      </x:c>
      <x:c r="J439" s="93" t="n">
        <x:v>-2899.97</x:v>
      </x:c>
      <x:c r="K439" s="93" t="n">
        <x:v>0</x:v>
      </x:c>
      <x:c r="L439" s="93" t="n">
        <x:v>-25180.98</x:v>
      </x:c>
      <x:c r="M439" s="93" t="n">
        <x:v>-30354.37</x:v>
      </x:c>
      <x:c r="N439" s="93" t="n">
        <x:v>-165782.22</x:v>
      </x:c>
      <x:c r="O439" s="93" t="n">
        <x:v>1859699.76</x:v>
      </x:c>
      <x:c r="P439" s="93" t="n">
        <x:v>-4731.19</x:v>
      </x:c>
      <x:c r="Q439" s="93" t="n">
        <x:v>0</x:v>
      </x:c>
      <x:c r="R439" s="94" t="n">
        <x:v>0</x:v>
      </x:c>
    </x:row>
    <x:row r="440" spans="1:18" s="226" customFormat="1" ht="12.75" customHeight="1" x14ac:dyDescent="0.2">
      <x:c r="A440" s="98" t="s">
        <x:v>79</x:v>
      </x:c>
      <x:c r="B440" s="98" t="s">
        <x:v>70</x:v>
      </x:c>
      <x:c r="E440" s="100" t="n">
        <x:v>2916397.69</x:v>
      </x:c>
      <x:c r="F440" s="100" t="n">
        <x:v>872359.67</x:v>
      </x:c>
      <x:c r="G440" s="100" t="n">
        <x:v>476134.81</x:v>
      </x:c>
      <x:c r="H440" s="100" t="n">
        <x:v>224891.49</x:v>
      </x:c>
      <x:c r="I440" s="100" t="n">
        <x:v>-359683.46</x:v>
      </x:c>
      <x:c r="J440" s="100" t="n">
        <x:v>-14864.18</x:v>
      </x:c>
      <x:c r="K440" s="100" t="n">
        <x:v>0</x:v>
      </x:c>
      <x:c r="L440" s="100" t="n">
        <x:v>-119730.28</x:v>
      </x:c>
      <x:c r="M440" s="100" t="n">
        <x:v>-144181.87</x:v>
      </x:c>
      <x:c r="N440" s="100" t="n">
        <x:v>-671281.31</x:v>
      </x:c>
      <x:c r="O440" s="100" t="n">
        <x:v>2677001.64</x:v>
      </x:c>
      <x:c r="P440" s="100" t="n">
        <x:v>-24248.82</x:v>
      </x:c>
      <x:c r="Q440" s="100" t="n">
        <x:v>0</x:v>
      </x:c>
      <x:c r="R440" s="226" t="n">
        <x:v>0</x:v>
      </x:c>
    </x:row>
    <x:row r="441" spans="1:18" ht="12.75" customHeight="1" x14ac:dyDescent="0.2">
      <x:c r="A441" s="89" t="s">
        <x:v>70</x:v>
      </x:c>
      <x:c r="E441" s="90" t="n">
        <x:v>35818954.96</x:v>
      </x:c>
      <x:c r="F441" s="90" t="n">
        <x:v>3419354.8</x:v>
      </x:c>
      <x:c r="G441" s="90" t="n">
        <x:v>1911147.77</x:v>
      </x:c>
      <x:c r="H441" s="90" t="n">
        <x:v>916445.2</x:v>
      </x:c>
      <x:c r="I441" s="90" t="n">
        <x:v>6371239.64</x:v>
      </x:c>
      <x:c r="J441" s="90" t="n">
        <x:v>249591.83</x:v>
      </x:c>
      <x:c r="K441" s="90" t="n">
        <x:v>855801.18</x:v>
      </x:c>
      <x:c r="L441" s="90" t="n">
        <x:v>1638636.95</x:v>
      </x:c>
      <x:c r="M441" s="90" t="n">
        <x:v>1597868.65</x:v>
      </x:c>
      <x:c r="N441" s="90" t="n">
        <x:v>8248807.21</x:v>
      </x:c>
      <x:c r="O441" s="90" t="n">
        <x:v>10296609.04</x:v>
      </x:c>
      <x:c r="P441" s="90" t="n">
        <x:v>313618.09</x:v>
      </x:c>
      <x:c r="Q441" s="90" t="n">
        <x:v>-165.4</x:v>
      </x:c>
      <x:c r="R441" s="90" t="n">
        <x:v>0</x:v>
      </x:c>
    </x:row>
    <x:row r="442" spans="1:18" ht="12.75" hidden="1" customHeight="1" x14ac:dyDescent="0.2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2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hidden="1" customHeight="1" x14ac:dyDescent="0.2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hidden="1" customHeight="1" x14ac:dyDescent="0.2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hidden="1" customHeight="1" x14ac:dyDescent="0.2">
      <x:c r="A446" s="89"/>
      <x:c r="E446" s="90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18" ht="12.75" hidden="1" customHeight="1" x14ac:dyDescent="0.2">
      <x:c r="A447" s="89"/>
      <x:c r="E447" s="90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hidden="1" customHeight="1" x14ac:dyDescent="0.2">
      <x:c r="A448" s="89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hidden="1" customHeight="1" x14ac:dyDescent="0.2">
      <x:c r="A449" s="89"/>
      <x:c r="E449" s="90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</x:row>
    <x:row r="450" spans="1:18" ht="12.75" hidden="1" customHeight="1" x14ac:dyDescent="0.2">
      <x:c r="A450" s="89"/>
      <x:c r="E450" s="90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hidden="1" customHeight="1" x14ac:dyDescent="0.2">
      <x:c r="A451" s="89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hidden="1" customHeight="1" x14ac:dyDescent="0.2">
      <x:c r="A452" s="89"/>
      <x:c r="E452" s="90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</x:row>
    <x:row r="453" spans="1:18" ht="12.75" hidden="1" customHeight="1" x14ac:dyDescent="0.2">
      <x:c r="A453" s="89"/>
      <x:c r="E453" s="90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hidden="1" customHeight="1" x14ac:dyDescent="0.2">
      <x:c r="A454" s="89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hidden="1" customHeight="1" x14ac:dyDescent="0.2">
      <x:c r="A455" s="89"/>
      <x:c r="E455" s="90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</x:row>
    <x:row r="456" spans="1:18" ht="12.75" hidden="1" customHeight="1" x14ac:dyDescent="0.2">
      <x:c r="A456" s="89"/>
      <x:c r="E456" s="90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hidden="1" customHeight="1" x14ac:dyDescent="0.2">
      <x:c r="A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hidden="1" customHeight="1" x14ac:dyDescent="0.2">
      <x:c r="A458" s="89"/>
      <x:c r="E458" s="90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</x:row>
    <x:row r="459" spans="1:18" ht="12.75" hidden="1" customHeight="1" x14ac:dyDescent="0.2">
      <x:c r="A459" s="89"/>
      <x:c r="E459" s="90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hidden="1" customHeight="1" x14ac:dyDescent="0.2">
      <x:c r="A460" s="89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hidden="1" customHeight="1" x14ac:dyDescent="0.2">
      <x:c r="A461" s="89"/>
      <x:c r="E461" s="90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</x:row>
    <x:row r="462" spans="1:18" ht="12.75" hidden="1" customHeight="1" x14ac:dyDescent="0.2">
      <x:c r="A462" s="89"/>
      <x:c r="E462" s="90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ht="12.75" hidden="1" customHeight="1" x14ac:dyDescent="0.2">
      <x:c r="A463" s="89"/>
      <x:c r="E463" s="90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</x:row>
    <x:row r="464" spans="1:18" ht="12.75" hidden="1" customHeight="1" x14ac:dyDescent="0.2">
      <x:c r="A464" s="89"/>
      <x:c r="E464" s="90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</x:row>
    <x:row r="465" spans="1:18" ht="12.75" hidden="1" customHeight="1" x14ac:dyDescent="0.2">
      <x:c r="A465" s="89"/>
      <x:c r="E465" s="90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</x:row>
    <x:row r="466" spans="1:18" ht="12.75" customHeight="1" x14ac:dyDescent="0.2">
      <x:c r="A466" s="89"/>
      <x:c r="E466" s="90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</x:row>
    <x:row r="467" spans="1:18" ht="12.75" customHeight="1" x14ac:dyDescent="0.2">
      <x:c r="A467" s="89"/>
      <x:c r="E467" s="90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</x:row>
    <x:row r="468" spans="1:18" ht="12.75" customHeight="1" x14ac:dyDescent="0.2">
      <x:c r="B468" s="778" t="s">
        <x:v>2</x:v>
      </x:c>
      <x:c r="C468" s="775" t="s">
        <x:v>132</x:v>
      </x:c>
      <x:c r="D468" s="98" t="s">
        <x:v>70</x:v>
      </x:c>
      <x:c r="E468" s="100">
        <x:f>E440+E426-K426</x:f>
        <x:v>0</x:v>
      </x:c>
      <x:c r="F468" s="100">
        <x:f>F426</x:f>
        <x:v>0</x:v>
      </x:c>
      <x:c r="G468" s="100">
        <x:f t="shared" ref="G468:R468" si="14">G426</x:f>
        <x:v>0</x:v>
      </x:c>
      <x:c r="H468" s="100">
        <x:f t="shared" si="14"/>
        <x:v>0</x:v>
      </x:c>
      <x:c r="I468" s="100">
        <x:f t="shared" si="14"/>
        <x:v>0</x:v>
      </x:c>
      <x:c r="J468" s="100">
        <x:f t="shared" si="14"/>
        <x:v>0</x:v>
      </x:c>
      <x:c r="K468" s="100">
        <x:f t="shared" si="14"/>
        <x:v>0</x:v>
      </x:c>
      <x:c r="L468" s="100">
        <x:f t="shared" si="14"/>
        <x:v>0</x:v>
      </x:c>
      <x:c r="M468" s="100">
        <x:f t="shared" si="14"/>
        <x:v>0</x:v>
      </x:c>
      <x:c r="N468" s="100">
        <x:f t="shared" si="14"/>
        <x:v>0</x:v>
      </x:c>
      <x:c r="O468" s="100">
        <x:f t="shared" si="14"/>
        <x:v>0</x:v>
      </x:c>
      <x:c r="P468" s="100">
        <x:f>P426</x:f>
        <x:v>0</x:v>
      </x:c>
      <x:c r="Q468" s="100">
        <x:f t="shared" si="14"/>
        <x:v>0</x:v>
      </x:c>
      <x:c r="R468" s="100">
        <x:f t="shared" si="14"/>
        <x:v>0</x:v>
      </x:c>
    </x:row>
    <x:row r="469" spans="1:18" ht="12.75" customHeight="1" x14ac:dyDescent="0.2">
      <x:c r="B469" s="778"/>
      <x:c r="C469" s="775"/>
      <x:c r="D469" s="98" t="s">
        <x:v>73</x:v>
      </x:c>
      <x:c r="E469" s="100">
        <x:f>E440</x:f>
        <x:v>0</x:v>
      </x:c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</x:row>
    <x:row r="470" spans="1:18" ht="12.75" customHeight="1" x14ac:dyDescent="0.2">
      <x:c r="A470" s="89"/>
      <x:c r="B470" s="97"/>
      <x:c r="E470" s="90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</x:row>
    <x:row r="471" spans="1:18" ht="12.75" customHeight="1" x14ac:dyDescent="0.2">
      <x:c r="B471" s="778" t="s">
        <x:v>160</x:v>
      </x:c>
      <x:c r="C471" s="775" t="s">
        <x:v>132</x:v>
      </x:c>
      <x:c r="D471" s="223" t="s">
        <x:v>70</x:v>
      </x:c>
      <x:c r="E471" s="225">
        <x:v>0</x:v>
      </x:c>
      <x:c r="F471" s="225">
        <x:v>0</x:v>
      </x:c>
      <x:c r="G471" s="225">
        <x:v>0</x:v>
      </x:c>
      <x:c r="H471" s="225">
        <x:v>0</x:v>
      </x:c>
      <x:c r="I471" s="225">
        <x:v>0</x:v>
      </x:c>
      <x:c r="J471" s="225">
        <x:v>0</x:v>
      </x:c>
      <x:c r="K471" s="225">
        <x:v>0</x:v>
      </x:c>
      <x:c r="L471" s="225">
        <x:v>0</x:v>
      </x:c>
      <x:c r="M471" s="225">
        <x:v>0</x:v>
      </x:c>
      <x:c r="N471" s="225">
        <x:v>0</x:v>
      </x:c>
      <x:c r="O471" s="225">
        <x:v>0</x:v>
      </x:c>
      <x:c r="P471" s="225">
        <x:v>0</x:v>
      </x:c>
      <x:c r="Q471" s="225">
        <x:v>0</x:v>
      </x:c>
      <x:c r="R471" s="225">
        <x:v>0</x:v>
      </x:c>
    </x:row>
    <x:row r="472" spans="1:18" ht="12.75" customHeight="1" x14ac:dyDescent="0.2">
      <x:c r="B472" s="778"/>
      <x:c r="C472" s="775"/>
      <x:c r="D472" s="223" t="s">
        <x:v>73</x:v>
      </x:c>
      <x:c r="E472" s="225">
        <x:v>0</x:v>
      </x:c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</x:row>
    <x:row r="473" spans="1:18" ht="12.75" customHeight="1" x14ac:dyDescent="0.2">
      <x:c r="A473" s="89"/>
      <x:c r="B473" s="97"/>
      <x:c r="E473" s="90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</x:row>
    <x:row r="474" spans="1:18" ht="12.75" customHeight="1" x14ac:dyDescent="0.2">
      <x:c r="B474" s="778" t="s">
        <x:v>155</x:v>
      </x:c>
      <x:c r="C474" s="775" t="s">
        <x:v>132</x:v>
      </x:c>
      <x:c r="D474" s="221" t="s">
        <x:v>70</x:v>
      </x:c>
      <x:c r="E474" s="222">
        <x:f>E429+E411+E407-K407-K411</x:f>
        <x:v>0</x:v>
      </x:c>
      <x:c r="F474" s="222">
        <x:f>F411+F407</x:f>
        <x:v>0</x:v>
      </x:c>
      <x:c r="G474" s="222">
        <x:f t="shared" ref="G474:R474" si="15">G411+G407</x:f>
        <x:v>0</x:v>
      </x:c>
      <x:c r="H474" s="222">
        <x:f t="shared" si="15"/>
        <x:v>0</x:v>
      </x:c>
      <x:c r="I474" s="222">
        <x:f t="shared" si="15"/>
        <x:v>0</x:v>
      </x:c>
      <x:c r="J474" s="222">
        <x:f t="shared" si="15"/>
        <x:v>0</x:v>
      </x:c>
      <x:c r="K474" s="222">
        <x:f t="shared" si="15"/>
        <x:v>0</x:v>
      </x:c>
      <x:c r="L474" s="222">
        <x:f t="shared" si="15"/>
        <x:v>0</x:v>
      </x:c>
      <x:c r="M474" s="222">
        <x:f t="shared" si="15"/>
        <x:v>0</x:v>
      </x:c>
      <x:c r="N474" s="222">
        <x:f t="shared" si="15"/>
        <x:v>0</x:v>
      </x:c>
      <x:c r="O474" s="222">
        <x:f t="shared" si="15"/>
        <x:v>0</x:v>
      </x:c>
      <x:c r="P474" s="222">
        <x:f t="shared" si="15"/>
        <x:v>0</x:v>
      </x:c>
      <x:c r="Q474" s="222">
        <x:f t="shared" si="15"/>
        <x:v>0</x:v>
      </x:c>
      <x:c r="R474" s="222">
        <x:f t="shared" si="15"/>
        <x:v>0</x:v>
      </x:c>
    </x:row>
    <x:row r="475" spans="1:18" ht="12.75" customHeight="1" x14ac:dyDescent="0.2">
      <x:c r="B475" s="778"/>
      <x:c r="C475" s="775"/>
      <x:c r="D475" s="221" t="s">
        <x:v>73</x:v>
      </x:c>
      <x:c r="E475" s="222">
        <x:f>E429</x:f>
        <x:v>0</x:v>
      </x:c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</x:row>
    <x:row r="476" spans="1:18" ht="12.75" customHeight="1" x14ac:dyDescent="0.2">
      <x:c r="A476" s="89"/>
      <x:c r="B476" s="97"/>
      <x:c r="E476" s="90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</x:row>
    <x:row r="477" spans="1:18" ht="12.75" customHeight="1" x14ac:dyDescent="0.2">
      <x:c r="B477" s="776" t="s">
        <x:v>326</x:v>
      </x:c>
      <x:c r="C477" s="775" t="s">
        <x:v>132</x:v>
      </x:c>
      <x:c r="D477" s="373" t="s">
        <x:v>70</x:v>
      </x:c>
      <x:c r="E477" s="374">
        <x:f>E432+E415-K415</x:f>
        <x:v>0</x:v>
      </x:c>
      <x:c r="F477" s="374">
        <x:f>F415</x:f>
        <x:v>0</x:v>
      </x:c>
      <x:c r="G477" s="374">
        <x:f t="shared" ref="G477:R477" si="16">G415</x:f>
        <x:v>0</x:v>
      </x:c>
      <x:c r="H477" s="374">
        <x:f t="shared" si="16"/>
        <x:v>0</x:v>
      </x:c>
      <x:c r="I477" s="374">
        <x:f t="shared" si="16"/>
        <x:v>0</x:v>
      </x:c>
      <x:c r="J477" s="374">
        <x:f t="shared" si="16"/>
        <x:v>0</x:v>
      </x:c>
      <x:c r="K477" s="374">
        <x:f t="shared" si="16"/>
        <x:v>0</x:v>
      </x:c>
      <x:c r="L477" s="374">
        <x:f t="shared" si="16"/>
        <x:v>0</x:v>
      </x:c>
      <x:c r="M477" s="374">
        <x:f t="shared" si="16"/>
        <x:v>0</x:v>
      </x:c>
      <x:c r="N477" s="374">
        <x:f t="shared" si="16"/>
        <x:v>0</x:v>
      </x:c>
      <x:c r="O477" s="374">
        <x:f t="shared" si="16"/>
        <x:v>0</x:v>
      </x:c>
      <x:c r="P477" s="374">
        <x:f t="shared" si="16"/>
        <x:v>0</x:v>
      </x:c>
      <x:c r="Q477" s="374">
        <x:f t="shared" si="16"/>
        <x:v>0</x:v>
      </x:c>
      <x:c r="R477" s="374">
        <x:f t="shared" si="16"/>
        <x:v>0</x:v>
      </x:c>
    </x:row>
    <x:row r="478" spans="1:18" ht="12.75" customHeight="1" x14ac:dyDescent="0.2">
      <x:c r="B478" s="776"/>
      <x:c r="C478" s="775"/>
      <x:c r="D478" s="373" t="s">
        <x:v>73</x:v>
      </x:c>
      <x:c r="E478" s="374">
        <x:f>E432</x:f>
        <x:v>0</x:v>
      </x:c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</x:row>
    <x:row r="479" spans="1:18" ht="12.75" customHeight="1" x14ac:dyDescent="0.2">
      <x:c r="B479" s="719"/>
      <x:c r="C479" s="220"/>
      <x:c r="D479" s="89"/>
      <x:c r="E479" s="90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</x:row>
    <x:row r="480" spans="1:18" ht="12.75" customHeight="1" x14ac:dyDescent="0.2">
      <x:c r="B480" s="778" t="s">
        <x:v>119</x:v>
      </x:c>
      <x:c r="C480" s="775" t="s">
        <x:v>132</x:v>
      </x:c>
      <x:c r="D480" s="101" t="s">
        <x:v>70</x:v>
      </x:c>
      <x:c r="E480" s="93">
        <x:f>E425+E439-K425</x:f>
        <x:v>0</x:v>
      </x:c>
      <x:c r="F480" s="93">
        <x:f>F425</x:f>
        <x:v>0</x:v>
      </x:c>
      <x:c r="G480" s="93">
        <x:f t="shared" ref="G480:R480" si="17">G425</x:f>
        <x:v>0</x:v>
      </x:c>
      <x:c r="H480" s="93">
        <x:f t="shared" si="17"/>
        <x:v>0</x:v>
      </x:c>
      <x:c r="I480" s="93">
        <x:f t="shared" si="17"/>
        <x:v>0</x:v>
      </x:c>
      <x:c r="J480" s="93">
        <x:f t="shared" si="17"/>
        <x:v>0</x:v>
      </x:c>
      <x:c r="K480" s="93">
        <x:f t="shared" si="17"/>
        <x:v>0</x:v>
      </x:c>
      <x:c r="L480" s="93">
        <x:f t="shared" si="17"/>
        <x:v>0</x:v>
      </x:c>
      <x:c r="M480" s="93">
        <x:f t="shared" si="17"/>
        <x:v>0</x:v>
      </x:c>
      <x:c r="N480" s="93">
        <x:f t="shared" si="17"/>
        <x:v>0</x:v>
      </x:c>
      <x:c r="O480" s="93">
        <x:f t="shared" si="17"/>
        <x:v>0</x:v>
      </x:c>
      <x:c r="P480" s="93">
        <x:f t="shared" si="17"/>
        <x:v>0</x:v>
      </x:c>
      <x:c r="Q480" s="93">
        <x:f t="shared" si="17"/>
        <x:v>0</x:v>
      </x:c>
      <x:c r="R480" s="93">
        <x:f t="shared" si="17"/>
        <x:v>0</x:v>
      </x:c>
    </x:row>
    <x:row r="481" spans="1:18" ht="12.75" customHeight="1" x14ac:dyDescent="0.2">
      <x:c r="B481" s="778"/>
      <x:c r="C481" s="775"/>
      <x:c r="D481" s="101" t="s">
        <x:v>73</x:v>
      </x:c>
      <x:c r="E481" s="93">
        <x:f>E439</x:f>
        <x:v>0</x:v>
      </x:c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</x:row>
    <x:row r="482" spans="1:18" ht="12.75" customHeight="1" x14ac:dyDescent="0.2">
      <x:c r="A482" s="89"/>
      <x:c r="B482" s="97"/>
      <x:c r="E482" s="90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</x:row>
    <x:row r="483" spans="1:18" ht="12.75" customHeight="1" x14ac:dyDescent="0.2">
      <x:c r="B483" s="777" t="s">
        <x:v>161</x:v>
      </x:c>
      <x:c r="C483" s="775" t="s">
        <x:v>132</x:v>
      </x:c>
      <x:c r="D483" s="231" t="s">
        <x:v>70</x:v>
      </x:c>
      <x:c r="E483" s="232">
        <x:v>0</x:v>
      </x:c>
      <x:c r="F483" s="232">
        <x:v>0</x:v>
      </x:c>
      <x:c r="G483" s="232">
        <x:v>0</x:v>
      </x:c>
      <x:c r="H483" s="232">
        <x:v>0</x:v>
      </x:c>
      <x:c r="I483" s="232">
        <x:v>0</x:v>
      </x:c>
      <x:c r="J483" s="232">
        <x:v>0</x:v>
      </x:c>
      <x:c r="K483" s="232">
        <x:v>0</x:v>
      </x:c>
      <x:c r="L483" s="232">
        <x:v>0</x:v>
      </x:c>
      <x:c r="M483" s="232">
        <x:v>0</x:v>
      </x:c>
      <x:c r="N483" s="232">
        <x:v>0</x:v>
      </x:c>
      <x:c r="O483" s="232">
        <x:v>0</x:v>
      </x:c>
      <x:c r="P483" s="232">
        <x:v>0</x:v>
      </x:c>
      <x:c r="Q483" s="232">
        <x:v>0</x:v>
      </x:c>
      <x:c r="R483" s="232">
        <x:v>0</x:v>
      </x:c>
    </x:row>
    <x:row r="484" spans="1:18" ht="12.75" customHeight="1" x14ac:dyDescent="0.2">
      <x:c r="B484" s="777"/>
      <x:c r="C484" s="775"/>
      <x:c r="D484" s="231" t="s">
        <x:v>73</x:v>
      </x:c>
      <x:c r="E484" s="232">
        <x:v>0</x:v>
      </x:c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s="238" customFormat="1" x14ac:dyDescent="0.2"/>
  </x:sheetData>
  <x:mergeCells count="60">
    <x:mergeCell ref="B59:B60"/>
    <x:mergeCell ref="C59:C60"/>
    <x:mergeCell ref="B170:B171"/>
    <x:mergeCell ref="C170:C171"/>
    <x:mergeCell ref="B62:B63"/>
    <x:mergeCell ref="C62:C63"/>
    <x:mergeCell ref="B155:B156"/>
    <x:mergeCell ref="C155:C156"/>
    <x:mergeCell ref="B158:B159"/>
    <x:mergeCell ref="C158:C159"/>
    <x:mergeCell ref="B161:B162"/>
    <x:mergeCell ref="C161:C162"/>
    <x:mergeCell ref="B167:B168"/>
    <x:mergeCell ref="C167:C168"/>
    <x:mergeCell ref="B164:B165"/>
    <x:mergeCell ref="C164:C165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273:B274"/>
    <x:mergeCell ref="C273:C274"/>
    <x:mergeCell ref="B276:B277"/>
    <x:mergeCell ref="C276:C277"/>
    <x:mergeCell ref="B279:B280"/>
    <x:mergeCell ref="C279:C280"/>
    <x:mergeCell ref="B285:B286"/>
    <x:mergeCell ref="C285:C286"/>
    <x:mergeCell ref="B282:B283"/>
    <x:mergeCell ref="C282:C283"/>
    <x:mergeCell ref="B288:B289"/>
    <x:mergeCell ref="C288:C289"/>
    <x:mergeCell ref="B384:B385"/>
    <x:mergeCell ref="C384:C385"/>
    <x:mergeCell ref="B387:B388"/>
    <x:mergeCell ref="C387:C388"/>
    <x:mergeCell ref="B390:B391"/>
    <x:mergeCell ref="C390:C391"/>
    <x:mergeCell ref="B396:B397"/>
    <x:mergeCell ref="C396:C397"/>
    <x:mergeCell ref="B399:B400"/>
    <x:mergeCell ref="C399:C400"/>
    <x:mergeCell ref="B393:B394"/>
    <x:mergeCell ref="C393:C394"/>
    <x:mergeCell ref="B468:B469"/>
    <x:mergeCell ref="C468:C469"/>
    <x:mergeCell ref="B471:B472"/>
    <x:mergeCell ref="C471:C472"/>
    <x:mergeCell ref="B474:B475"/>
    <x:mergeCell ref="C474:C475"/>
    <x:mergeCell ref="B480:B481"/>
    <x:mergeCell ref="C480:C481"/>
    <x:mergeCell ref="B483:B484"/>
    <x:mergeCell ref="C483:C484"/>
    <x:mergeCell ref="B477:B478"/>
    <x:mergeCell ref="C477:C47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2578125" defaultRowHeight="12.75" x14ac:dyDescent="0.2"/>
  <x:cols>
    <x:col min="1" max="1" width="21.140625" style="616" customWidth="1"/>
    <x:col min="2" max="2" width="19.85546875" style="616" bestFit="1" customWidth="1"/>
    <x:col min="3" max="3" width="24.85546875" style="616" bestFit="1" customWidth="1"/>
    <x:col min="4" max="4" width="23.140625" style="616" bestFit="1" customWidth="1"/>
    <x:col min="5" max="5" width="15.85546875" style="616" bestFit="1" customWidth="1"/>
    <x:col min="6" max="6" width="15.42578125" style="616" bestFit="1" customWidth="1"/>
    <x:col min="7" max="7" width="15.42578125" style="616" customWidth="1"/>
    <x:col min="8" max="8" width="16.42578125" style="616" bestFit="1" customWidth="1"/>
    <x:col min="9" max="9" width="18" style="616" bestFit="1" customWidth="1"/>
    <x:col min="10" max="10" width="17" style="616" bestFit="1" customWidth="1"/>
    <x:col min="11" max="11" width="15.5703125" style="616" bestFit="1" customWidth="1"/>
    <x:col min="12" max="13" width="15.85546875" style="616" bestFit="1" customWidth="1"/>
    <x:col min="14" max="14" width="21.42578125" style="616" bestFit="1" customWidth="1"/>
    <x:col min="15" max="16" width="20.42578125" style="616" bestFit="1" customWidth="1"/>
    <x:col min="17" max="17" width="20" style="616" bestFit="1" customWidth="1"/>
    <x:col min="18" max="16384" width="11.42578125" style="616"/>
  </x:cols>
  <x:sheetData>
    <x:row r="1" spans="1:18" x14ac:dyDescent="0.2">
      <x:c r="B1" s="617" t="s">
        <x:v>74</x:v>
      </x:c>
    </x:row>
    <x:row r="2" spans="1:18" ht="12.75" customHeight="1" x14ac:dyDescent="0.2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">
      <x:c r="C3" s="616" t="s">
        <x:v>72</x:v>
      </x:c>
      <x:c r="D3" s="618" t="n">
        <x:v>-48725.8</x:v>
      </x:c>
      <x:c r="E3" s="618" t="n">
        <x:v>-2974.76</x:v>
      </x:c>
      <x:c r="F3" s="618" t="n">
        <x:v>-1679.55</x:v>
      </x:c>
      <x:c r="G3" s="620" t="n">
        <x:v>-881.55</x:v>
      </x:c>
      <x:c r="H3" s="618" t="n">
        <x:v>-11542.33</x:v>
      </x:c>
      <x:c r="I3" s="618" t="n">
        <x:v>-391.85</x:v>
      </x:c>
      <x:c r="J3" s="618" t="n">
        <x:v>-3437.25</x:v>
      </x:c>
      <x:c r="K3" s="618" t="n">
        <x:v>-3322.9</x:v>
      </x:c>
      <x:c r="L3" s="618" t="n">
        <x:v>-15733.99</x:v>
      </x:c>
      <x:c r="M3" s="618" t="n">
        <x:v>-8124.53</x:v>
      </x:c>
      <x:c r="N3" s="618" t="n">
        <x:v>-639.32</x:v>
      </x:c>
      <x:c r="O3" s="618" t="n">
        <x:v>2.23</x:v>
      </x:c>
      <x:c r="P3" s="618">
        <x:v>0</x:v>
      </x:c>
      <x:c r="Q3" s="618">
        <x:v>0</x:v>
      </x:c>
      <x:c r="R3" s="616" t="n">
        <x:v>0</x:v>
      </x:c>
    </x:row>
    <x:row r="4" spans="1:18" ht="12.6" customHeight="1" x14ac:dyDescent="0.2">
      <x:c r="C4" s="616" t="s">
        <x:v>81</x:v>
      </x:c>
      <x:c r="D4" s="618">
        <x:v>0</x:v>
      </x:c>
      <x:c r="E4" s="618">
        <x:v>0</x:v>
      </x:c>
      <x:c r="F4" s="618">
        <x:v>0</x:v>
      </x:c>
      <x:c r="G4" s="620">
        <x:v>0</x:v>
      </x:c>
      <x:c r="H4" s="618">
        <x:v>0</x:v>
      </x:c>
      <x:c r="I4" s="618">
        <x:v>0</x:v>
      </x:c>
      <x:c r="J4" s="618">
        <x:v>0</x:v>
      </x:c>
      <x:c r="K4" s="618">
        <x:v>0</x:v>
      </x:c>
      <x:c r="L4" s="618">
        <x:v>0</x:v>
      </x:c>
      <x:c r="M4" s="618">
        <x:v>0</x:v>
      </x:c>
      <x:c r="N4" s="618">
        <x:v>0</x:v>
      </x:c>
      <x:c r="O4" s="618">
        <x:v>0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">
      <x:c r="B5" s="622" t="s">
        <x:v>78</x:v>
      </x:c>
      <x:c r="C5" s="622" t="s">
        <x:v>70</x:v>
      </x:c>
      <x:c r="D5" s="622" t="n">
        <x:v>-48725.8</x:v>
      </x:c>
      <x:c r="E5" s="622" t="n">
        <x:v>-2974.76</x:v>
      </x:c>
      <x:c r="F5" s="622" t="n">
        <x:v>-1679.55</x:v>
      </x:c>
      <x:c r="G5" s="622" t="n">
        <x:v>-881.55</x:v>
      </x:c>
      <x:c r="H5" s="622" t="n">
        <x:v>-11542.33</x:v>
      </x:c>
      <x:c r="I5" s="622" t="n">
        <x:v>-391.85</x:v>
      </x:c>
      <x:c r="J5" s="622" t="n">
        <x:v>-3437.25</x:v>
      </x:c>
      <x:c r="K5" s="622" t="n">
        <x:v>-3322.9</x:v>
      </x:c>
      <x:c r="L5" s="622" t="n">
        <x:v>-15733.99</x:v>
      </x:c>
      <x:c r="M5" s="622" t="n">
        <x:v>-8124.53</x:v>
      </x:c>
      <x:c r="N5" s="622" t="n">
        <x:v>-639.32</x:v>
      </x:c>
      <x:c r="O5" s="622" t="n">
        <x:v>2.23</x:v>
      </x:c>
      <x:c r="P5" s="621">
        <x:v>0</x:v>
      </x:c>
      <x:c r="Q5" s="622">
        <x:v>0</x:v>
      </x:c>
      <x:c r="R5" s="622" t="n">
        <x:v>0</x:v>
      </x:c>
    </x:row>
    <x:row r="6" spans="1:18" ht="12.75" customHeight="1" x14ac:dyDescent="0.2">
      <x:c r="C6" s="616" t="s">
        <x:v>73</x:v>
      </x:c>
      <x:c r="D6" s="618" t="n">
        <x:v>-24364.2</x:v>
      </x:c>
      <x:c r="E6" s="618" t="n">
        <x:v>-1487.39</x:v>
      </x:c>
      <x:c r="F6" s="618" t="n">
        <x:v>-839.77</x:v>
      </x:c>
      <x:c r="G6" s="620" t="n">
        <x:v>-440.78</x:v>
      </x:c>
      <x:c r="H6" s="618" t="n">
        <x:v>-5771.33</x:v>
      </x:c>
      <x:c r="I6" s="618" t="n">
        <x:v>-195.93</x:v>
      </x:c>
      <x:c r="J6" s="618" t="n">
        <x:v>-1718.62</x:v>
      </x:c>
      <x:c r="K6" s="618" t="n">
        <x:v>-1661.45</x:v>
      </x:c>
      <x:c r="L6" s="618" t="n">
        <x:v>-7867</x:v>
      </x:c>
      <x:c r="M6" s="618" t="n">
        <x:v>-4062.27</x:v>
      </x:c>
      <x:c r="N6" s="618" t="n">
        <x:v>-319.66</x:v>
      </x:c>
      <x:c r="O6" s="618" t="n">
        <x:v>0</x:v>
      </x:c>
      <x:c r="P6" s="618">
        <x:v>0</x:v>
      </x:c>
      <x:c r="Q6" s="618">
        <x:v>0</x:v>
      </x:c>
      <x:c r="R6" s="616" t="n">
        <x:v>0</x:v>
      </x:c>
    </x:row>
    <x:row r="7" spans="1:18" s="623" customFormat="1" ht="12.75" customHeight="1" x14ac:dyDescent="0.2">
      <x:c r="B7" s="624" t="s">
        <x:v>79</x:v>
      </x:c>
      <x:c r="C7" s="624" t="s">
        <x:v>70</x:v>
      </x:c>
      <x:c r="D7" s="624" t="n">
        <x:v>-24364.2</x:v>
      </x:c>
      <x:c r="E7" s="624" t="n">
        <x:v>-1487.39</x:v>
      </x:c>
      <x:c r="F7" s="624" t="n">
        <x:v>-839.77</x:v>
      </x:c>
      <x:c r="G7" s="624" t="n">
        <x:v>-440.78</x:v>
      </x:c>
      <x:c r="H7" s="624" t="n">
        <x:v>-5771.33</x:v>
      </x:c>
      <x:c r="I7" s="624" t="n">
        <x:v>-195.93</x:v>
      </x:c>
      <x:c r="J7" s="624" t="n">
        <x:v>-1718.62</x:v>
      </x:c>
      <x:c r="K7" s="624" t="n">
        <x:v>-1661.45</x:v>
      </x:c>
      <x:c r="L7" s="624" t="n">
        <x:v>-7867</x:v>
      </x:c>
      <x:c r="M7" s="624" t="n">
        <x:v>-4062.27</x:v>
      </x:c>
      <x:c r="N7" s="624" t="n">
        <x:v>-319.66</x:v>
      </x:c>
      <x:c r="O7" s="624" t="n">
        <x:v>0</x:v>
      </x:c>
      <x:c r="P7" s="623">
        <x:v>0</x:v>
      </x:c>
      <x:c r="Q7" s="624">
        <x:v>0</x:v>
      </x:c>
      <x:c r="R7" s="624" t="n">
        <x:v>0</x:v>
      </x:c>
    </x:row>
    <x:row r="8" spans="1:18" s="625" customFormat="1" ht="12.75" customHeight="1" x14ac:dyDescent="0.2">
      <x:c r="A8" s="625" t="s">
        <x:v>155</x:v>
      </x:c>
      <x:c r="B8" s="625" t="s">
        <x:v>70</x:v>
      </x:c>
      <x:c r="D8" s="626" t="n">
        <x:v>-73090</x:v>
      </x:c>
      <x:c r="E8" s="626" t="n">
        <x:v>-4462.15</x:v>
      </x:c>
      <x:c r="F8" s="626" t="n">
        <x:v>-2519.32</x:v>
      </x:c>
      <x:c r="G8" s="627" t="n">
        <x:v>-1322.33</x:v>
      </x:c>
      <x:c r="H8" s="626" t="n">
        <x:v>-17313.66</x:v>
      </x:c>
      <x:c r="I8" s="626" t="n">
        <x:v>-587.78</x:v>
      </x:c>
      <x:c r="J8" s="626" t="n">
        <x:v>-5155.87</x:v>
      </x:c>
      <x:c r="K8" s="626" t="n">
        <x:v>-4984.35</x:v>
      </x:c>
      <x:c r="L8" s="626" t="n">
        <x:v>-23600.99</x:v>
      </x:c>
      <x:c r="M8" s="626" t="n">
        <x:v>-12186.8</x:v>
      </x:c>
      <x:c r="N8" s="626" t="n">
        <x:v>-958.98</x:v>
      </x:c>
      <x:c r="O8" s="626" t="n">
        <x:v>2.23</x:v>
      </x:c>
      <x:c r="P8" s="626">
        <x:v>0</x:v>
      </x:c>
      <x:c r="Q8" s="626">
        <x:v>0</x:v>
      </x:c>
      <x:c r="R8" s="625" t="n">
        <x:v>0</x:v>
      </x:c>
    </x:row>
    <x:row r="9" spans="1:18" ht="12.75" customHeight="1" x14ac:dyDescent="0.2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628" customFormat="1" ht="12.75" customHeight="1" x14ac:dyDescent="0.2">
      <x:c r="A14" s="628" t="s">
        <x:v>119</x:v>
      </x:c>
      <x:c r="B14" s="628" t="s">
        <x:v>70</x:v>
      </x:c>
      <x:c r="D14" s="628">
        <x:v>0</x:v>
      </x:c>
      <x:c r="E14" s="628">
        <x:v>0</x:v>
      </x:c>
      <x:c r="F14" s="628">
        <x:v>0</x:v>
      </x:c>
      <x:c r="G14" s="628">
        <x:v>0</x:v>
      </x:c>
      <x:c r="H14" s="628">
        <x:v>0</x:v>
      </x:c>
      <x:c r="I14" s="628">
        <x:v>0</x:v>
      </x:c>
      <x:c r="J14" s="628">
        <x:v>0</x:v>
      </x:c>
      <x:c r="K14" s="628">
        <x:v>0</x:v>
      </x:c>
      <x:c r="L14" s="628">
        <x:v>0</x:v>
      </x:c>
      <x:c r="M14" s="628">
        <x:v>0</x:v>
      </x:c>
      <x:c r="N14" s="628">
        <x:v>0</x:v>
      </x:c>
      <x:c r="O14" s="628">
        <x:v>0</x:v>
      </x:c>
      <x:c r="P14" s="628">
        <x:v>0</x:v>
      </x:c>
      <x:c r="Q14" s="628">
        <x:v>0</x:v>
      </x:c>
      <x:c r="R14" s="628">
        <x:v>0</x:v>
      </x:c>
    </x:row>
    <x:row r="15" spans="1:18" s="631" customFormat="1" ht="12.75" customHeight="1" x14ac:dyDescent="0.2">
      <x:c r="A15" s="630" t="s">
        <x:v>70</x:v>
      </x:c>
      <x:c r="D15" s="630" t="n">
        <x:v>-73090</x:v>
      </x:c>
      <x:c r="E15" s="630" t="n">
        <x:v>-4462.15</x:v>
      </x:c>
      <x:c r="F15" s="630" t="n">
        <x:v>-2519.32</x:v>
      </x:c>
      <x:c r="G15" s="630" t="n">
        <x:v>-1322.33</x:v>
      </x:c>
      <x:c r="H15" s="630" t="n">
        <x:v>-17313.66</x:v>
      </x:c>
      <x:c r="I15" s="630" t="n">
        <x:v>-587.78</x:v>
      </x:c>
      <x:c r="J15" s="630" t="n">
        <x:v>-5155.87</x:v>
      </x:c>
      <x:c r="K15" s="630" t="n">
        <x:v>-4984.35</x:v>
      </x:c>
      <x:c r="L15" s="630" t="n">
        <x:v>-23600.99</x:v>
      </x:c>
      <x:c r="M15" s="630" t="n">
        <x:v>-12186.8</x:v>
      </x:c>
      <x:c r="N15" s="630" t="n">
        <x:v>-958.98</x:v>
      </x:c>
      <x:c r="O15" s="630" t="n">
        <x:v>2.23</x:v>
      </x:c>
      <x:c r="P15" s="631" t="n">
        <x:v>0</x:v>
      </x:c>
      <x:c r="Q15" s="630">
        <x:v>0</x:v>
      </x:c>
      <x:c r="R15" s="630" t="n">
        <x:v>0</x:v>
      </x:c>
    </x:row>
    <x:row r="16" spans="1:18" ht="12.75" customHeight="1" x14ac:dyDescent="0.2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2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2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2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2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2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2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2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2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2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2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2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2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2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2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2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2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2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2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2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2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2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2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2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2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2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2">
      <x:c r="A82" s="779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2">
      <x:c r="A83" s="779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2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2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2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">
      <x:c r="A88" s="782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2">
      <x:c r="A89" s="782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2"/>
    <x:row r="91" spans="1:18" x14ac:dyDescent="0.2">
      <x:c r="B91" s="617" t="s">
        <x:v>75</x:v>
      </x:c>
    </x:row>
    <x:row r="92" spans="1:18" ht="12.6" customHeight="1" x14ac:dyDescent="0.2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2">
      <x:c r="C93" s="616" t="s">
        <x:v>72</x:v>
      </x:c>
      <x:c r="D93" s="618" t="n">
        <x:v>-13979536.23</x:v>
      </x:c>
      <x:c r="E93" s="618" t="n">
        <x:v>-1011020.96</x:v>
      </x:c>
      <x:c r="F93" s="618" t="n">
        <x:v>-569741.9</x:v>
      </x:c>
      <x:c r="G93" s="620" t="n">
        <x:v>-302808.68</x:v>
      </x:c>
      <x:c r="H93" s="618" t="n">
        <x:v>-3143579.34</x:v>
      </x:c>
      <x:c r="I93" s="618" t="n">
        <x:v>-114670.57</x:v>
      </x:c>
      <x:c r="J93" s="618" t="n">
        <x:v>-999077.71</x:v>
      </x:c>
      <x:c r="K93" s="618" t="n">
        <x:v>-992418.25</x:v>
      </x:c>
      <x:c r="L93" s="618" t="n">
        <x:v>-4654848.09</x:v>
      </x:c>
      <x:c r="M93" s="618" t="n">
        <x:v>-2004239.59</x:v>
      </x:c>
      <x:c r="N93" s="618" t="n">
        <x:v>-187093.83</x:v>
      </x:c>
      <x:c r="O93" s="618" t="n">
        <x:v>-37.31</x:v>
      </x:c>
      <x:c r="P93" s="616">
        <x:v>0</x:v>
      </x:c>
      <x:c r="Q93" s="618">
        <x:v>0</x:v>
      </x:c>
      <x:c r="R93" s="616" t="n">
        <x:v>0</x:v>
      </x:c>
    </x:row>
    <x:row r="94" spans="1:18" ht="12.75" customHeight="1" x14ac:dyDescent="0.2">
      <x:c r="C94" s="616" t="s">
        <x:v>81</x:v>
      </x:c>
      <x:c r="D94" s="618" t="n">
        <x:v>-233620.09</x:v>
      </x:c>
      <x:c r="E94" s="618" t="n">
        <x:v>-22452.42</x:v>
      </x:c>
      <x:c r="F94" s="618" t="n">
        <x:v>-8081.16</x:v>
      </x:c>
      <x:c r="G94" s="620" t="n">
        <x:v>-2654.63</x:v>
      </x:c>
      <x:c r="H94" s="618" t="n">
        <x:v>-44917.62</x:v>
      </x:c>
      <x:c r="I94" s="618" t="n">
        <x:v>-2082.42</x:v>
      </x:c>
      <x:c r="J94" s="618" t="n">
        <x:v>-18240.53</x:v>
      </x:c>
      <x:c r="K94" s="618" t="n">
        <x:v>-18956.12</x:v>
      </x:c>
      <x:c r="L94" s="618" t="n">
        <x:v>-65568.83</x:v>
      </x:c>
      <x:c r="M94" s="618" t="n">
        <x:v>-47271.83</x:v>
      </x:c>
      <x:c r="N94" s="618" t="n">
        <x:v>-3396.54</x:v>
      </x:c>
      <x:c r="O94" s="618" t="n">
        <x:v>2.01</x:v>
      </x:c>
      <x:c r="P94" s="616">
        <x:v>0</x:v>
      </x:c>
      <x:c r="Q94" s="618">
        <x:v>0</x:v>
      </x:c>
      <x:c r="R94" s="616" t="n">
        <x:v>0</x:v>
      </x:c>
    </x:row>
    <x:row r="95" spans="1:18" s="621" customFormat="1" ht="12.75" customHeight="1" x14ac:dyDescent="0.2">
      <x:c r="B95" s="622" t="s">
        <x:v>78</x:v>
      </x:c>
      <x:c r="C95" s="622" t="s">
        <x:v>70</x:v>
      </x:c>
      <x:c r="D95" s="622" t="n">
        <x:v>-14213156.32</x:v>
      </x:c>
      <x:c r="E95" s="622" t="n">
        <x:v>-1033473.38</x:v>
      </x:c>
      <x:c r="F95" s="622" t="n">
        <x:v>-577823.06</x:v>
      </x:c>
      <x:c r="G95" s="622" t="n">
        <x:v>-305463.31</x:v>
      </x:c>
      <x:c r="H95" s="622" t="n">
        <x:v>-3188496.96</x:v>
      </x:c>
      <x:c r="I95" s="622" t="n">
        <x:v>-116752.99</x:v>
      </x:c>
      <x:c r="J95" s="622" t="n">
        <x:v>-1017318.24</x:v>
      </x:c>
      <x:c r="K95" s="622" t="n">
        <x:v>-1011374.37</x:v>
      </x:c>
      <x:c r="L95" s="622" t="n">
        <x:v>-4720416.92</x:v>
      </x:c>
      <x:c r="M95" s="622" t="n">
        <x:v>-2051511.42</x:v>
      </x:c>
      <x:c r="N95" s="622" t="n">
        <x:v>-190490.37</x:v>
      </x:c>
      <x:c r="O95" s="622" t="n">
        <x:v>-35.3</x:v>
      </x:c>
      <x:c r="P95" s="621">
        <x:v>0</x:v>
      </x:c>
      <x:c r="Q95" s="622">
        <x:v>0</x:v>
      </x:c>
      <x:c r="R95" s="622" t="n">
        <x:v>0</x:v>
      </x:c>
    </x:row>
    <x:row r="96" spans="1:18" ht="12.75" customHeight="1" x14ac:dyDescent="0.2">
      <x:c r="C96" s="616" t="s">
        <x:v>73</x:v>
      </x:c>
      <x:c r="D96" s="618" t="n">
        <x:v>765564.32</x:v>
      </x:c>
      <x:c r="E96" s="618" t="n">
        <x:v>-205919.7</x:v>
      </x:c>
      <x:c r="F96" s="618" t="n">
        <x:v>-115649.85</x:v>
      </x:c>
      <x:c r="G96" s="620" t="n">
        <x:v>-63315.96</x:v>
      </x:c>
      <x:c r="H96" s="618" t="n">
        <x:v>488474.53</x:v>
      </x:c>
      <x:c r="I96" s="618" t="n">
        <x:v>18030.1</x:v>
      </x:c>
      <x:c r="J96" s="618" t="n">
        <x:v>158157.98</x:v>
      </x:c>
      <x:c r="K96" s="618" t="n">
        <x:v>154048.7</x:v>
      </x:c>
      <x:c r="L96" s="618" t="n">
        <x:v>723098.08</x:v>
      </x:c>
      <x:c r="M96" s="618" t="n">
        <x:v>-420776.85</x:v>
      </x:c>
      <x:c r="N96" s="618" t="n">
        <x:v>29417.29</x:v>
      </x:c>
      <x:c r="O96" s="618" t="n">
        <x:v>0</x:v>
      </x:c>
      <x:c r="P96" s="616">
        <x:v>0</x:v>
      </x:c>
      <x:c r="Q96" s="618">
        <x:v>0</x:v>
      </x:c>
      <x:c r="R96" s="616" t="n">
        <x:v>0</x:v>
      </x:c>
    </x:row>
    <x:row r="97" spans="1:18" s="623" customFormat="1" ht="12.75" customHeight="1" x14ac:dyDescent="0.2">
      <x:c r="B97" s="623" t="s">
        <x:v>79</x:v>
      </x:c>
      <x:c r="C97" s="623" t="s">
        <x:v>70</x:v>
      </x:c>
      <x:c r="D97" s="636" t="n">
        <x:v>765564.32</x:v>
      </x:c>
      <x:c r="E97" s="624" t="n">
        <x:v>-205919.7</x:v>
      </x:c>
      <x:c r="F97" s="624" t="n">
        <x:v>-115649.85</x:v>
      </x:c>
      <x:c r="G97" s="636" t="n">
        <x:v>-63315.96</x:v>
      </x:c>
      <x:c r="H97" s="624" t="n">
        <x:v>488474.53</x:v>
      </x:c>
      <x:c r="I97" s="624" t="n">
        <x:v>18030.1</x:v>
      </x:c>
      <x:c r="J97" s="624" t="n">
        <x:v>158157.98</x:v>
      </x:c>
      <x:c r="K97" s="624" t="n">
        <x:v>154048.7</x:v>
      </x:c>
      <x:c r="L97" s="624" t="n">
        <x:v>723098.08</x:v>
      </x:c>
      <x:c r="M97" s="624" t="n">
        <x:v>-420776.85</x:v>
      </x:c>
      <x:c r="N97" s="624" t="n">
        <x:v>29417.29</x:v>
      </x:c>
      <x:c r="O97" s="624" t="n">
        <x:v>0</x:v>
      </x:c>
      <x:c r="P97" s="623">
        <x:v>0</x:v>
      </x:c>
      <x:c r="Q97" s="624">
        <x:v>0</x:v>
      </x:c>
      <x:c r="R97" s="623" t="n">
        <x:v>0</x:v>
      </x:c>
    </x:row>
    <x:row r="98" spans="1:18" s="625" customFormat="1" ht="12.75" customHeight="1" x14ac:dyDescent="0.2">
      <x:c r="A98" s="625" t="s">
        <x:v>155</x:v>
      </x:c>
      <x:c r="B98" s="625" t="s">
        <x:v>70</x:v>
      </x:c>
      <x:c r="D98" s="626" t="n">
        <x:v>-13447592</x:v>
      </x:c>
      <x:c r="E98" s="626" t="n">
        <x:v>-1239393.08</x:v>
      </x:c>
      <x:c r="F98" s="626" t="n">
        <x:v>-693472.91</x:v>
      </x:c>
      <x:c r="G98" s="627" t="n">
        <x:v>-368779.27</x:v>
      </x:c>
      <x:c r="H98" s="626" t="n">
        <x:v>-2700022.43</x:v>
      </x:c>
      <x:c r="I98" s="626" t="n">
        <x:v>-98722.89</x:v>
      </x:c>
      <x:c r="J98" s="626" t="n">
        <x:v>-859160.26</x:v>
      </x:c>
      <x:c r="K98" s="626" t="n">
        <x:v>-857325.67</x:v>
      </x:c>
      <x:c r="L98" s="626" t="n">
        <x:v>-3997318.84</x:v>
      </x:c>
      <x:c r="M98" s="626" t="n">
        <x:v>-2472288.27</x:v>
      </x:c>
      <x:c r="N98" s="626" t="n">
        <x:v>-161073.08</x:v>
      </x:c>
      <x:c r="O98" s="626" t="n">
        <x:v>-35.3</x:v>
      </x:c>
      <x:c r="P98" s="625">
        <x:v>0</x:v>
      </x:c>
      <x:c r="Q98" s="626">
        <x:v>0</x:v>
      </x:c>
      <x:c r="R98" s="625" t="n">
        <x:v>0</x:v>
      </x:c>
    </x:row>
    <x:row r="99" spans="1:18" ht="12.75" customHeight="1" x14ac:dyDescent="0.2">
      <x:c r="C99" s="616" t="s">
        <x:v>72</x:v>
      </x:c>
      <x:c r="D99" s="620">
        <x:v>0</x:v>
      </x:c>
      <x:c r="E99" s="618">
        <x:v>0</x:v>
      </x:c>
      <x:c r="F99" s="618">
        <x:v>0</x:v>
      </x:c>
      <x:c r="G99" s="620">
        <x:v>0</x:v>
      </x:c>
      <x:c r="H99" s="618">
        <x:v>0</x:v>
      </x:c>
      <x:c r="I99" s="618">
        <x:v>0</x:v>
      </x:c>
      <x:c r="J99" s="618">
        <x:v>0</x:v>
      </x:c>
      <x:c r="K99" s="618">
        <x:v>0</x:v>
      </x:c>
      <x:c r="L99" s="618">
        <x:v>0</x:v>
      </x:c>
      <x:c r="M99" s="618">
        <x:v>0</x:v>
      </x:c>
      <x:c r="N99" s="618">
        <x:v>0</x:v>
      </x:c>
      <x:c r="O99" s="618">
        <x:v>0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2">
      <x:c r="C100" s="616" t="s">
        <x:v>81</x:v>
      </x:c>
      <x:c r="D100" s="618">
        <x:v>0</x:v>
      </x:c>
      <x:c r="E100" s="618">
        <x:v>0</x:v>
      </x:c>
      <x:c r="F100" s="618">
        <x:v>0</x:v>
      </x:c>
      <x:c r="G100" s="620">
        <x:v>0</x:v>
      </x:c>
      <x:c r="H100" s="618">
        <x:v>0</x:v>
      </x:c>
      <x:c r="I100" s="618">
        <x:v>0</x:v>
      </x:c>
      <x:c r="J100" s="618">
        <x:v>0</x:v>
      </x:c>
      <x:c r="K100" s="618">
        <x:v>0</x:v>
      </x:c>
      <x:c r="L100" s="618">
        <x:v>0</x:v>
      </x:c>
      <x:c r="M100" s="618">
        <x:v>0</x:v>
      </x:c>
      <x:c r="N100" s="618">
        <x:v>0</x:v>
      </x:c>
      <x:c r="O100" s="618">
        <x:v>0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">
      <x:c r="B101" s="622" t="s">
        <x:v>78</x:v>
      </x:c>
      <x:c r="C101" s="622" t="s">
        <x:v>70</x:v>
      </x:c>
      <x:c r="D101" s="622">
        <x:v>0</x:v>
      </x:c>
      <x:c r="E101" s="622">
        <x:v>0</x:v>
      </x:c>
      <x:c r="F101" s="622">
        <x:v>0</x:v>
      </x:c>
      <x:c r="G101" s="622">
        <x:v>0</x:v>
      </x:c>
      <x:c r="H101" s="622">
        <x:v>0</x:v>
      </x:c>
      <x:c r="I101" s="622">
        <x:v>0</x:v>
      </x:c>
      <x:c r="J101" s="622">
        <x:v>0</x:v>
      </x:c>
      <x:c r="K101" s="622">
        <x:v>0</x:v>
      </x:c>
      <x:c r="L101" s="622">
        <x:v>0</x:v>
      </x:c>
      <x:c r="M101" s="622">
        <x:v>0</x:v>
      </x:c>
      <x:c r="N101" s="622">
        <x:v>0</x:v>
      </x:c>
      <x:c r="O101" s="622">
        <x:v>0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2">
      <x:c r="C102" s="616" t="s">
        <x:v>73</x:v>
      </x:c>
      <x:c r="D102" s="620">
        <x:v>0</x:v>
      </x:c>
      <x:c r="E102" s="618">
        <x:v>0</x:v>
      </x:c>
      <x:c r="F102" s="618">
        <x:v>0</x:v>
      </x:c>
      <x:c r="G102" s="620">
        <x:v>0</x:v>
      </x:c>
      <x:c r="H102" s="618">
        <x:v>0</x:v>
      </x:c>
      <x:c r="I102" s="618">
        <x:v>0</x:v>
      </x:c>
      <x:c r="J102" s="618">
        <x:v>0</x:v>
      </x:c>
      <x:c r="K102" s="618">
        <x:v>0</x:v>
      </x:c>
      <x:c r="L102" s="618">
        <x:v>0</x:v>
      </x:c>
      <x:c r="M102" s="618">
        <x:v>0</x:v>
      </x:c>
      <x:c r="N102" s="618">
        <x:v>0</x:v>
      </x:c>
      <x:c r="O102" s="618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">
      <x:c r="B103" s="623" t="s">
        <x:v>79</x:v>
      </x:c>
      <x:c r="C103" s="623" t="s">
        <x:v>70</x:v>
      </x:c>
      <x:c r="D103" s="636">
        <x:v>0</x:v>
      </x:c>
      <x:c r="E103" s="624">
        <x:v>0</x:v>
      </x:c>
      <x:c r="F103" s="624">
        <x:v>0</x:v>
      </x:c>
      <x:c r="G103" s="636">
        <x:v>0</x:v>
      </x:c>
      <x:c r="H103" s="624">
        <x:v>0</x:v>
      </x:c>
      <x:c r="I103" s="624">
        <x:v>0</x:v>
      </x:c>
      <x:c r="J103" s="624">
        <x:v>0</x:v>
      </x:c>
      <x:c r="K103" s="624">
        <x:v>0</x:v>
      </x:c>
      <x:c r="L103" s="624">
        <x:v>0</x:v>
      </x:c>
      <x:c r="M103" s="624">
        <x:v>0</x:v>
      </x:c>
      <x:c r="N103" s="624">
        <x:v>0</x:v>
      </x:c>
      <x:c r="O103" s="624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2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" customHeight="1" x14ac:dyDescent="0.2">
      <x:c r="C105" s="616" t="s">
        <x:v>72</x:v>
      </x:c>
      <x:c r="D105" s="618" t="n">
        <x:v>-58047.64</x:v>
      </x:c>
      <x:c r="E105" s="618" t="n">
        <x:v>-2786</x:v>
      </x:c>
      <x:c r="F105" s="618" t="n">
        <x:v>-1572.46</x:v>
      </x:c>
      <x:c r="G105" s="620" t="n">
        <x:v>-825.44</x:v>
      </x:c>
      <x:c r="H105" s="618" t="n">
        <x:v>-16700.46</x:v>
      </x:c>
      <x:c r="I105" s="618" t="n">
        <x:v>-517.68</x:v>
      </x:c>
      <x:c r="J105" s="618" t="n">
        <x:v>-4541.08</x:v>
      </x:c>
      <x:c r="K105" s="618" t="n">
        <x:v>-4465.33</x:v>
      </x:c>
      <x:c r="L105" s="618" t="n">
        <x:v>-20259.13</x:v>
      </x:c>
      <x:c r="M105" s="618" t="n">
        <x:v>-5531.04</x:v>
      </x:c>
      <x:c r="N105" s="618" t="n">
        <x:v>-844.64</x:v>
      </x:c>
      <x:c r="O105" s="618" t="n">
        <x:v>-4.38</x:v>
      </x:c>
      <x:c r="P105" s="616">
        <x:v>0</x:v>
      </x:c>
      <x:c r="Q105" s="618">
        <x:v>0</x:v>
      </x:c>
      <x:c r="R105" s="616" t="n">
        <x:v>0</x:v>
      </x:c>
    </x:row>
    <x:row r="106" spans="1:18" ht="12.75" customHeight="1" x14ac:dyDescent="0.2">
      <x:c r="C106" s="616" t="s">
        <x:v>81</x:v>
      </x:c>
      <x:c r="D106" s="618" t="n">
        <x:v>-15.66</x:v>
      </x:c>
      <x:c r="E106" s="618" t="n">
        <x:v>-0.76</x:v>
      </x:c>
      <x:c r="F106" s="618" t="n">
        <x:v>-0.43</x:v>
      </x:c>
      <x:c r="G106" s="620" t="n">
        <x:v>-0.23</x:v>
      </x:c>
      <x:c r="H106" s="618" t="n">
        <x:v>-4.05</x:v>
      </x:c>
      <x:c r="I106" s="618" t="n">
        <x:v>-0.15</x:v>
      </x:c>
      <x:c r="J106" s="618" t="n">
        <x:v>-1.28</x:v>
      </x:c>
      <x:c r="K106" s="618" t="n">
        <x:v>-1.25</x:v>
      </x:c>
      <x:c r="L106" s="618" t="n">
        <x:v>-5.71</x:v>
      </x:c>
      <x:c r="M106" s="618" t="n">
        <x:v>-1.56</x:v>
      </x:c>
      <x:c r="N106" s="618" t="n">
        <x:v>-0.24</x:v>
      </x:c>
      <x:c r="O106" s="618" t="n">
        <x:v>0</x:v>
      </x:c>
      <x:c r="P106" s="616">
        <x:v>0</x:v>
      </x:c>
      <x:c r="Q106" s="618">
        <x:v>0</x:v>
      </x:c>
      <x:c r="R106" s="616" t="n">
        <x:v>0</x:v>
      </x:c>
    </x:row>
    <x:row r="107" spans="1:18" s="621" customFormat="1" ht="12.75" customHeight="1" x14ac:dyDescent="0.2">
      <x:c r="B107" s="622" t="s">
        <x:v>78</x:v>
      </x:c>
      <x:c r="C107" s="622" t="s">
        <x:v>70</x:v>
      </x:c>
      <x:c r="D107" s="622" t="n">
        <x:v>-58063.3</x:v>
      </x:c>
      <x:c r="E107" s="622" t="n">
        <x:v>-2786.76</x:v>
      </x:c>
      <x:c r="F107" s="622" t="n">
        <x:v>-1572.89</x:v>
      </x:c>
      <x:c r="G107" s="622" t="n">
        <x:v>-825.67</x:v>
      </x:c>
      <x:c r="H107" s="622" t="n">
        <x:v>-16704.51</x:v>
      </x:c>
      <x:c r="I107" s="622" t="n">
        <x:v>-517.83</x:v>
      </x:c>
      <x:c r="J107" s="622" t="n">
        <x:v>-4542.36</x:v>
      </x:c>
      <x:c r="K107" s="622" t="n">
        <x:v>-4466.58</x:v>
      </x:c>
      <x:c r="L107" s="622" t="n">
        <x:v>-20264.84</x:v>
      </x:c>
      <x:c r="M107" s="622" t="n">
        <x:v>-5532.6</x:v>
      </x:c>
      <x:c r="N107" s="622" t="n">
        <x:v>-844.88</x:v>
      </x:c>
      <x:c r="O107" s="622" t="n">
        <x:v>-4.38</x:v>
      </x:c>
      <x:c r="P107" s="621">
        <x:v>0</x:v>
      </x:c>
      <x:c r="Q107" s="622">
        <x:v>0</x:v>
      </x:c>
      <x:c r="R107" s="622" t="n">
        <x:v>0</x:v>
      </x:c>
    </x:row>
    <x:row r="108" spans="1:18" ht="12.75" customHeight="1" x14ac:dyDescent="0.2">
      <x:c r="C108" s="616" t="s">
        <x:v>73</x:v>
      </x:c>
      <x:c r="D108" s="620" t="n">
        <x:v>33173.3</x:v>
      </x:c>
      <x:c r="E108" s="618" t="n">
        <x:v>1612.12</x:v>
      </x:c>
      <x:c r="F108" s="618" t="n">
        <x:v>910</x:v>
      </x:c>
      <x:c r="G108" s="620" t="n">
        <x:v>477.62</x:v>
      </x:c>
      <x:c r="H108" s="618" t="n">
        <x:v>9240.6</x:v>
      </x:c>
      <x:c r="I108" s="618" t="n">
        <x:v>299.72</x:v>
      </x:c>
      <x:c r="J108" s="618" t="n">
        <x:v>2629.12</x:v>
      </x:c>
      <x:c r="K108" s="618" t="n">
        <x:v>2585.26</x:v>
      </x:c>
      <x:c r="L108" s="618" t="n">
        <x:v>11729.28</x:v>
      </x:c>
      <x:c r="M108" s="618" t="n">
        <x:v>3200.56</x:v>
      </x:c>
      <x:c r="N108" s="618" t="n">
        <x:v>489.02</x:v>
      </x:c>
      <x:c r="O108" s="618" t="n">
        <x:v>0</x:v>
      </x:c>
      <x:c r="P108" s="616">
        <x:v>0</x:v>
      </x:c>
      <x:c r="Q108" s="618">
        <x:v>0</x:v>
      </x:c>
      <x:c r="R108" s="616" t="n">
        <x:v>0</x:v>
      </x:c>
    </x:row>
    <x:row r="109" spans="1:18" s="623" customFormat="1" ht="12.75" customHeight="1" x14ac:dyDescent="0.2">
      <x:c r="B109" s="623" t="s">
        <x:v>79</x:v>
      </x:c>
      <x:c r="C109" s="623" t="s">
        <x:v>70</x:v>
      </x:c>
      <x:c r="D109" s="636" t="n">
        <x:v>33173.3</x:v>
      </x:c>
      <x:c r="E109" s="624" t="n">
        <x:v>1612.12</x:v>
      </x:c>
      <x:c r="F109" s="624" t="n">
        <x:v>910</x:v>
      </x:c>
      <x:c r="G109" s="636" t="n">
        <x:v>477.62</x:v>
      </x:c>
      <x:c r="H109" s="624" t="n">
        <x:v>9240.6</x:v>
      </x:c>
      <x:c r="I109" s="624" t="n">
        <x:v>299.72</x:v>
      </x:c>
      <x:c r="J109" s="624" t="n">
        <x:v>2629.12</x:v>
      </x:c>
      <x:c r="K109" s="624" t="n">
        <x:v>2585.26</x:v>
      </x:c>
      <x:c r="L109" s="624" t="n">
        <x:v>11729.28</x:v>
      </x:c>
      <x:c r="M109" s="624" t="n">
        <x:v>3200.56</x:v>
      </x:c>
      <x:c r="N109" s="624" t="n">
        <x:v>489.02</x:v>
      </x:c>
      <x:c r="O109" s="624" t="n">
        <x:v>0</x:v>
      </x:c>
      <x:c r="P109" s="623">
        <x:v>0</x:v>
      </x:c>
      <x:c r="Q109" s="624">
        <x:v>0</x:v>
      </x:c>
      <x:c r="R109" s="623" t="n">
        <x:v>0</x:v>
      </x:c>
    </x:row>
    <x:row r="110" spans="1:18" s="628" customFormat="1" ht="12.75" customHeight="1" x14ac:dyDescent="0.2">
      <x:c r="A110" s="628" t="s">
        <x:v>119</x:v>
      </x:c>
      <x:c r="B110" s="628" t="s">
        <x:v>70</x:v>
      </x:c>
      <x:c r="D110" s="628" t="n">
        <x:v>-24890</x:v>
      </x:c>
      <x:c r="E110" s="628" t="n">
        <x:v>-1174.64</x:v>
      </x:c>
      <x:c r="F110" s="628" t="n">
        <x:v>-662.89</x:v>
      </x:c>
      <x:c r="G110" s="628" t="n">
        <x:v>-348.05</x:v>
      </x:c>
      <x:c r="H110" s="628" t="n">
        <x:v>-7463.91</x:v>
      </x:c>
      <x:c r="I110" s="628" t="n">
        <x:v>-218.11</x:v>
      </x:c>
      <x:c r="J110" s="628" t="n">
        <x:v>-1913.24</x:v>
      </x:c>
      <x:c r="K110" s="628" t="n">
        <x:v>-1881.32</x:v>
      </x:c>
      <x:c r="L110" s="628" t="n">
        <x:v>-8535.56</x:v>
      </x:c>
      <x:c r="M110" s="628" t="n">
        <x:v>-2332.04</x:v>
      </x:c>
      <x:c r="N110" s="628" t="n">
        <x:v>-355.86</x:v>
      </x:c>
      <x:c r="O110" s="628" t="n">
        <x:v>-4.38</x:v>
      </x:c>
      <x:c r="P110" s="628">
        <x:v>0</x:v>
      </x:c>
      <x:c r="Q110" s="628">
        <x:v>0</x:v>
      </x:c>
      <x:c r="R110" s="628" t="n">
        <x:v>0</x:v>
      </x:c>
    </x:row>
    <x:row r="111" spans="1:18" s="631" customFormat="1" ht="12.75" customHeight="1" x14ac:dyDescent="0.2">
      <x:c r="A111" s="630" t="s">
        <x:v>70</x:v>
      </x:c>
      <x:c r="D111" s="630" t="n">
        <x:v>-13472482</x:v>
      </x:c>
      <x:c r="E111" s="630" t="n">
        <x:v>-1240567.72</x:v>
      </x:c>
      <x:c r="F111" s="630" t="n">
        <x:v>-694135.8</x:v>
      </x:c>
      <x:c r="G111" s="630" t="n">
        <x:v>-369127.32</x:v>
      </x:c>
      <x:c r="H111" s="630" t="n">
        <x:v>-2707486.34</x:v>
      </x:c>
      <x:c r="I111" s="630" t="n">
        <x:v>-98941</x:v>
      </x:c>
      <x:c r="J111" s="630" t="n">
        <x:v>-861073.5</x:v>
      </x:c>
      <x:c r="K111" s="630" t="n">
        <x:v>-859206.99</x:v>
      </x:c>
      <x:c r="L111" s="630" t="n">
        <x:v>-4005854.4</x:v>
      </x:c>
      <x:c r="M111" s="630" t="n">
        <x:v>-2474620.31</x:v>
      </x:c>
      <x:c r="N111" s="630" t="n">
        <x:v>-161428.94</x:v>
      </x:c>
      <x:c r="O111" s="630" t="n">
        <x:v>-39.68</x:v>
      </x:c>
      <x:c r="P111" s="631" t="n">
        <x:v>0</x:v>
      </x:c>
      <x:c r="Q111" s="630">
        <x:v>0</x:v>
      </x:c>
      <x:c r="R111" s="630" t="n">
        <x:v>0</x:v>
      </x:c>
    </x:row>
    <x:row r="112" spans="1:18" ht="12.75" customHeight="1" x14ac:dyDescent="0.2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2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2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2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2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2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2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2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2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2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2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2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2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2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2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2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2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2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2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2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2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2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2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2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2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2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2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2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2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2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2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2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2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2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2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2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2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2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">
      <x:c r="A183" s="779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2">
      <x:c r="A184" s="779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2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2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2">
      <x:c r="A189" s="782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2">
      <x:c r="A190" s="782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2"/>
    <x:row r="192" spans="1:18" x14ac:dyDescent="0.2">
      <x:c r="B192" s="617" t="s">
        <x:v>76</x:v>
      </x:c>
    </x:row>
    <x:row r="193" spans="1:18" x14ac:dyDescent="0.2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2">
      <x:c r="B194" s="618"/>
      <x:c r="C194" s="618" t="s">
        <x:v>72</x:v>
      </x:c>
      <x:c r="D194" s="618" t="n">
        <x:v>-5300396.56</x:v>
      </x:c>
      <x:c r="E194" s="618" t="n">
        <x:v>-266920.99</x:v>
      </x:c>
      <x:c r="F194" s="618" t="n">
        <x:v>-151747.72</x:v>
      </x:c>
      <x:c r="G194" s="618" t="n">
        <x:v>-79709.62</x:v>
      </x:c>
      <x:c r="H194" s="618" t="n">
        <x:v>-1324855.65</x:v>
      </x:c>
      <x:c r="I194" s="618" t="n">
        <x:v>-47299.87</x:v>
      </x:c>
      <x:c r="J194" s="618" t="n">
        <x:v>-411237.59</x:v>
      </x:c>
      <x:c r="K194" s="618" t="n">
        <x:v>-406044.91</x:v>
      </x:c>
      <x:c r="L194" s="618" t="n">
        <x:v>-1913952.83</x:v>
      </x:c>
      <x:c r="M194" s="618" t="n">
        <x:v>-621177.47</x:v>
      </x:c>
      <x:c r="N194" s="618" t="n">
        <x:v>-77374.18</x:v>
      </x:c>
      <x:c r="O194" s="618" t="n">
        <x:v>-75.73</x:v>
      </x:c>
      <x:c r="P194" s="616">
        <x:v>0</x:v>
      </x:c>
      <x:c r="Q194" s="618">
        <x:v>0</x:v>
      </x:c>
      <x:c r="R194" s="618" t="n">
        <x:v>0</x:v>
      </x:c>
    </x:row>
    <x:row r="195" spans="1:18" ht="12.75" customHeight="1" x14ac:dyDescent="0.2">
      <x:c r="B195" s="618"/>
      <x:c r="C195" s="618" t="s">
        <x:v>81</x:v>
      </x:c>
      <x:c r="D195" s="618" t="n">
        <x:v>-13190.83</x:v>
      </x:c>
      <x:c r="E195" s="618" t="n">
        <x:v>-1425.35</x:v>
      </x:c>
      <x:c r="F195" s="618" t="n">
        <x:v>-806.4</x:v>
      </x:c>
      <x:c r="G195" s="618" t="n">
        <x:v>-429.71</x:v>
      </x:c>
      <x:c r="H195" s="618" t="n">
        <x:v>-2212.35</x:v>
      </x:c>
      <x:c r="I195" s="618" t="n">
        <x:v>-83.37</x:v>
      </x:c>
      <x:c r="J195" s="618" t="n">
        <x:v>-731.34</x:v>
      </x:c>
      <x:c r="K195" s="618" t="n">
        <x:v>-716.14</x:v>
      </x:c>
      <x:c r="L195" s="618" t="n">
        <x:v>-3293.42</x:v>
      </x:c>
      <x:c r="M195" s="618" t="n">
        <x:v>-3354.87</x:v>
      </x:c>
      <x:c r="N195" s="618" t="n">
        <x:v>-138</x:v>
      </x:c>
      <x:c r="O195" s="618" t="n">
        <x:v>0.12</x:v>
      </x:c>
      <x:c r="P195" s="616">
        <x:v>0</x:v>
      </x:c>
      <x:c r="Q195" s="618">
        <x:v>0</x:v>
      </x:c>
      <x:c r="R195" s="618" t="n">
        <x:v>0</x:v>
      </x:c>
    </x:row>
    <x:row r="196" spans="1:18" s="621" customFormat="1" ht="12.75" customHeight="1" x14ac:dyDescent="0.2">
      <x:c r="B196" s="622" t="s">
        <x:v>78</x:v>
      </x:c>
      <x:c r="C196" s="622" t="s">
        <x:v>70</x:v>
      </x:c>
      <x:c r="D196" s="622" t="n">
        <x:v>-5313587.39</x:v>
      </x:c>
      <x:c r="E196" s="622" t="n">
        <x:v>-268346.34</x:v>
      </x:c>
      <x:c r="F196" s="622" t="n">
        <x:v>-152554.12</x:v>
      </x:c>
      <x:c r="G196" s="622" t="n">
        <x:v>-80139.33</x:v>
      </x:c>
      <x:c r="H196" s="622" t="n">
        <x:v>-1327068</x:v>
      </x:c>
      <x:c r="I196" s="622" t="n">
        <x:v>-47383.24</x:v>
      </x:c>
      <x:c r="J196" s="622" t="n">
        <x:v>-411968.93</x:v>
      </x:c>
      <x:c r="K196" s="622" t="n">
        <x:v>-406761.05</x:v>
      </x:c>
      <x:c r="L196" s="622" t="n">
        <x:v>-1917246.25</x:v>
      </x:c>
      <x:c r="M196" s="622" t="n">
        <x:v>-624532.34</x:v>
      </x:c>
      <x:c r="N196" s="622" t="n">
        <x:v>-77512.18</x:v>
      </x:c>
      <x:c r="O196" s="622" t="n">
        <x:v>-75.61</x:v>
      </x:c>
      <x:c r="P196" s="621">
        <x:v>0</x:v>
      </x:c>
      <x:c r="Q196" s="622">
        <x:v>0</x:v>
      </x:c>
      <x:c r="R196" s="622" t="n">
        <x:v>0</x:v>
      </x:c>
    </x:row>
    <x:row r="197" spans="1:18" ht="12.75" customHeight="1" x14ac:dyDescent="0.2">
      <x:c r="B197" s="618"/>
      <x:c r="C197" s="618" t="s">
        <x:v>73</x:v>
      </x:c>
      <x:c r="D197" s="618" t="n">
        <x:v>696233.39</x:v>
      </x:c>
      <x:c r="E197" s="618" t="n">
        <x:v>17764.59</x:v>
      </x:c>
      <x:c r="F197" s="618" t="n">
        <x:v>10022.19</x:v>
      </x:c>
      <x:c r="G197" s="618" t="n">
        <x:v>5230.07</x:v>
      </x:c>
      <x:c r="H197" s="618" t="n">
        <x:v>200028.75</x:v>
      </x:c>
      <x:c r="I197" s="618" t="n">
        <x:v>6936.39</x:v>
      </x:c>
      <x:c r="J197" s="618" t="n">
        <x:v>60845.81</x:v>
      </x:c>
      <x:c r="K197" s="618" t="n">
        <x:v>59558.35</x:v>
      </x:c>
      <x:c r="L197" s="618" t="n">
        <x:v>282324.82</x:v>
      </x:c>
      <x:c r="M197" s="618" t="n">
        <x:v>42205.1</x:v>
      </x:c>
      <x:c r="N197" s="618" t="n">
        <x:v>11317.32</x:v>
      </x:c>
      <x:c r="O197" s="618" t="n">
        <x:v>0</x:v>
      </x:c>
      <x:c r="P197" s="616">
        <x:v>0</x:v>
      </x:c>
      <x:c r="Q197" s="618">
        <x:v>0</x:v>
      </x:c>
      <x:c r="R197" s="618" t="n">
        <x:v>0</x:v>
      </x:c>
    </x:row>
    <x:row r="198" spans="1:18" s="623" customFormat="1" ht="12.75" customHeight="1" x14ac:dyDescent="0.2">
      <x:c r="B198" s="623" t="s">
        <x:v>79</x:v>
      </x:c>
      <x:c r="C198" s="623" t="s">
        <x:v>70</x:v>
      </x:c>
      <x:c r="D198" s="624" t="n">
        <x:v>696233.39</x:v>
      </x:c>
      <x:c r="E198" s="624" t="n">
        <x:v>17764.59</x:v>
      </x:c>
      <x:c r="F198" s="624" t="n">
        <x:v>10022.19</x:v>
      </x:c>
      <x:c r="G198" s="636" t="n">
        <x:v>5230.07</x:v>
      </x:c>
      <x:c r="H198" s="624" t="n">
        <x:v>200028.75</x:v>
      </x:c>
      <x:c r="I198" s="624" t="n">
        <x:v>6936.39</x:v>
      </x:c>
      <x:c r="J198" s="624" t="n">
        <x:v>60845.81</x:v>
      </x:c>
      <x:c r="K198" s="624" t="n">
        <x:v>59558.35</x:v>
      </x:c>
      <x:c r="L198" s="624" t="n">
        <x:v>282324.82</x:v>
      </x:c>
      <x:c r="M198" s="624" t="n">
        <x:v>42205.1</x:v>
      </x:c>
      <x:c r="N198" s="624" t="n">
        <x:v>11317.32</x:v>
      </x:c>
      <x:c r="O198" s="624" t="n">
        <x:v>0</x:v>
      </x:c>
      <x:c r="P198" s="624">
        <x:v>0</x:v>
      </x:c>
      <x:c r="Q198" s="624">
        <x:v>0</x:v>
      </x:c>
      <x:c r="R198" s="623" t="n">
        <x:v>0</x:v>
      </x:c>
    </x:row>
    <x:row r="199" spans="1:18" s="637" customFormat="1" ht="12.75" customHeight="1" x14ac:dyDescent="0.2">
      <x:c r="A199" s="637" t="s">
        <x:v>155</x:v>
      </x:c>
      <x:c r="B199" s="633" t="s">
        <x:v>70</x:v>
      </x:c>
      <x:c r="C199" s="633"/>
      <x:c r="D199" s="633" t="n">
        <x:v>-4617354</x:v>
      </x:c>
      <x:c r="E199" s="633" t="n">
        <x:v>-250581.75</x:v>
      </x:c>
      <x:c r="F199" s="633" t="n">
        <x:v>-142531.93</x:v>
      </x:c>
      <x:c r="G199" s="633" t="n">
        <x:v>-74909.26</x:v>
      </x:c>
      <x:c r="H199" s="633" t="n">
        <x:v>-1127039.25</x:v>
      </x:c>
      <x:c r="I199" s="633" t="n">
        <x:v>-40446.85</x:v>
      </x:c>
      <x:c r="J199" s="633" t="n">
        <x:v>-351123.12</x:v>
      </x:c>
      <x:c r="K199" s="633" t="n">
        <x:v>-347202.7</x:v>
      </x:c>
      <x:c r="L199" s="633" t="n">
        <x:v>-1634921.43</x:v>
      </x:c>
      <x:c r="M199" s="633" t="n">
        <x:v>-582327.24</x:v>
      </x:c>
      <x:c r="N199" s="633" t="n">
        <x:v>-66194.86</x:v>
      </x:c>
      <x:c r="O199" s="633" t="n">
        <x:v>-75.61</x:v>
      </x:c>
      <x:c r="P199" s="637">
        <x:v>0</x:v>
      </x:c>
      <x:c r="Q199" s="633">
        <x:v>0</x:v>
      </x:c>
      <x:c r="R199" s="633" t="n">
        <x:v>0</x:v>
      </x:c>
    </x:row>
    <x:row r="200" spans="1:18" ht="12.75" customHeight="1" x14ac:dyDescent="0.2">
      <x:c r="C200" s="616" t="s">
        <x:v>72</x:v>
      </x:c>
      <x:c r="D200" s="618">
        <x:v>0</x:v>
      </x:c>
      <x:c r="E200" s="618">
        <x:v>0</x:v>
      </x:c>
      <x:c r="F200" s="618">
        <x:v>0</x:v>
      </x:c>
      <x:c r="G200" s="620">
        <x:v>0</x:v>
      </x:c>
      <x:c r="H200" s="618">
        <x:v>0</x:v>
      </x:c>
      <x:c r="I200" s="618">
        <x:v>0</x:v>
      </x:c>
      <x:c r="J200" s="618">
        <x:v>0</x:v>
      </x:c>
      <x:c r="K200" s="618">
        <x:v>0</x:v>
      </x:c>
      <x:c r="L200" s="618">
        <x:v>0</x:v>
      </x:c>
      <x:c r="M200" s="618">
        <x:v>0</x:v>
      </x:c>
      <x:c r="N200" s="618">
        <x:v>0</x:v>
      </x:c>
      <x:c r="O200" s="618">
        <x:v>0</x:v>
      </x:c>
      <x:c r="P200" s="618">
        <x:v>0</x:v>
      </x:c>
      <x:c r="Q200" s="618">
        <x:v>0</x:v>
      </x:c>
      <x:c r="R200" s="616">
        <x:v>0</x:v>
      </x:c>
    </x:row>
    <x:row r="201" spans="1:18" ht="12.6" customHeight="1" x14ac:dyDescent="0.2">
      <x:c r="C201" s="616" t="s">
        <x:v>81</x:v>
      </x:c>
      <x:c r="D201" s="618">
        <x:v>0</x:v>
      </x:c>
      <x:c r="E201" s="618">
        <x:v>0</x:v>
      </x:c>
      <x:c r="F201" s="618">
        <x:v>0</x:v>
      </x:c>
      <x:c r="G201" s="620">
        <x:v>0</x:v>
      </x:c>
      <x:c r="H201" s="618">
        <x:v>0</x:v>
      </x:c>
      <x:c r="I201" s="618">
        <x:v>0</x:v>
      </x:c>
      <x:c r="J201" s="618">
        <x:v>0</x:v>
      </x:c>
      <x:c r="K201" s="618">
        <x:v>0</x:v>
      </x:c>
      <x:c r="L201" s="618">
        <x:v>0</x:v>
      </x:c>
      <x:c r="M201" s="618">
        <x:v>0</x:v>
      </x:c>
      <x:c r="N201" s="618">
        <x:v>0</x:v>
      </x:c>
      <x:c r="O201" s="618">
        <x:v>0</x:v>
      </x:c>
      <x:c r="P201" s="618">
        <x:v>0</x:v>
      </x:c>
      <x:c r="Q201" s="618">
        <x:v>0</x:v>
      </x:c>
      <x:c r="R201" s="616">
        <x:v>0</x:v>
      </x:c>
    </x:row>
    <x:row r="202" spans="1:18" s="621" customFormat="1" ht="12.75" customHeight="1" x14ac:dyDescent="0.2">
      <x:c r="B202" s="622" t="s">
        <x:v>78</x:v>
      </x:c>
      <x:c r="C202" s="622" t="s">
        <x:v>70</x:v>
      </x:c>
      <x:c r="D202" s="622">
        <x:v>0</x:v>
      </x:c>
      <x:c r="E202" s="622">
        <x:v>0</x:v>
      </x:c>
      <x:c r="F202" s="622">
        <x:v>0</x:v>
      </x:c>
      <x:c r="G202" s="622">
        <x:v>0</x:v>
      </x:c>
      <x:c r="H202" s="622">
        <x:v>0</x:v>
      </x:c>
      <x:c r="I202" s="622">
        <x:v>0</x:v>
      </x:c>
      <x:c r="J202" s="622">
        <x:v>0</x:v>
      </x:c>
      <x:c r="K202" s="622">
        <x:v>0</x:v>
      </x:c>
      <x:c r="L202" s="622">
        <x:v>0</x:v>
      </x:c>
      <x:c r="M202" s="622">
        <x:v>0</x:v>
      </x:c>
      <x:c r="N202" s="622">
        <x:v>0</x:v>
      </x:c>
      <x:c r="O202" s="622">
        <x:v>0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">
      <x:c r="C203" s="616" t="s">
        <x:v>73</x:v>
      </x:c>
      <x:c r="D203" s="618">
        <x:v>0</x:v>
      </x:c>
      <x:c r="E203" s="618">
        <x:v>0</x:v>
      </x:c>
      <x:c r="F203" s="618">
        <x:v>0</x:v>
      </x:c>
      <x:c r="G203" s="620">
        <x:v>0</x:v>
      </x:c>
      <x:c r="H203" s="618">
        <x:v>0</x:v>
      </x:c>
      <x:c r="I203" s="618">
        <x:v>0</x:v>
      </x:c>
      <x:c r="J203" s="618">
        <x:v>0</x:v>
      </x:c>
      <x:c r="K203" s="618">
        <x:v>0</x:v>
      </x:c>
      <x:c r="L203" s="618">
        <x:v>0</x:v>
      </x:c>
      <x:c r="M203" s="618">
        <x:v>0</x:v>
      </x:c>
      <x:c r="N203" s="618">
        <x:v>0</x:v>
      </x:c>
      <x:c r="O203" s="618">
        <x:v>0</x:v>
      </x:c>
      <x:c r="P203" s="618">
        <x:v>0</x:v>
      </x:c>
      <x:c r="Q203" s="618">
        <x:v>0</x:v>
      </x:c>
      <x:c r="R203" s="616">
        <x:v>0</x:v>
      </x:c>
    </x:row>
    <x:row r="204" spans="1:18" s="623" customFormat="1" ht="12.75" customHeight="1" x14ac:dyDescent="0.2">
      <x:c r="B204" s="624" t="s">
        <x:v>79</x:v>
      </x:c>
      <x:c r="C204" s="624" t="s">
        <x:v>70</x:v>
      </x:c>
      <x:c r="D204" s="624">
        <x:v>0</x:v>
      </x:c>
      <x:c r="E204" s="624">
        <x:v>0</x:v>
      </x:c>
      <x:c r="F204" s="624">
        <x:v>0</x:v>
      </x:c>
      <x:c r="G204" s="624">
        <x:v>0</x:v>
      </x:c>
      <x:c r="H204" s="624">
        <x:v>0</x:v>
      </x:c>
      <x:c r="I204" s="624">
        <x:v>0</x:v>
      </x:c>
      <x:c r="J204" s="624">
        <x:v>0</x:v>
      </x:c>
      <x:c r="K204" s="624">
        <x:v>0</x:v>
      </x:c>
      <x:c r="L204" s="624">
        <x:v>0</x:v>
      </x:c>
      <x:c r="M204" s="624">
        <x:v>0</x:v>
      </x:c>
      <x:c r="N204" s="624">
        <x:v>0</x:v>
      </x:c>
      <x:c r="O204" s="624">
        <x:v>0</x:v>
      </x:c>
      <x:c r="P204" s="623">
        <x:v>0</x:v>
      </x:c>
      <x:c r="Q204" s="624">
        <x:v>0</x:v>
      </x:c>
      <x:c r="R204" s="624">
        <x:v>0</x:v>
      </x:c>
    </x:row>
    <x:row r="205" spans="1:18" s="628" customFormat="1" ht="12.75" customHeight="1" x14ac:dyDescent="0.2">
      <x:c r="A205" s="628" t="s">
        <x:v>119</x:v>
      </x:c>
      <x:c r="B205" s="628" t="s">
        <x:v>70</x:v>
      </x:c>
      <x:c r="D205" s="628">
        <x:v>0</x:v>
      </x:c>
      <x:c r="E205" s="628">
        <x:v>0</x:v>
      </x:c>
      <x:c r="F205" s="628">
        <x:v>0</x:v>
      </x:c>
      <x:c r="G205" s="628">
        <x:v>0</x:v>
      </x:c>
      <x:c r="H205" s="628">
        <x:v>0</x:v>
      </x:c>
      <x:c r="I205" s="628">
        <x:v>0</x:v>
      </x:c>
      <x:c r="J205" s="628">
        <x:v>0</x:v>
      </x:c>
      <x:c r="K205" s="628">
        <x:v>0</x:v>
      </x:c>
      <x:c r="L205" s="628">
        <x:v>0</x:v>
      </x:c>
      <x:c r="M205" s="628">
        <x:v>0</x:v>
      </x:c>
      <x:c r="N205" s="628">
        <x:v>0</x:v>
      </x:c>
      <x:c r="O205" s="628">
        <x:v>0</x:v>
      </x:c>
      <x:c r="P205" s="628">
        <x:v>0</x:v>
      </x:c>
      <x:c r="Q205" s="628">
        <x:v>0</x:v>
      </x:c>
      <x:c r="R205" s="628">
        <x:v>0</x:v>
      </x:c>
    </x:row>
    <x:row r="206" spans="1:18" s="631" customFormat="1" ht="12.75" customHeight="1" x14ac:dyDescent="0.2">
      <x:c r="A206" s="630" t="s">
        <x:v>70</x:v>
      </x:c>
      <x:c r="D206" s="630" t="n">
        <x:v>-4617354</x:v>
      </x:c>
      <x:c r="E206" s="630" t="n">
        <x:v>-250581.75</x:v>
      </x:c>
      <x:c r="F206" s="630" t="n">
        <x:v>-142531.93</x:v>
      </x:c>
      <x:c r="G206" s="630" t="n">
        <x:v>-74909.26</x:v>
      </x:c>
      <x:c r="H206" s="630" t="n">
        <x:v>-1127039.25</x:v>
      </x:c>
      <x:c r="I206" s="630" t="n">
        <x:v>-40446.85</x:v>
      </x:c>
      <x:c r="J206" s="630" t="n">
        <x:v>-351123.12</x:v>
      </x:c>
      <x:c r="K206" s="630" t="n">
        <x:v>-347202.7</x:v>
      </x:c>
      <x:c r="L206" s="630" t="n">
        <x:v>-1634921.43</x:v>
      </x:c>
      <x:c r="M206" s="630" t="n">
        <x:v>-582327.24</x:v>
      </x:c>
      <x:c r="N206" s="630" t="n">
        <x:v>-66194.86</x:v>
      </x:c>
      <x:c r="O206" s="630" t="n">
        <x:v>-75.61</x:v>
      </x:c>
      <x:c r="P206" s="631" t="n">
        <x:v>0</x:v>
      </x:c>
      <x:c r="Q206" s="631">
        <x:v>0</x:v>
      </x:c>
      <x:c r="R206" s="631" t="n">
        <x:v>0</x:v>
      </x:c>
    </x:row>
    <x:row r="207" spans="1:18" ht="12.75" customHeight="1" x14ac:dyDescent="0.2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2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2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2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2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2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2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2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2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2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2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2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">
      <x:c r="A220" s="779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2">
      <x:c r="A221" s="779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2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2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">
      <x:c r="A226" s="782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2">
      <x:c r="A227" s="782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2"/>
    <x:row r="229" spans="1:18" x14ac:dyDescent="0.2">
      <x:c r="B229" s="617" t="s">
        <x:v>88</x:v>
      </x:c>
    </x:row>
    <x:row r="230" spans="1:18" ht="12.75" customHeight="1" x14ac:dyDescent="0.2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2">
      <x:c r="C231" s="616" t="s">
        <x:v>72</x:v>
      </x:c>
      <x:c r="D231" s="620" t="n">
        <x:v>-16028063.95</x:v>
      </x:c>
      <x:c r="E231" s="618" t="n">
        <x:v>-894905.66</x:v>
      </x:c>
      <x:c r="F231" s="618" t="n">
        <x:v>-492355.87</x:v>
      </x:c>
      <x:c r="G231" s="620" t="n">
        <x:v>-260069.56</x:v>
      </x:c>
      <x:c r="H231" s="618" t="n">
        <x:v>-3577229.84</x:v>
      </x:c>
      <x:c r="I231" s="618" t="n">
        <x:v>-128056.41</x:v>
      </x:c>
      <x:c r="J231" s="618" t="n">
        <x:v>-1134137.25</x:v>
      </x:c>
      <x:c r="K231" s="618" t="n">
        <x:v>-1154847.25</x:v>
      </x:c>
      <x:c r="L231" s="618" t="n">
        <x:v>-5786675.89</x:v>
      </x:c>
      <x:c r="M231" s="618" t="n">
        <x:v>-2388637.95</x:v>
      </x:c>
      <x:c r="N231" s="618" t="n">
        <x:v>-211133.08</x:v>
      </x:c>
      <x:c r="O231" s="618" t="n">
        <x:v>-15.19</x:v>
      </x:c>
      <x:c r="P231" s="618">
        <x:v>0</x:v>
      </x:c>
      <x:c r="Q231" s="618">
        <x:v>0</x:v>
      </x:c>
      <x:c r="R231" s="616" t="n">
        <x:v>0</x:v>
      </x:c>
    </x:row>
    <x:row r="232" spans="1:18" ht="12.75" customHeight="1" x14ac:dyDescent="0.2">
      <x:c r="C232" s="616" t="s">
        <x:v>81</x:v>
      </x:c>
      <x:c r="D232" s="620" t="n">
        <x:v>-873377.98</x:v>
      </x:c>
      <x:c r="E232" s="618" t="n">
        <x:v>-87078.56</x:v>
      </x:c>
      <x:c r="F232" s="618" t="n">
        <x:v>-39363.66</x:v>
      </x:c>
      <x:c r="G232" s="620" t="n">
        <x:v>-16918.14</x:v>
      </x:c>
      <x:c r="H232" s="618" t="n">
        <x:v>-156091.38</x:v>
      </x:c>
      <x:c r="I232" s="618" t="n">
        <x:v>-5880.81</x:v>
      </x:c>
      <x:c r="J232" s="618" t="n">
        <x:v>-52156.61</x:v>
      </x:c>
      <x:c r="K232" s="618" t="n">
        <x:v>-64640.54</x:v>
      </x:c>
      <x:c r="L232" s="618" t="n">
        <x:v>-223252.32</x:v>
      </x:c>
      <x:c r="M232" s="618" t="n">
        <x:v>-218532.37</x:v>
      </x:c>
      <x:c r="N232" s="618" t="n">
        <x:v>-9702.68</x:v>
      </x:c>
      <x:c r="O232" s="618" t="n">
        <x:v>6.65</x:v>
      </x:c>
      <x:c r="P232" s="618">
        <x:v>0</x:v>
      </x:c>
      <x:c r="Q232" s="618">
        <x:v>0</x:v>
      </x:c>
      <x:c r="R232" s="616" t="n">
        <x:v>232.44</x:v>
      </x:c>
    </x:row>
    <x:row r="233" spans="1:18" s="621" customFormat="1" ht="12.75" customHeight="1" x14ac:dyDescent="0.2">
      <x:c r="B233" s="622" t="s">
        <x:v>78</x:v>
      </x:c>
      <x:c r="C233" s="622" t="s">
        <x:v>70</x:v>
      </x:c>
      <x:c r="D233" s="622" t="n">
        <x:v>-16901441.93</x:v>
      </x:c>
      <x:c r="E233" s="622" t="n">
        <x:v>-981984.22</x:v>
      </x:c>
      <x:c r="F233" s="622" t="n">
        <x:v>-531719.53</x:v>
      </x:c>
      <x:c r="G233" s="622" t="n">
        <x:v>-276987.7</x:v>
      </x:c>
      <x:c r="H233" s="622" t="n">
        <x:v>-3733321.22</x:v>
      </x:c>
      <x:c r="I233" s="622" t="n">
        <x:v>-133937.22</x:v>
      </x:c>
      <x:c r="J233" s="622" t="n">
        <x:v>-1186293.86</x:v>
      </x:c>
      <x:c r="K233" s="622" t="n">
        <x:v>-1219487.79</x:v>
      </x:c>
      <x:c r="L233" s="622" t="n">
        <x:v>-6009928.21</x:v>
      </x:c>
      <x:c r="M233" s="622" t="n">
        <x:v>-2607170.32</x:v>
      </x:c>
      <x:c r="N233" s="622" t="n">
        <x:v>-220835.76</x:v>
      </x:c>
      <x:c r="O233" s="622" t="n">
        <x:v>-8.54</x:v>
      </x:c>
      <x:c r="P233" s="621">
        <x:v>0</x:v>
      </x:c>
      <x:c r="Q233" s="622">
        <x:v>0</x:v>
      </x:c>
      <x:c r="R233" s="622" t="n">
        <x:v>232.44</x:v>
      </x:c>
    </x:row>
    <x:row r="234" spans="1:18" ht="12.75" customHeight="1" x14ac:dyDescent="0.2">
      <x:c r="C234" s="616" t="s">
        <x:v>73</x:v>
      </x:c>
      <x:c r="D234" s="620" t="n">
        <x:v>2262595.93</x:v>
      </x:c>
      <x:c r="E234" s="618" t="n">
        <x:v>33634.28</x:v>
      </x:c>
      <x:c r="F234" s="618" t="n">
        <x:v>15223.86</x:v>
      </x:c>
      <x:c r="G234" s="620" t="n">
        <x:v>8043.35</x:v>
      </x:c>
      <x:c r="H234" s="618" t="n">
        <x:v>652911.02</x:v>
      </x:c>
      <x:c r="I234" s="618" t="n">
        <x:v>21769</x:v>
      </x:c>
      <x:c r="J234" s="618" t="n">
        <x:v>190935.03</x:v>
      </x:c>
      <x:c r="K234" s="618" t="n">
        <x:v>209235.4</x:v>
      </x:c>
      <x:c r="L234" s="618" t="n">
        <x:v>1005246.76</x:v>
      </x:c>
      <x:c r="M234" s="618" t="n">
        <x:v>90086.02</x:v>
      </x:c>
      <x:c r="N234" s="618" t="n">
        <x:v>35511.21</x:v>
      </x:c>
      <x:c r="O234" s="618" t="n">
        <x:v>0</x:v>
      </x:c>
      <x:c r="P234" s="618">
        <x:v>0</x:v>
      </x:c>
      <x:c r="Q234" s="618">
        <x:v>0</x:v>
      </x:c>
      <x:c r="R234" s="616" t="n">
        <x:v>0</x:v>
      </x:c>
    </x:row>
    <x:row r="235" spans="1:18" s="623" customFormat="1" ht="12.75" customHeight="1" x14ac:dyDescent="0.2">
      <x:c r="B235" s="624" t="s">
        <x:v>79</x:v>
      </x:c>
      <x:c r="C235" s="624" t="s">
        <x:v>70</x:v>
      </x:c>
      <x:c r="D235" s="624" t="n">
        <x:v>2262595.93</x:v>
      </x:c>
      <x:c r="E235" s="624" t="n">
        <x:v>33634.28</x:v>
      </x:c>
      <x:c r="F235" s="624" t="n">
        <x:v>15223.86</x:v>
      </x:c>
      <x:c r="G235" s="624" t="n">
        <x:v>8043.35</x:v>
      </x:c>
      <x:c r="H235" s="624" t="n">
        <x:v>652911.02</x:v>
      </x:c>
      <x:c r="I235" s="624" t="n">
        <x:v>21769</x:v>
      </x:c>
      <x:c r="J235" s="624" t="n">
        <x:v>190935.03</x:v>
      </x:c>
      <x:c r="K235" s="624" t="n">
        <x:v>209235.4</x:v>
      </x:c>
      <x:c r="L235" s="624" t="n">
        <x:v>1005246.76</x:v>
      </x:c>
      <x:c r="M235" s="624" t="n">
        <x:v>90086.02</x:v>
      </x:c>
      <x:c r="N235" s="624" t="n">
        <x:v>35511.21</x:v>
      </x:c>
      <x:c r="O235" s="624" t="n">
        <x:v>0</x:v>
      </x:c>
      <x:c r="P235" s="623">
        <x:v>0</x:v>
      </x:c>
      <x:c r="Q235" s="624">
        <x:v>0</x:v>
      </x:c>
      <x:c r="R235" s="624" t="n">
        <x:v>0</x:v>
      </x:c>
    </x:row>
    <x:row r="236" spans="1:18" s="755" customFormat="1" ht="12.75" customHeight="1" x14ac:dyDescent="0.2">
      <x:c r="A236" s="755" t="s">
        <x:v>155</x:v>
      </x:c>
      <x:c r="B236" s="755" t="s">
        <x:v>70</x:v>
      </x:c>
      <x:c r="D236" s="756" t="n">
        <x:v>-14638846</x:v>
      </x:c>
      <x:c r="E236" s="757" t="n">
        <x:v>-948349.94</x:v>
      </x:c>
      <x:c r="F236" s="757" t="n">
        <x:v>-516495.67</x:v>
      </x:c>
      <x:c r="G236" s="756" t="n">
        <x:v>-268944.35</x:v>
      </x:c>
      <x:c r="H236" s="757" t="n">
        <x:v>-3080410.2</x:v>
      </x:c>
      <x:c r="I236" s="757" t="n">
        <x:v>-112168.22</x:v>
      </x:c>
      <x:c r="J236" s="757" t="n">
        <x:v>-995358.83</x:v>
      </x:c>
      <x:c r="K236" s="757" t="n">
        <x:v>-1010252.39</x:v>
      </x:c>
      <x:c r="L236" s="757" t="n">
        <x:v>-5004681.45</x:v>
      </x:c>
      <x:c r="M236" s="757" t="n">
        <x:v>-2517084.3</x:v>
      </x:c>
      <x:c r="N236" s="757" t="n">
        <x:v>-185324.55</x:v>
      </x:c>
      <x:c r="O236" s="757" t="n">
        <x:v>-8.54</x:v>
      </x:c>
      <x:c r="P236" s="757">
        <x:v>0</x:v>
      </x:c>
      <x:c r="Q236" s="757">
        <x:v>0</x:v>
      </x:c>
      <x:c r="R236" s="755" t="n">
        <x:v>232.44</x:v>
      </x:c>
    </x:row>
    <x:row r="237" spans="1:18" ht="12.75" customHeight="1" x14ac:dyDescent="0.2">
      <x:c r="C237" s="616" t="s">
        <x:v>72</x:v>
      </x:c>
      <x:c r="D237" s="620" t="n">
        <x:v>-565175.82</x:v>
      </x:c>
      <x:c r="E237" s="618" t="n">
        <x:v>-37306.34</x:v>
      </x:c>
      <x:c r="F237" s="618" t="n">
        <x:v>-19442.38</x:v>
      </x:c>
      <x:c r="G237" s="620" t="n">
        <x:v>-11255.47</x:v>
      </x:c>
      <x:c r="H237" s="618" t="n">
        <x:v>-125115.98</x:v>
      </x:c>
      <x:c r="I237" s="618" t="n">
        <x:v>-3102.84</x:v>
      </x:c>
      <x:c r="J237" s="618" t="n">
        <x:v>-27218.32</x:v>
      </x:c>
      <x:c r="K237" s="618" t="n">
        <x:v>-39044.45</x:v>
      </x:c>
      <x:c r="L237" s="618" t="n">
        <x:v>-198435.12</x:v>
      </x:c>
      <x:c r="M237" s="618" t="n">
        <x:v>-99198.9</x:v>
      </x:c>
      <x:c r="N237" s="618" t="n">
        <x:v>-5062.58</x:v>
      </x:c>
      <x:c r="O237" s="618" t="n">
        <x:v>6.56</x:v>
      </x:c>
      <x:c r="P237" s="618">
        <x:v>0</x:v>
      </x:c>
      <x:c r="Q237" s="618">
        <x:v>0</x:v>
      </x:c>
      <x:c r="R237" s="616" t="n">
        <x:v>0</x:v>
      </x:c>
    </x:row>
    <x:row r="238" spans="1:18" ht="12.75" customHeight="1" x14ac:dyDescent="0.2">
      <x:c r="C238" s="616" t="s">
        <x:v>81</x:v>
      </x:c>
      <x:c r="D238" s="620" t="n">
        <x:v>-8.36</x:v>
      </x:c>
      <x:c r="E238" s="618" t="n">
        <x:v>-0.84</x:v>
      </x:c>
      <x:c r="F238" s="618" t="n">
        <x:v>-0.39</x:v>
      </x:c>
      <x:c r="G238" s="620" t="n">
        <x:v>-0.21</x:v>
      </x:c>
      <x:c r="H238" s="618" t="n">
        <x:v>-1.63</x:v>
      </x:c>
      <x:c r="I238" s="618" t="n">
        <x:v>-0.04</x:v>
      </x:c>
      <x:c r="J238" s="618" t="n">
        <x:v>-0.35</x:v>
      </x:c>
      <x:c r="K238" s="618" t="n">
        <x:v>-0.43</x:v>
      </x:c>
      <x:c r="L238" s="618" t="n">
        <x:v>-2.12</x:v>
      </x:c>
      <x:c r="M238" s="618" t="n">
        <x:v>-2.28</x:v>
      </x:c>
      <x:c r="N238" s="618" t="n">
        <x:v>-0.07</x:v>
      </x:c>
      <x:c r="O238" s="618" t="n">
        <x:v>0</x:v>
      </x:c>
      <x:c r="P238" s="618">
        <x:v>0</x:v>
      </x:c>
      <x:c r="Q238" s="618">
        <x:v>0</x:v>
      </x:c>
      <x:c r="R238" s="616" t="n">
        <x:v>0</x:v>
      </x:c>
    </x:row>
    <x:row r="239" spans="1:18" s="621" customFormat="1" ht="12.75" customHeight="1" x14ac:dyDescent="0.2">
      <x:c r="B239" s="622" t="s">
        <x:v>78</x:v>
      </x:c>
      <x:c r="C239" s="622" t="s">
        <x:v>70</x:v>
      </x:c>
      <x:c r="D239" s="622" t="n">
        <x:v>-565184.18</x:v>
      </x:c>
      <x:c r="E239" s="622" t="n">
        <x:v>-37307.18</x:v>
      </x:c>
      <x:c r="F239" s="622" t="n">
        <x:v>-19442.77</x:v>
      </x:c>
      <x:c r="G239" s="622" t="n">
        <x:v>-11255.68</x:v>
      </x:c>
      <x:c r="H239" s="622" t="n">
        <x:v>-125117.61</x:v>
      </x:c>
      <x:c r="I239" s="622" t="n">
        <x:v>-3102.88</x:v>
      </x:c>
      <x:c r="J239" s="622" t="n">
        <x:v>-27218.67</x:v>
      </x:c>
      <x:c r="K239" s="622" t="n">
        <x:v>-39044.88</x:v>
      </x:c>
      <x:c r="L239" s="622" t="n">
        <x:v>-198437.24</x:v>
      </x:c>
      <x:c r="M239" s="622" t="n">
        <x:v>-99201.18</x:v>
      </x:c>
      <x:c r="N239" s="622" t="n">
        <x:v>-5062.65</x:v>
      </x:c>
      <x:c r="O239" s="622" t="n">
        <x:v>6.56</x:v>
      </x:c>
      <x:c r="P239" s="621">
        <x:v>0</x:v>
      </x:c>
      <x:c r="Q239" s="622">
        <x:v>0</x:v>
      </x:c>
      <x:c r="R239" s="622" t="n">
        <x:v>0</x:v>
      </x:c>
    </x:row>
    <x:row r="240" spans="1:18" ht="12.75" customHeight="1" x14ac:dyDescent="0.2">
      <x:c r="C240" s="616" t="s">
        <x:v>73</x:v>
      </x:c>
      <x:c r="D240" s="620" t="n">
        <x:v>15644.18</x:v>
      </x:c>
      <x:c r="E240" s="618" t="n">
        <x:v>-3723.05</x:v>
      </x:c>
      <x:c r="F240" s="618" t="n">
        <x:v>-2050.97</x:v>
      </x:c>
      <x:c r="G240" s="620" t="n">
        <x:v>-1232.73</x:v>
      </x:c>
      <x:c r="H240" s="618" t="n">
        <x:v>10995.31</x:v>
      </x:c>
      <x:c r="I240" s="618" t="n">
        <x:v>269.17</x:v>
      </x:c>
      <x:c r="J240" s="618" t="n">
        <x:v>2361.18</x:v>
      </x:c>
      <x:c r="K240" s="618" t="n">
        <x:v>3071.33</x:v>
      </x:c>
      <x:c r="L240" s="618" t="n">
        <x:v>15308.82</x:v>
      </x:c>
      <x:c r="M240" s="618" t="n">
        <x:v>-9794.02</x:v>
      </x:c>
      <x:c r="N240" s="618" t="n">
        <x:v>439.14</x:v>
      </x:c>
      <x:c r="O240" s="618" t="n">
        <x:v>0</x:v>
      </x:c>
      <x:c r="P240" s="618">
        <x:v>0</x:v>
      </x:c>
      <x:c r="Q240" s="618">
        <x:v>0</x:v>
      </x:c>
      <x:c r="R240" s="616" t="n">
        <x:v>0</x:v>
      </x:c>
    </x:row>
    <x:row r="241" spans="1:18" s="623" customFormat="1" ht="12.75" customHeight="1" x14ac:dyDescent="0.2">
      <x:c r="B241" s="624" t="s">
        <x:v>79</x:v>
      </x:c>
      <x:c r="C241" s="624" t="s">
        <x:v>70</x:v>
      </x:c>
      <x:c r="D241" s="624" t="n">
        <x:v>15644.18</x:v>
      </x:c>
      <x:c r="E241" s="624" t="n">
        <x:v>-3723.05</x:v>
      </x:c>
      <x:c r="F241" s="624" t="n">
        <x:v>-2050.97</x:v>
      </x:c>
      <x:c r="G241" s="624" t="n">
        <x:v>-1232.73</x:v>
      </x:c>
      <x:c r="H241" s="624" t="n">
        <x:v>10995.31</x:v>
      </x:c>
      <x:c r="I241" s="624" t="n">
        <x:v>269.17</x:v>
      </x:c>
      <x:c r="J241" s="624" t="n">
        <x:v>2361.18</x:v>
      </x:c>
      <x:c r="K241" s="624" t="n">
        <x:v>3071.33</x:v>
      </x:c>
      <x:c r="L241" s="624" t="n">
        <x:v>15308.82</x:v>
      </x:c>
      <x:c r="M241" s="624" t="n">
        <x:v>-9794.02</x:v>
      </x:c>
      <x:c r="N241" s="624" t="n">
        <x:v>439.14</x:v>
      </x:c>
      <x:c r="O241" s="624" t="n">
        <x:v>0</x:v>
      </x:c>
      <x:c r="P241" s="623">
        <x:v>0</x:v>
      </x:c>
      <x:c r="Q241" s="624">
        <x:v>0</x:v>
      </x:c>
      <x:c r="R241" s="624" t="n">
        <x:v>0</x:v>
      </x:c>
    </x:row>
    <x:row r="242" spans="1:18" s="763" customFormat="1" ht="12.75" customHeight="1" x14ac:dyDescent="0.2">
      <x:c r="A242" s="763" t="s">
        <x:v>120</x:v>
      </x:c>
      <x:c r="B242" s="763" t="s">
        <x:v>70</x:v>
      </x:c>
      <x:c r="D242" s="765" t="n">
        <x:v>-549540</x:v>
      </x:c>
      <x:c r="E242" s="764" t="n">
        <x:v>-41030.23</x:v>
      </x:c>
      <x:c r="F242" s="764" t="n">
        <x:v>-21493.74</x:v>
      </x:c>
      <x:c r="G242" s="765" t="n">
        <x:v>-12488.41</x:v>
      </x:c>
      <x:c r="H242" s="764" t="n">
        <x:v>-114122.3</x:v>
      </x:c>
      <x:c r="I242" s="764" t="n">
        <x:v>-2833.71</x:v>
      </x:c>
      <x:c r="J242" s="764" t="n">
        <x:v>-24857.49</x:v>
      </x:c>
      <x:c r="K242" s="764" t="n">
        <x:v>-35973.55</x:v>
      </x:c>
      <x:c r="L242" s="764" t="n">
        <x:v>-183128.42</x:v>
      </x:c>
      <x:c r="M242" s="764" t="n">
        <x:v>-108995.2</x:v>
      </x:c>
      <x:c r="N242" s="764" t="n">
        <x:v>-4623.51</x:v>
      </x:c>
      <x:c r="O242" s="764" t="n">
        <x:v>6.56</x:v>
      </x:c>
      <x:c r="P242" s="764">
        <x:v>0</x:v>
      </x:c>
      <x:c r="Q242" s="764">
        <x:v>0</x:v>
      </x:c>
      <x:c r="R242" s="763" t="n">
        <x:v>0</x:v>
      </x:c>
    </x:row>
    <x:row r="243" spans="1:18" ht="12.75" customHeight="1" x14ac:dyDescent="0.2">
      <x:c r="C243" s="616" t="s">
        <x:v>72</x:v>
      </x:c>
      <x:c r="D243" s="620" t="n">
        <x:v>-862480.46</x:v>
      </x:c>
      <x:c r="E243" s="618" t="n">
        <x:v>-39715.51</x:v>
      </x:c>
      <x:c r="F243" s="618" t="n">
        <x:v>-22469.48</x:v>
      </x:c>
      <x:c r="G243" s="620" t="n">
        <x:v>-11974.92</x:v>
      </x:c>
      <x:c r="H243" s="618" t="n">
        <x:v>-209441.11</x:v>
      </x:c>
      <x:c r="I243" s="618" t="n">
        <x:v>-7713.34</x:v>
      </x:c>
      <x:c r="J243" s="618" t="n">
        <x:v>-64306.22</x:v>
      </x:c>
      <x:c r="K243" s="618" t="n">
        <x:v>-62901.08</x:v>
      </x:c>
      <x:c r="L243" s="618" t="n">
        <x:v>-325046.79</x:v>
      </x:c>
      <x:c r="M243" s="618" t="n">
        <x:v>-106961.73</x:v>
      </x:c>
      <x:c r="N243" s="618" t="n">
        <x:v>-11960.9</x:v>
      </x:c>
      <x:c r="O243" s="618" t="n">
        <x:v>10.62</x:v>
      </x:c>
      <x:c r="P243" s="618">
        <x:v>0</x:v>
      </x:c>
      <x:c r="Q243" s="618">
        <x:v>0</x:v>
      </x:c>
      <x:c r="R243" s="616" t="n">
        <x:v>0</x:v>
      </x:c>
    </x:row>
    <x:row r="244" spans="1:18" ht="12.75" customHeight="1" x14ac:dyDescent="0.2">
      <x:c r="C244" s="616" t="s">
        <x:v>81</x:v>
      </x:c>
      <x:c r="D244" s="620">
        <x:v>0</x:v>
      </x:c>
      <x:c r="E244" s="618">
        <x:v>0</x:v>
      </x:c>
      <x:c r="F244" s="618">
        <x:v>0</x:v>
      </x:c>
      <x:c r="G244" s="620">
        <x:v>0</x:v>
      </x:c>
      <x:c r="H244" s="618">
        <x:v>0</x:v>
      </x:c>
      <x:c r="I244" s="618">
        <x:v>0</x:v>
      </x:c>
      <x:c r="J244" s="618">
        <x:v>0</x:v>
      </x:c>
      <x:c r="K244" s="618">
        <x:v>0</x:v>
      </x:c>
      <x:c r="L244" s="618">
        <x:v>0</x:v>
      </x:c>
      <x:c r="M244" s="618">
        <x:v>0</x:v>
      </x:c>
      <x:c r="N244" s="618">
        <x:v>0</x:v>
      </x:c>
      <x:c r="O244" s="618">
        <x:v>0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2">
      <x:c r="B245" s="622" t="s">
        <x:v>78</x:v>
      </x:c>
      <x:c r="C245" s="622" t="s">
        <x:v>70</x:v>
      </x:c>
      <x:c r="D245" s="622" t="n">
        <x:v>-862480.46</x:v>
      </x:c>
      <x:c r="E245" s="622" t="n">
        <x:v>-39715.51</x:v>
      </x:c>
      <x:c r="F245" s="622" t="n">
        <x:v>-22469.48</x:v>
      </x:c>
      <x:c r="G245" s="622" t="n">
        <x:v>-11974.92</x:v>
      </x:c>
      <x:c r="H245" s="622" t="n">
        <x:v>-209441.11</x:v>
      </x:c>
      <x:c r="I245" s="622" t="n">
        <x:v>-7713.34</x:v>
      </x:c>
      <x:c r="J245" s="622" t="n">
        <x:v>-64306.22</x:v>
      </x:c>
      <x:c r="K245" s="622" t="n">
        <x:v>-62901.08</x:v>
      </x:c>
      <x:c r="L245" s="622" t="n">
        <x:v>-325046.79</x:v>
      </x:c>
      <x:c r="M245" s="622" t="n">
        <x:v>-106961.73</x:v>
      </x:c>
      <x:c r="N245" s="622" t="n">
        <x:v>-11960.9</x:v>
      </x:c>
      <x:c r="O245" s="622" t="n">
        <x:v>10.62</x:v>
      </x:c>
      <x:c r="P245" s="621">
        <x:v>0</x:v>
      </x:c>
      <x:c r="Q245" s="622">
        <x:v>0</x:v>
      </x:c>
      <x:c r="R245" s="622" t="n">
        <x:v>0</x:v>
      </x:c>
    </x:row>
    <x:row r="246" spans="1:18" ht="12.75" customHeight="1" x14ac:dyDescent="0.2">
      <x:c r="C246" s="616" t="s">
        <x:v>73</x:v>
      </x:c>
      <x:c r="D246" s="618" t="n">
        <x:v>387536.46</x:v>
      </x:c>
      <x:c r="E246" s="618" t="n">
        <x:v>18163.82</x:v>
      </x:c>
      <x:c r="F246" s="618" t="n">
        <x:v>10270.54</x:v>
      </x:c>
      <x:c r="G246" s="620" t="n">
        <x:v>5450.54</x:v>
      </x:c>
      <x:c r="H246" s="618" t="n">
        <x:v>92818.77</x:v>
      </x:c>
      <x:c r="I246" s="618" t="n">
        <x:v>3350.44</x:v>
      </x:c>
      <x:c r="J246" s="618" t="n">
        <x:v>29390.52</x:v>
      </x:c>
      <x:c r="K246" s="618" t="n">
        <x:v>28751.18</x:v>
      </x:c>
      <x:c r="L246" s="618" t="n">
        <x:v>145188.92</x:v>
      </x:c>
      <x:c r="M246" s="618" t="n">
        <x:v>48685.04</x:v>
      </x:c>
      <x:c r="N246" s="618" t="n">
        <x:v>5466.69</x:v>
      </x:c>
      <x:c r="O246" s="618" t="n">
        <x:v>0</x:v>
      </x:c>
      <x:c r="P246" s="618">
        <x:v>0</x:v>
      </x:c>
      <x:c r="Q246" s="618">
        <x:v>0</x:v>
      </x:c>
      <x:c r="R246" s="616" t="n">
        <x:v>0</x:v>
      </x:c>
    </x:row>
    <x:row r="247" spans="1:18" s="623" customFormat="1" ht="12.75" customHeight="1" x14ac:dyDescent="0.2">
      <x:c r="B247" s="624" t="s">
        <x:v>79</x:v>
      </x:c>
      <x:c r="C247" s="624" t="s">
        <x:v>70</x:v>
      </x:c>
      <x:c r="D247" s="624" t="n">
        <x:v>387536.46</x:v>
      </x:c>
      <x:c r="E247" s="624" t="n">
        <x:v>18163.82</x:v>
      </x:c>
      <x:c r="F247" s="624" t="n">
        <x:v>10270.54</x:v>
      </x:c>
      <x:c r="G247" s="624" t="n">
        <x:v>5450.54</x:v>
      </x:c>
      <x:c r="H247" s="624" t="n">
        <x:v>92818.77</x:v>
      </x:c>
      <x:c r="I247" s="624" t="n">
        <x:v>3350.44</x:v>
      </x:c>
      <x:c r="J247" s="624" t="n">
        <x:v>29390.52</x:v>
      </x:c>
      <x:c r="K247" s="624" t="n">
        <x:v>28751.18</x:v>
      </x:c>
      <x:c r="L247" s="624" t="n">
        <x:v>145188.92</x:v>
      </x:c>
      <x:c r="M247" s="624" t="n">
        <x:v>48685.04</x:v>
      </x:c>
      <x:c r="N247" s="624" t="n">
        <x:v>5466.69</x:v>
      </x:c>
      <x:c r="O247" s="624" t="n">
        <x:v>0</x:v>
      </x:c>
      <x:c r="P247" s="623">
        <x:v>0</x:v>
      </x:c>
      <x:c r="Q247" s="624">
        <x:v>0</x:v>
      </x:c>
      <x:c r="R247" s="624" t="n">
        <x:v>0</x:v>
      </x:c>
    </x:row>
    <x:row r="248" spans="1:18" s="754" customFormat="1" ht="12.75" customHeight="1" x14ac:dyDescent="0.2">
      <x:c r="A248" s="754" t="s">
        <x:v>119</x:v>
      </x:c>
      <x:c r="B248" s="628" t="s">
        <x:v>70</x:v>
      </x:c>
      <x:c r="C248" s="628"/>
      <x:c r="D248" s="628" t="n">
        <x:v>-474944</x:v>
      </x:c>
      <x:c r="E248" s="628" t="n">
        <x:v>-21551.69</x:v>
      </x:c>
      <x:c r="F248" s="628" t="n">
        <x:v>-12198.94</x:v>
      </x:c>
      <x:c r="G248" s="628" t="n">
        <x:v>-6524.38</x:v>
      </x:c>
      <x:c r="H248" s="628" t="n">
        <x:v>-116622.34</x:v>
      </x:c>
      <x:c r="I248" s="628" t="n">
        <x:v>-4362.9</x:v>
      </x:c>
      <x:c r="J248" s="628" t="n">
        <x:v>-34915.7</x:v>
      </x:c>
      <x:c r="K248" s="628" t="n">
        <x:v>-34149.9</x:v>
      </x:c>
      <x:c r="L248" s="628" t="n">
        <x:v>-179857.87</x:v>
      </x:c>
      <x:c r="M248" s="628" t="n">
        <x:v>-58276.69</x:v>
      </x:c>
      <x:c r="N248" s="628" t="n">
        <x:v>-6494.21</x:v>
      </x:c>
      <x:c r="O248" s="628" t="n">
        <x:v>10.62</x:v>
      </x:c>
      <x:c r="P248" s="754">
        <x:v>0</x:v>
      </x:c>
      <x:c r="Q248" s="628">
        <x:v>0</x:v>
      </x:c>
      <x:c r="R248" s="628" t="n">
        <x:v>0</x:v>
      </x:c>
    </x:row>
    <x:row r="249" spans="1:18" s="631" customFormat="1" ht="12.75" customHeight="1" x14ac:dyDescent="0.2">
      <x:c r="A249" s="630" t="s">
        <x:v>70</x:v>
      </x:c>
      <x:c r="D249" s="630" t="n">
        <x:v>-15663330</x:v>
      </x:c>
      <x:c r="E249" s="630" t="n">
        <x:v>-1010931.86</x:v>
      </x:c>
      <x:c r="F249" s="630" t="n">
        <x:v>-550188.35</x:v>
      </x:c>
      <x:c r="G249" s="630" t="n">
        <x:v>-287957.14</x:v>
      </x:c>
      <x:c r="H249" s="630" t="n">
        <x:v>-3311154.84</x:v>
      </x:c>
      <x:c r="I249" s="630" t="n">
        <x:v>-119364.83</x:v>
      </x:c>
      <x:c r="J249" s="630" t="n">
        <x:v>-1055132.02</x:v>
      </x:c>
      <x:c r="K249" s="630" t="n">
        <x:v>-1080375.84</x:v>
      </x:c>
      <x:c r="L249" s="630" t="n">
        <x:v>-5367667.74</x:v>
      </x:c>
      <x:c r="M249" s="630" t="n">
        <x:v>-2684356.19</x:v>
      </x:c>
      <x:c r="N249" s="630" t="n">
        <x:v>-196442.27</x:v>
      </x:c>
      <x:c r="O249" s="630" t="n">
        <x:v>8.64</x:v>
      </x:c>
      <x:c r="P249" s="631" t="n">
        <x:v>0</x:v>
      </x:c>
      <x:c r="Q249" s="631">
        <x:v>0</x:v>
      </x:c>
      <x:c r="R249" s="631" t="n">
        <x:v>232.44</x:v>
      </x:c>
    </x:row>
    <x:row r="250" spans="1:18" ht="12.75" customHeight="1" x14ac:dyDescent="0.2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2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2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2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2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2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2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2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2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2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2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2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2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2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2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2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2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2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2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2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2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2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2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2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2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2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2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2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2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2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2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2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">
      <x:c r="A335" s="779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2">
      <x:c r="A336" s="779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2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2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">
      <x:c r="A341" s="782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2">
      <x:c r="A342" s="782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2"/>
    <x:row r="344" spans="1:18" x14ac:dyDescent="0.2">
      <x:c r="B344" s="617" t="s">
        <x:v>93</x:v>
      </x:c>
    </x:row>
    <x:row r="345" spans="1:18" ht="12.75" customHeight="1" x14ac:dyDescent="0.2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2">
      <x:c r="C346" s="618" t="s">
        <x:v>72</x:v>
      </x:c>
      <x:c r="D346" s="618" t="n">
        <x:v>-1706689.32</x:v>
      </x:c>
      <x:c r="E346" s="618" t="n">
        <x:v>-94482.4</x:v>
      </x:c>
      <x:c r="F346" s="618" t="n">
        <x:v>-53308.05</x:v>
      </x:c>
      <x:c r="G346" s="618" t="n">
        <x:v>-27834.64</x:v>
      </x:c>
      <x:c r="H346" s="618" t="n">
        <x:v>-369040.04</x:v>
      </x:c>
      <x:c r="I346" s="618" t="n">
        <x:v>-13788.77</x:v>
      </x:c>
      <x:c r="J346" s="618" t="n">
        <x:v>-120953.3</x:v>
      </x:c>
      <x:c r="K346" s="618" t="n">
        <x:v>-114901.98</x:v>
      </x:c>
      <x:c r="L346" s="618" t="n">
        <x:v>-608077.97</x:v>
      </x:c>
      <x:c r="M346" s="618" t="n">
        <x:v>-281789.78</x:v>
      </x:c>
      <x:c r="N346" s="618" t="n">
        <x:v>-22497.42</x:v>
      </x:c>
      <x:c r="O346" s="618" t="n">
        <x:v>-14.97</x:v>
      </x:c>
      <x:c r="P346" s="616">
        <x:v>0</x:v>
      </x:c>
      <x:c r="Q346" s="618">
        <x:v>0</x:v>
      </x:c>
      <x:c r="R346" s="616" t="n">
        <x:v>0</x:v>
      </x:c>
    </x:row>
    <x:row r="347" spans="1:18" ht="12" customHeight="1" x14ac:dyDescent="0.2">
      <x:c r="C347" s="618" t="s">
        <x:v>81</x:v>
      </x:c>
      <x:c r="D347" s="618" t="n">
        <x:v>-456.61</x:v>
      </x:c>
      <x:c r="E347" s="618" t="n">
        <x:v>-47.8</x:v>
      </x:c>
      <x:c r="F347" s="618" t="n">
        <x:v>-26.97</x:v>
      </x:c>
      <x:c r="G347" s="618" t="n">
        <x:v>-14.11</x:v>
      </x:c>
      <x:c r="H347" s="618" t="n">
        <x:v>-65.69</x:v>
      </x:c>
      <x:c r="I347" s="618" t="n">
        <x:v>-2.49</x:v>
      </x:c>
      <x:c r="J347" s="618" t="n">
        <x:v>-21.9</x:v>
      </x:c>
      <x:c r="K347" s="618" t="n">
        <x:v>-21.51</x:v>
      </x:c>
      <x:c r="L347" s="618" t="n">
        <x:v>-110</x:v>
      </x:c>
      <x:c r="M347" s="618" t="n">
        <x:v>-142.07</x:v>
      </x:c>
      <x:c r="N347" s="618" t="n">
        <x:v>-4.08</x:v>
      </x:c>
      <x:c r="O347" s="618" t="n">
        <x:v>0.01</x:v>
      </x:c>
      <x:c r="P347" s="616">
        <x:v>0</x:v>
      </x:c>
      <x:c r="Q347" s="618">
        <x:v>0</x:v>
      </x:c>
      <x:c r="R347" s="616" t="n">
        <x:v>0</x:v>
      </x:c>
    </x:row>
    <x:row r="348" spans="1:18" s="621" customFormat="1" ht="12.75" customHeight="1" x14ac:dyDescent="0.2">
      <x:c r="A348" s="622"/>
      <x:c r="B348" s="621" t="s">
        <x:v>78</x:v>
      </x:c>
      <x:c r="C348" s="621" t="s">
        <x:v>70</x:v>
      </x:c>
      <x:c r="D348" s="622" t="n">
        <x:v>-1707145.93</x:v>
      </x:c>
      <x:c r="E348" s="622" t="n">
        <x:v>-94530.2</x:v>
      </x:c>
      <x:c r="F348" s="622" t="n">
        <x:v>-53335.02</x:v>
      </x:c>
      <x:c r="G348" s="622" t="n">
        <x:v>-27848.75</x:v>
      </x:c>
      <x:c r="H348" s="622" t="n">
        <x:v>-369105.73</x:v>
      </x:c>
      <x:c r="I348" s="622" t="n">
        <x:v>-13791.26</x:v>
      </x:c>
      <x:c r="J348" s="622" t="n">
        <x:v>-120975.2</x:v>
      </x:c>
      <x:c r="K348" s="622" t="n">
        <x:v>-114923.49</x:v>
      </x:c>
      <x:c r="L348" s="622" t="n">
        <x:v>-608187.97</x:v>
      </x:c>
      <x:c r="M348" s="622" t="n">
        <x:v>-281931.85</x:v>
      </x:c>
      <x:c r="N348" s="622" t="n">
        <x:v>-22501.5</x:v>
      </x:c>
      <x:c r="O348" s="622" t="n">
        <x:v>-14.96</x:v>
      </x:c>
      <x:c r="P348" s="621">
        <x:v>0</x:v>
      </x:c>
      <x:c r="Q348" s="621">
        <x:v>0</x:v>
      </x:c>
      <x:c r="R348" s="621" t="n">
        <x:v>0</x:v>
      </x:c>
    </x:row>
    <x:row r="349" spans="1:18" ht="12" customHeight="1" x14ac:dyDescent="0.2">
      <x:c r="C349" s="618" t="s">
        <x:v>73</x:v>
      </x:c>
      <x:c r="D349" s="618" t="n">
        <x:v>252595.93</x:v>
      </x:c>
      <x:c r="E349" s="618" t="n">
        <x:v>11832.72</x:v>
      </x:c>
      <x:c r="F349" s="618" t="n">
        <x:v>6669.12</x:v>
      </x:c>
      <x:c r="G349" s="618" t="n">
        <x:v>3454.83</x:v>
      </x:c>
      <x:c r="H349" s="618" t="n">
        <x:v>57250.88</x:v>
      </x:c>
      <x:c r="I349" s="618" t="n">
        <x:v>2188.66</x:v>
      </x:c>
      <x:c r="J349" s="618" t="n">
        <x:v>19197.88</x:v>
      </x:c>
      <x:c r="K349" s="618" t="n">
        <x:v>17533.08</x:v>
      </x:c>
      <x:c r="L349" s="618" t="n">
        <x:v>96412.03</x:v>
      </x:c>
      <x:c r="M349" s="618" t="n">
        <x:v>34485.89</x:v>
      </x:c>
      <x:c r="N349" s="618" t="n">
        <x:v>3570.84</x:v>
      </x:c>
      <x:c r="O349" s="618" t="n">
        <x:v>0</x:v>
      </x:c>
      <x:c r="P349" s="616">
        <x:v>0</x:v>
      </x:c>
      <x:c r="Q349" s="618">
        <x:v>0</x:v>
      </x:c>
      <x:c r="R349" s="616" t="n">
        <x:v>0</x:v>
      </x:c>
    </x:row>
    <x:row r="350" spans="1:18" s="623" customFormat="1" ht="12.75" customHeight="1" x14ac:dyDescent="0.2">
      <x:c r="A350" s="624"/>
      <x:c r="B350" s="624" t="s">
        <x:v>79</x:v>
      </x:c>
      <x:c r="C350" s="623" t="s">
        <x:v>70</x:v>
      </x:c>
      <x:c r="D350" s="624" t="n">
        <x:v>252595.93</x:v>
      </x:c>
      <x:c r="E350" s="624" t="n">
        <x:v>11832.72</x:v>
      </x:c>
      <x:c r="F350" s="624" t="n">
        <x:v>6669.12</x:v>
      </x:c>
      <x:c r="G350" s="624" t="n">
        <x:v>3454.83</x:v>
      </x:c>
      <x:c r="H350" s="624" t="n">
        <x:v>57250.88</x:v>
      </x:c>
      <x:c r="I350" s="624" t="n">
        <x:v>2188.66</x:v>
      </x:c>
      <x:c r="J350" s="624" t="n">
        <x:v>19197.88</x:v>
      </x:c>
      <x:c r="K350" s="624" t="n">
        <x:v>17533.08</x:v>
      </x:c>
      <x:c r="L350" s="624" t="n">
        <x:v>96412.03</x:v>
      </x:c>
      <x:c r="M350" s="624" t="n">
        <x:v>34485.89</x:v>
      </x:c>
      <x:c r="N350" s="624" t="n">
        <x:v>3570.84</x:v>
      </x:c>
      <x:c r="O350" s="624" t="n">
        <x:v>0</x:v>
      </x:c>
      <x:c r="P350" s="623">
        <x:v>0</x:v>
      </x:c>
      <x:c r="Q350" s="623">
        <x:v>0</x:v>
      </x:c>
      <x:c r="R350" s="623" t="n">
        <x:v>0</x:v>
      </x:c>
    </x:row>
    <x:row r="351" spans="1:18" s="625" customFormat="1" ht="12.75" customHeight="1" x14ac:dyDescent="0.2">
      <x:c r="A351" s="625" t="s">
        <x:v>155</x:v>
      </x:c>
      <x:c r="B351" s="625" t="s">
        <x:v>70</x:v>
      </x:c>
      <x:c r="D351" s="626" t="n">
        <x:v>-1454550</x:v>
      </x:c>
      <x:c r="E351" s="626" t="n">
        <x:v>-82697.48</x:v>
      </x:c>
      <x:c r="F351" s="626" t="n">
        <x:v>-46665.9</x:v>
      </x:c>
      <x:c r="G351" s="627" t="n">
        <x:v>-24393.92</x:v>
      </x:c>
      <x:c r="H351" s="626" t="n">
        <x:v>-311854.85</x:v>
      </x:c>
      <x:c r="I351" s="626" t="n">
        <x:v>-11602.6</x:v>
      </x:c>
      <x:c r="J351" s="626" t="n">
        <x:v>-101777.32</x:v>
      </x:c>
      <x:c r="K351" s="626" t="n">
        <x:v>-97390.41</x:v>
      </x:c>
      <x:c r="L351" s="626" t="n">
        <x:v>-511775.94</x:v>
      </x:c>
      <x:c r="M351" s="626" t="n">
        <x:v>-247445.96</x:v>
      </x:c>
      <x:c r="N351" s="626" t="n">
        <x:v>-18930.66</x:v>
      </x:c>
      <x:c r="O351" s="626" t="n">
        <x:v>-14.96</x:v>
      </x:c>
      <x:c r="P351" s="626">
        <x:v>0</x:v>
      </x:c>
      <x:c r="Q351" s="626">
        <x:v>0</x:v>
      </x:c>
      <x:c r="R351" s="625" t="n">
        <x:v>0</x:v>
      </x:c>
    </x:row>
    <x:row r="352" spans="1:18" ht="12.75" customHeight="1" x14ac:dyDescent="0.2">
      <x:c r="C352" s="616" t="s">
        <x:v>72</x:v>
      </x:c>
      <x:c r="D352" s="618" t="n">
        <x:v>-2862889.72</x:v>
      </x:c>
      <x:c r="E352" s="618" t="n">
        <x:v>-179668.09</x:v>
      </x:c>
      <x:c r="F352" s="618" t="n">
        <x:v>-82974.25</x:v>
      </x:c>
      <x:c r="G352" s="620" t="n">
        <x:v>-45392.65</x:v>
      </x:c>
      <x:c r="H352" s="618" t="n">
        <x:v>-673487.67</x:v>
      </x:c>
      <x:c r="I352" s="618" t="n">
        <x:v>-17742.75</x:v>
      </x:c>
      <x:c r="J352" s="618" t="n">
        <x:v>-155636.23</x:v>
      </x:c>
      <x:c r="K352" s="618" t="n">
        <x:v>-193184.12</x:v>
      </x:c>
      <x:c r="L352" s="618" t="n">
        <x:v>-948866.03</x:v>
      </x:c>
      <x:c r="M352" s="618" t="n">
        <x:v>-536960.47</x:v>
      </x:c>
      <x:c r="N352" s="618" t="n">
        <x:v>-28948.27</x:v>
      </x:c>
      <x:c r="O352" s="618" t="n">
        <x:v>-29.19</x:v>
      </x:c>
      <x:c r="P352" s="618">
        <x:v>0</x:v>
      </x:c>
      <x:c r="Q352" s="618">
        <x:v>0</x:v>
      </x:c>
      <x:c r="R352" s="616" t="n">
        <x:v>0</x:v>
      </x:c>
    </x:row>
    <x:row r="353" spans="1:18" ht="12.6" customHeight="1" x14ac:dyDescent="0.2">
      <x:c r="C353" s="616" t="s">
        <x:v>81</x:v>
      </x:c>
      <x:c r="D353" s="618" t="n">
        <x:v>-7202.5</x:v>
      </x:c>
      <x:c r="E353" s="618" t="n">
        <x:v>-472.72</x:v>
      </x:c>
      <x:c r="F353" s="618" t="n">
        <x:v>-217.35</x:v>
      </x:c>
      <x:c r="G353" s="620" t="n">
        <x:v>-118.11</x:v>
      </x:c>
      <x:c r="H353" s="618" t="n">
        <x:v>-1668.72</x:v>
      </x:c>
      <x:c r="I353" s="618" t="n">
        <x:v>-44.26</x:v>
      </x:c>
      <x:c r="J353" s="618" t="n">
        <x:v>-386.59</x:v>
      </x:c>
      <x:c r="K353" s="618" t="n">
        <x:v>-478.13</x:v>
      </x:c>
      <x:c r="L353" s="618" t="n">
        <x:v>-2330.63</x:v>
      </x:c>
      <x:c r="M353" s="618" t="n">
        <x:v>-1414.2</x:v>
      </x:c>
      <x:c r="N353" s="618" t="n">
        <x:v>-71.87</x:v>
      </x:c>
      <x:c r="O353" s="618" t="n">
        <x:v>0.08</x:v>
      </x:c>
      <x:c r="P353" s="618">
        <x:v>0</x:v>
      </x:c>
      <x:c r="Q353" s="618">
        <x:v>0</x:v>
      </x:c>
      <x:c r="R353" s="616" t="n">
        <x:v>0</x:v>
      </x:c>
    </x:row>
    <x:row r="354" spans="1:18" s="621" customFormat="1" ht="12.75" customHeight="1" x14ac:dyDescent="0.2">
      <x:c r="B354" s="622" t="s">
        <x:v>78</x:v>
      </x:c>
      <x:c r="C354" s="622" t="s">
        <x:v>70</x:v>
      </x:c>
      <x:c r="D354" s="622" t="n">
        <x:v>-2870092.22</x:v>
      </x:c>
      <x:c r="E354" s="622" t="n">
        <x:v>-180140.81</x:v>
      </x:c>
      <x:c r="F354" s="622" t="n">
        <x:v>-83191.6</x:v>
      </x:c>
      <x:c r="G354" s="622" t="n">
        <x:v>-45510.76</x:v>
      </x:c>
      <x:c r="H354" s="622" t="n">
        <x:v>-675156.39</x:v>
      </x:c>
      <x:c r="I354" s="622" t="n">
        <x:v>-17787.01</x:v>
      </x:c>
      <x:c r="J354" s="622" t="n">
        <x:v>-156022.82</x:v>
      </x:c>
      <x:c r="K354" s="622" t="n">
        <x:v>-193662.25</x:v>
      </x:c>
      <x:c r="L354" s="622" t="n">
        <x:v>-951196.66</x:v>
      </x:c>
      <x:c r="M354" s="622" t="n">
        <x:v>-538374.67</x:v>
      </x:c>
      <x:c r="N354" s="622" t="n">
        <x:v>-29020.14</x:v>
      </x:c>
      <x:c r="O354" s="622" t="n">
        <x:v>-29.11</x:v>
      </x:c>
      <x:c r="P354" s="621">
        <x:v>0</x:v>
      </x:c>
      <x:c r="Q354" s="622">
        <x:v>0</x:v>
      </x:c>
      <x:c r="R354" s="622" t="n">
        <x:v>0</x:v>
      </x:c>
    </x:row>
    <x:row r="355" spans="1:18" ht="12.75" customHeight="1" x14ac:dyDescent="0.2">
      <x:c r="C355" s="616" t="s">
        <x:v>73</x:v>
      </x:c>
      <x:c r="D355" s="618" t="n">
        <x:v>313270.57</x:v>
      </x:c>
      <x:c r="E355" s="618" t="n">
        <x:v>18281.23</x:v>
      </x:c>
      <x:c r="F355" s="618" t="n">
        <x:v>8411.29</x:v>
      </x:c>
      <x:c r="G355" s="620" t="n">
        <x:v>4624.02</x:v>
      </x:c>
      <x:c r="H355" s="618" t="n">
        <x:v>75908.12</x:v>
      </x:c>
      <x:c r="I355" s="618" t="n">
        <x:v>1999.2</x:v>
      </x:c>
      <x:c r="J355" s="618" t="n">
        <x:v>17539.47</x:v>
      </x:c>
      <x:c r="K355" s="618" t="n">
        <x:v>21753.17</x:v>
      </x:c>
      <x:c r="L355" s="618" t="n">
        <x:v>106827.34</x:v>
      </x:c>
      <x:c r="M355" s="618" t="n">
        <x:v>54664.01</x:v>
      </x:c>
      <x:c r="N355" s="618" t="n">
        <x:v>3262.72</x:v>
      </x:c>
      <x:c r="O355" s="618" t="n">
        <x:v>0</x:v>
      </x:c>
      <x:c r="P355" s="618">
        <x:v>0</x:v>
      </x:c>
      <x:c r="Q355" s="618">
        <x:v>0</x:v>
      </x:c>
      <x:c r="R355" s="616" t="n">
        <x:v>0</x:v>
      </x:c>
    </x:row>
    <x:row r="356" spans="1:18" s="623" customFormat="1" ht="12.75" customHeight="1" x14ac:dyDescent="0.2">
      <x:c r="B356" s="624" t="s">
        <x:v>79</x:v>
      </x:c>
      <x:c r="C356" s="624" t="s">
        <x:v>70</x:v>
      </x:c>
      <x:c r="D356" s="624" t="n">
        <x:v>313270.57</x:v>
      </x:c>
      <x:c r="E356" s="624" t="n">
        <x:v>18281.23</x:v>
      </x:c>
      <x:c r="F356" s="624" t="n">
        <x:v>8411.29</x:v>
      </x:c>
      <x:c r="G356" s="624" t="n">
        <x:v>4624.02</x:v>
      </x:c>
      <x:c r="H356" s="624" t="n">
        <x:v>75908.12</x:v>
      </x:c>
      <x:c r="I356" s="624" t="n">
        <x:v>1999.2</x:v>
      </x:c>
      <x:c r="J356" s="624" t="n">
        <x:v>17539.47</x:v>
      </x:c>
      <x:c r="K356" s="624" t="n">
        <x:v>21753.17</x:v>
      </x:c>
      <x:c r="L356" s="624" t="n">
        <x:v>106827.34</x:v>
      </x:c>
      <x:c r="M356" s="624" t="n">
        <x:v>54664.01</x:v>
      </x:c>
      <x:c r="N356" s="624" t="n">
        <x:v>3262.72</x:v>
      </x:c>
      <x:c r="O356" s="624" t="n">
        <x:v>0</x:v>
      </x:c>
      <x:c r="P356" s="623">
        <x:v>0</x:v>
      </x:c>
      <x:c r="Q356" s="624">
        <x:v>0</x:v>
      </x:c>
      <x:c r="R356" s="624" t="n">
        <x:v>0</x:v>
      </x:c>
    </x:row>
    <x:row r="357" spans="1:18" s="628" customFormat="1" ht="12.75" customHeight="1" x14ac:dyDescent="0.2">
      <x:c r="A357" s="628" t="s">
        <x:v>119</x:v>
      </x:c>
      <x:c r="B357" s="628" t="s">
        <x:v>70</x:v>
      </x:c>
      <x:c r="D357" s="628" t="n">
        <x:v>-2556821.65</x:v>
      </x:c>
      <x:c r="E357" s="628" t="n">
        <x:v>-161859.58</x:v>
      </x:c>
      <x:c r="F357" s="628" t="n">
        <x:v>-74780.31</x:v>
      </x:c>
      <x:c r="G357" s="628" t="n">
        <x:v>-40886.74</x:v>
      </x:c>
      <x:c r="H357" s="628" t="n">
        <x:v>-599248.27</x:v>
      </x:c>
      <x:c r="I357" s="628" t="n">
        <x:v>-15787.81</x:v>
      </x:c>
      <x:c r="J357" s="628" t="n">
        <x:v>-138483.35</x:v>
      </x:c>
      <x:c r="K357" s="628" t="n">
        <x:v>-171909.08</x:v>
      </x:c>
      <x:c r="L357" s="628" t="n">
        <x:v>-844369.32</x:v>
      </x:c>
      <x:c r="M357" s="628" t="n">
        <x:v>-483710.66</x:v>
      </x:c>
      <x:c r="N357" s="628" t="n">
        <x:v>-25757.42</x:v>
      </x:c>
      <x:c r="O357" s="628" t="n">
        <x:v>-29.11</x:v>
      </x:c>
      <x:c r="P357" s="628">
        <x:v>0</x:v>
      </x:c>
      <x:c r="Q357" s="628">
        <x:v>0</x:v>
      </x:c>
      <x:c r="R357" s="628" t="n">
        <x:v>0</x:v>
      </x:c>
    </x:row>
    <x:row r="358" spans="1:18" s="631" customFormat="1" ht="12.75" customHeight="1" x14ac:dyDescent="0.2">
      <x:c r="A358" s="630" t="s">
        <x:v>70</x:v>
      </x:c>
      <x:c r="D358" s="630" t="n">
        <x:v>-4011371.65</x:v>
      </x:c>
      <x:c r="E358" s="630" t="n">
        <x:v>-244557.06</x:v>
      </x:c>
      <x:c r="F358" s="630" t="n">
        <x:v>-121446.21</x:v>
      </x:c>
      <x:c r="G358" s="630" t="n">
        <x:v>-65280.66</x:v>
      </x:c>
      <x:c r="H358" s="630" t="n">
        <x:v>-911103.12</x:v>
      </x:c>
      <x:c r="I358" s="630" t="n">
        <x:v>-27390.41</x:v>
      </x:c>
      <x:c r="J358" s="630" t="n">
        <x:v>-240260.67</x:v>
      </x:c>
      <x:c r="K358" s="630" t="n">
        <x:v>-269299.49</x:v>
      </x:c>
      <x:c r="L358" s="630" t="n">
        <x:v>-1356145.26</x:v>
      </x:c>
      <x:c r="M358" s="630" t="n">
        <x:v>-731156.62</x:v>
      </x:c>
      <x:c r="N358" s="630" t="n">
        <x:v>-44688.08</x:v>
      </x:c>
      <x:c r="O358" s="630" t="n">
        <x:v>-44.07</x:v>
      </x:c>
      <x:c r="P358" s="631" t="n">
        <x:v>0</x:v>
      </x:c>
      <x:c r="Q358" s="631">
        <x:v>0</x:v>
      </x:c>
      <x:c r="R358" s="631" t="n">
        <x:v>0</x:v>
      </x:c>
    </x:row>
    <x:row r="359" spans="1:18" ht="12.75" customHeight="1" x14ac:dyDescent="0.2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2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2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2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2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2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2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2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2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2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2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2">
      <x:c r="A370" s="779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2">
      <x:c r="A371" s="779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2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2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2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2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2">
      <x:c r="A376" s="782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2">
      <x:c r="A377" s="782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2"/>
    <x:row r="381" spans="1:18" x14ac:dyDescent="0.2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2">
      <x:c r="D382" s="616">
        <x:f>D74+D175+D212+D327+D362</x:f>
        <x:v>0</x:v>
      </x:c>
    </x:row>
  </x:sheetData>
  <x:mergeCells count="60"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  <x:mergeCell ref="A332:A333"/>
    <x:mergeCell ref="B332:B333"/>
    <x:mergeCell ref="A338:A339"/>
    <x:mergeCell ref="B338:B339"/>
    <x:mergeCell ref="A335:A336"/>
    <x:mergeCell ref="B335:B336"/>
    <x:mergeCell ref="A226:A227"/>
    <x:mergeCell ref="B226:B227"/>
    <x:mergeCell ref="A326:A327"/>
    <x:mergeCell ref="B326:B327"/>
    <x:mergeCell ref="A329:A330"/>
    <x:mergeCell ref="B329:B330"/>
    <x:mergeCell ref="A214:A215"/>
    <x:mergeCell ref="B214:B215"/>
    <x:mergeCell ref="A217:A218"/>
    <x:mergeCell ref="B217:B218"/>
    <x:mergeCell ref="A223:A224"/>
    <x:mergeCell ref="B223:B224"/>
    <x:mergeCell ref="A186:A187"/>
    <x:mergeCell ref="B186:B187"/>
    <x:mergeCell ref="A189:A190"/>
    <x:mergeCell ref="B189:B190"/>
    <x:mergeCell ref="A211:A212"/>
    <x:mergeCell ref="B211:B212"/>
    <x:mergeCell ref="A73:A74"/>
    <x:mergeCell ref="B73:B74"/>
    <x:mergeCell ref="A76:A77"/>
    <x:mergeCell ref="B76:B77"/>
    <x:mergeCell ref="A79:A80"/>
    <x:mergeCell ref="B79:B80"/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75" x14ac:dyDescent="0.2"/>
  <x:cols>
    <x:col min="2" max="2" width="24.42578125" bestFit="1" customWidth="1"/>
    <x:col min="3" max="3" width="17" style="144" bestFit="1" customWidth="1"/>
    <x:col min="4" max="4" width="23.140625" bestFit="1" customWidth="1"/>
    <x:col min="5" max="5" width="15.85546875" bestFit="1" customWidth="1"/>
    <x:col min="6" max="6" width="16.140625" customWidth="1"/>
    <x:col min="7" max="7" width="15.42578125" bestFit="1" customWidth="1"/>
    <x:col min="8" max="8" width="15" bestFit="1" customWidth="1"/>
    <x:col min="9" max="9" width="15.140625" bestFit="1" customWidth="1"/>
    <x:col min="10" max="10" width="17" bestFit="1" customWidth="1"/>
    <x:col min="11" max="12" width="15.5703125" bestFit="1" customWidth="1"/>
    <x:col min="13" max="13" width="15.140625" bestFit="1" customWidth="1"/>
    <x:col min="14" max="14" width="17.85546875" bestFit="1" customWidth="1"/>
    <x:col min="15" max="15" width="15.5703125" customWidth="1"/>
    <x:col min="16" max="16" width="20.42578125" bestFit="1" customWidth="1"/>
  </x:cols>
  <x:sheetData>
    <x:row r="1" spans="1:16" x14ac:dyDescent="0.2">
      <x:c r="B1" s="97" t="s">
        <x:v>74</x:v>
      </x:c>
    </x:row>
    <x:row r="2" spans="1:16" ht="12.75" customHeight="1" x14ac:dyDescent="0.2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">
      <x:c r="B3" s="89" t="s">
        <x:v>72</x:v>
      </x:c>
      <x:c r="C3" s="90" t="n">
        <x:v>803959.68</x:v>
      </x:c>
      <x:c r="D3" s="90" t="n">
        <x:v>65039.95</x:v>
      </x:c>
      <x:c r="E3" s="90" t="n">
        <x:v>36337.02</x:v>
      </x:c>
      <x:c r="F3" s="90" t="n">
        <x:v>19274.13</x:v>
      </x:c>
      <x:c r="G3" s="90" t="n">
        <x:v>155423.91</x:v>
      </x:c>
      <x:c r="H3" s="90" t="n">
        <x:v>5618.35</x:v>
      </x:c>
      <x:c r="I3" s="90" t="n">
        <x:v>0</x:v>
      </x:c>
      <x:c r="J3" s="90" t="n">
        <x:v>56003.23</x:v>
      </x:c>
      <x:c r="K3" s="90" t="n">
        <x:v>48167.15</x:v>
      </x:c>
      <x:c r="L3" s="90" t="n">
        <x:v>226758.45</x:v>
      </x:c>
      <x:c r="M3" s="90" t="n">
        <x:v>182170.76</x:v>
      </x:c>
      <x:c r="N3" s="90" t="n">
        <x:v>9166.69</x:v>
      </x:c>
      <x:c r="O3" s="90" t="n">
        <x:v>0.04</x:v>
      </x:c>
    </x:row>
    <x:row r="4" spans="1:16" ht="12.75" customHeight="1" x14ac:dyDescent="0.2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">
      <x:c r="A5" s="376" t="s">
        <x:v>78</x:v>
      </x:c>
      <x:c r="B5" s="376" t="s">
        <x:v>70</x:v>
      </x:c>
      <x:c r="C5" s="377" t="n">
        <x:v>803959.68</x:v>
      </x:c>
      <x:c r="D5" s="377" t="n">
        <x:v>65039.95</x:v>
      </x:c>
      <x:c r="E5" s="377" t="n">
        <x:v>36337.02</x:v>
      </x:c>
      <x:c r="F5" s="377" t="n">
        <x:v>19274.13</x:v>
      </x:c>
      <x:c r="G5" s="377" t="n">
        <x:v>155423.91</x:v>
      </x:c>
      <x:c r="H5" s="377" t="n">
        <x:v>5618.35</x:v>
      </x:c>
      <x:c r="I5" s="377" t="n">
        <x:v>0</x:v>
      </x:c>
      <x:c r="J5" s="377" t="n">
        <x:v>56003.23</x:v>
      </x:c>
      <x:c r="K5" s="377" t="n">
        <x:v>48167.15</x:v>
      </x:c>
      <x:c r="L5" s="377" t="n">
        <x:v>226758.45</x:v>
      </x:c>
      <x:c r="M5" s="377" t="n">
        <x:v>182170.76</x:v>
      </x:c>
      <x:c r="N5" s="377" t="n">
        <x:v>9166.69</x:v>
      </x:c>
      <x:c r="O5" s="377" t="n">
        <x:v>0.04</x:v>
      </x:c>
      <x:c r="P5" s="378"/>
    </x:row>
    <x:row r="6" spans="1:16" ht="12.75" customHeight="1" x14ac:dyDescent="0.2">
      <x:c r="B6" s="89" t="s">
        <x:v>73</x:v>
      </x:c>
      <x:c r="C6" s="90" t="n">
        <x:v>2996.3</x:v>
      </x:c>
      <x:c r="D6" s="90" t="n">
        <x:v>701.47</x:v>
      </x:c>
      <x:c r="E6" s="90" t="n">
        <x:v>403.84</x:v>
      </x:c>
      <x:c r="F6" s="90" t="n">
        <x:v>207.9</x:v>
      </x:c>
      <x:c r="G6" s="90" t="n">
        <x:v>-7189.94</x:v>
      </x:c>
      <x:c r="H6" s="90" t="n">
        <x:v>-331.56</x:v>
      </x:c>
      <x:c r="I6" s="90" t="n">
        <x:v>0</x:v>
      </x:c>
      <x:c r="J6" s="90" t="n">
        <x:v>-1228.7</x:v>
      </x:c>
      <x:c r="K6" s="90" t="n">
        <x:v>624.41</x:v>
      </x:c>
      <x:c r="L6" s="90" t="n">
        <x:v>3023.5</x:v>
      </x:c>
      <x:c r="M6" s="90" t="n">
        <x:v>7326.36</x:v>
      </x:c>
      <x:c r="N6" s="90" t="n">
        <x:v>-540.98</x:v>
      </x:c>
      <x:c r="O6" s="90" t="n">
        <x:v>0</x:v>
      </x:c>
    </x:row>
    <x:row r="7" spans="1:16" ht="12.75" customHeight="1" x14ac:dyDescent="0.2">
      <x:c r="A7" s="373" t="s">
        <x:v>79</x:v>
      </x:c>
      <x:c r="B7" s="373" t="s">
        <x:v>70</x:v>
      </x:c>
      <x:c r="C7" s="374" t="n">
        <x:v>2996.3</x:v>
      </x:c>
      <x:c r="D7" s="374" t="n">
        <x:v>701.47</x:v>
      </x:c>
      <x:c r="E7" s="374" t="n">
        <x:v>403.84</x:v>
      </x:c>
      <x:c r="F7" s="374" t="n">
        <x:v>207.9</x:v>
      </x:c>
      <x:c r="G7" s="374" t="n">
        <x:v>-7189.94</x:v>
      </x:c>
      <x:c r="H7" s="374" t="n">
        <x:v>-331.56</x:v>
      </x:c>
      <x:c r="I7" s="374" t="n">
        <x:v>0</x:v>
      </x:c>
      <x:c r="J7" s="374" t="n">
        <x:v>-1228.7</x:v>
      </x:c>
      <x:c r="K7" s="374" t="n">
        <x:v>624.41</x:v>
      </x:c>
      <x:c r="L7" s="374" t="n">
        <x:v>3023.5</x:v>
      </x:c>
      <x:c r="M7" s="374" t="n">
        <x:v>7326.36</x:v>
      </x:c>
      <x:c r="N7" s="374" t="n">
        <x:v>-540.98</x:v>
      </x:c>
      <x:c r="O7" s="374" t="n">
        <x:v>0</x:v>
      </x:c>
      <x:c r="P7" s="372"/>
    </x:row>
    <x:row r="8" spans="1:16" ht="12.75" customHeight="1" x14ac:dyDescent="0.2">
      <x:c r="A8" s="89" t="s">
        <x:v>70</x:v>
      </x:c>
      <x:c r="C8" s="90" t="n">
        <x:v>806955.98</x:v>
      </x:c>
      <x:c r="D8" s="90" t="n">
        <x:v>65741.42</x:v>
      </x:c>
      <x:c r="E8" s="90" t="n">
        <x:v>36740.86</x:v>
      </x:c>
      <x:c r="F8" s="90" t="n">
        <x:v>19482.03</x:v>
      </x:c>
      <x:c r="G8" s="90" t="n">
        <x:v>148233.97</x:v>
      </x:c>
      <x:c r="H8" s="90" t="n">
        <x:v>5286.79</x:v>
      </x:c>
      <x:c r="I8" s="90" t="n">
        <x:v>0</x:v>
      </x:c>
      <x:c r="J8" s="90" t="n">
        <x:v>54774.53</x:v>
      </x:c>
      <x:c r="K8" s="90" t="n">
        <x:v>48791.56</x:v>
      </x:c>
      <x:c r="L8" s="90" t="n">
        <x:v>229781.95</x:v>
      </x:c>
      <x:c r="M8" s="90" t="n">
        <x:v>189497.12</x:v>
      </x:c>
      <x:c r="N8" s="90" t="n">
        <x:v>8625.71</x:v>
      </x:c>
      <x:c r="O8" s="90" t="n">
        <x:v>0.04</x:v>
      </x:c>
    </x:row>
    <x:row r="9" spans="1:16" ht="12.75" customHeight="1" x14ac:dyDescent="0.2"/>
    <x:row r="10" spans="1:16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">
      <x:c r="B11" s="145" t="s">
        <x:v>73</x:v>
      </x:c>
      <x:c r="C11" s="99">
        <x:f>C7</x:f>
        <x:v>0</x:v>
      </x:c>
      <x:c r="D11" s="150"/>
    </x:row>
    <x:row r="12" spans="1:16" x14ac:dyDescent="0.2">
      <x:c r="D12" s="150"/>
    </x:row>
    <x:row r="13" spans="1:16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">
      <x:c r="B14" s="97" t="s">
        <x:v>75</x:v>
      </x:c>
    </x:row>
    <x:row r="15" spans="1:16" ht="12.75" customHeight="1" x14ac:dyDescent="0.2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">
      <x:c r="B16" t="s">
        <x:v>72</x:v>
      </x:c>
      <x:c r="C16" s="89" t="n">
        <x:v>931073.72</x:v>
      </x:c>
      <x:c r="D16" s="89" t="n">
        <x:v>42296.72</x:v>
      </x:c>
      <x:c r="E16" s="89" t="n">
        <x:v>23907.98</x:v>
      </x:c>
      <x:c r="F16" s="384" t="n">
        <x:v>12706.35</x:v>
      </x:c>
      <x:c r="G16" s="89" t="n">
        <x:v>265979.53</x:v>
      </x:c>
      <x:c r="H16" s="89" t="n">
        <x:v>11995.53</x:v>
      </x:c>
      <x:c r="I16" s="89" t="n">
        <x:v>0</x:v>
      </x:c>
      <x:c r="J16" s="89" t="n">
        <x:v>66026.12</x:v>
      </x:c>
      <x:c r="K16" s="89" t="n">
        <x:v>73645.62</x:v>
      </x:c>
      <x:c r="L16" s="89" t="n">
        <x:v>345565.65</x:v>
      </x:c>
      <x:c r="M16" s="89" t="n">
        <x:v>81955.14</x:v>
      </x:c>
      <x:c r="N16" s="89" t="n">
        <x:v>6998.74</x:v>
      </x:c>
      <x:c r="O16" s="89" t="n">
        <x:v>-3.66</x:v>
      </x:c>
    </x:row>
    <x:row r="17" spans="1:16" ht="12.75" customHeight="1" x14ac:dyDescent="0.2">
      <x:c r="B17" t="s">
        <x:v>81</x:v>
      </x:c>
      <x:c r="C17" s="89" t="n">
        <x:v>0</x:v>
      </x:c>
      <x:c r="D17" s="89" t="n">
        <x:v>0</x:v>
      </x:c>
      <x:c r="E17" s="89" t="n">
        <x:v>0</x:v>
      </x:c>
      <x:c r="F17" s="384" t="n">
        <x:v>0</x:v>
      </x:c>
      <x:c r="G17" s="89" t="n">
        <x:v>0</x:v>
      </x:c>
      <x:c r="H17" s="89" t="n">
        <x:v>0</x:v>
      </x:c>
      <x:c r="I17" s="89" t="n">
        <x:v>0</x:v>
      </x:c>
      <x:c r="J17" s="89" t="n">
        <x:v>0</x:v>
      </x:c>
      <x:c r="K17" s="89" t="n">
        <x:v>0</x:v>
      </x:c>
      <x:c r="L17" s="89" t="n">
        <x:v>0</x:v>
      </x:c>
      <x:c r="M17" s="89" t="n">
        <x:v>0</x:v>
      </x:c>
      <x:c r="N17" s="89" t="n">
        <x:v>0</x:v>
      </x:c>
      <x:c r="O17" s="89">
        <x:v>0</x:v>
      </x:c>
    </x:row>
    <x:row r="18" spans="1:16" ht="12.75" customHeight="1" x14ac:dyDescent="0.2">
      <x:c r="A18" s="376" t="s">
        <x:v>78</x:v>
      </x:c>
      <x:c r="B18" s="376" t="s">
        <x:v>70</x:v>
      </x:c>
      <x:c r="C18" s="377" t="n">
        <x:v>931073.72</x:v>
      </x:c>
      <x:c r="D18" s="377" t="n">
        <x:v>42296.72</x:v>
      </x:c>
      <x:c r="E18" s="377" t="n">
        <x:v>23907.98</x:v>
      </x:c>
      <x:c r="F18" s="377" t="n">
        <x:v>12706.35</x:v>
      </x:c>
      <x:c r="G18" s="377" t="n">
        <x:v>265979.53</x:v>
      </x:c>
      <x:c r="H18" s="377" t="n">
        <x:v>11995.53</x:v>
      </x:c>
      <x:c r="I18" s="377" t="n">
        <x:v>0</x:v>
      </x:c>
      <x:c r="J18" s="377" t="n">
        <x:v>66026.12</x:v>
      </x:c>
      <x:c r="K18" s="377" t="n">
        <x:v>73645.62</x:v>
      </x:c>
      <x:c r="L18" s="377" t="n">
        <x:v>345565.65</x:v>
      </x:c>
      <x:c r="M18" s="377" t="n">
        <x:v>81955.14</x:v>
      </x:c>
      <x:c r="N18" s="377" t="n">
        <x:v>6998.74</x:v>
      </x:c>
      <x:c r="O18" s="377" t="n">
        <x:v>-3.66</x:v>
      </x:c>
      <x:c r="P18" s="378"/>
    </x:row>
    <x:row r="19" spans="1:16" ht="12.75" customHeight="1" x14ac:dyDescent="0.2">
      <x:c r="B19" s="89" t="s">
        <x:v>73</x:v>
      </x:c>
      <x:c r="C19" s="90" t="n">
        <x:v>-424218.36</x:v>
      </x:c>
      <x:c r="D19" s="90" t="n">
        <x:v>-25301.13</x:v>
      </x:c>
      <x:c r="E19" s="90" t="n">
        <x:v>-14256.81</x:v>
      </x:c>
      <x:c r="F19" s="90" t="n">
        <x:v>-7179.68</x:v>
      </x:c>
      <x:c r="G19" s="90" t="n">
        <x:v>-99943.77</x:v>
      </x:c>
      <x:c r="H19" s="90" t="n">
        <x:v>-3389</x:v>
      </x:c>
      <x:c r="I19" s="90" t="n">
        <x:v>0</x:v>
      </x:c>
      <x:c r="J19" s="90" t="n">
        <x:v>-52251.81</x:v>
      </x:c>
      <x:c r="K19" s="90" t="n">
        <x:v>-30693.42</x:v>
      </x:c>
      <x:c r="L19" s="90" t="n">
        <x:v>-136897.35</x:v>
      </x:c>
      <x:c r="M19" s="90" t="n">
        <x:v>-48943.73</x:v>
      </x:c>
      <x:c r="N19" s="90" t="n">
        <x:v>-5361.66</x:v>
      </x:c>
      <x:c r="O19" s="90" t="n">
        <x:v>0</x:v>
      </x:c>
    </x:row>
    <x:row r="20" spans="1:16" ht="12.75" customHeight="1" x14ac:dyDescent="0.2">
      <x:c r="A20" s="373" t="s">
        <x:v>79</x:v>
      </x:c>
      <x:c r="B20" s="373" t="s">
        <x:v>70</x:v>
      </x:c>
      <x:c r="C20" s="374" t="n">
        <x:v>-424218.36</x:v>
      </x:c>
      <x:c r="D20" s="374" t="n">
        <x:v>-25301.13</x:v>
      </x:c>
      <x:c r="E20" s="374" t="n">
        <x:v>-14256.81</x:v>
      </x:c>
      <x:c r="F20" s="374" t="n">
        <x:v>-7179.68</x:v>
      </x:c>
      <x:c r="G20" s="374" t="n">
        <x:v>-99943.77</x:v>
      </x:c>
      <x:c r="H20" s="374" t="n">
        <x:v>-3389</x:v>
      </x:c>
      <x:c r="I20" s="374" t="n">
        <x:v>0</x:v>
      </x:c>
      <x:c r="J20" s="374" t="n">
        <x:v>-52251.81</x:v>
      </x:c>
      <x:c r="K20" s="374" t="n">
        <x:v>-30693.42</x:v>
      </x:c>
      <x:c r="L20" s="374" t="n">
        <x:v>-136897.35</x:v>
      </x:c>
      <x:c r="M20" s="374" t="n">
        <x:v>-48943.73</x:v>
      </x:c>
      <x:c r="N20" s="374" t="n">
        <x:v>-5361.66</x:v>
      </x:c>
      <x:c r="O20" s="374" t="n">
        <x:v>0</x:v>
      </x:c>
      <x:c r="P20" s="372"/>
    </x:row>
    <x:row r="21" spans="1:16" ht="12.75" customHeight="1" x14ac:dyDescent="0.2">
      <x:c r="A21" s="89" t="s">
        <x:v>70</x:v>
      </x:c>
      <x:c r="C21" s="90" t="n">
        <x:v>506855.36</x:v>
      </x:c>
      <x:c r="D21" s="90" t="n">
        <x:v>16995.59</x:v>
      </x:c>
      <x:c r="E21" s="90" t="n">
        <x:v>9651.17</x:v>
      </x:c>
      <x:c r="F21" s="90" t="n">
        <x:v>5526.67</x:v>
      </x:c>
      <x:c r="G21" s="90" t="n">
        <x:v>166035.76</x:v>
      </x:c>
      <x:c r="H21" s="90" t="n">
        <x:v>8606.53</x:v>
      </x:c>
      <x:c r="I21" s="90" t="n">
        <x:v>0</x:v>
      </x:c>
      <x:c r="J21" s="90" t="n">
        <x:v>13774.31</x:v>
      </x:c>
      <x:c r="K21" s="90" t="n">
        <x:v>42952.2</x:v>
      </x:c>
      <x:c r="L21" s="90" t="n">
        <x:v>208668.3</x:v>
      </x:c>
      <x:c r="M21" s="90" t="n">
        <x:v>33011.41</x:v>
      </x:c>
      <x:c r="N21" s="90" t="n">
        <x:v>1637.08</x:v>
      </x:c>
      <x:c r="O21" s="90" t="n">
        <x:v>-3.66</x:v>
      </x:c>
    </x:row>
    <x:row r="22" spans="1:16" ht="12.75" customHeight="1" x14ac:dyDescent="0.2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">
      <x:c r="B24" s="145" t="s">
        <x:v>73</x:v>
      </x:c>
      <x:c r="C24" s="99">
        <x:f>C20</x:f>
        <x:v>0</x:v>
      </x:c>
    </x:row>
    <x:row r="26" spans="1:16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">
      <x:c r="B27" s="97" t="s">
        <x:v>76</x:v>
      </x:c>
    </x:row>
    <x:row r="28" spans="1:16" ht="12.75" customHeight="1" x14ac:dyDescent="0.2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">
      <x:c r="B29" s="89" t="s">
        <x:v>72</x:v>
      </x:c>
      <x:c r="C29" s="90" t="n">
        <x:v>114219.07</x:v>
      </x:c>
      <x:c r="D29" s="90" t="n">
        <x:v>6267.13</x:v>
      </x:c>
      <x:c r="E29" s="90" t="n">
        <x:v>3538.42</x:v>
      </x:c>
      <x:c r="F29" s="90" t="n">
        <x:v>1857.22</x:v>
      </x:c>
      <x:c r="G29" s="90" t="n">
        <x:v>42966.81</x:v>
      </x:c>
      <x:c r="H29" s="90" t="n">
        <x:v>743.08</x:v>
      </x:c>
      <x:c r="I29" s="90" t="n">
        <x:v>0</x:v>
      </x:c>
      <x:c r="J29" s="90" t="n">
        <x:v>6518.28</x:v>
      </x:c>
      <x:c r="K29" s="90" t="n">
        <x:v>6322.58</x:v>
      </x:c>
      <x:c r="L29" s="90" t="n">
        <x:v>29933.14</x:v>
      </x:c>
      <x:c r="M29" s="90" t="n">
        <x:v>14860.01</x:v>
      </x:c>
      <x:c r="N29" s="90" t="n">
        <x:v>1212.4</x:v>
      </x:c>
      <x:c r="O29" s="90">
        <x:v>0</x:v>
      </x:c>
    </x:row>
    <x:row r="30" spans="1:16" ht="12.75" customHeight="1" x14ac:dyDescent="0.2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">
      <x:c r="A31" s="376" t="s">
        <x:v>78</x:v>
      </x:c>
      <x:c r="B31" s="376" t="s">
        <x:v>70</x:v>
      </x:c>
      <x:c r="C31" s="377" t="n">
        <x:v>114219.07</x:v>
      </x:c>
      <x:c r="D31" s="377" t="n">
        <x:v>6267.13</x:v>
      </x:c>
      <x:c r="E31" s="377" t="n">
        <x:v>3538.42</x:v>
      </x:c>
      <x:c r="F31" s="377" t="n">
        <x:v>1857.22</x:v>
      </x:c>
      <x:c r="G31" s="377" t="n">
        <x:v>42966.81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6322.58</x:v>
      </x:c>
      <x:c r="L31" s="377" t="n">
        <x:v>29933.14</x:v>
      </x:c>
      <x:c r="M31" s="377" t="n">
        <x:v>14860.01</x:v>
      </x:c>
      <x:c r="N31" s="377" t="n">
        <x:v>1212.4</x:v>
      </x:c>
      <x:c r="O31" s="377">
        <x:v>0</x:v>
      </x:c>
      <x:c r="P31" s="378"/>
    </x:row>
    <x:row r="32" spans="1:16" ht="12.75" customHeight="1" x14ac:dyDescent="0.2">
      <x:c r="B32" s="89" t="s">
        <x:v>73</x:v>
      </x:c>
      <x:c r="C32" s="90" t="n">
        <x:v>4655.77</x:v>
      </x:c>
      <x:c r="D32" s="90" t="n">
        <x:v>1594.44</x:v>
      </x:c>
      <x:c r="E32" s="90" t="n">
        <x:v>900.22</x:v>
      </x:c>
      <x:c r="F32" s="90" t="n">
        <x:v>472.5</x:v>
      </x:c>
      <x:c r="G32" s="90" t="n">
        <x:v>-4328.45</x:v>
      </x:c>
      <x:c r="H32" s="90" t="n">
        <x:v>37.15</x:v>
      </x:c>
      <x:c r="I32" s="90" t="n">
        <x:v>0</x:v>
      </x:c>
      <x:c r="J32" s="90" t="n">
        <x:v>325.91</x:v>
      </x:c>
      <x:c r="K32" s="90" t="n">
        <x:v>316.13</x:v>
      </x:c>
      <x:c r="L32" s="90" t="n">
        <x:v>1496.66</x:v>
      </x:c>
      <x:c r="M32" s="90" t="n">
        <x:v>3780.59</x:v>
      </x:c>
      <x:c r="N32" s="90" t="n">
        <x:v>60.62</x:v>
      </x:c>
      <x:c r="O32" s="90">
        <x:v>0</x:v>
      </x:c>
    </x:row>
    <x:row r="33" spans="1:16" ht="12.75" customHeight="1" x14ac:dyDescent="0.2">
      <x:c r="A33" s="373" t="s">
        <x:v>79</x:v>
      </x:c>
      <x:c r="B33" s="373" t="s">
        <x:v>70</x:v>
      </x:c>
      <x:c r="C33" s="374" t="n">
        <x:v>4655.77</x:v>
      </x:c>
      <x:c r="D33" s="374" t="n">
        <x:v>1594.44</x:v>
      </x:c>
      <x:c r="E33" s="374" t="n">
        <x:v>900.22</x:v>
      </x:c>
      <x:c r="F33" s="374" t="n">
        <x:v>472.5</x:v>
      </x:c>
      <x:c r="G33" s="374" t="n">
        <x:v>-4328.45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316.13</x:v>
      </x:c>
      <x:c r="L33" s="374" t="n">
        <x:v>1496.66</x:v>
      </x:c>
      <x:c r="M33" s="374" t="n">
        <x:v>3780.59</x:v>
      </x:c>
      <x:c r="N33" s="374" t="n">
        <x:v>60.62</x:v>
      </x:c>
      <x:c r="O33" s="374">
        <x:v>0</x:v>
      </x:c>
      <x:c r="P33" s="372"/>
    </x:row>
    <x:row r="34" spans="1:16" ht="12.75" customHeight="1" x14ac:dyDescent="0.2">
      <x:c r="A34" s="89" t="s">
        <x:v>70</x:v>
      </x:c>
      <x:c r="C34" s="90" t="n">
        <x:v>118874.84</x:v>
      </x:c>
      <x:c r="D34" s="90" t="n">
        <x:v>7861.57</x:v>
      </x:c>
      <x:c r="E34" s="90" t="n">
        <x:v>4438.64</x:v>
      </x:c>
      <x:c r="F34" s="90" t="n">
        <x:v>2329.72</x:v>
      </x:c>
      <x:c r="G34" s="90" t="n">
        <x:v>38638.36</x:v>
      </x:c>
      <x:c r="H34" s="90" t="n">
        <x:v>780.23</x:v>
      </x:c>
      <x:c r="I34" s="90" t="n">
        <x:v>0</x:v>
      </x:c>
      <x:c r="J34" s="90" t="n">
        <x:v>6844.19</x:v>
      </x:c>
      <x:c r="K34" s="90" t="n">
        <x:v>6638.71</x:v>
      </x:c>
      <x:c r="L34" s="90" t="n">
        <x:v>31429.8</x:v>
      </x:c>
      <x:c r="M34" s="90" t="n">
        <x:v>18640.6</x:v>
      </x:c>
      <x:c r="N34" s="90" t="n">
        <x:v>1273.02</x:v>
      </x:c>
      <x:c r="O34" s="90">
        <x:v>0</x:v>
      </x:c>
    </x:row>
    <x:row r="35" spans="1:16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">
      <x:c r="B37" s="145" t="s">
        <x:v>73</x:v>
      </x:c>
      <x:c r="C37" s="99">
        <x:f>C33</x:f>
        <x:v>0</x:v>
      </x:c>
    </x:row>
    <x:row r="39" spans="1:16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">
      <x:c r="B40" s="97" t="s">
        <x:v>88</x:v>
      </x:c>
    </x:row>
    <x:row r="41" spans="1:16" ht="12.75" customHeight="1" x14ac:dyDescent="0.2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">
      <x:c r="B42" t="s">
        <x:v>72</x:v>
      </x:c>
      <x:c r="C42" s="89" t="n">
        <x:v>1030030.24</x:v>
      </x:c>
      <x:c r="D42" s="89" t="n">
        <x:v>30353.42</x:v>
      </x:c>
      <x:c r="E42" s="89" t="n">
        <x:v>17272.31</x:v>
      </x:c>
      <x:c r="F42" s="384" t="n">
        <x:v>7260.85</x:v>
      </x:c>
      <x:c r="G42" s="89" t="n">
        <x:v>195770.56</x:v>
      </x:c>
      <x:c r="H42" s="89" t="n">
        <x:v>5001.67</x:v>
      </x:c>
      <x:c r="I42" s="89" t="n">
        <x:v>0</x:v>
      </x:c>
      <x:c r="J42" s="89" t="n">
        <x:v>31654.75</x:v>
      </x:c>
      <x:c r="K42" s="89" t="n">
        <x:v>16169.51</x:v>
      </x:c>
      <x:c r="L42" s="89" t="n">
        <x:v>630665.63</x:v>
      </x:c>
      <x:c r="M42" s="89" t="n">
        <x:v>92025.49</x:v>
      </x:c>
      <x:c r="N42" s="89" t="n">
        <x:v>3836.24</x:v>
      </x:c>
      <x:c r="O42" s="89" t="n">
        <x:v>19.81</x:v>
      </x:c>
    </x:row>
    <x:row r="43" spans="1:16" ht="12.75" customHeight="1" x14ac:dyDescent="0.2">
      <x:c r="B43" s="89" t="s">
        <x:v>81</x:v>
      </x:c>
      <x:c r="C43" s="90" t="n">
        <x:v>-5455.56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-5455.76</x:v>
      </x:c>
      <x:c r="M43" s="90" t="n">
        <x:v>0</x:v>
      </x:c>
      <x:c r="N43" s="90" t="n">
        <x:v>0</x:v>
      </x:c>
      <x:c r="O43" s="90" t="n">
        <x:v>0.2</x:v>
      </x:c>
    </x:row>
    <x:row r="44" spans="1:16" ht="12.75" customHeight="1" x14ac:dyDescent="0.2">
      <x:c r="A44" s="376" t="s">
        <x:v>78</x:v>
      </x:c>
      <x:c r="B44" s="376" t="s">
        <x:v>70</x:v>
      </x:c>
      <x:c r="C44" s="377" t="n">
        <x:v>1024574.68</x:v>
      </x:c>
      <x:c r="D44" s="377" t="n">
        <x:v>30353.42</x:v>
      </x:c>
      <x:c r="E44" s="377" t="n">
        <x:v>17272.31</x:v>
      </x:c>
      <x:c r="F44" s="377" t="n">
        <x:v>7260.85</x:v>
      </x:c>
      <x:c r="G44" s="377" t="n">
        <x:v>195770.56</x:v>
      </x:c>
      <x:c r="H44" s="377" t="n">
        <x:v>5001.67</x:v>
      </x:c>
      <x:c r="I44" s="377" t="n">
        <x:v>0</x:v>
      </x:c>
      <x:c r="J44" s="377" t="n">
        <x:v>31654.75</x:v>
      </x:c>
      <x:c r="K44" s="377" t="n">
        <x:v>16169.51</x:v>
      </x:c>
      <x:c r="L44" s="377" t="n">
        <x:v>625209.87</x:v>
      </x:c>
      <x:c r="M44" s="377" t="n">
        <x:v>92025.49</x:v>
      </x:c>
      <x:c r="N44" s="377" t="n">
        <x:v>3836.24</x:v>
      </x:c>
      <x:c r="O44" s="377" t="n">
        <x:v>20.01</x:v>
      </x:c>
      <x:c r="P44" s="378"/>
    </x:row>
    <x:row r="45" spans="1:16" ht="12.75" customHeight="1" x14ac:dyDescent="0.2">
      <x:c r="B45" s="89" t="s">
        <x:v>73</x:v>
      </x:c>
      <x:c r="C45" s="90" t="n">
        <x:v>-706260.2</x:v>
      </x:c>
      <x:c r="D45" s="90" t="n">
        <x:v>-35225.22</x:v>
      </x:c>
      <x:c r="E45" s="90" t="n">
        <x:v>-19886.85</x:v>
      </x:c>
      <x:c r="F45" s="90" t="n">
        <x:v>-10438.97</x:v>
      </x:c>
      <x:c r="G45" s="90" t="n">
        <x:v>-172708.87</x:v>
      </x:c>
      <x:c r="H45" s="90" t="n">
        <x:v>-4226.24</x:v>
      </x:c>
      <x:c r="I45" s="90" t="n">
        <x:v>0</x:v>
      </x:c>
      <x:c r="J45" s="90" t="n">
        <x:v>-37074.28</x:v>
      </x:c>
      <x:c r="K45" s="90" t="n">
        <x:v>-53305.25</x:v>
      </x:c>
      <x:c r="L45" s="90" t="n">
        <x:v>-273257.91</x:v>
      </x:c>
      <x:c r="M45" s="90" t="n">
        <x:v>-93241.08</x:v>
      </x:c>
      <x:c r="N45" s="90" t="n">
        <x:v>-6895.53</x:v>
      </x:c>
      <x:c r="O45" s="90" t="n">
        <x:v>0</x:v>
      </x:c>
    </x:row>
    <x:row r="46" spans="1:16" ht="12.75" customHeight="1" x14ac:dyDescent="0.2">
      <x:c r="A46" s="373" t="s">
        <x:v>79</x:v>
      </x:c>
      <x:c r="B46" s="373" t="s">
        <x:v>70</x:v>
      </x:c>
      <x:c r="C46" s="374" t="n">
        <x:v>-706260.2</x:v>
      </x:c>
      <x:c r="D46" s="374" t="n">
        <x:v>-35225.22</x:v>
      </x:c>
      <x:c r="E46" s="374" t="n">
        <x:v>-19886.85</x:v>
      </x:c>
      <x:c r="F46" s="374" t="n">
        <x:v>-10438.97</x:v>
      </x:c>
      <x:c r="G46" s="374" t="n">
        <x:v>-172708.87</x:v>
      </x:c>
      <x:c r="H46" s="374" t="n">
        <x:v>-4226.24</x:v>
      </x:c>
      <x:c r="I46" s="374" t="n">
        <x:v>0</x:v>
      </x:c>
      <x:c r="J46" s="374" t="n">
        <x:v>-37074.28</x:v>
      </x:c>
      <x:c r="K46" s="374" t="n">
        <x:v>-53305.25</x:v>
      </x:c>
      <x:c r="L46" s="374" t="n">
        <x:v>-273257.91</x:v>
      </x:c>
      <x:c r="M46" s="374" t="n">
        <x:v>-93241.08</x:v>
      </x:c>
      <x:c r="N46" s="374" t="n">
        <x:v>-6895.53</x:v>
      </x:c>
      <x:c r="O46" s="374" t="n">
        <x:v>0</x:v>
      </x:c>
      <x:c r="P46" s="372"/>
    </x:row>
    <x:row r="47" spans="1:16" ht="12.75" customHeight="1" x14ac:dyDescent="0.2">
      <x:c r="A47" s="89" t="s">
        <x:v>70</x:v>
      </x:c>
      <x:c r="C47" s="90" t="n">
        <x:v>318314.48</x:v>
      </x:c>
      <x:c r="D47" s="90" t="n">
        <x:v>-4871.8</x:v>
      </x:c>
      <x:c r="E47" s="90" t="n">
        <x:v>-2614.54</x:v>
      </x:c>
      <x:c r="F47" s="90" t="n">
        <x:v>-3178.12</x:v>
      </x:c>
      <x:c r="G47" s="90" t="n">
        <x:v>23061.69</x:v>
      </x:c>
      <x:c r="H47" s="90" t="n">
        <x:v>775.43</x:v>
      </x:c>
      <x:c r="I47" s="90" t="n">
        <x:v>0</x:v>
      </x:c>
      <x:c r="J47" s="90" t="n">
        <x:v>-5419.53</x:v>
      </x:c>
      <x:c r="K47" s="90" t="n">
        <x:v>-37135.74</x:v>
      </x:c>
      <x:c r="L47" s="90" t="n">
        <x:v>351951.96</x:v>
      </x:c>
      <x:c r="M47" s="90" t="n">
        <x:v>-1215.59</x:v>
      </x:c>
      <x:c r="N47" s="90" t="n">
        <x:v>-3059.29</x:v>
      </x:c>
      <x:c r="O47" s="90" t="n">
        <x:v>20.01</x:v>
      </x:c>
    </x:row>
    <x:row r="48" spans="1:16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">
      <x:c r="B50" s="145" t="s">
        <x:v>73</x:v>
      </x:c>
      <x:c r="C50" s="99">
        <x:f>C46</x:f>
        <x:v>0</x:v>
      </x:c>
    </x:row>
    <x:row r="52" spans="1:16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">
      <x:c r="B53" s="97" t="s">
        <x:v>93</x:v>
      </x:c>
    </x:row>
    <x:row r="54" spans="1:16" ht="12.75" customHeight="1" x14ac:dyDescent="0.2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75" x14ac:dyDescent="0.2"/>
  <x:cols>
    <x:col min="2" max="2" width="24.42578125" bestFit="1" customWidth="1"/>
    <x:col min="3" max="3" width="15.140625" style="144" bestFit="1" customWidth="1"/>
    <x:col min="4" max="4" width="23.140625" bestFit="1" customWidth="1"/>
    <x:col min="5" max="5" width="15.85546875" bestFit="1" customWidth="1"/>
    <x:col min="6" max="6" width="16.5703125" customWidth="1"/>
    <x:col min="7" max="7" width="15.42578125" bestFit="1" customWidth="1"/>
    <x:col min="8" max="8" width="15" bestFit="1" customWidth="1"/>
    <x:col min="9" max="10" width="15" customWidth="1"/>
    <x:col min="11" max="11" width="15.140625" bestFit="1" customWidth="1"/>
    <x:col min="12" max="12" width="17" bestFit="1" customWidth="1"/>
    <x:col min="13" max="14" width="15.5703125" bestFit="1" customWidth="1"/>
    <x:col min="15" max="15" width="15.140625" bestFit="1" customWidth="1"/>
  </x:cols>
  <x:sheetData>
    <x:row r="1" spans="1:15" x14ac:dyDescent="0.2">
      <x:c r="B1" s="97" t="s">
        <x:v>74</x:v>
      </x:c>
    </x:row>
    <x:row r="2" spans="1:15" ht="12.75" customHeight="1" x14ac:dyDescent="0.2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">
      <x:c r="B11" s="145" t="s">
        <x:v>73</x:v>
      </x:c>
      <x:c r="C11" s="99">
        <x:f>C7</x:f>
        <x:v>0</x:v>
      </x:c>
    </x:row>
    <x:row r="13" spans="1:15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">
      <x:c r="B14" s="97" t="s">
        <x:v>75</x:v>
      </x:c>
    </x:row>
    <x:row r="15" spans="1:15" ht="12.75" customHeight="1" x14ac:dyDescent="0.2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">
      <x:c r="B24" s="145" t="s">
        <x:v>73</x:v>
      </x:c>
      <x:c r="C24" s="99">
        <x:f>C20</x:f>
        <x:v>0</x:v>
      </x:c>
    </x:row>
    <x:row r="26" spans="1:15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">
      <x:c r="B27" s="97" t="s">
        <x:v>76</x:v>
      </x:c>
    </x:row>
    <x:row r="28" spans="1:15" ht="12.75" customHeight="1" x14ac:dyDescent="0.2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">
      <x:c r="B37" s="145" t="s">
        <x:v>73</x:v>
      </x:c>
      <x:c r="C37" s="99">
        <x:f>C33</x:f>
        <x:v>0</x:v>
      </x:c>
    </x:row>
    <x:row r="39" spans="1:15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">
      <x:c r="B40" s="97" t="s">
        <x:v>88</x:v>
      </x:c>
    </x:row>
    <x:row r="41" spans="1:15" ht="12.75" customHeight="1" x14ac:dyDescent="0.2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">
      <x:c r="B50" s="145" t="s">
        <x:v>73</x:v>
      </x:c>
      <x:c r="C50" s="99">
        <x:f>C46</x:f>
        <x:v>0</x:v>
      </x:c>
    </x:row>
    <x:row r="52" spans="1:15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">
      <x:c r="B53" s="97" t="s">
        <x:v>93</x:v>
      </x:c>
    </x:row>
    <x:row r="54" spans="1:15" ht="12.75" customHeight="1" x14ac:dyDescent="0.2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9.140625" style="1" bestFit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8" width="16.85546875" style="1" customWidth="1"/>
    <x:col min="29" max="30" width="15.85546875" style="1" bestFit="1" customWidth="1"/>
    <x:col min="31" max="31" width="16.140625" style="1" customWidth="1"/>
    <x:col min="32" max="32" width="18.140625" style="1" customWidth="1"/>
    <x:col min="33" max="33" width="13.85546875" style="1" customWidth="1"/>
    <x:col min="34" max="34" width="3.42578125" style="1" customWidth="1"/>
    <x:col min="35" max="35" width="13.855468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2026082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2026082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2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2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2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2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75" thickBot="1" x14ac:dyDescent="0.2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2026082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75" x14ac:dyDescent="0.2"/>
  <x:cols>
    <x:col min="1" max="1" width="2.85546875" customWidth="1"/>
    <x:col min="2" max="2" width="17.42578125" bestFit="1" customWidth="1"/>
    <x:col min="3" max="3" width="4.85546875" style="151" bestFit="1" customWidth="1"/>
    <x:col min="4" max="4" width="42.85546875" style="151" bestFit="1" customWidth="1"/>
    <x:col min="5" max="5" width="9" customWidth="1"/>
    <x:col min="6" max="6" width="15.85546875" customWidth="1"/>
    <x:col min="7" max="7" width="17.42578125" bestFit="1" customWidth="1"/>
    <x:col min="8" max="8" width="14.140625" customWidth="1"/>
    <x:col min="9" max="9" width="16.140625" bestFit="1" customWidth="1"/>
    <x:col min="10" max="10" width="16.85546875" customWidth="1"/>
    <x:col min="11" max="11" width="17.5703125" customWidth="1"/>
    <x:col min="12" max="12" width="15.5703125" bestFit="1" customWidth="1"/>
    <x:col min="13" max="13" width="15.85546875" bestFit="1" customWidth="1"/>
    <x:col min="14" max="14" width="17" customWidth="1"/>
    <x:col min="15" max="15" width="17.85546875" customWidth="1"/>
    <x:col min="16" max="16" width="16.85546875" customWidth="1"/>
    <x:col min="17" max="17" width="18" customWidth="1"/>
    <x:col min="18" max="18" width="14.140625" bestFit="1" customWidth="1"/>
    <x:col min="19" max="19" width="15.85546875" bestFit="1" customWidth="1"/>
    <x:col min="20" max="20" width="14.140625" bestFit="1" customWidth="1"/>
  </x:cols>
  <x:sheetData>
    <x:row r="1" spans="2:19" ht="13.5" thickBot="1" x14ac:dyDescent="0.25"/>
    <x:row r="2" spans="2:19" s="151" customFormat="1" ht="13.5" thickBot="1" x14ac:dyDescent="0.2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25" thickBot="1" x14ac:dyDescent="0.2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2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2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2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2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5" thickBot="1" x14ac:dyDescent="0.2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5" thickBot="1" x14ac:dyDescent="0.2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25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3.5" thickBot="1" x14ac:dyDescent="0.25"/>
    <x:row r="13" spans="2:19" s="151" customFormat="1" ht="13.5" thickBot="1" x14ac:dyDescent="0.2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25" thickBot="1" x14ac:dyDescent="0.2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2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2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2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2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5" thickBot="1" x14ac:dyDescent="0.2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5" thickBot="1" x14ac:dyDescent="0.2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5" thickBot="1" x14ac:dyDescent="0.25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3.5" thickBot="1" x14ac:dyDescent="0.2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2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2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2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2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2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5" thickBot="1" x14ac:dyDescent="0.2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5" thickBot="1" x14ac:dyDescent="0.2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2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2">
      <x:c r="G33" s="601"/>
      <x:c r="H33" s="167"/>
      <x:c r="J33" s="270"/>
      <x:c r="K33" s="270"/>
      <x:c r="Q33" s="212"/>
    </x:row>
    <x:row r="34" spans="7:17" x14ac:dyDescent="0.2">
      <x:c r="G34" s="601"/>
      <x:c r="H34" s="167"/>
      <x:c r="Q34" s="212"/>
    </x:row>
    <x:row r="35" spans="7:17" x14ac:dyDescent="0.2">
      <x:c r="H35" s="167"/>
      <x:c r="K35" s="695"/>
      <x:c r="Q35" s="212"/>
    </x:row>
    <x:row r="36" spans="7:17" x14ac:dyDescent="0.2">
      <x:c r="H36" s="167"/>
      <x:c r="K36" s="695"/>
      <x:c r="Q36" s="212"/>
    </x:row>
    <x:row r="37" spans="7:17" x14ac:dyDescent="0.2">
      <x:c r="H37" s="167"/>
      <x:c r="K37" s="695"/>
      <x:c r="Q37" s="212"/>
    </x:row>
    <x:row r="38" spans="7:17" x14ac:dyDescent="0.2">
      <x:c r="H38" s="167"/>
      <x:c r="K38" s="695"/>
      <x:c r="Q38" s="212"/>
    </x:row>
    <x:row r="39" spans="7:17" x14ac:dyDescent="0.2">
      <x:c r="H39" s="167"/>
      <x:c r="K39" s="695"/>
    </x:row>
    <x:row r="40" spans="7:17" x14ac:dyDescent="0.2">
      <x:c r="H40" s="167"/>
      <x:c r="K40" s="695"/>
    </x:row>
    <x:row r="41" spans="7:17" x14ac:dyDescent="0.2">
      <x:c r="H41" s="167"/>
    </x:row>
    <x:row r="42" spans="7:17" x14ac:dyDescent="0.2">
      <x:c r="H42" s="167"/>
    </x:row>
    <x:row r="43" spans="7:17" x14ac:dyDescent="0.2">
      <x:c r="H43" s="167"/>
    </x:row>
    <x:row r="44" spans="7:17" x14ac:dyDescent="0.2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2578125" defaultRowHeight="12" x14ac:dyDescent="0.2"/>
  <x:cols>
    <x:col min="1" max="1" width="3" style="389" customWidth="1"/>
    <x:col min="2" max="2" width="4.42578125" style="389" bestFit="1" customWidth="1"/>
    <x:col min="3" max="3" width="38.140625" style="389" customWidth="1"/>
    <x:col min="4" max="4" width="15.140625" style="389" customWidth="1"/>
    <x:col min="5" max="5" width="16" style="389" customWidth="1"/>
    <x:col min="6" max="7" width="14.85546875" style="389" customWidth="1"/>
    <x:col min="8" max="9" width="16" style="389" customWidth="1"/>
    <x:col min="10" max="10" width="17.5703125" style="389" customWidth="1"/>
    <x:col min="11" max="11" width="3.85546875" style="389" customWidth="1"/>
    <x:col min="12" max="12" width="2.85546875" style="389" customWidth="1"/>
    <x:col min="13" max="13" width="4.5703125" style="389" customWidth="1"/>
    <x:col min="14" max="14" width="11.140625" style="389" customWidth="1"/>
    <x:col min="15" max="15" width="37.5703125" style="389" bestFit="1" customWidth="1"/>
    <x:col min="16" max="16" width="19.140625" style="389" customWidth="1"/>
    <x:col min="17" max="17" width="17.85546875" style="389" customWidth="1"/>
    <x:col min="18" max="18" width="16.42578125" style="389" customWidth="1"/>
    <x:col min="19" max="19" width="17.140625" style="389" customWidth="1"/>
    <x:col min="20" max="20" width="15.85546875" style="389" customWidth="1"/>
    <x:col min="21" max="21" width="16.140625" style="389" customWidth="1"/>
    <x:col min="22" max="22" width="13.140625" style="391" customWidth="1"/>
    <x:col min="23" max="23" width="13.85546875" style="389" customWidth="1"/>
    <x:col min="24" max="24" width="3.42578125" style="389" customWidth="1"/>
    <x:col min="25" max="25" width="13.85546875" style="389" bestFit="1" customWidth="1"/>
    <x:col min="26" max="27" width="11.42578125" style="389"/>
    <x:col min="28" max="28" width="15.85546875" style="389" bestFit="1" customWidth="1"/>
    <x:col min="29" max="16384" width="11.425781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.75" thickBot="1" x14ac:dyDescent="0.25">
      <x:c r="L3" s="390"/>
      <x:c r="X3" s="390"/>
    </x:row>
    <x:row r="4" spans="2:28" x14ac:dyDescent="0.2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75" x14ac:dyDescent="0.25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75" x14ac:dyDescent="0.25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75" x14ac:dyDescent="0.25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75" x14ac:dyDescent="0.25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75" x14ac:dyDescent="0.25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" thickBot="1" x14ac:dyDescent="0.3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75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2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2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2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2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75" thickBot="1" x14ac:dyDescent="0.25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75" thickBot="1" x14ac:dyDescent="0.2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75" thickBot="1" x14ac:dyDescent="0.2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75" thickBot="1" x14ac:dyDescent="0.2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75" thickBot="1" x14ac:dyDescent="0.2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2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2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75" x14ac:dyDescent="0.25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topLeftCell="B94" zoomScaleNormal="100" workbookViewId="0">
      <x:selection activeCell="E111" sqref="E1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20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4.85546875" style="271" bestFit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38" width="11.42578125" style="1"/>
    <x:col min="39" max="39" width="15.855468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7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75" x14ac:dyDescent="0.25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75" thickBot="1" x14ac:dyDescent="0.2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46250</x:v>
      </x:c>
      <x:c r="J7" s="2" t="s">
        <x:v>28</x:v>
      </x:c>
      <x:c r="K7" s="9" t="n">
        <x:v>46265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2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7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R2'!E155</x:f>
        <x:v>0</x:v>
      </x:c>
      <x:c r="E29" s="292">
        <x:f>'Rem. Anticipos R2'!F155</x:f>
        <x:v>0</x:v>
      </x:c>
      <x:c r="F29" s="292">
        <x:f>'Rem. Anticipos R2'!G155</x:f>
        <x:v>0</x:v>
      </x:c>
      <x:c r="G29" s="292">
        <x:f>'Rem. Anticipos R2'!H155</x:f>
        <x:v>0</x:v>
      </x:c>
      <x:c r="H29" s="292">
        <x:f>'Rem. Anticipos R2'!I155</x:f>
        <x:v>0</x:v>
      </x:c>
      <x:c r="I29" s="292">
        <x:f>'Rem. Anticipos R2'!J155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R2'!K155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R2'!L155</x:f>
        <x:v>0</x:v>
      </x:c>
      <x:c r="V29" s="317">
        <x:f>'Rem. Anticipos R2'!M155</x:f>
        <x:v>0</x:v>
      </x:c>
      <x:c r="W29" s="317">
        <x:f>'Rem. Anticipos R2'!N155</x:f>
        <x:v>0</x:v>
      </x:c>
      <x:c r="X29" s="317">
        <x:f>'Rem. Anticipos R2'!O155</x:f>
        <x:v>0</x:v>
      </x:c>
      <x:c r="Y29" s="318">
        <x:f>'Rem. Anticipos R2'!P155</x:f>
        <x:v>0</x:v>
      </x:c>
      <x:c r="Z29" s="319">
        <x:f>L29*-1</x:f>
        <x:v>0</x:v>
      </x:c>
      <x:c r="AA29" s="320">
        <x:f>'Rem. Anticipos R2'!Q155</x:f>
        <x:v>0</x:v>
      </x:c>
      <x:c r="AB29" s="294">
        <x:f>N29</x:f>
        <x:v>0</x:v>
      </x:c>
      <x:c r="AC29" s="320">
        <x:f>'Rem. Anticipos R2'!R155</x:f>
        <x:v>0</x:v>
      </x:c>
      <x:c r="AD29" s="291">
        <x:f>-J29+AE29</x:f>
        <x:v>0</x:v>
      </x:c>
      <x:c r="AE29" s="291">
        <x:f>'Rem. Anticipos R2'!E156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R2'!E273</x:f>
        <x:v>0</x:v>
      </x:c>
      <x:c r="E30" s="292">
        <x:f>'Rem. Anticipos R2'!F273</x:f>
        <x:v>0</x:v>
      </x:c>
      <x:c r="F30" s="292">
        <x:f>'Rem. Anticipos R2'!G273</x:f>
        <x:v>0</x:v>
      </x:c>
      <x:c r="G30" s="292">
        <x:f>'Rem. Anticipos R2'!H273</x:f>
        <x:v>0</x:v>
      </x:c>
      <x:c r="H30" s="292">
        <x:f>'Rem. Anticipos R2'!I273</x:f>
        <x:v>0</x:v>
      </x:c>
      <x:c r="I30" s="292">
        <x:f>'Rem. Anticipos R2'!J273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R2'!K273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R2'!L273</x:f>
        <x:v>0</x:v>
      </x:c>
      <x:c r="V30" s="317">
        <x:f>'Rem. Anticipos R2'!M273</x:f>
        <x:v>0</x:v>
      </x:c>
      <x:c r="W30" s="317">
        <x:f>'Rem. Anticipos R2'!N273</x:f>
        <x:v>0</x:v>
      </x:c>
      <x:c r="X30" s="317">
        <x:f>'Rem. Anticipos R2'!O273</x:f>
        <x:v>0</x:v>
      </x:c>
      <x:c r="Y30" s="318">
        <x:f>'Rem. Anticipos R2'!P273</x:f>
        <x:v>0</x:v>
      </x:c>
      <x:c r="Z30" s="319">
        <x:f>L30*-1</x:f>
        <x:v>0</x:v>
      </x:c>
      <x:c r="AA30" s="320">
        <x:f>'Rem. Anticipos R2'!Q273</x:f>
        <x:v>0</x:v>
      </x:c>
      <x:c r="AB30" s="294">
        <x:f>N30</x:f>
        <x:v>0</x:v>
      </x:c>
      <x:c r="AC30" s="320">
        <x:f>'Rem. Anticipos R2'!R273</x:f>
        <x:v>0</x:v>
      </x:c>
      <x:c r="AD30" s="291">
        <x:f t="shared" ref="AD30:AD32" si="9">-J30+AE30</x:f>
        <x:v>0</x:v>
      </x:c>
      <x:c r="AE30" s="291">
        <x:f>'Rem. Anticipos R2'!E274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R2'!E384</x:f>
        <x:v>0</x:v>
      </x:c>
      <x:c r="E31" s="292">
        <x:f>'Rem. Anticipos R2'!F384</x:f>
        <x:v>0</x:v>
      </x:c>
      <x:c r="F31" s="292">
        <x:f>'Rem. Anticipos R2'!G384</x:f>
        <x:v>0</x:v>
      </x:c>
      <x:c r="G31" s="292">
        <x:f>'Rem. Anticipos R2'!H384</x:f>
        <x:v>0</x:v>
      </x:c>
      <x:c r="H31" s="292">
        <x:f>'Rem. Anticipos R2'!I384</x:f>
        <x:v>0</x:v>
      </x:c>
      <x:c r="I31" s="292">
        <x:f>'Rem. Anticipos R2'!J384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R2'!K384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R2'!L384</x:f>
        <x:v>0</x:v>
      </x:c>
      <x:c r="V31" s="317">
        <x:f>'Rem. Anticipos R2'!M384</x:f>
        <x:v>0</x:v>
      </x:c>
      <x:c r="W31" s="317">
        <x:f>'Rem. Anticipos R2'!N384</x:f>
        <x:v>0</x:v>
      </x:c>
      <x:c r="X31" s="317">
        <x:f>'Rem. Anticipos R2'!O384</x:f>
        <x:v>0</x:v>
      </x:c>
      <x:c r="Y31" s="318">
        <x:f>'Rem. Anticipos R2'!P384</x:f>
        <x:v>0</x:v>
      </x:c>
      <x:c r="Z31" s="319">
        <x:f>L31*-1</x:f>
        <x:v>0</x:v>
      </x:c>
      <x:c r="AA31" s="320">
        <x:f>'Rem. Anticipos R2'!Q384</x:f>
        <x:v>0</x:v>
      </x:c>
      <x:c r="AB31" s="294">
        <x:f>N31</x:f>
        <x:v>0</x:v>
      </x:c>
      <x:c r="AC31" s="320">
        <x:f>'Rem. Anticipos R2'!R384</x:f>
        <x:v>0</x:v>
      </x:c>
      <x:c r="AD31" s="291">
        <x:f t="shared" si="9"/>
        <x:v>0</x:v>
      </x:c>
      <x:c r="AE31" s="291">
        <x:f>'Rem. Anticipos R2'!E385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R2'!E468</x:f>
        <x:v>0</x:v>
      </x:c>
      <x:c r="E32" s="297">
        <x:f>'Rem. Anticipos R2'!F468</x:f>
        <x:v>0</x:v>
      </x:c>
      <x:c r="F32" s="297">
        <x:f>'Rem. Anticipos R2'!G468</x:f>
        <x:v>0</x:v>
      </x:c>
      <x:c r="G32" s="297">
        <x:f>'Rem. Anticipos R2'!H468</x:f>
        <x:v>0</x:v>
      </x:c>
      <x:c r="H32" s="297">
        <x:f>'Rem. Anticipos R2'!I468</x:f>
        <x:v>0</x:v>
      </x:c>
      <x:c r="I32" s="297">
        <x:f>'Rem. Anticipos R2'!J468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R2'!K468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R2'!L468</x:f>
        <x:v>0</x:v>
      </x:c>
      <x:c r="V32" s="297">
        <x:f>'Rem. Anticipos R2'!M468</x:f>
        <x:v>0</x:v>
      </x:c>
      <x:c r="W32" s="297">
        <x:f>'Rem. Anticipos R2'!N468</x:f>
        <x:v>0</x:v>
      </x:c>
      <x:c r="X32" s="297">
        <x:f>'Rem. Anticipos R2'!O468</x:f>
        <x:v>0</x:v>
      </x:c>
      <x:c r="Y32" s="289">
        <x:f>'Rem. Anticipos R2'!P468</x:f>
        <x:v>0</x:v>
      </x:c>
      <x:c r="Z32" s="319">
        <x:f>L32*-1</x:f>
        <x:v>0</x:v>
      </x:c>
      <x:c r="AA32" s="320">
        <x:f>'Rem. Anticipos R2'!Q468</x:f>
        <x:v>0</x:v>
      </x:c>
      <x:c r="AB32" s="294">
        <x:f>N32</x:f>
        <x:v>0</x:v>
      </x:c>
      <x:c r="AC32" s="320">
        <x:f>'Rem. Anticipos R2'!R468</x:f>
        <x:v>0</x:v>
      </x:c>
      <x:c r="AD32" s="291">
        <x:f t="shared" si="9"/>
        <x:v>0</x:v>
      </x:c>
      <x:c r="AE32" s="291">
        <x:f>'Rem. Anticipos R2'!E469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7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7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7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72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75" x14ac:dyDescent="0.25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2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2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2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2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5" thickBot="1" x14ac:dyDescent="0.2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  <x:c r="AA117" s="305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2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2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4" width="16.8554687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 t="n">
        <x:f>'Recaudo EAAB Reciprocidad'!F21+'Recaudo EAAB + Ciud Limp'!F21+'Recaudo Directa Occidente'!F21+'Recaudo ENEL'!F21+'Recaudo ENERBIT'!F21</x:f>
        <x:v>18396053026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">
      <x:c r="B4" s="314">
        <x:v>2</x:v>
      </x:c>
      <x:c r="C4" s="292" t="n">
        <x:f>'Recaudo EAAB Reciprocidad'!F22+'Recaudo EAAB + Ciud Limp'!F22+'Recaudo Directa Occidente'!F22+'Recaudo ENEL'!F22+'Recaudo ENERBIT'!F22</x:f>
        <x:v>21718071163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">
      <x:c r="B5" s="314">
        <x:v>3</x:v>
      </x:c>
      <x:c r="C5" s="292" t="n">
        <x:f>'Recaudo EAAB Reciprocidad'!F23+'Recaudo EAAB + Ciud Limp'!F23+'Recaudo Directa Occidente'!F23+'Recaudo ENEL'!F23+'Recaudo ENERBIT'!F23</x:f>
        <x:v>16413458350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">
      <x:c r="B6" s="314">
        <x:v>4</x:v>
      </x:c>
      <x:c r="C6" s="292" t="n">
        <x:f>'Recaudo EAAB Reciprocidad'!F24+'Recaudo EAAB + Ciud Limp'!F24+'Recaudo Directa Occidente'!F24+'Recaudo ENEL'!F24+'Recaudo ENERBIT'!F24</x:f>
        <x:v>8382490988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">
      <x:c r="B7" s="314">
        <x:v>5</x:v>
      </x:c>
      <x:c r="C7" s="292" t="n">
        <x:f>'Recaudo EAAB Reciprocidad'!F25+'Recaudo EAAB + Ciud Limp'!F25+'Recaudo Directa Occidente'!F25+'Recaudo ENEL'!F25+'Recaudo ENERBIT'!F25</x:f>
        <x:v>12154489771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5" thickBot="1" x14ac:dyDescent="0.25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5" thickBot="1" x14ac:dyDescent="0.25">
      <x:c r="B9" s="327"/>
      <x:c r="C9" s="290" t="n">
        <x:f>SUM(C3:C8)</x:f>
        <x:v>77064563298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 t="n">
        <x:f>'Valida - Control Recaudo'!F10</x:f>
        <x:v>77064563298</x:v>
      </x:c>
    </x:row>
    <x:row r="15" spans="2:16" x14ac:dyDescent="0.2">
      <x:c r="C15" s="249" t="b">
        <x:f>C14=C9</x:f>
        <x:v>1</x:v>
      </x:c>
    </x:row>
    <x:row r="16" spans="2:16" x14ac:dyDescent="0.2">
      <x:c r="C16" s="355"/>
    </x:row>
    <x:row r="18" spans="3:18" ht="13.5" thickBot="1" x14ac:dyDescent="0.25">
      <x:c r="D18" s="701" t="s">
        <x:v>269</x:v>
      </x:c>
      <x:c r="E18" s="701"/>
    </x:row>
    <x:row r="19" spans="3:18" ht="36.75" thickBot="1" x14ac:dyDescent="0.2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0</x:v>
      </x:c>
    </x:row>
    <x:row r="27" spans="3:18" ht="13.5" thickBot="1" x14ac:dyDescent="0.25">
      <x:c r="D27" s="701" t="s">
        <x:v>270</x:v>
      </x:c>
    </x:row>
    <x:row r="28" spans="3:18" ht="57" customHeight="1" thickBot="1" x14ac:dyDescent="0.2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">
      <x:c r="D34" s="695" t="b">
        <x:f>D33='CONSOLIDADO_TOTAL RECAUDO'!D109</x:f>
        <x:v>0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0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">
      <x:c r="K35" s="141"/>
      <x:c r="P35" s="270">
        <x:f>P33-G33</x:f>
        <x:v>0</x:v>
      </x:c>
    </x:row>
    <x:row r="36" spans="4:17" x14ac:dyDescent="0.2">
      <x:c r="F36" s="141"/>
      <x:c r="L36" s="141"/>
      <x:c r="P36" s="141"/>
    </x:row>
    <x:row r="37" spans="4:17" x14ac:dyDescent="0.2">
      <x:c r="E37" s="141"/>
      <x:c r="P37" s="601"/>
    </x:row>
    <x:row r="38" spans="4:17" x14ac:dyDescent="0.2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4.85546875" style="1" bestFit="1" customWidth="1"/>
    <x:col min="5" max="5" width="15.42578125" style="1" bestFit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1.140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18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R2'!E158</x:f>
        <x:v>0</x:v>
      </x:c>
      <x:c r="E29" s="292">
        <x:f>'Rem. Anticipos R2'!F158</x:f>
        <x:v>0</x:v>
      </x:c>
      <x:c r="F29" s="292">
        <x:f>'Rem. Anticipos R2'!G158</x:f>
        <x:v>0</x:v>
      </x:c>
      <x:c r="G29" s="292">
        <x:f>'Rem. Anticipos R2'!H158</x:f>
        <x:v>0</x:v>
      </x:c>
      <x:c r="H29" s="292">
        <x:f>'Rem. Anticipos R2'!I158</x:f>
        <x:v>0</x:v>
      </x:c>
      <x:c r="I29" s="292">
        <x:f>'Rem. Anticipos R2'!J158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R2'!K158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R2'!L158</x:f>
        <x:v>0</x:v>
      </x:c>
      <x:c r="V29" s="317">
        <x:f>'Rem. Anticipos R2'!M158</x:f>
        <x:v>0</x:v>
      </x:c>
      <x:c r="W29" s="317">
        <x:f>'Rem. Anticipos R2'!N158</x:f>
        <x:v>0</x:v>
      </x:c>
      <x:c r="X29" s="317">
        <x:f>'Rem. Anticipos R2'!O158</x:f>
        <x:v>0</x:v>
      </x:c>
      <x:c r="Y29" s="318">
        <x:f>'Rem. Anticipos R2'!P158</x:f>
        <x:v>0</x:v>
      </x:c>
      <x:c r="Z29" s="319">
        <x:f>L29*-1</x:f>
        <x:v>0</x:v>
      </x:c>
      <x:c r="AA29" s="320">
        <x:f>'Rem. Anticipos R2'!Q158</x:f>
        <x:v>0</x:v>
      </x:c>
      <x:c r="AB29" s="294">
        <x:f>N29</x:f>
        <x:v>0</x:v>
      </x:c>
      <x:c r="AC29" s="320">
        <x:f>'Rem. Anticipos R2'!R158</x:f>
        <x:v>0</x:v>
      </x:c>
      <x:c r="AD29" s="291">
        <x:f>-J29+AE29</x:f>
        <x:v>0</x:v>
      </x:c>
      <x:c r="AE29" s="291">
        <x:f>'Rem. Anticipos R2'!E159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R2'!E276</x:f>
        <x:v>0</x:v>
      </x:c>
      <x:c r="E30" s="292">
        <x:f>'Rem. Anticipos R2'!F276</x:f>
        <x:v>0</x:v>
      </x:c>
      <x:c r="F30" s="292">
        <x:f>'Rem. Anticipos R2'!G276</x:f>
        <x:v>0</x:v>
      </x:c>
      <x:c r="G30" s="292">
        <x:f>'Rem. Anticipos R2'!H276</x:f>
        <x:v>0</x:v>
      </x:c>
      <x:c r="H30" s="292">
        <x:f>'Rem. Anticipos R2'!I276</x:f>
        <x:v>0</x:v>
      </x:c>
      <x:c r="I30" s="292">
        <x:f>'Rem. Anticipos R2'!J276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R2'!K276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R2'!L276</x:f>
        <x:v>0</x:v>
      </x:c>
      <x:c r="V30" s="317">
        <x:f>'Rem. Anticipos R2'!M276</x:f>
        <x:v>0</x:v>
      </x:c>
      <x:c r="W30" s="317">
        <x:f>'Rem. Anticipos R2'!N276</x:f>
        <x:v>0</x:v>
      </x:c>
      <x:c r="X30" s="317">
        <x:f>'Rem. Anticipos R2'!O276</x:f>
        <x:v>0</x:v>
      </x:c>
      <x:c r="Y30" s="318">
        <x:f>'Rem. Anticipos R2'!P276</x:f>
        <x:v>0</x:v>
      </x:c>
      <x:c r="Z30" s="319">
        <x:f>L30*-1</x:f>
        <x:v>0</x:v>
      </x:c>
      <x:c r="AA30" s="320">
        <x:f>'Rem. Anticipos R2'!Q276</x:f>
        <x:v>0</x:v>
      </x:c>
      <x:c r="AB30" s="294">
        <x:f>N30</x:f>
        <x:v>0</x:v>
      </x:c>
      <x:c r="AC30" s="320">
        <x:f>'Rem. Anticipos R2'!R276</x:f>
        <x:v>0</x:v>
      </x:c>
      <x:c r="AD30" s="291">
        <x:f t="shared" ref="AD30:AD32" si="10">-J30+AE30</x:f>
        <x:v>0</x:v>
      </x:c>
      <x:c r="AE30" s="291">
        <x:f>'Rem. Anticipos R2'!E277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R2'!E387</x:f>
        <x:v>0</x:v>
      </x:c>
      <x:c r="E31" s="292">
        <x:f>'Rem. Anticipos R2'!F387</x:f>
        <x:v>0</x:v>
      </x:c>
      <x:c r="F31" s="292">
        <x:f>'Rem. Anticipos R2'!G387</x:f>
        <x:v>0</x:v>
      </x:c>
      <x:c r="G31" s="292">
        <x:f>'Rem. Anticipos R2'!H387</x:f>
        <x:v>0</x:v>
      </x:c>
      <x:c r="H31" s="292">
        <x:f>'Rem. Anticipos R2'!I387</x:f>
        <x:v>0</x:v>
      </x:c>
      <x:c r="I31" s="292">
        <x:f>'Rem. Anticipos R2'!J387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R2'!K387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R2'!L387</x:f>
        <x:v>0</x:v>
      </x:c>
      <x:c r="V31" s="317">
        <x:f>'Rem. Anticipos R2'!M387</x:f>
        <x:v>0</x:v>
      </x:c>
      <x:c r="W31" s="317">
        <x:f>'Rem. Anticipos R2'!N387</x:f>
        <x:v>0</x:v>
      </x:c>
      <x:c r="X31" s="317">
        <x:f>'Rem. Anticipos R2'!O387</x:f>
        <x:v>0</x:v>
      </x:c>
      <x:c r="Y31" s="318">
        <x:f>'Rem. Anticipos R2'!P387</x:f>
        <x:v>0</x:v>
      </x:c>
      <x:c r="Z31" s="319">
        <x:f>L31*-1</x:f>
        <x:v>0</x:v>
      </x:c>
      <x:c r="AA31" s="320">
        <x:f>'Rem. Anticipos R2'!Q387</x:f>
        <x:v>0</x:v>
      </x:c>
      <x:c r="AB31" s="294">
        <x:f>N31</x:f>
        <x:v>0</x:v>
      </x:c>
      <x:c r="AC31" s="320">
        <x:f>'Rem. Anticipos R2'!R387</x:f>
        <x:v>0</x:v>
      </x:c>
      <x:c r="AD31" s="291">
        <x:f t="shared" si="10"/>
        <x:v>0</x:v>
      </x:c>
      <x:c r="AE31" s="291">
        <x:f>'Rem. Anticipos R2'!E388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R2'!E471</x:f>
        <x:v>0</x:v>
      </x:c>
      <x:c r="E32" s="297">
        <x:f>'Rem. Anticipos R2'!F471</x:f>
        <x:v>0</x:v>
      </x:c>
      <x:c r="F32" s="297">
        <x:f>'Rem. Anticipos R2'!G471</x:f>
        <x:v>0</x:v>
      </x:c>
      <x:c r="G32" s="297">
        <x:f>'Rem. Anticipos R2'!H471</x:f>
        <x:v>0</x:v>
      </x:c>
      <x:c r="H32" s="297">
        <x:f>'Rem. Anticipos R2'!I471</x:f>
        <x:v>0</x:v>
      </x:c>
      <x:c r="I32" s="297">
        <x:f>'Rem. Anticipos R2'!J471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R2'!L471</x:f>
        <x:v>0</x:v>
      </x:c>
      <x:c r="V32" s="297">
        <x:f>'Rem. Anticipos R2'!M471</x:f>
        <x:v>0</x:v>
      </x:c>
      <x:c r="W32" s="297">
        <x:f>'Rem. Anticipos R2'!N471</x:f>
        <x:v>0</x:v>
      </x:c>
      <x:c r="X32" s="297">
        <x:f>'Rem. Anticipos R2'!O471</x:f>
        <x:v>0</x:v>
      </x:c>
      <x:c r="Y32" s="289">
        <x:f>'Rem. Anticipos R2'!P471</x:f>
        <x:v>0</x:v>
      </x:c>
      <x:c r="Z32" s="319">
        <x:f>L32*-1</x:f>
        <x:v>0</x:v>
      </x:c>
      <x:c r="AA32" s="320">
        <x:f>'Rem. Anticipos R2'!Q471</x:f>
        <x:v>0</x:v>
      </x:c>
      <x:c r="AB32" s="294">
        <x:f>N32</x:f>
        <x:v>0</x:v>
      </x:c>
      <x:c r="AC32" s="320">
        <x:f>'Rem. Anticipos R2'!R471</x:f>
        <x:v>0</x:v>
      </x:c>
      <x:c r="AD32" s="291">
        <x:f t="shared" si="10"/>
        <x:v>0</x:v>
      </x:c>
      <x:c r="AE32" s="291">
        <x:f>'Rem. Anticipos R2'!E472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Recaudo'!D9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9.8554687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75" thickBot="1" x14ac:dyDescent="0.25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R2'!E161</x:f>
        <x:v>0</x:v>
      </x:c>
      <x:c r="E29" s="292">
        <x:f>'Rem. Anticipos R2'!F161</x:f>
        <x:v>0</x:v>
      </x:c>
      <x:c r="F29" s="292">
        <x:f>'Rem. Anticipos R2'!G161</x:f>
        <x:v>0</x:v>
      </x:c>
      <x:c r="G29" s="292">
        <x:f>'Rem. Anticipos R2'!H161</x:f>
        <x:v>0</x:v>
      </x:c>
      <x:c r="H29" s="292">
        <x:f>'Rem. Anticipos R2'!I161</x:f>
        <x:v>0</x:v>
      </x:c>
      <x:c r="I29" s="292">
        <x:f>'Rem. Anticipos R2'!J161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R2'!L161</x:f>
        <x:v>0</x:v>
      </x:c>
      <x:c r="V29" s="317">
        <x:f>'Rem. Anticipos R2'!M161</x:f>
        <x:v>0</x:v>
      </x:c>
      <x:c r="W29" s="317">
        <x:f>'Rem. Anticipos R2'!N161</x:f>
        <x:v>0</x:v>
      </x:c>
      <x:c r="X29" s="317">
        <x:f>'Rem. Anticipos R2'!O161</x:f>
        <x:v>0</x:v>
      </x:c>
      <x:c r="Y29" s="318">
        <x:f>'Rem. Anticipos R2'!P161</x:f>
        <x:v>0</x:v>
      </x:c>
      <x:c r="Z29" s="319">
        <x:f>L29*-1</x:f>
        <x:v>0</x:v>
      </x:c>
      <x:c r="AA29" s="320">
        <x:f>'Rem. Anticipos R2'!Q161</x:f>
        <x:v>0</x:v>
      </x:c>
      <x:c r="AB29" s="294">
        <x:f>N29</x:f>
        <x:v>0</x:v>
      </x:c>
      <x:c r="AC29" s="320">
        <x:f>'Rem. Anticipos R2'!R161</x:f>
        <x:v>0</x:v>
      </x:c>
      <x:c r="AD29" s="291">
        <x:f>-J29+AE29</x:f>
        <x:v>0</x:v>
      </x:c>
      <x:c r="AE29" s="291">
        <x:f>'Rem. Anticipos R2'!E162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R2'!E279</x:f>
        <x:v>0</x:v>
      </x:c>
      <x:c r="E30" s="292">
        <x:f>'Rem. Anticipos R2'!F279</x:f>
        <x:v>0</x:v>
      </x:c>
      <x:c r="F30" s="292">
        <x:f>'Rem. Anticipos R2'!G279</x:f>
        <x:v>0</x:v>
      </x:c>
      <x:c r="G30" s="292">
        <x:f>'Rem. Anticipos R2'!H279</x:f>
        <x:v>0</x:v>
      </x:c>
      <x:c r="H30" s="292">
        <x:f>'Rem. Anticipos R2'!I279</x:f>
        <x:v>0</x:v>
      </x:c>
      <x:c r="I30" s="292">
        <x:f>'Rem. Anticipos R2'!J279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R2'!K279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R2'!L279</x:f>
        <x:v>0</x:v>
      </x:c>
      <x:c r="V30" s="317">
        <x:f>'Rem. Anticipos R2'!M279</x:f>
        <x:v>0</x:v>
      </x:c>
      <x:c r="W30" s="317">
        <x:f>'Rem. Anticipos R2'!N279</x:f>
        <x:v>0</x:v>
      </x:c>
      <x:c r="X30" s="317">
        <x:f>'Rem. Anticipos R2'!O279</x:f>
        <x:v>0</x:v>
      </x:c>
      <x:c r="Y30" s="318">
        <x:f>'Rem. Anticipos R2'!P279</x:f>
        <x:v>0</x:v>
      </x:c>
      <x:c r="Z30" s="319">
        <x:f>L30*-1</x:f>
        <x:v>0</x:v>
      </x:c>
      <x:c r="AA30" s="320">
        <x:f>'Rem. Anticipos R2'!Q279</x:f>
        <x:v>0</x:v>
      </x:c>
      <x:c r="AB30" s="294">
        <x:f>N30</x:f>
        <x:v>0</x:v>
      </x:c>
      <x:c r="AC30" s="320">
        <x:f>'Rem. Anticipos R2'!R279</x:f>
        <x:v>0</x:v>
      </x:c>
      <x:c r="AD30" s="291">
        <x:f t="shared" ref="AD30:AD32" si="10">-J30+AE30</x:f>
        <x:v>0</x:v>
      </x:c>
      <x:c r="AE30" s="291">
        <x:f>'Rem. Anticipos R2'!E280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R2'!E390</x:f>
        <x:v>0</x:v>
      </x:c>
      <x:c r="E31" s="292">
        <x:f>'Rem. Anticipos R2'!F390</x:f>
        <x:v>0</x:v>
      </x:c>
      <x:c r="F31" s="292">
        <x:f>'Rem. Anticipos R2'!G390</x:f>
        <x:v>0</x:v>
      </x:c>
      <x:c r="G31" s="292">
        <x:f>'Rem. Anticipos R2'!H390</x:f>
        <x:v>0</x:v>
      </x:c>
      <x:c r="H31" s="292">
        <x:f>'Rem. Anticipos R2'!I390</x:f>
        <x:v>0</x:v>
      </x:c>
      <x:c r="I31" s="292">
        <x:f>'Rem. Anticipos R2'!J390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R2'!K390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R2'!L390</x:f>
        <x:v>0</x:v>
      </x:c>
      <x:c r="V31" s="317">
        <x:f>'Rem. Anticipos R2'!M390</x:f>
        <x:v>0</x:v>
      </x:c>
      <x:c r="W31" s="317">
        <x:f>'Rem. Anticipos R2'!N390</x:f>
        <x:v>0</x:v>
      </x:c>
      <x:c r="X31" s="317">
        <x:f>'Rem. Anticipos R2'!O390</x:f>
        <x:v>0</x:v>
      </x:c>
      <x:c r="Y31" s="318">
        <x:f>'Rem. Anticipos R2'!P390</x:f>
        <x:v>0</x:v>
      </x:c>
      <x:c r="Z31" s="319">
        <x:f>L31*-1</x:f>
        <x:v>0</x:v>
      </x:c>
      <x:c r="AA31" s="320">
        <x:f>'Rem. Anticipos R2'!Q390</x:f>
        <x:v>0</x:v>
      </x:c>
      <x:c r="AB31" s="294">
        <x:f>N31</x:f>
        <x:v>0</x:v>
      </x:c>
      <x:c r="AC31" s="320">
        <x:f>'Rem. Anticipos R2'!R390</x:f>
        <x:v>0</x:v>
      </x:c>
      <x:c r="AD31" s="291">
        <x:f t="shared" si="10"/>
        <x:v>0</x:v>
      </x:c>
      <x:c r="AE31" s="291">
        <x:f>'Rem. Anticipos R2'!E391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R2'!E474</x:f>
        <x:v>0</x:v>
      </x:c>
      <x:c r="E32" s="297">
        <x:f>'Rem. Anticipos R2'!F474</x:f>
        <x:v>0</x:v>
      </x:c>
      <x:c r="F32" s="297">
        <x:f>'Rem. Anticipos R2'!G474</x:f>
        <x:v>0</x:v>
      </x:c>
      <x:c r="G32" s="297">
        <x:f>'Rem. Anticipos R2'!H474</x:f>
        <x:v>0</x:v>
      </x:c>
      <x:c r="H32" s="297">
        <x:f>'Rem. Anticipos R2'!I474</x:f>
        <x:v>0</x:v>
      </x:c>
      <x:c r="I32" s="297">
        <x:f>'Rem. Anticipos R2'!J474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R2'!K474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R2'!L474</x:f>
        <x:v>0</x:v>
      </x:c>
      <x:c r="V32" s="297">
        <x:f>'Rem. Anticipos R2'!M474</x:f>
        <x:v>0</x:v>
      </x:c>
      <x:c r="W32" s="297">
        <x:f>'Rem. Anticipos R2'!N474</x:f>
        <x:v>0</x:v>
      </x:c>
      <x:c r="X32" s="297">
        <x:f>'Rem. Anticipos R2'!O474</x:f>
        <x:v>0</x:v>
      </x:c>
      <x:c r="Y32" s="289">
        <x:f>'Rem. Anticipos R2'!P474</x:f>
        <x:v>0</x:v>
      </x:c>
      <x:c r="Z32" s="319">
        <x:f>L32*-1</x:f>
        <x:v>0</x:v>
      </x:c>
      <x:c r="AA32" s="320">
        <x:f>'Rem. Anticipos R2'!Q474</x:f>
        <x:v>0</x:v>
      </x:c>
      <x:c r="AB32" s="294">
        <x:f>N32</x:f>
        <x:v>0</x:v>
      </x:c>
      <x:c r="AC32" s="320">
        <x:f>'Rem. Anticipos R2'!R474</x:f>
        <x:v>0</x:v>
      </x:c>
      <x:c r="AD32" s="291">
        <x:f t="shared" si="10"/>
        <x:v>0</x:v>
      </x:c>
      <x:c r="AE32" s="291">
        <x:f>'Rem. Anticipos R2'!E475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75" thickBot="1" x14ac:dyDescent="0.25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Recaudo'!D7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R2'!E164</x:f>
        <x:v>0</x:v>
      </x:c>
      <x:c r="E29" s="292">
        <x:f>'Rem. Anticipos R2'!F164</x:f>
        <x:v>0</x:v>
      </x:c>
      <x:c r="F29" s="292">
        <x:f>'Rem. Anticipos R2'!G164</x:f>
        <x:v>0</x:v>
      </x:c>
      <x:c r="G29" s="292">
        <x:f>'Rem. Anticipos R2'!H164</x:f>
        <x:v>0</x:v>
      </x:c>
      <x:c r="H29" s="292">
        <x:f>'Rem. Anticipos R2'!I164</x:f>
        <x:v>0</x:v>
      </x:c>
      <x:c r="I29" s="292">
        <x:f>'Rem. Anticipos R2'!J164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R2'!K164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R2'!L164</x:f>
        <x:v>0</x:v>
      </x:c>
      <x:c r="V29" s="317">
        <x:f>'Rem. Anticipos R2'!M164</x:f>
        <x:v>0</x:v>
      </x:c>
      <x:c r="W29" s="317">
        <x:f>'Rem. Anticipos R2'!N164</x:f>
        <x:v>0</x:v>
      </x:c>
      <x:c r="X29" s="317">
        <x:f>'Rem. Anticipos R2'!O164</x:f>
        <x:v>0</x:v>
      </x:c>
      <x:c r="Y29" s="318">
        <x:f>'Rem. Anticipos R2'!P164</x:f>
        <x:v>0</x:v>
      </x:c>
      <x:c r="Z29" s="319">
        <x:f>L29*-1</x:f>
        <x:v>0</x:v>
      </x:c>
      <x:c r="AA29" s="320">
        <x:f>'Rem. Anticipos R2'!Q164</x:f>
        <x:v>0</x:v>
      </x:c>
      <x:c r="AB29" s="294">
        <x:f>N29</x:f>
        <x:v>0</x:v>
      </x:c>
      <x:c r="AC29" s="320">
        <x:f>'Rem. Anticipos R2'!R164</x:f>
        <x:v>0</x:v>
      </x:c>
      <x:c r="AD29" s="291">
        <x:f>-J29+AE29</x:f>
        <x:v>0</x:v>
      </x:c>
      <x:c r="AE29" s="291">
        <x:f>'Rem. Anticipos R2'!E165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R2'!E282</x:f>
        <x:v>0</x:v>
      </x:c>
      <x:c r="E30" s="291">
        <x:f>'Rem. Anticipos R2'!F282</x:f>
        <x:v>0</x:v>
      </x:c>
      <x:c r="F30" s="291">
        <x:f>'Rem. Anticipos R2'!G282</x:f>
        <x:v>0</x:v>
      </x:c>
      <x:c r="G30" s="291">
        <x:f>'Rem. Anticipos R2'!H282</x:f>
        <x:v>0</x:v>
      </x:c>
      <x:c r="H30" s="291">
        <x:f>'Rem. Anticipos R2'!I282</x:f>
        <x:v>0</x:v>
      </x:c>
      <x:c r="I30" s="291">
        <x:f>'Rem. Anticipos R2'!J282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R2'!K282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R2'!L282</x:f>
        <x:v>0</x:v>
      </x:c>
      <x:c r="V30" s="316">
        <x:f>'Rem. Anticipos R2'!M282</x:f>
        <x:v>0</x:v>
      </x:c>
      <x:c r="W30" s="316">
        <x:f>'Rem. Anticipos R2'!N282</x:f>
        <x:v>0</x:v>
      </x:c>
      <x:c r="X30" s="316">
        <x:f>'Rem. Anticipos R2'!O282</x:f>
        <x:v>0</x:v>
      </x:c>
      <x:c r="Y30" s="316">
        <x:f>'Rem. Anticipos R2'!P282</x:f>
        <x:v>0</x:v>
      </x:c>
      <x:c r="Z30" s="319">
        <x:f>L30*-1</x:f>
        <x:v>0</x:v>
      </x:c>
      <x:c r="AA30" s="320">
        <x:f>'Rem. Anticipos R2'!Q282</x:f>
        <x:v>0</x:v>
      </x:c>
      <x:c r="AB30" s="294">
        <x:f>N30</x:f>
        <x:v>0</x:v>
      </x:c>
      <x:c r="AC30" s="320">
        <x:f>'Rem. Anticipos R2'!R282</x:f>
        <x:v>0</x:v>
      </x:c>
      <x:c r="AD30" s="291">
        <x:f t="shared" ref="AD30:AD32" si="10">-J30+AE30</x:f>
        <x:v>0</x:v>
      </x:c>
      <x:c r="AE30" s="291">
        <x:f>'Rem. Anticipos R2'!E283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R2'!E393</x:f>
        <x:v>0</x:v>
      </x:c>
      <x:c r="E31" s="291">
        <x:f>'Rem. Anticipos R2'!F393</x:f>
        <x:v>0</x:v>
      </x:c>
      <x:c r="F31" s="291">
        <x:f>'Rem. Anticipos R2'!G393</x:f>
        <x:v>0</x:v>
      </x:c>
      <x:c r="G31" s="291">
        <x:f>'Rem. Anticipos R2'!H393</x:f>
        <x:v>0</x:v>
      </x:c>
      <x:c r="H31" s="291">
        <x:f>'Rem. Anticipos R2'!I393</x:f>
        <x:v>0</x:v>
      </x:c>
      <x:c r="I31" s="291">
        <x:f>'Rem. Anticipos R2'!J393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R2'!K393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R2'!L393</x:f>
        <x:v>0</x:v>
      </x:c>
      <x:c r="V31" s="316">
        <x:f>'Rem. Anticipos R2'!M393</x:f>
        <x:v>0</x:v>
      </x:c>
      <x:c r="W31" s="316">
        <x:f>'Rem. Anticipos R2'!N393</x:f>
        <x:v>0</x:v>
      </x:c>
      <x:c r="X31" s="316">
        <x:f>'Rem. Anticipos R2'!O393</x:f>
        <x:v>0</x:v>
      </x:c>
      <x:c r="Y31" s="316">
        <x:f>'Rem. Anticipos R2'!P393</x:f>
        <x:v>0</x:v>
      </x:c>
      <x:c r="Z31" s="319">
        <x:f>L31*-1</x:f>
        <x:v>0</x:v>
      </x:c>
      <x:c r="AA31" s="320">
        <x:f>'Rem. Anticipos R2'!Q393</x:f>
        <x:v>0</x:v>
      </x:c>
      <x:c r="AB31" s="294">
        <x:f>N31</x:f>
        <x:v>0</x:v>
      </x:c>
      <x:c r="AC31" s="320">
        <x:f>'Rem. Anticipos R2'!R393</x:f>
        <x:v>0</x:v>
      </x:c>
      <x:c r="AD31" s="291">
        <x:f t="shared" si="10"/>
        <x:v>0</x:v>
      </x:c>
      <x:c r="AE31" s="291">
        <x:f>'Rem. Anticipos R2'!E394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R2'!E477</x:f>
        <x:v>0</x:v>
      </x:c>
      <x:c r="E32" s="296">
        <x:f>'Rem. Anticipos R2'!F477</x:f>
        <x:v>0</x:v>
      </x:c>
      <x:c r="F32" s="296">
        <x:f>'Rem. Anticipos R2'!G477</x:f>
        <x:v>0</x:v>
      </x:c>
      <x:c r="G32" s="296">
        <x:f>'Rem. Anticipos R2'!H477</x:f>
        <x:v>0</x:v>
      </x:c>
      <x:c r="H32" s="296">
        <x:f>'Rem. Anticipos R2'!I477</x:f>
        <x:v>0</x:v>
      </x:c>
      <x:c r="I32" s="296">
        <x:f>'Rem. Anticipos R2'!J477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R2'!K477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R2'!L477</x:f>
        <x:v>0</x:v>
      </x:c>
      <x:c r="V32" s="297">
        <x:f>'Rem. Anticipos R2'!M477</x:f>
        <x:v>0</x:v>
      </x:c>
      <x:c r="W32" s="297">
        <x:f>'Rem. Anticipos R2'!N477</x:f>
        <x:v>0</x:v>
      </x:c>
      <x:c r="X32" s="297">
        <x:f>'Rem. Anticipos R2'!O477</x:f>
        <x:v>0</x:v>
      </x:c>
      <x:c r="Y32" s="289">
        <x:f>'Rem. Anticipos R2'!P477</x:f>
        <x:v>0</x:v>
      </x:c>
      <x:c r="Z32" s="319">
        <x:f>L32*-1</x:f>
        <x:v>0</x:v>
      </x:c>
      <x:c r="AA32" s="320">
        <x:f>'Rem. Anticipos R2'!Q477</x:f>
        <x:v>0</x:v>
      </x:c>
      <x:c r="AB32" s="294">
        <x:f>N32</x:f>
        <x:v>0</x:v>
      </x:c>
      <x:c r="AC32" s="320">
        <x:f>'Rem. Anticipos R2'!R477</x:f>
        <x:v>0</x:v>
      </x:c>
      <x:c r="AD32" s="291">
        <x:f t="shared" si="10"/>
        <x:v>0</x:v>
      </x:c>
      <x:c r="AE32" s="291">
        <x:f>'Rem. Anticipos R2'!E478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Recaudo'!D8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R2'!E167</x:f>
        <x:v>0</x:v>
      </x:c>
      <x:c r="E29" s="292">
        <x:f>'Rem. Anticipos R2'!F167</x:f>
        <x:v>0</x:v>
      </x:c>
      <x:c r="F29" s="292">
        <x:f>'Rem. Anticipos R2'!G167</x:f>
        <x:v>0</x:v>
      </x:c>
      <x:c r="G29" s="292">
        <x:f>'Rem. Anticipos R2'!H167</x:f>
        <x:v>0</x:v>
      </x:c>
      <x:c r="H29" s="292">
        <x:f>'Rem. Anticipos R2'!I167</x:f>
        <x:v>0</x:v>
      </x:c>
      <x:c r="I29" s="292">
        <x:f>'Rem. Anticipos R2'!J167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R2'!L167</x:f>
        <x:v>0</x:v>
      </x:c>
      <x:c r="V29" s="317">
        <x:f>'Rem. Anticipos R2'!M167</x:f>
        <x:v>0</x:v>
      </x:c>
      <x:c r="W29" s="317">
        <x:f>'Rem. Anticipos R2'!N167</x:f>
        <x:v>0</x:v>
      </x:c>
      <x:c r="X29" s="317">
        <x:f>'Rem. Anticipos R2'!O167</x:f>
        <x:v>0</x:v>
      </x:c>
      <x:c r="Y29" s="318">
        <x:f>'Rem. Anticipos R2'!P167</x:f>
        <x:v>0</x:v>
      </x:c>
      <x:c r="Z29" s="319">
        <x:f>L29*-1</x:f>
        <x:v>0</x:v>
      </x:c>
      <x:c r="AA29" s="320">
        <x:f>'Rem. Anticipos R2'!Q167</x:f>
        <x:v>0</x:v>
      </x:c>
      <x:c r="AB29" s="294">
        <x:f>N29</x:f>
        <x:v>0</x:v>
      </x:c>
      <x:c r="AC29" s="320">
        <x:f>'Rem. Anticipos R2'!R167</x:f>
        <x:v>0</x:v>
      </x:c>
      <x:c r="AD29" s="291">
        <x:f>-J29+AE29</x:f>
        <x:v>0</x:v>
      </x:c>
      <x:c r="AE29" s="291">
        <x:f>'Rem. Anticipos R2'!E168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R2'!E285</x:f>
        <x:v>0</x:v>
      </x:c>
      <x:c r="E30" s="292">
        <x:f>'Rem. Anticipos R2'!F285</x:f>
        <x:v>0</x:v>
      </x:c>
      <x:c r="F30" s="292">
        <x:f>'Rem. Anticipos R2'!G285</x:f>
        <x:v>0</x:v>
      </x:c>
      <x:c r="G30" s="292">
        <x:f>'Rem. Anticipos R2'!H285</x:f>
        <x:v>0</x:v>
      </x:c>
      <x:c r="H30" s="292">
        <x:f>'Rem. Anticipos R2'!I285</x:f>
        <x:v>0</x:v>
      </x:c>
      <x:c r="I30" s="292">
        <x:f>'Rem. Anticipos R2'!J285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R2'!L285</x:f>
        <x:v>0</x:v>
      </x:c>
      <x:c r="V30" s="317">
        <x:f>'Rem. Anticipos R2'!M285</x:f>
        <x:v>0</x:v>
      </x:c>
      <x:c r="W30" s="317">
        <x:f>'Rem. Anticipos R2'!N285</x:f>
        <x:v>0</x:v>
      </x:c>
      <x:c r="X30" s="317">
        <x:f>'Rem. Anticipos R2'!O285</x:f>
        <x:v>0</x:v>
      </x:c>
      <x:c r="Y30" s="318">
        <x:f>'Rem. Anticipos R2'!P285</x:f>
        <x:v>0</x:v>
      </x:c>
      <x:c r="Z30" s="319">
        <x:f>L30*-1</x:f>
        <x:v>0</x:v>
      </x:c>
      <x:c r="AA30" s="320">
        <x:f>'Rem. Anticipos R2'!Q285</x:f>
        <x:v>0</x:v>
      </x:c>
      <x:c r="AB30" s="294">
        <x:f>N30</x:f>
        <x:v>0</x:v>
      </x:c>
      <x:c r="AC30" s="320">
        <x:f>'Rem. Anticipos R2'!R285</x:f>
        <x:v>0</x:v>
      </x:c>
      <x:c r="AD30" s="291">
        <x:f t="shared" ref="AD30:AD32" si="10">-J30+AE30</x:f>
        <x:v>0</x:v>
      </x:c>
      <x:c r="AE30" s="291">
        <x:f>'Rem. Anticipos R2'!E286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R2'!E396</x:f>
        <x:v>0</x:v>
      </x:c>
      <x:c r="E31" s="292">
        <x:f>'Rem. Anticipos R2'!F396</x:f>
        <x:v>0</x:v>
      </x:c>
      <x:c r="F31" s="292">
        <x:f>'Rem. Anticipos R2'!G396</x:f>
        <x:v>0</x:v>
      </x:c>
      <x:c r="G31" s="292">
        <x:f>'Rem. Anticipos R2'!H396</x:f>
        <x:v>0</x:v>
      </x:c>
      <x:c r="H31" s="292">
        <x:f>'Rem. Anticipos R2'!I396</x:f>
        <x:v>0</x:v>
      </x:c>
      <x:c r="I31" s="292">
        <x:f>'Rem. Anticipos R2'!J396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R2'!L396</x:f>
        <x:v>0</x:v>
      </x:c>
      <x:c r="V31" s="317">
        <x:f>'Rem. Anticipos R2'!M396</x:f>
        <x:v>0</x:v>
      </x:c>
      <x:c r="W31" s="317">
        <x:f>'Rem. Anticipos R2'!N396</x:f>
        <x:v>0</x:v>
      </x:c>
      <x:c r="X31" s="317">
        <x:f>'Rem. Anticipos R2'!O396</x:f>
        <x:v>0</x:v>
      </x:c>
      <x:c r="Y31" s="318">
        <x:f>'Rem. Anticipos R2'!P396</x:f>
        <x:v>0</x:v>
      </x:c>
      <x:c r="Z31" s="319">
        <x:f>L31*-1</x:f>
        <x:v>0</x:v>
      </x:c>
      <x:c r="AA31" s="320">
        <x:f>'Rem. Anticipos R2'!Q396</x:f>
        <x:v>0</x:v>
      </x:c>
      <x:c r="AB31" s="294">
        <x:f>N31</x:f>
        <x:v>0</x:v>
      </x:c>
      <x:c r="AC31" s="320">
        <x:f>'Rem. Anticipos R2'!R396</x:f>
        <x:v>0</x:v>
      </x:c>
      <x:c r="AD31" s="291">
        <x:f t="shared" si="10"/>
        <x:v>0</x:v>
      </x:c>
      <x:c r="AE31" s="291">
        <x:f>'Rem. Anticipos R2'!E397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R2'!E480</x:f>
        <x:v>0</x:v>
      </x:c>
      <x:c r="E32" s="297">
        <x:f>'Rem. Anticipos R2'!F480</x:f>
        <x:v>0</x:v>
      </x:c>
      <x:c r="F32" s="297">
        <x:f>'Rem. Anticipos R2'!G480</x:f>
        <x:v>0</x:v>
      </x:c>
      <x:c r="G32" s="297">
        <x:f>'Rem. Anticipos R2'!H480</x:f>
        <x:v>0</x:v>
      </x:c>
      <x:c r="H32" s="297">
        <x:f>'Rem. Anticipos R2'!I480</x:f>
        <x:v>0</x:v>
      </x:c>
      <x:c r="I32" s="297">
        <x:f>'Rem. Anticipos R2'!J480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R2'!K480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R2'!L480</x:f>
        <x:v>0</x:v>
      </x:c>
      <x:c r="V32" s="297">
        <x:f>'Rem. Anticipos R2'!M480</x:f>
        <x:v>0</x:v>
      </x:c>
      <x:c r="W32" s="297">
        <x:f>'Rem. Anticipos R2'!N480</x:f>
        <x:v>0</x:v>
      </x:c>
      <x:c r="X32" s="297">
        <x:f>'Rem. Anticipos R2'!O480</x:f>
        <x:v>0</x:v>
      </x:c>
      <x:c r="Y32" s="289">
        <x:f>'Rem. Anticipos R2'!P480</x:f>
        <x:v>0</x:v>
      </x:c>
      <x:c r="Z32" s="319">
        <x:f>L32*-1</x:f>
        <x:v>0</x:v>
      </x:c>
      <x:c r="AA32" s="320">
        <x:f>'Rem. Anticipos R2'!Q480</x:f>
        <x:v>0</x:v>
      </x:c>
      <x:c r="AB32" s="294">
        <x:f>N32</x:f>
        <x:v>0</x:v>
      </x:c>
      <x:c r="AC32" s="320">
        <x:f>'Rem. Anticipos R2'!R480</x:f>
        <x:v>0</x:v>
      </x:c>
      <x:c r="AD32" s="291">
        <x:f t="shared" si="10"/>
        <x:v>0</x:v>
      </x:c>
      <x:c r="AE32" s="291">
        <x:f>'Rem. Anticipos R2'!E481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2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Recaudo'!D10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R2'!E170</x:f>
        <x:v>0</x:v>
      </x:c>
      <x:c r="E29" s="292">
        <x:f>'Rem. Anticipos R2'!F170</x:f>
        <x:v>0</x:v>
      </x:c>
      <x:c r="F29" s="292">
        <x:f>'Rem. Anticipos R2'!G170</x:f>
        <x:v>0</x:v>
      </x:c>
      <x:c r="G29" s="292">
        <x:f>'Rem. Anticipos R2'!H170</x:f>
        <x:v>0</x:v>
      </x:c>
      <x:c r="H29" s="292">
        <x:f>'Rem. Anticipos R2'!I170</x:f>
        <x:v>0</x:v>
      </x:c>
      <x:c r="I29" s="292">
        <x:f>'Rem. Anticipos R2'!J170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R2'!L170</x:f>
        <x:v>0</x:v>
      </x:c>
      <x:c r="V29" s="317">
        <x:f>'Rem. Anticipos R2'!M170</x:f>
        <x:v>0</x:v>
      </x:c>
      <x:c r="W29" s="317">
        <x:f>'Rem. Anticipos R2'!N170</x:f>
        <x:v>0</x:v>
      </x:c>
      <x:c r="X29" s="317">
        <x:f>'Rem. Anticipos R2'!O170</x:f>
        <x:v>0</x:v>
      </x:c>
      <x:c r="Y29" s="318">
        <x:f>'Rem. Anticipos R2'!P170</x:f>
        <x:v>0</x:v>
      </x:c>
      <x:c r="Z29" s="319">
        <x:f>L29*-1</x:f>
        <x:v>0</x:v>
      </x:c>
      <x:c r="AA29" s="320">
        <x:f>'Rem. Anticipos R2'!Q170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R2'!E171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R2'!E288</x:f>
        <x:v>0</x:v>
      </x:c>
      <x:c r="E30" s="292">
        <x:f>'Rem. Anticipos R2'!F288</x:f>
        <x:v>0</x:v>
      </x:c>
      <x:c r="F30" s="292">
        <x:f>'Rem. Anticipos R2'!G288</x:f>
        <x:v>0</x:v>
      </x:c>
      <x:c r="G30" s="292">
        <x:f>'Rem. Anticipos R2'!H288</x:f>
        <x:v>0</x:v>
      </x:c>
      <x:c r="H30" s="292">
        <x:f>'Rem. Anticipos R2'!I288</x:f>
        <x:v>0</x:v>
      </x:c>
      <x:c r="I30" s="292">
        <x:f>'Rem. Anticipos R2'!J288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R2'!L288</x:f>
        <x:v>0</x:v>
      </x:c>
      <x:c r="V30" s="317">
        <x:f>'Rem. Anticipos R2'!M288</x:f>
        <x:v>0</x:v>
      </x:c>
      <x:c r="W30" s="317">
        <x:f>'Rem. Anticipos R2'!N288</x:f>
        <x:v>0</x:v>
      </x:c>
      <x:c r="X30" s="317">
        <x:f>'Rem. Anticipos R2'!O288</x:f>
        <x:v>0</x:v>
      </x:c>
      <x:c r="Y30" s="318">
        <x:f>'Rem. Anticipos R2'!P288</x:f>
        <x:v>0</x:v>
      </x:c>
      <x:c r="Z30" s="319">
        <x:f>L30*-1</x:f>
        <x:v>0</x:v>
      </x:c>
      <x:c r="AA30" s="320">
        <x:f>'Rem. Anticipos R2'!Q288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R2'!E289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R2'!E399</x:f>
        <x:v>0</x:v>
      </x:c>
      <x:c r="E31" s="292">
        <x:f>'Rem. Anticipos R2'!F399</x:f>
        <x:v>0</x:v>
      </x:c>
      <x:c r="F31" s="292">
        <x:f>'Rem. Anticipos R2'!G399</x:f>
        <x:v>0</x:v>
      </x:c>
      <x:c r="G31" s="292">
        <x:f>'Rem. Anticipos R2'!H399</x:f>
        <x:v>0</x:v>
      </x:c>
      <x:c r="H31" s="292">
        <x:f>'Rem. Anticipos R2'!I399</x:f>
        <x:v>0</x:v>
      </x:c>
      <x:c r="I31" s="292">
        <x:f>'Rem. Anticipos R2'!J399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R2'!L399</x:f>
        <x:v>0</x:v>
      </x:c>
      <x:c r="V31" s="317">
        <x:f>'Rem. Anticipos R2'!M399</x:f>
        <x:v>0</x:v>
      </x:c>
      <x:c r="W31" s="317">
        <x:f>'Rem. Anticipos R2'!N399</x:f>
        <x:v>0</x:v>
      </x:c>
      <x:c r="X31" s="317">
        <x:f>'Rem. Anticipos R2'!O399</x:f>
        <x:v>0</x:v>
      </x:c>
      <x:c r="Y31" s="318">
        <x:f>'Rem. Anticipos R2'!P399</x:f>
        <x:v>0</x:v>
      </x:c>
      <x:c r="Z31" s="319">
        <x:f>L31*-1</x:f>
        <x:v>0</x:v>
      </x:c>
      <x:c r="AA31" s="320">
        <x:f>'Rem. Anticipos R2'!Q399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R2'!E400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R2'!E483</x:f>
        <x:v>0</x:v>
      </x:c>
      <x:c r="E32" s="297">
        <x:f>'Rem. Anticipos R2'!F483</x:f>
        <x:v>0</x:v>
      </x:c>
      <x:c r="F32" s="297">
        <x:f>'Rem. Anticipos R2'!G483</x:f>
        <x:v>0</x:v>
      </x:c>
      <x:c r="G32" s="297">
        <x:f>'Rem. Anticipos R2'!H483</x:f>
        <x:v>0</x:v>
      </x:c>
      <x:c r="H32" s="297">
        <x:f>'Rem. Anticipos R2'!I483</x:f>
        <x:v>0</x:v>
      </x:c>
      <x:c r="I32" s="297">
        <x:f>'Rem. Anticipos R2'!J483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R2'!L483</x:f>
        <x:v>0</x:v>
      </x:c>
      <x:c r="V32" s="297">
        <x:f>'Rem. Anticipos R2'!M483</x:f>
        <x:v>0</x:v>
      </x:c>
      <x:c r="W32" s="297">
        <x:f>'Rem. Anticipos R2'!N483</x:f>
        <x:v>0</x:v>
      </x:c>
      <x:c r="X32" s="297">
        <x:f>'Rem. Anticipos R2'!O483</x:f>
        <x:v>0</x:v>
      </x:c>
      <x:c r="Y32" s="289">
        <x:f>'Rem. Anticipos R2'!P483</x:f>
        <x:v>0</x:v>
      </x:c>
      <x:c r="Z32" s="319">
        <x:f>L32*-1</x:f>
        <x:v>0</x:v>
      </x:c>
      <x:c r="AA32" s="320">
        <x:f>'Rem. Anticipos R2'!Q483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R2'!E484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2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2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2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2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2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75" thickBot="1" x14ac:dyDescent="0.2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75" thickBot="1" x14ac:dyDescent="0.2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03" t="s">
        <x:v>1</x:v>
      </x:c>
    </x:row>
    <x:row r="14" spans="2:16" x14ac:dyDescent="0.2">
      <x:c r="C14" s="245">
        <x:f>'Valida - Control Recaudo'!E3+'Valida - Control Recaudo'!E5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2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2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2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2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2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75" thickBot="1" x14ac:dyDescent="0.2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75" thickBot="1" x14ac:dyDescent="0.2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2">
      <x:c r="B37" s="2"/>
      <x:c r="C37" s="2"/>
      <x:c r="D37" s="24"/>
      <x:c r="Q37" s="4"/>
      <x:c r="AI37" s="305"/>
    </x:row>
    <x:row r="38" spans="1:35" x14ac:dyDescent="0.2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20" customFormat="1" ht="12.75" x14ac:dyDescent="0.2"/>
    <x:row r="2" spans="2:20" customFormat="1" ht="12.75" x14ac:dyDescent="0.2">
      <x:c r="T2" s="142" t="s">
        <x:v>329</x:v>
      </x:c>
    </x:row>
    <x:row r="3" spans="2:20" customFormat="1" x14ac:dyDescent="0.2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">
      <x:c r="F4" s="660" t="s">
        <x:v>29</x:v>
      </x:c>
    </x:row>
    <x:row r="5" spans="2:20" customFormat="1" x14ac:dyDescent="0.2">
      <x:c r="F5" s="660" t="s">
        <x:v>228</x:v>
      </x:c>
    </x:row>
    <x:row r="6" spans="2:20" customFormat="1" x14ac:dyDescent="0.2">
      <x:c r="C6" s="660" t="s">
        <x:v>229</x:v>
      </x:c>
      <x:c r="D6" s="660" t="inlineStr">
        <x:is>
          <x:t>02/09/2026</x:t>
        </x:is>
      </x:c>
      <x:c r="F6" s="660" t="s">
        <x:v>230</x:v>
      </x:c>
    </x:row>
    <x:row r="7" spans="2:20" customFormat="1" x14ac:dyDescent="0.2">
      <x:c r="C7" s="660" t="s">
        <x:v>231</x:v>
      </x:c>
      <x:c r="D7" s="660" t="inlineStr">
        <x:is>
          <x:t>07:42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5" x14ac:dyDescent="0.2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2.75" x14ac:dyDescent="0.2">
      <x:c r="B9" s="641" t="s">
        <x:v>115</x:v>
      </x:c>
      <x:c r="C9" s="641" t="s">
        <x:v>10</x:v>
      </x:c>
      <x:c r="D9" s="642" t="n">
        <x:v>18378829331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-3610213749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2.75" x14ac:dyDescent="0.2">
      <x:c r="B10" s="641" t="s">
        <x:v>116</x:v>
      </x:c>
      <x:c r="C10" s="641" t="s">
        <x:v>11</x:v>
      </x:c>
      <x:c r="D10" s="642" t="n">
        <x:v>21599709648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-4289876341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2.75" x14ac:dyDescent="0.2">
      <x:c r="B11" s="641" t="s">
        <x:v>117</x:v>
      </x:c>
      <x:c r="C11" s="641" t="s">
        <x:v>246</x:v>
      </x:c>
      <x:c r="D11" s="642" t="n">
        <x:v>16369059896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-829262233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2.75" x14ac:dyDescent="0.2">
      <x:c r="B12" s="641" t="s">
        <x:v>247</x:v>
      </x:c>
      <x:c r="C12" s="641" t="s">
        <x:v>13</x:v>
      </x:c>
      <x:c r="D12" s="642" t="n">
        <x:v>8372092112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-706235925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2.75" x14ac:dyDescent="0.2">
      <x:c r="B13" s="641" t="s">
        <x:v>118</x:v>
      </x:c>
      <x:c r="C13" s="641" t="s">
        <x:v>14</x:v>
      </x:c>
      <x:c r="D13" s="642" t="n">
        <x:v>12137660178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-23403941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2.75" x14ac:dyDescent="0.2">
      <x:c r="B14" s="641" t="s">
        <x:v>248</x:v>
      </x:c>
      <x:c r="C14" s="641" t="s">
        <x:v>70</x:v>
      </x:c>
      <x:c r="D14" s="642" t="n">
        <x:v>76857351165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2.75" x14ac:dyDescent="0.2"/>
    <x:row r="16" spans="2:20" customFormat="1" ht="12.75" x14ac:dyDescent="0.2">
      <x:c r="C16" s="662" t="s">
        <x:v>323</x:v>
      </x:c>
    </x:row>
    <x:row r="18" spans="2:15" x14ac:dyDescent="0.25">
      <x:c r="E18" s="611" t="s">
        <x:v>249</x:v>
      </x:c>
    </x:row>
    <x:row r="19" spans="2:15" x14ac:dyDescent="0.25">
      <x:c r="F19" s="611" t="s">
        <x:v>25</x:v>
      </x:c>
    </x:row>
    <x:row r="22" spans="2:15" ht="36" x14ac:dyDescent="0.25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25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25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25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25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25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25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25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25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x:f>
        <x:v>1</x:v>
      </x:c>
    </x:row>
    <x:row r="33" spans="2:15" x14ac:dyDescent="0.25">
      <x:c r="B33" s="610" t="s">
        <x:v>116</x:v>
      </x:c>
      <x:c r="C33" s="338" t="s">
        <x:v>11</x:v>
      </x:c>
      <x:c r="D33" s="651" t="b">
        <x:f>+D24+'Reporte Componentes R1'!F254+'Rem. Anticipos R2'!E155+'Reversion Pagos R4'!D174+'Reporte Componentes R1'!F256+'AJUSTES - SF-T'!D48=D10</x:f>
        <x:v>1</x:v>
      </x:c>
      <x:c r="E33" s="651" t="b">
        <x:f>+E24+'Reporte Componentes R1'!G254+'Rem. Anticipos R2'!F155+'Reversion Pagos R4'!E174+'Reporte Componentes R1'!G256+'AJUSTES - SF-T'!E48=E10</x:f>
        <x:v>1</x:v>
      </x:c>
      <x:c r="F33" s="651" t="b">
        <x:f>+F24+'Reporte Componentes R1'!H254+'Rem. Anticipos R2'!G155+'Reversion Pagos R4'!F174+'Reporte Componentes R1'!H256+'AJUSTES - SF-T'!F48=F10</x:f>
        <x:v>1</x:v>
      </x:c>
      <x:c r="G33" s="651" t="b">
        <x:f>+G24+'Reporte Componentes R1'!I254+'Rem. Anticipos R2'!H155+'Reversion Pagos R4'!G174+'Reporte Componentes R1'!I256+'AJUSTES - SF-T'!G48=G10</x:f>
        <x:v>1</x:v>
      </x:c>
      <x:c r="H33" s="651" t="b">
        <x:f>+H24+'Reporte Componentes R1'!J254+'Rem. Anticipos R2'!I155+'Reversion Pagos R4'!H174+'Reporte Componentes R1'!J256+'AJUSTES - SF-T'!H48=H10</x:f>
        <x:v>1</x:v>
      </x:c>
      <x:c r="I33" s="651" t="b">
        <x:f>+I24+'Reporte Componentes R1'!K254+'Rem. Anticipos R2'!J155+'Reversion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FACT.'!F4))+M24)-INTERVENTORIA!F16)+'AJUSTES - SF-T'!M48=M10</x:f>
        <x:v>1</x:v>
      </x:c>
      <x:c r="N33" s="648" t="b">
        <x:f>+'Reporte Componentes R1'!L254+'Rem. Anticipos R2'!K155+'Reversion Pagos R4'!P174+'Reporte Componentes R1'!L256+N24=N10</x:f>
        <x:v>1</x:v>
      </x:c>
      <x:c r="O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FACT.'!F4)))-INTERVENTORIA!M27)+O24+'Reporte Componentes R1'!L254+'Rem. Anticipos R2'!K155+'Reversion Pagos R4'!P174+'Reporte Componentes R1'!L256+'AJUSTES - SF-T'!O48=O10</x:f>
        <x:v>1</x:v>
      </x:c>
    </x:row>
    <x:row r="34" spans="2:15" x14ac:dyDescent="0.25">
      <x:c r="B34" s="610" t="s">
        <x:v>117</x:v>
      </x:c>
      <x:c r="C34" s="338" t="s">
        <x:v>12</x:v>
      </x:c>
      <x:c r="D34" s="651" t="b">
        <x:f>+'Reporte Componentes R1'!F415+'Reporte Componentes R1'!F417+'Rem. Anticipos R2'!E273+'Reversion Pagos R4'!D211+D25+'AJUSTES - SF-T'!D49=D11</x:f>
        <x:v>1</x:v>
      </x:c>
      <x:c r="E34" s="651" t="b">
        <x:f>+'Reporte Componentes R1'!G415+'Reporte Componentes R1'!G417+'Rem. Anticipos R2'!F273+'Reversion Pagos R4'!E211+E25+'AJUSTES - SF-T'!E49=E11</x:f>
        <x:v>1</x:v>
      </x:c>
      <x:c r="F34" s="651" t="b">
        <x:f>+'Reporte Componentes R1'!H415+'Reporte Componentes R1'!H417+'Rem. Anticipos R2'!G273+'Reversion Pagos R4'!F211+F25+'AJUSTES - SF-T'!F49=F11</x:f>
        <x:v>1</x:v>
      </x:c>
      <x:c r="G34" s="651" t="b">
        <x:f>+'Reporte Componentes R1'!I415+'Reporte Componentes R1'!I417+'Rem. Anticipos R2'!H273+'Reversion Pagos R4'!G211+G25+'AJUSTES - SF-T'!G49=G11</x:f>
        <x:v>1</x:v>
      </x:c>
      <x:c r="H34" s="651" t="b">
        <x:f>+'Reporte Componentes R1'!J415+'Reporte Componentes R1'!J417+'Rem. Anticipos R2'!I273+'Reversion Pagos R4'!H211+H25+'AJUSTES - SF-T'!H49=H11</x:f>
        <x:v>1</x:v>
      </x:c>
      <x:c r="I34" s="651" t="b">
        <x:f>+'Reporte Componentes R1'!K415+'Reporte Componentes R1'!K417+'Rem. Anticipos R2'!J273+'Reversion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FACT.'!F5))+M25)-INTERVENTORIA!F17)+'AJUSTES - SF-T'!M49=M11</x:f>
        <x:v>1</x:v>
      </x:c>
      <x:c r="N34" s="648" t="b">
        <x:f>+'Reporte Componentes R1'!L415+'Reporte Componentes R1'!L417+'Rem. Anticipos R2'!K273+'Reversion Pagos R4'!P211+N25=N11</x:f>
        <x:v>1</x:v>
      </x:c>
      <x:c r="O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FACT.'!F5)))-INTERVENTORIA!M28)++'Reporte Componentes R1'!L415+'Reporte Componentes R1'!L417+'Rem. Anticipos R2'!K273+'Reversion Pagos R4'!P211+O25+'AJUSTES - SF-T'!O49=O11</x:f>
        <x:v>1</x:v>
      </x:c>
    </x:row>
    <x:row r="35" spans="2:15" x14ac:dyDescent="0.25">
      <x:c r="B35" s="610" t="s">
        <x:v>247</x:v>
      </x:c>
      <x:c r="C35" s="338" t="s">
        <x:v>13</x:v>
      </x:c>
      <x:c r="D35" s="651" t="b">
        <x:f>+'Reporte Componentes R1'!F568+'Reporte Componentes R1'!F570+'Rem. Anticipos R2'!E384+'Reversion Pagos R4'!D326+D26+'AJUSTES - SF-T'!D50=D12</x:f>
        <x:v>1</x:v>
      </x:c>
      <x:c r="E35" s="651" t="b">
        <x:f>+'Reporte Componentes R1'!G568+'Reporte Componentes R1'!G570+'Rem. Anticipos R2'!F384+'Reversion Pagos R4'!E326+E26+'AJUSTES - SF-T'!E50=E12</x:f>
        <x:v>1</x:v>
      </x:c>
      <x:c r="F35" s="651" t="b">
        <x:f>+'Reporte Componentes R1'!H568+'Reporte Componentes R1'!H570+'Rem. Anticipos R2'!G384+'Reversion Pagos R4'!F326+F26+'AJUSTES - SF-T'!F50=F12</x:f>
        <x:v>1</x:v>
      </x:c>
      <x:c r="G35" s="651" t="b">
        <x:f>+'Reporte Componentes R1'!I568+'Reporte Componentes R1'!I570+'Rem. Anticipos R2'!H384+'Reversion Pagos R4'!G326+G26+'AJUSTES - SF-T'!G50=G12</x:f>
        <x:v>1</x:v>
      </x:c>
      <x:c r="H35" s="651" t="b">
        <x:f>+'Reporte Componentes R1'!J568+'Reporte Componentes R1'!J570+'Rem. Anticipos R2'!I384+'Reversion Pagos R4'!H326+H26+'AJUSTES - SF-T'!H50=H12</x:f>
        <x:v>1</x:v>
      </x:c>
      <x:c r="I35" s="651" t="b">
        <x:f>+'Reporte Componentes R1'!K568+'Reporte Componentes R1'!K570+'Rem. Anticipos R2'!J384+'Reversion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FACT.'!F6))+M26)-INTERVENTORIA!F18)+'AJUSTES - SF-T'!M50=M12</x:f>
        <x:v>1</x:v>
      </x:c>
      <x:c r="N35" s="648" t="b">
        <x:f>+'Reporte Componentes R1'!L568+'Reporte Componentes R1'!L570+'Rem. Anticipos R2'!K384+'Reversion Pagos R4'!P326+N26=N12</x:f>
        <x:v>1</x:v>
      </x:c>
      <x:c r="O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FACT.'!F6)))-INTERVENTORIA!M29)+'Reporte Componentes R1'!L568+'Reporte Componentes R1'!L570+'Rem. Anticipos R2'!K384+'Reversion Pagos R4'!P326+O26+'AJUSTES - SF-T'!O50=O12</x:f>
        <x:v>1</x:v>
      </x:c>
    </x:row>
    <x:row r="36" spans="2:15" x14ac:dyDescent="0.25">
      <x:c r="B36" s="610" t="s">
        <x:v>118</x:v>
      </x:c>
      <x:c r="C36" s="338" t="s">
        <x:v>14</x:v>
      </x:c>
      <x:c r="D36" s="651" t="b">
        <x:f>+D27+'Reporte Componentes R1'!F680+'Reporte Componentes R1'!F682+'Rem. Anticipos R2'!E468+'Reversion Pagos R4'!D361+'AJUSTES - SF-T'!D51=D13</x:f>
        <x:v>1</x:v>
      </x:c>
      <x:c r="E36" s="651" t="b">
        <x:f>+E27+'Reporte Componentes R1'!G680+'Reporte Componentes R1'!G682+'Rem. Anticipos R2'!F468+'Reversion Pagos R4'!E361+'AJUSTES - SF-T'!E51=E13</x:f>
        <x:v>1</x:v>
      </x:c>
      <x:c r="F36" s="651" t="b">
        <x:f>+F27+'Reporte Componentes R1'!H680+'Reporte Componentes R1'!H682+'Rem. Anticipos R2'!G468+'Reversion Pagos R4'!F361+'AJUSTES - SF-T'!F51=F13</x:f>
        <x:v>1</x:v>
      </x:c>
      <x:c r="G36" s="651" t="b">
        <x:f>+G27+'Reporte Componentes R1'!I680+'Reporte Componentes R1'!I682+'Rem. Anticipos R2'!H468+'Reversion Pagos R4'!G361+'AJUSTES - SF-T'!G51=G13</x:f>
        <x:v>1</x:v>
      </x:c>
      <x:c r="H36" s="651" t="b">
        <x:f>+H27+'Reporte Componentes R1'!J680+'Reporte Componentes R1'!J682+'Rem. Anticipos R2'!I468+'Reversion Pagos R4'!H361+'AJUSTES - SF-T'!H51=H13</x:f>
        <x:v>1</x:v>
      </x:c>
      <x:c r="I36" s="651" t="b">
        <x:f>+I27+'Reporte Componentes R1'!K680+'Reporte Componentes R1'!K682+'Rem. Anticipos R2'!J468+'Reversion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FACT.'!F7))+M27)-INTERVENTORIA!F19)+'AJUSTES - SF-T'!M51=M13</x:f>
        <x:v>1</x:v>
      </x:c>
      <x:c r="N36" s="648" t="b">
        <x:f>+'Reporte Componentes R1'!L680+'Reporte Componentes R1'!L682+'Rem. Anticipos R2'!K468+'Reversion Pagos R4'!P361+N27=N13</x:f>
        <x:v>1</x:v>
      </x:c>
      <x:c r="O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FACT.'!F7)))-INTERVENTORIA!M30)+'Reporte Componentes R1'!L680+'Reporte Componentes R1'!L682+'Rem. Anticipos R2'!K468+'Reversion Pagos R4'!P361+O27+'AJUSTES - SF-T'!O51=O13</x:f>
        <x:v>1</x:v>
      </x:c>
    </x:row>
    <x:row r="38" spans="2:15" x14ac:dyDescent="0.25">
      <x:c r="N38" s="652"/>
    </x:row>
    <x:row r="39" spans="2:15" x14ac:dyDescent="0.25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">
      <x:c r="F4" s="660" t="s">
        <x:v>29</x:v>
      </x:c>
    </x:row>
    <x:row r="5" spans="2:15" customFormat="1" x14ac:dyDescent="0.2">
      <x:c r="F5" s="660" t="s">
        <x:v>228</x:v>
      </x:c>
    </x:row>
    <x:row r="6" spans="2:15" customFormat="1" x14ac:dyDescent="0.2">
      <x:c r="C6" s="660" t="s">
        <x:v>229</x:v>
      </x:c>
      <x:c r="D6" s="660" t="inlineStr">
        <x:is>
          <x:t>02/09/2026</x:t>
        </x:is>
      </x:c>
      <x:c r="F6" s="660" t="s">
        <x:v>230</x:v>
      </x:c>
    </x:row>
    <x:row r="7" spans="2:15" customFormat="1" x14ac:dyDescent="0.2">
      <x:c r="C7" s="660" t="s">
        <x:v>231</x:v>
      </x:c>
      <x:c r="D7" s="660" t="inlineStr">
        <x:is>
          <x:t>07:42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5" x14ac:dyDescent="0.2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2.75" x14ac:dyDescent="0.2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2.75" x14ac:dyDescent="0.2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2.75" x14ac:dyDescent="0.2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2.75" x14ac:dyDescent="0.2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2.75" x14ac:dyDescent="0.2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2.75" x14ac:dyDescent="0.2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25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25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25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25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25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25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.75" thickBot="1" x14ac:dyDescent="0.3">
      <x:c r="M22" s="652"/>
    </x:row>
    <x:row r="23" spans="2:16" ht="36.75" thickBot="1" x14ac:dyDescent="0.3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25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-INTERVENTORIA!M26+I16=I9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+DetRetri2026082!N32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25">
      <x:c r="B25" s="610" t="s">
        <x:v>116</x:v>
      </x:c>
      <x:c r="C25" s="338" t="s">
        <x:v>11</x:v>
      </x:c>
      <x:c r="D25" s="654" t="b">
        <x:f>+'Reporte Componentes R1'!M254+'Rem. Anticipos R2'!L155+'Reversion Pagos R4'!J174+'Reporte Componentes R1'!M256+D17+'AJUSTES - SF-T'!U48=D10</x:f>
        <x:v>1</x:v>
      </x:c>
      <x:c r="E25" s="654" t="b">
        <x:f>+'Reporte Componentes R1'!N254+'Rem. Anticipos R2'!M155+'Reversion Pagos R4'!K174+'Reporte Componentes R1'!N256+E17+'AJUSTES - SF-T'!V48=E10</x:f>
        <x:v>1</x:v>
      </x:c>
      <x:c r="F25" s="654" t="b">
        <x:f>+'Reporte Componentes R1'!O254+'Rem. Anticipos R2'!N155+'Reversion Pagos R4'!L174+'Reporte Componentes R1'!O256+F17+'AJUSTES - SF-T'!W48=F10</x:f>
        <x:v>1</x:v>
      </x:c>
      <x:c r="G25" s="654" t="b">
        <x:f>+'Reporte Componentes R1'!P254+'Rem. Anticipos R2'!O155+'Reversion Pagos R4'!M174+'Reporte Componentes R1'!P256+G17+'AJUSTES - SF-T'!X48=G10</x:f>
        <x:v>1</x:v>
      </x:c>
      <x:c r="H25" s="654" t="b">
        <x:f>+'Reporte Componentes R1'!Q254+'Rem. Anticipos R2'!P155+'Reversion Pagos R4'!N174+'Reporte Componentes R1'!Q256+H17+'AJUSTES - SF-T'!Y48=H10</x:f>
        <x:v>1</x:v>
      </x:c>
      <x:c r="I25" s="698" t="b">
        <x:f>-INTERVENTORIA!M27+I17=I10</x:f>
        <x:v>1</x:v>
      </x:c>
      <x:c r="J25" s="654" t="b">
        <x:f>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+DetRetri2026082!N33</x:f>
        <x:v>1</x:v>
      </x:c>
      <x:c r="L25" s="648" t="b">
        <x:f>+'Reporte Componentes R1'!F255+'Rem. Anticipos R2'!E156+'Reporte Componentes R1'!F257+'Reversion Pagos R4'!D175+'AJUSTES - SF-T'!AD48+L17=L10</x:f>
        <x:v>1</x:v>
      </x:c>
      <x:c r="M25" s="715">
        <x:f>-'BCE SC POR FACT.'!F4+'Reporte Componentes R1'!F255+'Rem. Anticipos R2'!E156+'Reporte Componentes R1'!F257+'Reversion Pagos R4'!D175+'AJUSTES - SF-T'!AD48+M17-M10</x:f>
        <x:v>0</x:v>
      </x:c>
      <x:c r="N25" s="648" t="b">
        <x:f>'Reporte Componentes R1'!F255+'Rem. Anticipos R2'!E156+'Reporte Componentes R1'!F257+'Reversion Pagos R4'!D175+'AJUSTES - SF-T'!AD48+L17=L10</x:f>
        <x:v>1</x:v>
      </x:c>
      <x:c r="O25" s="648" t="b">
        <x:f>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R1'!Q256-INTERVENTORIA!I5+'Reporte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SF-T'!AD48+N17=N10</x:f>
        <x:v>0</x:v>
      </x:c>
      <x:c r="P25" s="653"/>
    </x:row>
    <x:row r="26" spans="2:16" x14ac:dyDescent="0.25">
      <x:c r="B26" s="610" t="s">
        <x:v>117</x:v>
      </x:c>
      <x:c r="C26" s="338" t="s">
        <x:v>12</x:v>
      </x:c>
      <x:c r="D26" s="648" t="b">
        <x:f>+'Reporte Componentes R1'!M415+'Reporte Componentes R1'!M417+'Rem. Anticipos R2'!L273+'Reversion Pagos R4'!J211+D18+'AJUSTES - SF-T'!U49=D11</x:f>
        <x:v>1</x:v>
      </x:c>
      <x:c r="E26" s="648" t="b">
        <x:f>+'Reporte Componentes R1'!N415+'Reporte Componentes R1'!N417+'Rem. Anticipos R2'!M273+'Reversion Pagos R4'!K211+E18+'AJUSTES - SF-T'!V49=E11</x:f>
        <x:v>1</x:v>
      </x:c>
      <x:c r="F26" s="648" t="b">
        <x:f>+'Reporte Componentes R1'!O415+'Reporte Componentes R1'!O417+'Rem. Anticipos R2'!N273+'Reversion Pagos R4'!L211+F18+'AJUSTES - SF-T'!W49=F11</x:f>
        <x:v>1</x:v>
      </x:c>
      <x:c r="G26" s="648" t="b">
        <x:f>+'Reporte Componentes R1'!P415+'Reporte Componentes R1'!P417+'Rem. Anticipos R2'!O273+'Reversion Pagos R4'!M211+G18+'AJUSTES - SF-T'!X49=G11</x:f>
        <x:v>1</x:v>
      </x:c>
      <x:c r="H26" s="648" t="b">
        <x:f>+'Reporte Componentes R1'!Q415+'Reporte Componentes R1'!Q417+'Rem. Anticipos R2'!P273+'Reversion Pagos R4'!N211+H18+'AJUSTES - SF-T'!Y49=H11</x:f>
        <x:v>1</x:v>
      </x:c>
      <x:c r="I26" s="698" t="b">
        <x:f>-INTERVENTORIA!M28+I18=I11</x:f>
        <x:v>1</x:v>
      </x:c>
      <x:c r="J26" s="648" t="b">
        <x:f>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+DetRetri2026082!N34</x:f>
        <x:v>1</x:v>
      </x:c>
      <x:c r="L26" s="648" t="b">
        <x:f>+'Reporte Componentes R1'!F416+'Rem. Anticipos R2'!E274+'Reporte Componentes R1'!F418+'Reversion Pagos R4'!D212+'AJUSTES - SF-T'!AD49+L18=L11</x:f>
        <x:v>1</x:v>
      </x:c>
      <x:c r="M26" s="715">
        <x:f>-'BCE SC POR FACT.'!F5+'Reporte Componentes R1'!F416+'Rem. Anticipos R2'!E274+'Reporte Componentes R1'!F418+'Reversion Pagos R4'!D212+'AJUSTES - SF-T'!AD49+M18-M11</x:f>
        <x:v>0</x:v>
      </x:c>
      <x:c r="N26" s="648" t="b">
        <x:f>'Reporte Componentes R1'!F416+'Rem. Anticipos R2'!E274+'Reporte Componentes R1'!F418+'Reversion Pagos R4'!D212+'AJUSTES - SF-T'!AD49+L18=L11</x:f>
        <x:v>1</x:v>
      </x:c>
      <x:c r="O26" s="712" t="b">
        <x:f>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R4'!N211-INTERVENTORIA!I6+'Reporte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SF-T'!AD49+N18=N11</x:f>
        <x:v>0</x:v>
      </x:c>
    </x:row>
    <x:row r="27" spans="2:16" x14ac:dyDescent="0.25">
      <x:c r="B27" s="610" t="s">
        <x:v>247</x:v>
      </x:c>
      <x:c r="C27" s="338" t="s">
        <x:v>13</x:v>
      </x:c>
      <x:c r="D27" s="648" t="b">
        <x:f>+'Reporte Componentes R1'!M568+'Reporte Componentes R1'!M570+'Rem. Anticipos R2'!L384+'Reversion Pagos R4'!J326+D19+'AJUSTES - SF-T'!U50=D12</x:f>
        <x:v>1</x:v>
      </x:c>
      <x:c r="E27" s="648" t="b">
        <x:f>+'Reporte Componentes R1'!N568+'Reporte Componentes R1'!N570+'Rem. Anticipos R2'!M384+'Reversion Pagos R4'!K326+E19+'AJUSTES - SF-T'!V50=E12</x:f>
        <x:v>1</x:v>
      </x:c>
      <x:c r="F27" s="648" t="b">
        <x:f>+'Reporte Componentes R1'!O568+'Reporte Componentes R1'!O570+'Rem. Anticipos R2'!N384+'Reversion Pagos R4'!L326+F19+'AJUSTES - SF-T'!W50=F12</x:f>
        <x:v>1</x:v>
      </x:c>
      <x:c r="G27" s="648" t="b">
        <x:f>+'Reporte Componentes R1'!P568+'Reporte Componentes R1'!P570+'Rem. Anticipos R2'!O384+'Reversion Pagos R4'!M326+G19+'AJUSTES - SF-T'!X50=G12</x:f>
        <x:v>1</x:v>
      </x:c>
      <x:c r="H27" s="648" t="b">
        <x:f>+'Reporte Componentes R1'!Q568+'Reporte Componentes R1'!Q570+'Rem. Anticipos R2'!P384+'Reversion Pagos R4'!N326+H19+'AJUSTES - SF-T'!Y50=H12</x:f>
        <x:v>1</x:v>
      </x:c>
      <x:c r="I27" s="698" t="b">
        <x:f>-INTERVENTORIA!M29+I19=I12</x:f>
        <x:v>1</x:v>
      </x:c>
      <x:c r="J27" s="648" t="b">
        <x:f>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+DetRetri2026082!N35</x:f>
        <x:v>1</x:v>
      </x:c>
      <x:c r="L27" s="648" t="b">
        <x:f>+'Reporte Componentes R1'!F569+'Rem. Anticipos R2'!E385+'Reporte Componentes R1'!F571+'Reversion Pagos R4'!D327+'AJUSTES - SF-T'!AD50+L19=L12</x:f>
        <x:v>1</x:v>
      </x:c>
      <x:c r="M27" s="715">
        <x:f>-'BCE SC POR FACT.'!F6+'Reporte Componentes R1'!F569+'Rem. Anticipos R2'!E385+'Reporte Componentes R1'!F571+'Reversion Pagos R4'!D327+'AJUSTES - SF-T'!AD50+M19-M12</x:f>
        <x:v>0</x:v>
      </x:c>
      <x:c r="N27" s="648" t="b">
        <x:f>'Reporte Componentes R1'!F569+'Rem. Anticipos R2'!E385+'Reporte Componentes R1'!F571+'Reversion Pagos R4'!D327+'AJUSTES - SF-T'!AD50+L19=L12</x:f>
        <x:v>1</x:v>
      </x:c>
      <x:c r="O27" s="712" t="b">
        <x:f>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R4'!N326-INTERVENTORIA!I7+'Reporte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SF-T'!AD50+N19=N12</x:f>
        <x:v>1</x:v>
      </x:c>
    </x:row>
    <x:row r="28" spans="2:16" x14ac:dyDescent="0.25">
      <x:c r="B28" s="610" t="s">
        <x:v>118</x:v>
      </x:c>
      <x:c r="C28" s="338" t="s">
        <x:v>14</x:v>
      </x:c>
      <x:c r="D28" s="648" t="b">
        <x:f>+'Reporte Componentes R1'!M680+'Reporte Componentes R1'!M682+'Rem. Anticipos R2'!L468+'Reversion Pagos R4'!J361+D20+'AJUSTES - SF-T'!U51=D13</x:f>
        <x:v>1</x:v>
      </x:c>
      <x:c r="E28" s="648" t="b">
        <x:f>+'Reporte Componentes R1'!N680+'Reporte Componentes R1'!N682+'Rem. Anticipos R2'!M468+'Reversion Pagos R4'!K361+E20+'AJUSTES - SF-T'!V51=E13</x:f>
        <x:v>1</x:v>
      </x:c>
      <x:c r="F28" s="648" t="b">
        <x:f>+'Reporte Componentes R1'!O680+'Reporte Componentes R1'!O682+'Rem. Anticipos R2'!N468+'Reversion Pagos R4'!L361+F20+'AJUSTES - SF-T'!W51=F13</x:f>
        <x:v>1</x:v>
      </x:c>
      <x:c r="G28" s="648" t="b">
        <x:f>+'Reporte Componentes R1'!P680+'Reporte Componentes R1'!P682+'Rem. Anticipos R2'!O468+'Reversion Pagos R4'!M361+G20+'AJUSTES - SF-T'!X51=G13</x:f>
        <x:v>1</x:v>
      </x:c>
      <x:c r="H28" s="648" t="b">
        <x:f>+'Reporte Componentes R1'!Q680+'Reporte Componentes R1'!Q682+'Rem. Anticipos R2'!P468+'Reversion Pagos R4'!N361+H20+'AJUSTES - SF-T'!Y51=H13</x:f>
        <x:v>1</x:v>
      </x:c>
      <x:c r="I28" s="698" t="b">
        <x:f>-INTERVENTORIA!M30+I20=I13</x:f>
        <x:v>1</x:v>
      </x:c>
      <x:c r="J28" s="650" t="b">
        <x:f>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+DetRetri2026082!N36</x:f>
        <x:v>1</x:v>
      </x:c>
      <x:c r="L28" s="648" t="b">
        <x:f>+'Reporte Componentes R1'!F681+'Rem. Anticipos R2'!E469+'Reporte Componentes R1'!F683+'Reversion Pagos R4'!D362+'AJUSTES - SF-T'!AD51+L20=L13</x:f>
        <x:v>1</x:v>
      </x:c>
      <x:c r="M28" s="648" t="b">
        <x:f>-'BCE SC POR FACT.'!F7+'Reporte Componentes R1'!F681+'Rem. Anticipos R2'!E469+'Reporte Componentes R1'!F683+'Reversion Pagos R4'!D362+'AJUSTES - SF-T'!AD51+M20=M13</x:f>
        <x:v>1</x:v>
      </x:c>
      <x:c r="N28" s="648" t="b">
        <x:f>'Reporte Componentes R1'!F681+'Rem. Anticipos R2'!E469+'Reporte Componentes R1'!F683+'Reversion Pagos R4'!D362+'AJUSTES - SF-T'!AD51+L20=L13</x:f>
        <x:v>1</x:v>
      </x:c>
      <x:c r="O28" s="648" t="b">
        <x:f>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R4'!N361-INTERVENTORIA!I8+'Reporte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SF-T'!AD51+N20=N13</x:f>
        <x:v>0</x:v>
      </x:c>
    </x:row>
    <x:row r="29" spans="2:16" x14ac:dyDescent="0.25">
      <x:c r="C29" s="649" t="s">
        <x:v>2</x:v>
      </x:c>
      <x:c r="D29" s="648" t="b">
        <x:f>'Reporte Componentes R1'!M75+'Reporte Componentes R1'!M77+'Rem. Anticipos R2'!L47+'Reversion Pagos R4'!J73+'Reporte Componentes R1'!M254+'Rem. Anticipos R2'!L155+'Reversion Pagos R4'!J174+'Reporte Componentes R1'!M256+'Reporte Componentes R1'!M415+'Reporte Componentes R1'!M417+'Rem. Anticipos R2'!L273+'Reversion Pagos R4'!J211+'Reporte Componentes R1'!M568+'Reporte Componentes R1'!M570+'Rem. Anticipos R2'!L384+'Reversion Pagos R4'!J326+'Reporte Componentes R1'!M680+'Reporte Componentes R1'!M682+'Rem. Anticipos R2'!L468+'Reversion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R2'!M155+'Reversion Pagos R4'!K174+'Reporte Componentes R1'!N256+'Reporte Componentes R1'!N415+'Reporte Componentes R1'!N417+'Rem. Anticipos R2'!M273+'Reversion Pagos R4'!K211+'Reporte Componentes R1'!N568+'Reporte Componentes R1'!N570+'Rem. Anticipos R2'!M384+'Reversion Pagos R4'!K326+'Reporte Componentes R1'!N680+'Reporte Componentes R1'!N682+'Rem. Anticipos R2'!M468+'Reversion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R2'!N155+'Reversion Pagos R4'!L174+'Reporte Componentes R1'!O256+'Reporte Componentes R1'!O415+'Reporte Componentes R1'!O417+'Rem. Anticipos R2'!N273+'Reversion Pagos R4'!L211+'Reporte Componentes R1'!O568+'Reporte Componentes R1'!O570+'Rem. Anticipos R2'!N384+'Reversion Pagos R4'!L326+'Reporte Componentes R1'!O680+'Reporte Componentes R1'!O682+'Rem. Anticipos R2'!N468+'Reversion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R2'!O155+'Reversion Pagos R4'!M174+'Reporte Componentes R1'!P256+'Reporte Componentes R1'!P415+'Reporte Componentes R1'!P417+'Rem. Anticipos R2'!O273+'Reversion Pagos R4'!M211+'Reporte Componentes R1'!P568+'Reporte Componentes R1'!P570+'Rem. Anticipos R2'!O384+'Reversion Pagos R4'!M326+'Reporte Componentes R1'!P680+'Reporte Componentes R1'!P682+'Rem. Anticipos R2'!O468+'Reversion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R2'!P155+'Reversion Pagos R4'!N174+'Reporte Componentes R1'!Q256+'Reporte Componentes R1'!Q415+'Reporte Componentes R1'!Q417+'Rem. Anticipos R2'!P273+'Reversion Pagos R4'!N211+'Reporte Componentes R1'!Q568+'Reporte Componentes R1'!Q570+'Rem. Anticipos R2'!P384+'Reversion Pagos R4'!N326+'Reporte Componentes R1'!Q680+'Reporte Componentes R1'!Q682+'Rem. Anticipos R2'!P468+'Reversion Pagos R4'!N361+H21+'AJUSTES - SF-T'!Y52=H14</x:f>
        <x:v>1</x:v>
      </x:c>
      <x:c r="I29" s="698" t="b">
        <x:f>-INTERVENTORIA!M31+I21=I14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R2'!K155+'Reversion Pagos R4'!P174+'Reporte Componentes R1'!L256+'Reporte Componentes R1'!L415+'Reporte Componentes R1'!L417+'Rem. Anticipos R2'!K273+'Reversion Pagos R4'!P211+'Reporte Componentes R1'!L568+'Reporte Componentes R1'!L570+'Rem. Anticipos R2'!K384+'Reversion Pagos R4'!P326+'Reporte Componentes R1'!L680+'Reporte Componentes R1'!L682+'Rem. Anticipos R2'!K468+'Reversion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R2'!E156+'Reporte Componentes R1'!F257+'Reversion Pagos R4'!D175+'AJUSTES - SF-T'!AD48-'BCE SC POR FACT.'!F5+'Reporte Componentes R1'!F416+'Rem. Anticipos R2'!E274+'Reporte Componentes R1'!F418+'Reversion Pagos R4'!D212+'AJUSTES - SF-T'!AD49-'BCE SC POR FACT.'!F6+'Reporte Componentes R1'!F569+'Rem. Anticipos R2'!E385+'Reporte Componentes R1'!F571+'Reversion Pagos R4'!D327+'AJUSTES - SF-T'!AD50-'BCE SC POR FACT.'!F7+'Reporte Componentes R1'!F681+'Rem. Anticipos R2'!E469+'Reporte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R1'!Q256-INTERVENTORIA!K16+'Reporte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R4'!N211-INTERVENTORIA!K17+'Reporte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R4'!N326-INTERVENTORIA!K18+'Reporte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R4'!N361-INTERVENTORIA!Q19+'Reporte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SF-T'!AD51+N21=N14</x:f>
        <x:v>0</x:v>
      </x:c>
    </x:row>
    <x:row r="30" spans="2:16" x14ac:dyDescent="0.25">
      <x:c r="M30" s="655"/>
    </x:row>
    <x:row r="31" spans="2:16" x14ac:dyDescent="0.25">
      <x:c r="I31" s="697"/>
      <x:c r="J31" s="699"/>
    </x:row>
    <x:row r="32" spans="2:16" x14ac:dyDescent="0.25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3.85546875" style="1" bestFit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2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2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2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2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75" thickBot="1" x14ac:dyDescent="0.2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5" thickBot="1" x14ac:dyDescent="0.2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2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2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2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2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2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75" thickBot="1" x14ac:dyDescent="0.2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5" thickBot="1" x14ac:dyDescent="0.2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2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2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2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2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2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2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2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75" thickBot="1" x14ac:dyDescent="0.2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5" thickBot="1" x14ac:dyDescent="0.2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2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2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2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2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2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2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2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75" thickBot="1" x14ac:dyDescent="0.2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5" thickBot="1" x14ac:dyDescent="0.2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2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2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75" thickBot="1" x14ac:dyDescent="0.2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2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2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2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2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75" thickBot="1" x14ac:dyDescent="0.2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5" thickBot="1" x14ac:dyDescent="0.2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75" thickBot="1" x14ac:dyDescent="0.2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75" thickBot="1" x14ac:dyDescent="0.2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2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2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2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2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2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75" thickBot="1" x14ac:dyDescent="0.2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5" thickBot="1" x14ac:dyDescent="0.2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75" thickBot="1" x14ac:dyDescent="0.2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75" thickBot="1" x14ac:dyDescent="0.2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2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2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2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2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75" thickBot="1" x14ac:dyDescent="0.2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75" thickBot="1" x14ac:dyDescent="0.2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2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2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2026082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2026082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75" x14ac:dyDescent="0.2"/>
  <x:cols>
    <x:col min="1" max="1" width="2.42578125" customWidth="1"/>
    <x:col min="3" max="3" width="36.85546875" bestFit="1" customWidth="1"/>
    <x:col min="4" max="4" width="12" bestFit="1" customWidth="1"/>
    <x:col min="5" max="5" width="12.140625" customWidth="1"/>
    <x:col min="6" max="6" width="9.140625" customWidth="1"/>
    <x:col min="7" max="7" width="14.85546875" customWidth="1"/>
    <x:col min="8" max="8" width="15.140625" customWidth="1"/>
    <x:col min="9" max="9" width="20.140625" bestFit="1" customWidth="1"/>
    <x:col min="10" max="10" width="15.42578125" customWidth="1"/>
    <x:col min="11" max="11" width="17.85546875" customWidth="1"/>
    <x:col min="12" max="12" width="20.85546875" customWidth="1"/>
    <x:col min="17" max="17" width="1.140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75" x14ac:dyDescent="0.25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thickBot="1" x14ac:dyDescent="0.2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thickBot="1" x14ac:dyDescent="0.2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">
      <x:c r="B13" s="2"/>
      <x:c r="C13" s="2"/>
      <x:c r="D13" s="448"/>
      <x:c r="Q13" s="4"/>
    </x:row>
    <x:row r="14" spans="1:33" s="1" customFormat="1" ht="12" x14ac:dyDescent="0.2">
      <x:c r="B14" s="2"/>
      <x:c r="C14" s="2"/>
      <x:c r="D14" s="448"/>
      <x:c r="Q14" s="4"/>
    </x:row>
    <x:row r="15" spans="1:33" s="1" customFormat="1" ht="12" x14ac:dyDescent="0.2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75" x14ac:dyDescent="0.25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thickBot="1" x14ac:dyDescent="0.2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thickBot="1" x14ac:dyDescent="0.2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">
      <x:c r="B28" s="2"/>
      <x:c r="C28" s="2"/>
      <x:c r="D28" s="448"/>
      <x:c r="Q28" s="4"/>
    </x:row>
    <x:row r="29" spans="1:17" s="1" customFormat="1" ht="12" x14ac:dyDescent="0.2">
      <x:c r="B29" s="2"/>
      <x:c r="C29" s="2"/>
      <x:c r="D29" s="448"/>
      <x:c r="Q29" s="4"/>
    </x:row>
    <x:row r="30" spans="1:17" s="1" customFormat="1" ht="12" x14ac:dyDescent="0.2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75" x14ac:dyDescent="0.25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thickBot="1" x14ac:dyDescent="0.2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thickBot="1" x14ac:dyDescent="0.2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">
      <x:c r="B42" s="2"/>
      <x:c r="C42" s="2"/>
      <x:c r="D42" s="448"/>
      <x:c r="Q42" s="4"/>
    </x:row>
    <x:row r="43" spans="1:17" s="1" customFormat="1" ht="12" x14ac:dyDescent="0.2">
      <x:c r="B43" s="2"/>
      <x:c r="C43" s="2"/>
      <x:c r="D43" s="448"/>
      <x:c r="Q43" s="4"/>
    </x:row>
    <x:row r="44" spans="1:17" s="1" customFormat="1" ht="12" x14ac:dyDescent="0.2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">
      <x:c r="B45" s="2"/>
      <x:c r="C45" s="2"/>
      <x:c r="D45" s="448"/>
      <x:c r="Q45" s="4"/>
    </x:row>
    <x:row r="46" spans="1:17" s="1" customFormat="1" ht="15.75" x14ac:dyDescent="0.25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thickBot="1" x14ac:dyDescent="0.2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thickBot="1" x14ac:dyDescent="0.2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">
      <x:c r="B56" s="2"/>
      <x:c r="C56" s="2"/>
      <x:c r="D56" s="448"/>
      <x:c r="Q56" s="4"/>
    </x:row>
    <x:row r="57" spans="1:17" s="1" customFormat="1" ht="12" x14ac:dyDescent="0.2">
      <x:c r="B57" s="2"/>
      <x:c r="C57" s="2"/>
      <x:c r="D57" s="448"/>
      <x:c r="Q57" s="4"/>
    </x:row>
    <x:row r="58" spans="1:17" s="1" customFormat="1" ht="12" x14ac:dyDescent="0.2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75" x14ac:dyDescent="0.25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thickBot="1" x14ac:dyDescent="0.2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thickBot="1" x14ac:dyDescent="0.2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">
      <x:c r="B70" s="2"/>
      <x:c r="C70" s="2"/>
      <x:c r="D70" s="448"/>
      <x:c r="Q70" s="4"/>
    </x:row>
    <x:row r="71" spans="1:17" s="1" customFormat="1" ht="12" x14ac:dyDescent="0.2">
      <x:c r="B71" s="2"/>
      <x:c r="C71" s="2"/>
      <x:c r="D71" s="448"/>
      <x:c r="Q71" s="4"/>
    </x:row>
    <x:row r="72" spans="1:17" s="1" customFormat="1" ht="12" x14ac:dyDescent="0.2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75" x14ac:dyDescent="0.25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thickBot="1" x14ac:dyDescent="0.2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thickBot="1" x14ac:dyDescent="0.2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">
      <x:c r="B84" s="2"/>
      <x:c r="C84" s="2"/>
      <x:c r="D84" s="448"/>
      <x:c r="Q84" s="4"/>
    </x:row>
    <x:row r="85" spans="1:17" s="1" customFormat="1" ht="12" x14ac:dyDescent="0.2">
      <x:c r="B85" s="2"/>
      <x:c r="C85" s="2"/>
      <x:c r="D85" s="448"/>
      <x:c r="Q85" s="4"/>
    </x:row>
    <x:row r="86" spans="1:17" s="1" customFormat="1" ht="12" x14ac:dyDescent="0.2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75" x14ac:dyDescent="0.25">
      <x:c r="F88" s="41" t="s">
        <x:v>191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thickBot="1" x14ac:dyDescent="0.2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thickBot="1" x14ac:dyDescent="0.2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">
      <x:c r="B99" s="2"/>
      <x:c r="C99" s="2"/>
      <x:c r="D99" s="448"/>
      <x:c r="Q99" s="4"/>
    </x:row>
    <x:row r="100" spans="1:17" s="1" customFormat="1" ht="12" x14ac:dyDescent="0.2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75" x14ac:dyDescent="0.2"/>
  <x:cols>
    <x:col min="1" max="1" width="4.85546875" customWidth="1"/>
    <x:col min="2" max="2" width="10" customWidth="1"/>
    <x:col min="3" max="3" width="20.42578125" bestFit="1" customWidth="1"/>
    <x:col min="4" max="4" width="17.140625" customWidth="1"/>
    <x:col min="5" max="5" width="16.140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526">
        <x:v>2026082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5" x14ac:dyDescent="0.25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5" x14ac:dyDescent="0.25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5" x14ac:dyDescent="0.25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.75" thickBot="1" x14ac:dyDescent="0.3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5" x14ac:dyDescent="0.25">
      <x:c r="B7" t="s">
        <x:v>1</x:v>
      </x:c>
      <x:c r="C7" s="545" t="s">
        <x:v>339</x:v>
      </x:c>
      <x:c r="D7" s="546" t="n">
        <x:v>71118604894</x:v>
      </x:c>
      <x:c r="E7" s="533" t="n">
        <x:f>SUM(D7:D9)</x:f>
        <x:v>71179067084</x:v>
      </x:c>
      <x:c r="F7" s="534" t="b">
        <x:v>1</x:v>
      </x:c>
      <x:c r="G7" s="143"/>
      <x:c r="H7" s="143"/>
      <x:c r="I7" s="143"/>
    </x:row>
    <x:row r="8" spans="2:9" ht="15" x14ac:dyDescent="0.25">
      <x:c r="C8" s="545" t="s">
        <x:v>326</x:v>
      </x:c>
      <x:c r="D8" s="546" t="n">
        <x:v>32556620</x:v>
      </x:c>
      <x:c r="E8" s="758"/>
      <x:c r="F8" s="534"/>
      <x:c r="G8" s="143"/>
      <x:c r="H8" s="143"/>
      <x:c r="I8" s="143"/>
    </x:row>
    <x:row r="9" spans="2:9" ht="15" x14ac:dyDescent="0.25">
      <x:c r="B9" t="s">
        <x:v>1</x:v>
      </x:c>
      <x:c r="C9" s="545" t="s">
        <x:v>205</x:v>
      </x:c>
      <x:c r="D9" s="546" t="n">
        <x:v>27905570</x:v>
      </x:c>
      <x:c r="E9" s="531"/>
      <x:c r="F9" s="532"/>
      <x:c r="G9" s="143"/>
      <x:c r="H9" s="143"/>
      <x:c r="I9" s="143"/>
    </x:row>
    <x:row r="10" spans="2:9" ht="15.75" thickBot="1" x14ac:dyDescent="0.3">
      <x:c r="C10" s="547" t="s">
        <x:v>206</x:v>
      </x:c>
      <x:c r="D10" s="535" t="n">
        <x:v>5885496214</x:v>
      </x:c>
      <x:c r="E10" s="535" t="n">
        <x:f>SUM(D10)</x:f>
        <x:v>5885496214</x:v>
      </x:c>
      <x:c r="F10" s="536" t="n">
        <x:f>E7+E10</x:f>
        <x:v>77064563298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202608-2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DetRetri2026082</vt:lpstr>
      <vt:lpstr>DetValiRetri2026082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2026-10-19T03:16:33Z</dcterms:modified>
</cp:coreProperties>
</file>