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Agosto-2/Resultado/Resultado Manual por el administrativo/"/>
    </mc:Choice>
  </mc:AlternateContent>
  <xr:revisionPtr revIDLastSave="1" documentId="13_ncr:1_{2A76BF64-E6D9-4C2B-9119-963AB239DE62}" xr6:coauthVersionLast="47" xr6:coauthVersionMax="47" xr10:uidLastSave="{AA82B430-272D-473F-861A-1572B987452A}"/>
  <bookViews>
    <workbookView xWindow="-108" yWindow="-108" windowWidth="23256" windowHeight="12456" tabRatio="780" firstSheet="5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8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82" sheetId="93" r:id="rId36"/>
    <sheet name="DetValiRetri202608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R1'!$A$5:$X$27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94" l="1"/>
  <c r="J21" i="94"/>
  <c r="J28" i="94"/>
  <c r="J27" i="94"/>
  <c r="O46" i="68"/>
  <c r="O59" i="68"/>
  <c r="P440" i="59"/>
  <c r="F34" i="36"/>
  <c r="F32" i="36"/>
  <c r="F31" i="36"/>
  <c r="F30" i="36"/>
  <c r="F29" i="36"/>
  <c r="D29" i="36"/>
  <c r="D30" i="36"/>
  <c r="D31" i="36"/>
  <c r="D32" i="36"/>
  <c r="D33" i="36"/>
  <c r="N109" i="85"/>
  <c r="D109" i="85"/>
  <c r="N109" i="79"/>
  <c r="D109" i="79"/>
  <c r="O25" i="36"/>
  <c r="J25" i="36"/>
  <c r="I25" i="36"/>
  <c r="F25" i="36"/>
  <c r="J26" i="94"/>
  <c r="E361" i="59"/>
  <c r="E364" i="59"/>
  <c r="F363" i="59"/>
  <c r="E363" i="59"/>
  <c r="F360" i="59"/>
  <c r="E360" i="59"/>
  <c r="H126" i="22"/>
  <c r="H125" i="22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G478" i="55"/>
  <c r="F479" i="55"/>
  <c r="F478" i="55"/>
  <c r="AO476" i="55"/>
  <c r="AN476" i="55"/>
  <c r="AM476" i="55"/>
  <c r="AL476" i="55"/>
  <c r="AK476" i="55"/>
  <c r="AJ476" i="55"/>
  <c r="AI476" i="55"/>
  <c r="AH476" i="55"/>
  <c r="AG476" i="55"/>
  <c r="AF476" i="55"/>
  <c r="AE476" i="55"/>
  <c r="AD476" i="55"/>
  <c r="AC476" i="55"/>
  <c r="AB476" i="55"/>
  <c r="AA476" i="55"/>
  <c r="Z476" i="55"/>
  <c r="Y476" i="55"/>
  <c r="X476" i="55"/>
  <c r="W476" i="55"/>
  <c r="V476" i="55"/>
  <c r="U476" i="55"/>
  <c r="T476" i="55"/>
  <c r="S476" i="55"/>
  <c r="R476" i="55"/>
  <c r="Q476" i="55"/>
  <c r="P476" i="55"/>
  <c r="O476" i="55"/>
  <c r="N476" i="55"/>
  <c r="M476" i="55"/>
  <c r="L476" i="55"/>
  <c r="K476" i="55"/>
  <c r="J476" i="55"/>
  <c r="I476" i="55"/>
  <c r="H476" i="55"/>
  <c r="G476" i="55"/>
  <c r="F477" i="55"/>
  <c r="F476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G468" i="55"/>
  <c r="F469" i="55"/>
  <c r="F468" i="55"/>
  <c r="Z463" i="55"/>
  <c r="Y463" i="55"/>
  <c r="X463" i="55"/>
  <c r="W463" i="55"/>
  <c r="V463" i="55"/>
  <c r="U463" i="55"/>
  <c r="T463" i="55"/>
  <c r="S463" i="55"/>
  <c r="R463" i="55"/>
  <c r="Q463" i="55"/>
  <c r="P463" i="55"/>
  <c r="O463" i="55"/>
  <c r="N463" i="55"/>
  <c r="M463" i="55"/>
  <c r="L463" i="55"/>
  <c r="K463" i="55"/>
  <c r="J463" i="55"/>
  <c r="I463" i="55"/>
  <c r="H463" i="55"/>
  <c r="G463" i="55"/>
  <c r="F464" i="55"/>
  <c r="F463" i="55"/>
  <c r="AO461" i="55"/>
  <c r="AN461" i="55"/>
  <c r="AM461" i="55"/>
  <c r="AL461" i="55"/>
  <c r="AK461" i="55"/>
  <c r="AJ461" i="55"/>
  <c r="AI461" i="55"/>
  <c r="AH461" i="55"/>
  <c r="AG461" i="55"/>
  <c r="AF461" i="55"/>
  <c r="AE461" i="55"/>
  <c r="AD461" i="55"/>
  <c r="AC461" i="55"/>
  <c r="AB461" i="55"/>
  <c r="AA461" i="55"/>
  <c r="Z461" i="55"/>
  <c r="Y461" i="55"/>
  <c r="X461" i="55"/>
  <c r="W461" i="55"/>
  <c r="V461" i="55"/>
  <c r="U461" i="55"/>
  <c r="T461" i="55"/>
  <c r="S461" i="55"/>
  <c r="R461" i="55"/>
  <c r="Q461" i="55"/>
  <c r="P461" i="55"/>
  <c r="O461" i="55"/>
  <c r="N461" i="55"/>
  <c r="M461" i="55"/>
  <c r="L461" i="55"/>
  <c r="K461" i="55"/>
  <c r="J461" i="55"/>
  <c r="I461" i="55"/>
  <c r="H461" i="55"/>
  <c r="G461" i="55"/>
  <c r="F462" i="55"/>
  <c r="F461" i="55"/>
  <c r="AA458" i="55"/>
  <c r="Z458" i="55"/>
  <c r="Y458" i="55"/>
  <c r="X458" i="55"/>
  <c r="W458" i="55"/>
  <c r="V458" i="55"/>
  <c r="U458" i="55"/>
  <c r="T458" i="55"/>
  <c r="S458" i="55"/>
  <c r="R458" i="55"/>
  <c r="Q458" i="55"/>
  <c r="P458" i="55"/>
  <c r="O458" i="55"/>
  <c r="N458" i="55"/>
  <c r="M458" i="55"/>
  <c r="L458" i="55"/>
  <c r="K458" i="55"/>
  <c r="J458" i="55"/>
  <c r="I458" i="55"/>
  <c r="H458" i="55"/>
  <c r="G458" i="55"/>
  <c r="F458" i="55"/>
  <c r="G456" i="55"/>
  <c r="F457" i="55"/>
  <c r="F456" i="55"/>
  <c r="R372" i="59"/>
  <c r="Q372" i="59"/>
  <c r="P372" i="59"/>
  <c r="O372" i="59"/>
  <c r="N372" i="59"/>
  <c r="M372" i="59"/>
  <c r="L372" i="59"/>
  <c r="K372" i="59"/>
  <c r="J372" i="59"/>
  <c r="I372" i="59"/>
  <c r="H372" i="59"/>
  <c r="G372" i="59"/>
  <c r="F372" i="59"/>
  <c r="E373" i="59"/>
  <c r="E372" i="59"/>
  <c r="R366" i="59"/>
  <c r="Q366" i="59"/>
  <c r="P366" i="59"/>
  <c r="O366" i="59"/>
  <c r="N366" i="59"/>
  <c r="M366" i="59"/>
  <c r="L366" i="59"/>
  <c r="K366" i="59"/>
  <c r="J366" i="59"/>
  <c r="I366" i="59"/>
  <c r="H366" i="59"/>
  <c r="G366" i="59"/>
  <c r="F366" i="59"/>
  <c r="E367" i="59"/>
  <c r="E366" i="59"/>
  <c r="R363" i="59"/>
  <c r="Q363" i="59"/>
  <c r="P363" i="59"/>
  <c r="O363" i="59"/>
  <c r="N363" i="59"/>
  <c r="M363" i="59"/>
  <c r="L363" i="59"/>
  <c r="K363" i="59"/>
  <c r="J363" i="59"/>
  <c r="I363" i="59"/>
  <c r="H363" i="59"/>
  <c r="G363" i="59"/>
  <c r="R318" i="61"/>
  <c r="Q318" i="61"/>
  <c r="P318" i="61"/>
  <c r="O318" i="61"/>
  <c r="N318" i="61"/>
  <c r="M318" i="61"/>
  <c r="L318" i="61"/>
  <c r="K318" i="61"/>
  <c r="J318" i="61"/>
  <c r="I318" i="61"/>
  <c r="H318" i="61"/>
  <c r="G318" i="61"/>
  <c r="F318" i="61"/>
  <c r="E318" i="61"/>
  <c r="D319" i="61"/>
  <c r="D318" i="61"/>
  <c r="R312" i="61"/>
  <c r="Q312" i="61"/>
  <c r="P312" i="61"/>
  <c r="O312" i="61"/>
  <c r="N312" i="61"/>
  <c r="M312" i="61"/>
  <c r="L312" i="61"/>
  <c r="K312" i="61"/>
  <c r="J312" i="61"/>
  <c r="I312" i="61"/>
  <c r="H312" i="61"/>
  <c r="G312" i="61"/>
  <c r="F312" i="61"/>
  <c r="E312" i="61"/>
  <c r="D313" i="61"/>
  <c r="D312" i="61"/>
  <c r="E309" i="61"/>
  <c r="D310" i="61"/>
  <c r="D309" i="61"/>
  <c r="E306" i="61"/>
  <c r="D307" i="61"/>
  <c r="D306" i="61"/>
  <c r="P46" i="68"/>
  <c r="N46" i="68"/>
  <c r="M46" i="68"/>
  <c r="L46" i="68"/>
  <c r="K46" i="68"/>
  <c r="J46" i="68"/>
  <c r="I46" i="68"/>
  <c r="H46" i="68"/>
  <c r="G46" i="68"/>
  <c r="F46" i="68"/>
  <c r="E46" i="68"/>
  <c r="D46" i="68"/>
  <c r="C47" i="68"/>
  <c r="C46" i="68"/>
  <c r="AO574" i="55"/>
  <c r="AN574" i="55"/>
  <c r="AM574" i="55"/>
  <c r="AL574" i="55"/>
  <c r="AK574" i="55"/>
  <c r="AJ574" i="55"/>
  <c r="AI574" i="55"/>
  <c r="AH574" i="55"/>
  <c r="AG574" i="55"/>
  <c r="AF574" i="55"/>
  <c r="AE574" i="55"/>
  <c r="AD574" i="55"/>
  <c r="AC574" i="55"/>
  <c r="AB574" i="55"/>
  <c r="AA574" i="55"/>
  <c r="Z574" i="55"/>
  <c r="Y574" i="55"/>
  <c r="X574" i="55"/>
  <c r="W574" i="55"/>
  <c r="V574" i="55"/>
  <c r="U574" i="55"/>
  <c r="T574" i="55"/>
  <c r="S574" i="55"/>
  <c r="R574" i="55"/>
  <c r="Q574" i="55"/>
  <c r="P574" i="55"/>
  <c r="O574" i="55"/>
  <c r="N574" i="55"/>
  <c r="M574" i="55"/>
  <c r="L574" i="55"/>
  <c r="K574" i="55"/>
  <c r="J574" i="55"/>
  <c r="I574" i="55"/>
  <c r="H574" i="55"/>
  <c r="G574" i="55"/>
  <c r="F574" i="55"/>
  <c r="F584" i="55"/>
  <c r="R192" i="6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E192" i="61"/>
  <c r="D193" i="61"/>
  <c r="D72" i="61"/>
  <c r="R66" i="61"/>
  <c r="Q66" i="61"/>
  <c r="P66" i="61"/>
  <c r="O66" i="61"/>
  <c r="N66" i="61"/>
  <c r="M66" i="61"/>
  <c r="L66" i="61"/>
  <c r="K66" i="61"/>
  <c r="J66" i="61"/>
  <c r="I66" i="61"/>
  <c r="H66" i="61"/>
  <c r="G66" i="61"/>
  <c r="F66" i="61"/>
  <c r="E66" i="61"/>
  <c r="D67" i="61"/>
  <c r="D66" i="61"/>
  <c r="E263" i="59"/>
  <c r="F257" i="59"/>
  <c r="E258" i="59"/>
  <c r="E257" i="59"/>
  <c r="E140" i="59"/>
  <c r="AA584" i="55"/>
  <c r="Z584" i="55"/>
  <c r="Y584" i="55"/>
  <c r="X584" i="55"/>
  <c r="W584" i="55"/>
  <c r="V584" i="55"/>
  <c r="U584" i="55"/>
  <c r="T584" i="55"/>
  <c r="S584" i="55"/>
  <c r="R584" i="55"/>
  <c r="Q584" i="55"/>
  <c r="P584" i="55"/>
  <c r="O584" i="55"/>
  <c r="N584" i="55"/>
  <c r="M584" i="55"/>
  <c r="L584" i="55"/>
  <c r="K584" i="55"/>
  <c r="J584" i="55"/>
  <c r="I584" i="55"/>
  <c r="H584" i="55"/>
  <c r="G584" i="55"/>
  <c r="G576" i="55"/>
  <c r="F577" i="55"/>
  <c r="F576" i="55"/>
  <c r="F575" i="55"/>
  <c r="G569" i="55"/>
  <c r="F569" i="55"/>
  <c r="G564" i="55"/>
  <c r="F564" i="55"/>
  <c r="G556" i="55"/>
  <c r="F556" i="55"/>
  <c r="AO554" i="55"/>
  <c r="AN554" i="55"/>
  <c r="AM554" i="55"/>
  <c r="AL554" i="55"/>
  <c r="AK554" i="55"/>
  <c r="AJ554" i="55"/>
  <c r="AI554" i="55"/>
  <c r="AH554" i="55"/>
  <c r="AG554" i="55"/>
  <c r="AF554" i="55"/>
  <c r="AE554" i="55"/>
  <c r="AD554" i="55"/>
  <c r="AC554" i="55"/>
  <c r="AB554" i="55"/>
  <c r="AA554" i="55"/>
  <c r="Z554" i="55"/>
  <c r="Y554" i="55"/>
  <c r="X554" i="55"/>
  <c r="W554" i="55"/>
  <c r="V554" i="55"/>
  <c r="U554" i="55"/>
  <c r="T554" i="55"/>
  <c r="S554" i="55"/>
  <c r="R554" i="55"/>
  <c r="Q554" i="55"/>
  <c r="P554" i="55"/>
  <c r="O554" i="55"/>
  <c r="N554" i="55"/>
  <c r="M554" i="55"/>
  <c r="L554" i="55"/>
  <c r="K554" i="55"/>
  <c r="J554" i="55"/>
  <c r="I554" i="55"/>
  <c r="H554" i="55"/>
  <c r="G554" i="55"/>
  <c r="F554" i="55"/>
  <c r="F459" i="55"/>
  <c r="G466" i="55"/>
  <c r="F467" i="55"/>
  <c r="F466" i="55"/>
  <c r="F35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6" i="55"/>
  <c r="F335" i="55"/>
  <c r="G325" i="55"/>
  <c r="F325" i="55"/>
  <c r="G216" i="55"/>
  <c r="F216" i="55"/>
  <c r="F214" i="55"/>
  <c r="G204" i="55"/>
  <c r="F204" i="55"/>
  <c r="G199" i="55"/>
  <c r="F199" i="55"/>
  <c r="F196" i="55"/>
  <c r="G194" i="55"/>
  <c r="F195" i="55"/>
  <c r="F194" i="55"/>
  <c r="F70" i="55"/>
  <c r="F62" i="55"/>
  <c r="AP60" i="55"/>
  <c r="AO60" i="55"/>
  <c r="AN60" i="55"/>
  <c r="AM60" i="55"/>
  <c r="AL60" i="55"/>
  <c r="AK60" i="55"/>
  <c r="AJ60" i="55"/>
  <c r="AI60" i="55"/>
  <c r="AH60" i="55"/>
  <c r="AG60" i="55"/>
  <c r="AF60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J60" i="55"/>
  <c r="I60" i="55"/>
  <c r="H60" i="55"/>
  <c r="G60" i="55"/>
  <c r="F61" i="55"/>
  <c r="F60" i="55"/>
  <c r="G52" i="55"/>
  <c r="F53" i="55"/>
  <c r="F52" i="55"/>
  <c r="G50" i="55"/>
  <c r="F51" i="55"/>
  <c r="F50" i="55"/>
  <c r="S26" i="95"/>
  <c r="L14" i="22"/>
  <c r="L13" i="22"/>
  <c r="L12" i="22"/>
  <c r="L11" i="22"/>
  <c r="L10" i="22"/>
  <c r="L9" i="22"/>
  <c r="R31" i="95"/>
  <c r="R30" i="95"/>
  <c r="R29" i="95"/>
  <c r="R28" i="95"/>
  <c r="R27" i="95"/>
  <c r="R26" i="95"/>
  <c r="U355" i="55"/>
  <c r="V355" i="55"/>
  <c r="W355" i="55"/>
  <c r="X355" i="55"/>
  <c r="Y355" i="55"/>
  <c r="Z355" i="55"/>
  <c r="D21" i="68"/>
  <c r="C22" i="68"/>
  <c r="C21" i="68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AP216" i="55"/>
  <c r="AO216" i="55"/>
  <c r="AN216" i="55"/>
  <c r="AM216" i="55"/>
  <c r="AL216" i="55"/>
  <c r="AK216" i="55"/>
  <c r="AJ216" i="55"/>
  <c r="AI216" i="55"/>
  <c r="AH216" i="55"/>
  <c r="AG216" i="55"/>
  <c r="AF216" i="55"/>
  <c r="AE216" i="55"/>
  <c r="AD216" i="55"/>
  <c r="AC216" i="55"/>
  <c r="AB216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G206" i="55"/>
  <c r="G196" i="55"/>
  <c r="AP52" i="55"/>
  <c r="AO52" i="55"/>
  <c r="AN52" i="55"/>
  <c r="AM52" i="55"/>
  <c r="AL52" i="55"/>
  <c r="AK52" i="55"/>
  <c r="AJ52" i="55"/>
  <c r="AI52" i="55"/>
  <c r="AH52" i="55"/>
  <c r="AG52" i="55"/>
  <c r="AF52" i="55"/>
  <c r="AE52" i="55"/>
  <c r="AD52" i="55"/>
  <c r="AC52" i="55"/>
  <c r="AB52" i="55"/>
  <c r="AA52" i="55"/>
  <c r="Z52" i="55"/>
  <c r="Y52" i="55"/>
  <c r="X52" i="55"/>
  <c r="W52" i="55"/>
  <c r="V52" i="55"/>
  <c r="U52" i="55"/>
  <c r="T52" i="55"/>
  <c r="S52" i="55"/>
  <c r="R52" i="55"/>
  <c r="Q52" i="55"/>
  <c r="P52" i="55"/>
  <c r="O52" i="55"/>
  <c r="N52" i="55"/>
  <c r="M52" i="55"/>
  <c r="L52" i="55"/>
  <c r="K52" i="55"/>
  <c r="J52" i="55"/>
  <c r="I52" i="55"/>
  <c r="H52" i="55"/>
  <c r="D9" i="68"/>
  <c r="C10" i="68"/>
  <c r="C9" i="68"/>
  <c r="E353" i="61"/>
  <c r="D354" i="61"/>
  <c r="D353" i="61"/>
  <c r="E347" i="61"/>
  <c r="D348" i="61"/>
  <c r="D347" i="61"/>
  <c r="R341" i="61"/>
  <c r="Q341" i="61"/>
  <c r="P341" i="61"/>
  <c r="O341" i="61"/>
  <c r="N341" i="61"/>
  <c r="M341" i="61"/>
  <c r="L341" i="61"/>
  <c r="K341" i="61"/>
  <c r="J341" i="61"/>
  <c r="I341" i="61"/>
  <c r="H341" i="61"/>
  <c r="G341" i="61"/>
  <c r="F341" i="61"/>
  <c r="E341" i="61"/>
  <c r="D342" i="61"/>
  <c r="D341" i="61"/>
  <c r="E198" i="61"/>
  <c r="D199" i="61"/>
  <c r="D198" i="61"/>
  <c r="D192" i="61"/>
  <c r="E173" i="61"/>
  <c r="D174" i="61"/>
  <c r="D173" i="61"/>
  <c r="E167" i="61"/>
  <c r="D168" i="61"/>
  <c r="D167" i="61"/>
  <c r="R161" i="61"/>
  <c r="Q161" i="61"/>
  <c r="P161" i="61"/>
  <c r="O161" i="61"/>
  <c r="N161" i="61"/>
  <c r="M161" i="61"/>
  <c r="L161" i="61"/>
  <c r="K161" i="61"/>
  <c r="J161" i="61"/>
  <c r="I161" i="61"/>
  <c r="H161" i="61"/>
  <c r="G161" i="61"/>
  <c r="F161" i="61"/>
  <c r="E161" i="61"/>
  <c r="D162" i="61"/>
  <c r="D161" i="61"/>
  <c r="E72" i="61"/>
  <c r="D73" i="61"/>
  <c r="E152" i="59"/>
  <c r="E146" i="59"/>
  <c r="F143" i="59"/>
  <c r="E144" i="59"/>
  <c r="E143" i="59"/>
  <c r="E55" i="59"/>
  <c r="E49" i="59"/>
  <c r="E43" i="59"/>
  <c r="F565" i="55"/>
  <c r="F557" i="55"/>
  <c r="F555" i="55"/>
  <c r="G214" i="55"/>
  <c r="F215" i="55"/>
  <c r="F207" i="55"/>
  <c r="F206" i="55"/>
  <c r="F205" i="55"/>
  <c r="AP199" i="55"/>
  <c r="AO199" i="55"/>
  <c r="AN199" i="55"/>
  <c r="AM199" i="55"/>
  <c r="AL199" i="55"/>
  <c r="AK199" i="55"/>
  <c r="AJ199" i="55"/>
  <c r="AI199" i="55"/>
  <c r="AH199" i="55"/>
  <c r="AG199" i="55"/>
  <c r="AF199" i="55"/>
  <c r="AE199" i="55"/>
  <c r="AD199" i="55"/>
  <c r="AC199" i="55"/>
  <c r="AB199" i="55"/>
  <c r="AA199" i="55"/>
  <c r="Z199" i="55"/>
  <c r="Y199" i="55"/>
  <c r="X199" i="55"/>
  <c r="W199" i="55"/>
  <c r="V199" i="55"/>
  <c r="U199" i="55"/>
  <c r="T199" i="55"/>
  <c r="S199" i="55"/>
  <c r="R199" i="55"/>
  <c r="Q199" i="55"/>
  <c r="P199" i="55"/>
  <c r="O199" i="55"/>
  <c r="N199" i="55"/>
  <c r="M199" i="55"/>
  <c r="L199" i="55"/>
  <c r="K199" i="55"/>
  <c r="J199" i="55"/>
  <c r="I199" i="55"/>
  <c r="H199" i="55"/>
  <c r="F200" i="55"/>
  <c r="F80" i="55"/>
  <c r="G70" i="55"/>
  <c r="G62" i="55"/>
  <c r="AC50" i="79" l="1"/>
  <c r="F3" i="64"/>
  <c r="D33" i="68"/>
  <c r="C34" i="68"/>
  <c r="C33" i="68"/>
  <c r="R353" i="61"/>
  <c r="Q353" i="61"/>
  <c r="P353" i="61"/>
  <c r="O353" i="61"/>
  <c r="N353" i="61"/>
  <c r="M353" i="61"/>
  <c r="L353" i="61"/>
  <c r="K353" i="61"/>
  <c r="J353" i="61"/>
  <c r="I353" i="61"/>
  <c r="H353" i="61"/>
  <c r="G353" i="61"/>
  <c r="F353" i="61"/>
  <c r="R309" i="61"/>
  <c r="Q309" i="61"/>
  <c r="P309" i="61"/>
  <c r="O309" i="61"/>
  <c r="N309" i="61"/>
  <c r="M309" i="61"/>
  <c r="L309" i="61"/>
  <c r="K309" i="61"/>
  <c r="J309" i="61"/>
  <c r="I309" i="61"/>
  <c r="H309" i="61"/>
  <c r="G309" i="61"/>
  <c r="F309" i="61"/>
  <c r="R306" i="61"/>
  <c r="Q306" i="61"/>
  <c r="P306" i="61"/>
  <c r="O306" i="61"/>
  <c r="N306" i="61"/>
  <c r="M306" i="61"/>
  <c r="L306" i="61"/>
  <c r="K306" i="61"/>
  <c r="J306" i="61"/>
  <c r="I306" i="61"/>
  <c r="H306" i="61"/>
  <c r="G306" i="61"/>
  <c r="F306" i="61"/>
  <c r="G29" i="36" l="1"/>
  <c r="E449" i="59"/>
  <c r="F446" i="59"/>
  <c r="E447" i="59"/>
  <c r="E446" i="59"/>
  <c r="F440" i="59"/>
  <c r="E441" i="59"/>
  <c r="E440" i="59"/>
  <c r="F269" i="59"/>
  <c r="E270" i="59"/>
  <c r="E269" i="59"/>
  <c r="F263" i="59"/>
  <c r="E264" i="59"/>
  <c r="F152" i="59"/>
  <c r="E153" i="59"/>
  <c r="F146" i="59"/>
  <c r="E147" i="59"/>
  <c r="F140" i="59"/>
  <c r="E141" i="59"/>
  <c r="E56" i="59"/>
  <c r="F55" i="59"/>
  <c r="F49" i="59"/>
  <c r="E50" i="59"/>
  <c r="F43" i="59"/>
  <c r="E44" i="59"/>
  <c r="AO576" i="55"/>
  <c r="AN576" i="55"/>
  <c r="AM576" i="55"/>
  <c r="AL576" i="55"/>
  <c r="AK576" i="55"/>
  <c r="AJ576" i="55"/>
  <c r="AI576" i="55"/>
  <c r="AH576" i="55"/>
  <c r="AG576" i="55"/>
  <c r="AF576" i="55"/>
  <c r="AE576" i="55"/>
  <c r="AD576" i="55"/>
  <c r="AC576" i="55"/>
  <c r="AB576" i="55"/>
  <c r="AA576" i="55"/>
  <c r="Z576" i="55"/>
  <c r="Y576" i="55"/>
  <c r="X576" i="55"/>
  <c r="W576" i="55"/>
  <c r="V576" i="55"/>
  <c r="U576" i="55"/>
  <c r="T576" i="55"/>
  <c r="S576" i="55"/>
  <c r="R576" i="55"/>
  <c r="Q576" i="55"/>
  <c r="P576" i="55"/>
  <c r="O576" i="55"/>
  <c r="N576" i="55"/>
  <c r="M576" i="55"/>
  <c r="L576" i="55"/>
  <c r="K576" i="55"/>
  <c r="J576" i="55"/>
  <c r="I576" i="55"/>
  <c r="H576" i="55"/>
  <c r="F570" i="55"/>
  <c r="AO564" i="55"/>
  <c r="AN564" i="55"/>
  <c r="AM564" i="55"/>
  <c r="AL564" i="55"/>
  <c r="AK564" i="55"/>
  <c r="AJ564" i="55"/>
  <c r="AI564" i="55"/>
  <c r="AH564" i="55"/>
  <c r="AG564" i="55"/>
  <c r="AF564" i="55"/>
  <c r="AE564" i="55"/>
  <c r="AD564" i="55"/>
  <c r="AC564" i="55"/>
  <c r="AB564" i="55"/>
  <c r="AA564" i="55"/>
  <c r="Z564" i="55"/>
  <c r="Y564" i="55"/>
  <c r="X564" i="55"/>
  <c r="W564" i="55"/>
  <c r="V564" i="55"/>
  <c r="U564" i="55"/>
  <c r="T564" i="55"/>
  <c r="S564" i="55"/>
  <c r="R564" i="55"/>
  <c r="Q564" i="55"/>
  <c r="P564" i="55"/>
  <c r="O564" i="55"/>
  <c r="N564" i="55"/>
  <c r="M564" i="55"/>
  <c r="L564" i="55"/>
  <c r="K564" i="55"/>
  <c r="J564" i="55"/>
  <c r="I564" i="55"/>
  <c r="H564" i="55"/>
  <c r="AO556" i="55"/>
  <c r="AN556" i="55"/>
  <c r="AM556" i="55"/>
  <c r="AL556" i="55"/>
  <c r="AK556" i="55"/>
  <c r="AJ556" i="55"/>
  <c r="AI556" i="55"/>
  <c r="AH556" i="55"/>
  <c r="AG556" i="55"/>
  <c r="AF556" i="55"/>
  <c r="AE556" i="55"/>
  <c r="AD556" i="55"/>
  <c r="AC556" i="55"/>
  <c r="AB556" i="55"/>
  <c r="AA556" i="55"/>
  <c r="Z556" i="55"/>
  <c r="Y556" i="55"/>
  <c r="X556" i="55"/>
  <c r="W556" i="55"/>
  <c r="V556" i="55"/>
  <c r="U556" i="55"/>
  <c r="T556" i="55"/>
  <c r="S556" i="55"/>
  <c r="R556" i="55"/>
  <c r="Q556" i="55"/>
  <c r="P556" i="55"/>
  <c r="O556" i="55"/>
  <c r="N556" i="55"/>
  <c r="M556" i="55"/>
  <c r="L556" i="55"/>
  <c r="K556" i="55"/>
  <c r="J556" i="55"/>
  <c r="I556" i="55"/>
  <c r="H556" i="55"/>
  <c r="G345" i="55"/>
  <c r="F345" i="55"/>
  <c r="F326" i="55"/>
  <c r="F224" i="55"/>
  <c r="F197" i="55"/>
  <c r="AP70" i="55"/>
  <c r="AO70" i="55"/>
  <c r="AN70" i="55"/>
  <c r="AM70" i="55"/>
  <c r="AL70" i="55"/>
  <c r="AK70" i="55"/>
  <c r="AJ70" i="55"/>
  <c r="AI70" i="55"/>
  <c r="AH70" i="55"/>
  <c r="AG70" i="55"/>
  <c r="AF70" i="55"/>
  <c r="AE70" i="55"/>
  <c r="AD70" i="55"/>
  <c r="AC70" i="55"/>
  <c r="AB70" i="55"/>
  <c r="AA70" i="55"/>
  <c r="Z70" i="55"/>
  <c r="Y70" i="55"/>
  <c r="X70" i="55"/>
  <c r="W70" i="55"/>
  <c r="V70" i="55"/>
  <c r="U70" i="55"/>
  <c r="T70" i="55"/>
  <c r="S70" i="55"/>
  <c r="R70" i="55"/>
  <c r="Q70" i="55"/>
  <c r="P70" i="55"/>
  <c r="O70" i="55"/>
  <c r="N70" i="55"/>
  <c r="M70" i="55"/>
  <c r="L70" i="55"/>
  <c r="K70" i="55"/>
  <c r="J70" i="55"/>
  <c r="I70" i="55"/>
  <c r="H70" i="55"/>
  <c r="F71" i="55"/>
  <c r="AP62" i="55"/>
  <c r="AO62" i="55"/>
  <c r="AN62" i="55"/>
  <c r="AM62" i="55"/>
  <c r="AL62" i="55"/>
  <c r="AK62" i="55"/>
  <c r="AJ62" i="55"/>
  <c r="AI62" i="55"/>
  <c r="AH62" i="55"/>
  <c r="AG62" i="55"/>
  <c r="AF62" i="55"/>
  <c r="AE62" i="55"/>
  <c r="AD62" i="55"/>
  <c r="AC62" i="55"/>
  <c r="AB62" i="55"/>
  <c r="AA62" i="55"/>
  <c r="Z62" i="55"/>
  <c r="Y62" i="55"/>
  <c r="X62" i="55"/>
  <c r="W62" i="55"/>
  <c r="V62" i="55"/>
  <c r="U62" i="55"/>
  <c r="T62" i="55"/>
  <c r="S62" i="55"/>
  <c r="R62" i="55"/>
  <c r="Q62" i="55"/>
  <c r="P62" i="55"/>
  <c r="O62" i="55"/>
  <c r="N62" i="55"/>
  <c r="M62" i="55"/>
  <c r="L62" i="55"/>
  <c r="K62" i="55"/>
  <c r="J62" i="55"/>
  <c r="I62" i="55"/>
  <c r="H62" i="55"/>
  <c r="F63" i="55"/>
  <c r="F3" i="70"/>
  <c r="D31" i="66"/>
  <c r="D33" i="71" l="1"/>
  <c r="R173" i="61" l="1"/>
  <c r="Q173" i="61"/>
  <c r="P173" i="61"/>
  <c r="O173" i="61"/>
  <c r="N173" i="61"/>
  <c r="M173" i="61"/>
  <c r="L173" i="61"/>
  <c r="K173" i="61"/>
  <c r="J173" i="61"/>
  <c r="I173" i="61"/>
  <c r="H173" i="61"/>
  <c r="G173" i="61"/>
  <c r="F173" i="61"/>
  <c r="AP196" i="55"/>
  <c r="AO196" i="55"/>
  <c r="AN196" i="55"/>
  <c r="AM196" i="55"/>
  <c r="AL196" i="55"/>
  <c r="AK196" i="55"/>
  <c r="AJ196" i="55"/>
  <c r="AI196" i="55"/>
  <c r="AH196" i="55"/>
  <c r="AG196" i="55"/>
  <c r="AF196" i="55"/>
  <c r="AE196" i="55"/>
  <c r="AD196" i="55"/>
  <c r="AC196" i="55"/>
  <c r="AB196" i="55"/>
  <c r="AA196" i="55"/>
  <c r="Z196" i="55"/>
  <c r="Y196" i="55"/>
  <c r="X196" i="55"/>
  <c r="W196" i="55"/>
  <c r="V196" i="55"/>
  <c r="U196" i="55"/>
  <c r="T196" i="55"/>
  <c r="S196" i="55"/>
  <c r="R196" i="55"/>
  <c r="Q196" i="55"/>
  <c r="P196" i="55"/>
  <c r="O196" i="55"/>
  <c r="N196" i="55"/>
  <c r="M196" i="55"/>
  <c r="L196" i="55"/>
  <c r="K196" i="55"/>
  <c r="J196" i="55"/>
  <c r="I196" i="55"/>
  <c r="H196" i="55"/>
  <c r="C67" i="62"/>
  <c r="AC50" i="22" l="1"/>
  <c r="L13" i="79"/>
  <c r="L10" i="79"/>
  <c r="L11" i="79"/>
  <c r="L12" i="79"/>
  <c r="O33" i="68"/>
  <c r="O21" i="68"/>
  <c r="O9" i="68"/>
  <c r="L569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67" i="61" l="1"/>
  <c r="Q167" i="61"/>
  <c r="P167" i="61"/>
  <c r="O167" i="61"/>
  <c r="N167" i="61"/>
  <c r="M167" i="61"/>
  <c r="L167" i="61"/>
  <c r="K167" i="61"/>
  <c r="J167" i="61"/>
  <c r="I167" i="61"/>
  <c r="H167" i="61"/>
  <c r="G167" i="61"/>
  <c r="F167" i="61"/>
  <c r="R449" i="59"/>
  <c r="Q449" i="59"/>
  <c r="P449" i="59"/>
  <c r="O449" i="59"/>
  <c r="N449" i="59"/>
  <c r="M449" i="59"/>
  <c r="L449" i="59"/>
  <c r="K449" i="59"/>
  <c r="J449" i="59"/>
  <c r="I449" i="59"/>
  <c r="H449" i="59"/>
  <c r="G449" i="59"/>
  <c r="F449" i="59"/>
  <c r="E450" i="59"/>
  <c r="R146" i="59"/>
  <c r="Q146" i="59"/>
  <c r="P146" i="59"/>
  <c r="O146" i="59"/>
  <c r="N146" i="59"/>
  <c r="M146" i="59"/>
  <c r="L146" i="59"/>
  <c r="K146" i="59"/>
  <c r="J146" i="59"/>
  <c r="I146" i="59"/>
  <c r="H146" i="59"/>
  <c r="G146" i="59"/>
  <c r="AO569" i="55"/>
  <c r="AN569" i="55"/>
  <c r="AM569" i="55"/>
  <c r="AL569" i="55"/>
  <c r="AK569" i="55"/>
  <c r="AJ569" i="55"/>
  <c r="AI569" i="55"/>
  <c r="AH569" i="55"/>
  <c r="AG569" i="55"/>
  <c r="AF569" i="55"/>
  <c r="AE569" i="55"/>
  <c r="AD569" i="55"/>
  <c r="AC569" i="55"/>
  <c r="AB569" i="55"/>
  <c r="AA569" i="55"/>
  <c r="Z569" i="55"/>
  <c r="Y569" i="55"/>
  <c r="X569" i="55"/>
  <c r="W569" i="55"/>
  <c r="V569" i="55"/>
  <c r="U569" i="55"/>
  <c r="T569" i="55"/>
  <c r="S569" i="55"/>
  <c r="R569" i="55"/>
  <c r="Q569" i="55"/>
  <c r="P569" i="55"/>
  <c r="O569" i="55"/>
  <c r="N569" i="55"/>
  <c r="M569" i="55"/>
  <c r="K569" i="55"/>
  <c r="J569" i="55"/>
  <c r="I569" i="55"/>
  <c r="H569" i="55"/>
  <c r="Z466" i="55"/>
  <c r="Y466" i="55"/>
  <c r="X466" i="55"/>
  <c r="W466" i="55"/>
  <c r="V466" i="55"/>
  <c r="U466" i="55"/>
  <c r="T466" i="55"/>
  <c r="S466" i="55"/>
  <c r="R466" i="55"/>
  <c r="Q466" i="55"/>
  <c r="P466" i="55"/>
  <c r="O466" i="55"/>
  <c r="N466" i="55"/>
  <c r="M466" i="55"/>
  <c r="L466" i="55"/>
  <c r="K466" i="55"/>
  <c r="J466" i="55"/>
  <c r="I466" i="55"/>
  <c r="H466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3" i="59"/>
  <c r="Q263" i="59"/>
  <c r="P263" i="59"/>
  <c r="O263" i="59"/>
  <c r="N263" i="59"/>
  <c r="M263" i="59"/>
  <c r="L263" i="59"/>
  <c r="K263" i="59"/>
  <c r="J263" i="59"/>
  <c r="I263" i="59"/>
  <c r="H263" i="59"/>
  <c r="G263" i="59"/>
  <c r="R152" i="59"/>
  <c r="Q152" i="59"/>
  <c r="P152" i="59"/>
  <c r="O152" i="59"/>
  <c r="N152" i="59"/>
  <c r="M152" i="59"/>
  <c r="L152" i="59"/>
  <c r="K152" i="59"/>
  <c r="J152" i="59"/>
  <c r="I152" i="59"/>
  <c r="H152" i="59"/>
  <c r="G152" i="59"/>
  <c r="I140" i="59"/>
  <c r="R140" i="59"/>
  <c r="Q140" i="59"/>
  <c r="P140" i="59"/>
  <c r="O140" i="59"/>
  <c r="N140" i="59"/>
  <c r="M140" i="59"/>
  <c r="L140" i="59"/>
  <c r="K140" i="59"/>
  <c r="J140" i="59"/>
  <c r="H140" i="59"/>
  <c r="G140" i="59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A204" i="55"/>
  <c r="Z204" i="55"/>
  <c r="Y204" i="55"/>
  <c r="X204" i="55"/>
  <c r="W204" i="55"/>
  <c r="V204" i="55"/>
  <c r="U204" i="55"/>
  <c r="T204" i="55"/>
  <c r="S204" i="55"/>
  <c r="R204" i="55"/>
  <c r="Q204" i="55"/>
  <c r="P204" i="55"/>
  <c r="O204" i="55"/>
  <c r="N204" i="55"/>
  <c r="M204" i="55"/>
  <c r="L204" i="55"/>
  <c r="K204" i="55"/>
  <c r="J204" i="55"/>
  <c r="I204" i="55"/>
  <c r="H20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D128" i="97"/>
  <c r="D52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86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AB11" i="97"/>
  <c r="AD11" i="97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AP80" i="55"/>
  <c r="AO80" i="55"/>
  <c r="AN80" i="55"/>
  <c r="AM80" i="55"/>
  <c r="AL80" i="55"/>
  <c r="AK80" i="55"/>
  <c r="AJ80" i="55"/>
  <c r="AI80" i="55"/>
  <c r="AH80" i="55"/>
  <c r="AG80" i="55"/>
  <c r="AF80" i="55"/>
  <c r="AE80" i="55"/>
  <c r="AD80" i="55"/>
  <c r="AC80" i="55"/>
  <c r="AB80" i="55"/>
  <c r="AA80" i="55"/>
  <c r="Z80" i="55"/>
  <c r="Y80" i="55"/>
  <c r="X80" i="55"/>
  <c r="W80" i="55"/>
  <c r="V80" i="55"/>
  <c r="U80" i="55"/>
  <c r="T80" i="55"/>
  <c r="S80" i="55"/>
  <c r="R80" i="55"/>
  <c r="Q80" i="55"/>
  <c r="P80" i="55"/>
  <c r="O80" i="55"/>
  <c r="N80" i="55"/>
  <c r="M80" i="55"/>
  <c r="L80" i="55"/>
  <c r="K80" i="55"/>
  <c r="J80" i="55"/>
  <c r="I80" i="55"/>
  <c r="H80" i="55"/>
  <c r="G80" i="55"/>
  <c r="AP50" i="55"/>
  <c r="AO50" i="55"/>
  <c r="AN50" i="55"/>
  <c r="AM50" i="55"/>
  <c r="AL50" i="55"/>
  <c r="AK50" i="55"/>
  <c r="AJ50" i="55"/>
  <c r="AI50" i="55"/>
  <c r="AH50" i="55"/>
  <c r="AG50" i="55"/>
  <c r="AF50" i="55"/>
  <c r="AE50" i="55"/>
  <c r="AD50" i="55"/>
  <c r="AC50" i="55"/>
  <c r="AB50" i="55"/>
  <c r="AA50" i="55"/>
  <c r="Z50" i="55"/>
  <c r="Y50" i="55"/>
  <c r="X50" i="55"/>
  <c r="W50" i="55"/>
  <c r="V50" i="55"/>
  <c r="U50" i="55"/>
  <c r="T50" i="55"/>
  <c r="S50" i="55"/>
  <c r="R50" i="55"/>
  <c r="Q50" i="55"/>
  <c r="P50" i="55"/>
  <c r="O50" i="55"/>
  <c r="N50" i="55"/>
  <c r="M50" i="55"/>
  <c r="L50" i="55"/>
  <c r="K50" i="55"/>
  <c r="J50" i="55"/>
  <c r="I50" i="55"/>
  <c r="H50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AO456" i="55"/>
  <c r="AN456" i="55"/>
  <c r="AM456" i="55"/>
  <c r="AL456" i="55"/>
  <c r="AK456" i="55"/>
  <c r="AJ456" i="55"/>
  <c r="AI456" i="55"/>
  <c r="AH456" i="55"/>
  <c r="AG456" i="55"/>
  <c r="AF456" i="55"/>
  <c r="AE456" i="55"/>
  <c r="AD456" i="55"/>
  <c r="AC456" i="55"/>
  <c r="AB456" i="55"/>
  <c r="AA456" i="55"/>
  <c r="Z456" i="55"/>
  <c r="Y456" i="55"/>
  <c r="X456" i="55"/>
  <c r="W456" i="55"/>
  <c r="V456" i="55"/>
  <c r="U456" i="55"/>
  <c r="T456" i="55"/>
  <c r="S456" i="55"/>
  <c r="R456" i="55"/>
  <c r="Q456" i="55"/>
  <c r="P456" i="55"/>
  <c r="O456" i="55"/>
  <c r="N456" i="55"/>
  <c r="M456" i="55"/>
  <c r="L456" i="55"/>
  <c r="K456" i="55"/>
  <c r="J456" i="55"/>
  <c r="I456" i="55"/>
  <c r="H456" i="55"/>
  <c r="AP194" i="55"/>
  <c r="AO194" i="55"/>
  <c r="AN194" i="55"/>
  <c r="AM194" i="55"/>
  <c r="AL194" i="55"/>
  <c r="AK194" i="55"/>
  <c r="AJ194" i="55"/>
  <c r="AI194" i="55"/>
  <c r="AH194" i="55"/>
  <c r="AG194" i="55"/>
  <c r="AF194" i="55"/>
  <c r="AE194" i="55"/>
  <c r="AD194" i="55"/>
  <c r="AC194" i="55"/>
  <c r="AB194" i="55"/>
  <c r="AA194" i="55"/>
  <c r="Z194" i="55"/>
  <c r="Y194" i="55"/>
  <c r="X194" i="55"/>
  <c r="W194" i="55"/>
  <c r="V194" i="55"/>
  <c r="U194" i="55"/>
  <c r="T194" i="55"/>
  <c r="S194" i="55"/>
  <c r="R194" i="55"/>
  <c r="Q194" i="55"/>
  <c r="P194" i="55"/>
  <c r="O194" i="55"/>
  <c r="N194" i="55"/>
  <c r="M194" i="55"/>
  <c r="L194" i="55"/>
  <c r="K194" i="55"/>
  <c r="J194" i="55"/>
  <c r="I194" i="55"/>
  <c r="H19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4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2" i="59"/>
  <c r="Q452" i="59"/>
  <c r="P452" i="59"/>
  <c r="O452" i="59"/>
  <c r="N452" i="59"/>
  <c r="M452" i="59"/>
  <c r="L452" i="59"/>
  <c r="K452" i="59"/>
  <c r="J452" i="59"/>
  <c r="I452" i="59"/>
  <c r="H452" i="59"/>
  <c r="G452" i="59"/>
  <c r="F452" i="59"/>
  <c r="E453" i="59"/>
  <c r="E452" i="59"/>
  <c r="R440" i="59"/>
  <c r="Q440" i="59"/>
  <c r="O440" i="59"/>
  <c r="N440" i="59"/>
  <c r="M440" i="59"/>
  <c r="L440" i="59"/>
  <c r="K440" i="59"/>
  <c r="J440" i="59"/>
  <c r="I440" i="59"/>
  <c r="H440" i="59"/>
  <c r="G440" i="59"/>
  <c r="AF14" i="97" l="1"/>
  <c r="AG9" i="97"/>
  <c r="E361" i="61"/>
  <c r="AA224" i="55"/>
  <c r="Z224" i="55"/>
  <c r="Y224" i="55"/>
  <c r="X224" i="55"/>
  <c r="W224" i="55"/>
  <c r="V224" i="55"/>
  <c r="U224" i="55"/>
  <c r="T224" i="55"/>
  <c r="S224" i="55"/>
  <c r="R224" i="55"/>
  <c r="Q224" i="55"/>
  <c r="P224" i="55"/>
  <c r="O224" i="55"/>
  <c r="N224" i="55"/>
  <c r="M224" i="55"/>
  <c r="L224" i="55"/>
  <c r="K224" i="55"/>
  <c r="J224" i="55"/>
  <c r="I224" i="55"/>
  <c r="H224" i="55"/>
  <c r="G224" i="55"/>
  <c r="AH9" i="97" l="1"/>
  <c r="AG14" i="97"/>
  <c r="AH14" i="97" s="1"/>
  <c r="R143" i="59" l="1"/>
  <c r="Q143" i="59"/>
  <c r="P143" i="59"/>
  <c r="O143" i="59"/>
  <c r="N143" i="59"/>
  <c r="M143" i="59"/>
  <c r="L143" i="59"/>
  <c r="K143" i="59"/>
  <c r="J143" i="59"/>
  <c r="I143" i="59"/>
  <c r="H143" i="59"/>
  <c r="G143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14" i="55"/>
  <c r="AO214" i="55"/>
  <c r="AN214" i="55"/>
  <c r="AM214" i="55"/>
  <c r="AL214" i="55"/>
  <c r="AK214" i="55"/>
  <c r="AJ214" i="55"/>
  <c r="AI214" i="55"/>
  <c r="AH214" i="55"/>
  <c r="AG214" i="55"/>
  <c r="AF214" i="55"/>
  <c r="AE214" i="55"/>
  <c r="AD214" i="55"/>
  <c r="AC214" i="55"/>
  <c r="AB214" i="55"/>
  <c r="AA214" i="55"/>
  <c r="Z214" i="55"/>
  <c r="Y214" i="55"/>
  <c r="X214" i="55"/>
  <c r="W214" i="55"/>
  <c r="V214" i="55"/>
  <c r="U214" i="55"/>
  <c r="T214" i="55"/>
  <c r="S214" i="55"/>
  <c r="R214" i="55"/>
  <c r="Q214" i="55"/>
  <c r="P214" i="55"/>
  <c r="O214" i="55"/>
  <c r="N214" i="55"/>
  <c r="M214" i="55"/>
  <c r="L214" i="55"/>
  <c r="K214" i="55"/>
  <c r="J214" i="55"/>
  <c r="I214" i="55"/>
  <c r="H21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198" i="61"/>
  <c r="Q198" i="61"/>
  <c r="P198" i="61"/>
  <c r="O198" i="61"/>
  <c r="N198" i="61"/>
  <c r="M198" i="61"/>
  <c r="L198" i="61"/>
  <c r="K198" i="61"/>
  <c r="J198" i="61"/>
  <c r="I198" i="61"/>
  <c r="H198" i="61"/>
  <c r="G198" i="61"/>
  <c r="F198" i="61"/>
  <c r="AB68" i="97" l="1"/>
  <c r="J127" i="97"/>
  <c r="G144" i="97"/>
  <c r="K68" i="97"/>
  <c r="M68" i="97" s="1"/>
  <c r="O68" i="97" s="1"/>
  <c r="R269" i="59"/>
  <c r="Q269" i="59"/>
  <c r="P269" i="59"/>
  <c r="O269" i="59"/>
  <c r="N269" i="59"/>
  <c r="M269" i="59"/>
  <c r="L269" i="59"/>
  <c r="K269" i="59"/>
  <c r="J269" i="59"/>
  <c r="I269" i="59"/>
  <c r="H269" i="59"/>
  <c r="G269" i="59"/>
  <c r="R257" i="59"/>
  <c r="Q257" i="59"/>
  <c r="P257" i="59"/>
  <c r="O257" i="59"/>
  <c r="N257" i="59"/>
  <c r="M257" i="59"/>
  <c r="L257" i="59"/>
  <c r="K257" i="59"/>
  <c r="J257" i="59"/>
  <c r="I257" i="59"/>
  <c r="H257" i="59"/>
  <c r="G257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2" i="61"/>
  <c r="Q72" i="61"/>
  <c r="P72" i="61"/>
  <c r="O72" i="61"/>
  <c r="N72" i="61"/>
  <c r="M72" i="61"/>
  <c r="L72" i="61"/>
  <c r="K72" i="61"/>
  <c r="J72" i="61"/>
  <c r="I72" i="61"/>
  <c r="H72" i="61"/>
  <c r="G72" i="61"/>
  <c r="F72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47" i="61"/>
  <c r="Q347" i="61"/>
  <c r="P347" i="61"/>
  <c r="O347" i="61"/>
  <c r="N347" i="61"/>
  <c r="M347" i="61"/>
  <c r="L347" i="61"/>
  <c r="K347" i="61"/>
  <c r="J347" i="61"/>
  <c r="I347" i="61"/>
  <c r="H347" i="61"/>
  <c r="G347" i="61"/>
  <c r="F34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61" i="61"/>
  <c r="R446" i="59"/>
  <c r="Q446" i="59"/>
  <c r="P446" i="59"/>
  <c r="O446" i="59"/>
  <c r="N446" i="59"/>
  <c r="M446" i="59"/>
  <c r="L446" i="59"/>
  <c r="K446" i="59"/>
  <c r="J446" i="59"/>
  <c r="I446" i="59"/>
  <c r="H446" i="59"/>
  <c r="G446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59" i="68"/>
  <c r="C60" i="68"/>
  <c r="C59" i="68"/>
  <c r="H9" i="64" l="1"/>
  <c r="H10" i="64" s="1"/>
  <c r="F45" i="62"/>
  <c r="D69" i="62" l="1"/>
  <c r="E69" i="62"/>
  <c r="AC32" i="22"/>
  <c r="D36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R360" i="59"/>
  <c r="Q360" i="59"/>
  <c r="P360" i="59"/>
  <c r="O360" i="59"/>
  <c r="N360" i="59"/>
  <c r="M360" i="59"/>
  <c r="L360" i="59"/>
  <c r="K360" i="59"/>
  <c r="J360" i="59"/>
  <c r="I360" i="59"/>
  <c r="H360" i="59"/>
  <c r="G360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3" i="68"/>
  <c r="N33" i="68"/>
  <c r="M33" i="68"/>
  <c r="L33" i="68"/>
  <c r="K33" i="68"/>
  <c r="J33" i="68"/>
  <c r="I33" i="68"/>
  <c r="H33" i="68"/>
  <c r="G33" i="68"/>
  <c r="F33" i="68"/>
  <c r="E33" i="68"/>
  <c r="P21" i="68"/>
  <c r="N21" i="68"/>
  <c r="M21" i="68"/>
  <c r="L21" i="68"/>
  <c r="K21" i="68"/>
  <c r="J21" i="68"/>
  <c r="I21" i="68"/>
  <c r="H21" i="68"/>
  <c r="G21" i="68"/>
  <c r="F21" i="68"/>
  <c r="E21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59" i="68" l="1"/>
  <c r="N59" i="68"/>
  <c r="M59" i="68"/>
  <c r="L59" i="68"/>
  <c r="K59" i="68"/>
  <c r="J59" i="68"/>
  <c r="I59" i="68"/>
  <c r="H59" i="68"/>
  <c r="G59" i="68"/>
  <c r="F59" i="68"/>
  <c r="E59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K142" i="22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1" i="99" l="1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G31" i="36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1" i="90"/>
  <c r="N81" i="90"/>
  <c r="E32" i="36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D34" i="36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0" i="36"/>
  <c r="Q30" i="36" s="1"/>
  <c r="G33" i="36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E34" i="36" l="1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<sst xmlns="http://schemas.openxmlformats.org/spreadsheetml/2006/main" count="7531" uniqueCount="348">
  <si>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</si>
  <si>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</si>
  <si>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</si>
  <si>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</si>
  <si>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</si>
  <si>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</si>
  <si>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</si>
  <si>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</si>
  <si>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</si>
  <si>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</si>
  <si>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</si>
  <si>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</si>
  <si>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</si>
  <si>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</si>
  <si>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</si>
  <si>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</si>
  <si>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</si>
  <si>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</si>
  <si>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</si>
  <si>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</si>
  <si>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</si>
  <si>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</si>
  <si>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</si>
  <si>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</si>
  <si>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</si>
  <si>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</si>
  <si>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</si>
  <si>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</si>
  <si>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</si>
  <si>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</si>
  <si>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</si>
  <si>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</si>
  <si>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</si>
  <si>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</si>
  <si>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</si>
  <si>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</si>
  <si>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</si>
  <si>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</si>
  <si>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</si>
  <si>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</si>
  <si>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</si>
  <si>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</si>
  <si>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</si>
  <si>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</si>
  <si>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</si>
  <si>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</si>
  <si>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</si>
  <si>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</si>
  <si>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</si>
  <si>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</si>
  <si>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</si>
  <si>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</si>
  <si>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</si>
  <si>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</si>
  <si>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</si>
  <si>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</si>
  <si>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</si>
  <si>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</si>
  <si>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</si>
  <si>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</si>
  <si>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</si>
  <si>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</si>
  <si>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</si>
  <si>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</si>
  <si>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</si>
  <si>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</si>
  <si>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</si>
  <si>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</si>
  <si>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</si>
  <si>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</si>
  <si>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</si>
  <si>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</si>
  <si>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</si>
  <si>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</si>
  <si>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</si>
  <si>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</si>
  <si>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</si>
  <si>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</si>
  <si>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</si>
  <si>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</si>
  <si>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</si>
  <si>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</si>
  <si>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</si>
  <si>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</si>
  <si>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</si>
  <si>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</si>
  <si>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</si>
  <si>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</si>
  <si>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</si>
  <si>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</si>
  <si>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</si>
  <si>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</si>
  <si>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</si>
  <si>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</si>
  <si>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</si>
  <si>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</si>
  <si>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</si>
  <si>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</si>
  <si>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</si>
  <si>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</si>
  <si>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</si>
  <si>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</si>
  <si>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</si>
  <si>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</si>
  <si>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</si>
  <si>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</si>
  <si>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</si>
  <si>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</si>
  <si>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</si>
  <si>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</si>
  <si>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</si>
  <si>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</si>
  <si>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</si>
  <si>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</si>
  <si>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</si>
  <si>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</si>
  <si>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</si>
  <si>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</si>
  <si>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</si>
  <si>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</si>
  <si>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</si>
  <si>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</si>
  <si>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</si>
  <si>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</si>
  <si>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</si>
  <si>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</si>
  <si>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</si>
  <si>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</si>
  <si>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</si>
  <si>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</si>
  <si>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</si>
  <si>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</si>
  <si>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</si>
  <si>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</si>
  <si>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</si>
  <si>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</si>
  <si>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</si>
  <si>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</si>
  <si>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</si>
  <si>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</si>
  <si>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</si>
  <si>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</si>
  <si>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</si>
  <si>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</si>
  <si>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</si>
  <si>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</si>
  <si>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</si>
  <si>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</si>
  <si>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</si>
  <si>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</si>
  <si>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</si>
  <si>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</si>
  <si>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</si>
  <si>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</si>
  <si>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</si>
  <si>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</si>
  <si>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</si>
  <si>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</si>
  <si>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</si>
  <si>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</si>
  <si>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</si>
  <si>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</si>
  <si>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</si>
  <si>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</si>
  <si>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</si>
  <si>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</si>
  <si>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</si>
  <si>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</si>
  <si>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</si>
  <si>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</si>
  <si>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</si>
  <si>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</si>
  <si>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</si>
  <si>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</si>
  <si>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</si>
  <si>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</si>
  <si>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</si>
  <si>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</si>
  <si>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</si>
  <si>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</si>
  <si>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</si>
  <si>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</si>
  <si>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</si>
  <si>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</si>
  <si>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</si>
  <si>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</si>
  <si>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</si>
  <si>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</si>
  <si>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</si>
  <si>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</si>
  <si>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</si>
  <si>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</si>
  <si>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</si>
  <si>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</si>
  <si>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</si>
  <si>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</si>
  <si>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</si>
  <si>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</si>
  <si>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</si>
  <si>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</si>
  <si>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</si>
  <si>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</si>
  <si>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</si>
  <si>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</si>
  <si>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</si>
  <si>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</si>
  <si>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</si>
  <si>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</si>
  <si>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</si>
  <si>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</si>
  <si>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</si>
  <si>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</si>
  <si>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</si>
  <si>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</si>
  <si>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</si>
  <si>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</si>
  <si>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</si>
  <si>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</si>
  <si>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</si>
  <si>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</si>
  <si>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</si>
  <si>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</si>
  <si>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</si>
  <si>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</si>
  <si>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</si>
  <si>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</si>
  <si>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</si>
  <si>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</si>
  <si>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</si>
  <si>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</si>
  <si>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</si>
  <si>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</si>
  <si>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</si>
  <si>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</si>
  <si>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</si>
  <si>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</si>
  <si>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</si>
  <si>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</si>
  <si>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</si>
  <si>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</si>
  <si>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</si>
  <si>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</si>
  <si>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</si>
  <si>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</si>
  <si>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</si>
  <si>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</si>
  <si>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</si>
  <si>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</si>
  <si>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</si>
  <si>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</si>
  <si>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</si>
  <si>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</si>
  <si>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</si>
  <si>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</si>
  <si>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</si>
  <si>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</si>
  <si>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</si>
  <si>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</si>
  <si>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</si>
  <si>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</si>
  <si>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</si>
  <si>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</si>
  <si>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</si>
  <si>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</si>
  <si>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</si>
  <si>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</si>
  <si>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</si>
  <si>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</si>
  <si>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</si>
  <si>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</si>
  <si>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</si>
  <si>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</si>
  <si>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</si>
  <si>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</si>
  <si>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</si>
  <si>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</si>
  <si>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</si>
  <si>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</si>
  <si>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</si>
  <si>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</si>
  <si>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</si>
  <si>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</si>
  <si>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</si>
  <si>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</si>
  <si>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</si>
  <si>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</si>
  <si>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</si>
  <si>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</si>
  <si>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</si>
  <si>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</si>
  <si>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</si>
  <si>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</si>
  <si>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</si>
  <si>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</si>
  <si>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</si>
  <si>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</si>
  <si>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</si>
  <si>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</si>
  <si>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</si>
  <si>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</si>
  <si>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</si>
  <si>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</si>
  <si>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</si>
  <si>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</si>
  <si>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</si>
  <si>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</si>
  <si>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</si>
  <si>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</si>
  <si>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</si>
  <si>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</si>
  <si>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</si>
  <si>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</si>
  <si>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</si>
  <si>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</si>
  <si>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</si>
  <si>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</si>
  <si>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</si>
  <si>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</si>
  <si>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</si>
  <si>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</si>
  <si>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</si>
  <si>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</si>
  <si>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</si>
  <si>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</si>
  <si>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</si>
  <si>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</si>
  <si>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</si>
  <si>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</si>
  <si>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</si>
  <si>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</si>
  <si>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</si>
  <si>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</si>
  <si>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</si>
  <si>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</si>
  <si>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</si>
  <si>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</si>
  <si>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</si>
  <si>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</si>
  <si>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</si>
  <si>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</si>
  <si>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</si>
  <si>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 xml:space="preserve">ENEL </t>
  </si>
  <si>
    <t>OK</t>
  </si>
  <si>
    <t>2026082</t>
  </si>
  <si>
    <t>02/09/2026</t>
  </si>
  <si>
    <t>07:42 AM</t>
  </si>
  <si>
    <t>16/08/2026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</si>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</sst>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\ #,##0;[Red]\-&quot;$&quot;\ #,##0"/>
    <numFmt numFmtId="165" formatCode="&quot;$&quot;\ #,##0.00;[Red]\-&quot;$&quot;\ #,##0.00"/>
    <numFmt numFmtId="166" formatCode="_-* #,##0_-;\-* #,##0_-;_-* &quot;-&quot;_-;_-@_-"/>
    <numFmt numFmtId="167" formatCode="_-* #,##0.00_-;\-* #,##0.00_-;_-* &quot;-&quot;??_-;_-@_-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7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7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7" fontId="19" fillId="0" borderId="0" applyFont="0" applyFill="0" applyBorder="0" applyAlignment="0" applyProtection="0"/>
    <xf numFmtId="167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6" fontId="47" fillId="0" borderId="0" applyFont="0" applyFill="0" applyBorder="0" applyAlignment="0" applyProtection="0"/>
    <xf numFmtId="167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0" fontId="63" fillId="0" borderId="0"/>
    <xf numFmtId="167" fontId="64" fillId="0" borderId="0" applyFont="0" applyFill="0" applyBorder="0" applyAlignment="0" applyProtection="0"/>
    <xf numFmtId="0" fontId="19" fillId="0" borderId="0"/>
    <xf numFmtId="0" fontId="66" fillId="0" borderId="0"/>
  </cellStyleXfs>
  <cellXfs count="782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7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6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6" fontId="41" fillId="38" borderId="20" xfId="2601" applyFont="1" applyFill="1" applyBorder="1" applyAlignment="1">
      <alignment horizontal="center"/>
    </xf>
    <xf numFmtId="166" fontId="41" fillId="38" borderId="45" xfId="2601" applyFont="1" applyFill="1" applyBorder="1" applyAlignment="1">
      <alignment horizontal="center"/>
    </xf>
    <xf numFmtId="167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7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6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166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6" fontId="22" fillId="40" borderId="34" xfId="2604" applyFont="1" applyFill="1" applyBorder="1" applyAlignment="1">
      <alignment horizontal="center"/>
    </xf>
    <xf numFmtId="166" fontId="22" fillId="40" borderId="20" xfId="2604" applyFont="1" applyFill="1" applyBorder="1" applyAlignment="1">
      <alignment horizontal="center"/>
    </xf>
    <xf numFmtId="166" fontId="22" fillId="40" borderId="45" xfId="2604" applyFont="1" applyFill="1" applyBorder="1" applyAlignment="1">
      <alignment horizontal="center"/>
    </xf>
    <xf numFmtId="166" fontId="22" fillId="0" borderId="0" xfId="2604" applyFont="1" applyAlignment="1">
      <alignment horizontal="center"/>
    </xf>
    <xf numFmtId="166" fontId="0" fillId="0" borderId="21" xfId="2604" applyFont="1" applyBorder="1"/>
    <xf numFmtId="166" fontId="0" fillId="0" borderId="15" xfId="2604" applyFont="1" applyBorder="1"/>
    <xf numFmtId="166" fontId="0" fillId="0" borderId="4" xfId="2604" applyFont="1" applyBorder="1"/>
    <xf numFmtId="166" fontId="0" fillId="0" borderId="41" xfId="2604" applyFont="1" applyBorder="1"/>
    <xf numFmtId="166" fontId="0" fillId="0" borderId="22" xfId="2604" applyFont="1" applyBorder="1"/>
    <xf numFmtId="166" fontId="0" fillId="0" borderId="16" xfId="2604" applyFont="1" applyBorder="1"/>
    <xf numFmtId="166" fontId="0" fillId="0" borderId="3" xfId="2604" applyFont="1" applyBorder="1"/>
    <xf numFmtId="166" fontId="0" fillId="0" borderId="49" xfId="2604" applyFont="1" applyBorder="1"/>
    <xf numFmtId="166" fontId="0" fillId="0" borderId="23" xfId="2604" applyFont="1" applyBorder="1" applyAlignment="1">
      <alignment horizontal="right"/>
    </xf>
    <xf numFmtId="166" fontId="0" fillId="0" borderId="17" xfId="2604" applyFont="1" applyBorder="1"/>
    <xf numFmtId="166" fontId="0" fillId="0" borderId="18" xfId="2604" applyFont="1" applyBorder="1"/>
    <xf numFmtId="166" fontId="0" fillId="0" borderId="46" xfId="2604" applyFont="1" applyBorder="1"/>
    <xf numFmtId="166" fontId="22" fillId="40" borderId="11" xfId="2604" applyFont="1" applyFill="1" applyBorder="1"/>
    <xf numFmtId="166" fontId="22" fillId="40" borderId="57" xfId="2604" applyFont="1" applyFill="1" applyBorder="1" applyAlignment="1">
      <alignment horizontal="center"/>
    </xf>
    <xf numFmtId="166" fontId="22" fillId="40" borderId="65" xfId="2604" applyFont="1" applyFill="1" applyBorder="1" applyAlignment="1">
      <alignment horizontal="center"/>
    </xf>
    <xf numFmtId="0" fontId="22" fillId="0" borderId="0" xfId="2" applyFont="1"/>
    <xf numFmtId="166" fontId="0" fillId="0" borderId="54" xfId="2604" applyFont="1" applyBorder="1"/>
    <xf numFmtId="166" fontId="0" fillId="0" borderId="40" xfId="2604" applyFont="1" applyBorder="1"/>
    <xf numFmtId="166" fontId="0" fillId="0" borderId="52" xfId="2604" applyFont="1" applyBorder="1"/>
    <xf numFmtId="166" fontId="0" fillId="0" borderId="55" xfId="2604" applyFont="1" applyBorder="1"/>
    <xf numFmtId="166" fontId="0" fillId="0" borderId="68" xfId="2604" applyFont="1" applyBorder="1" applyAlignment="1">
      <alignment horizontal="right"/>
    </xf>
    <xf numFmtId="166" fontId="0" fillId="40" borderId="17" xfId="2604" applyFont="1" applyFill="1" applyBorder="1"/>
    <xf numFmtId="166" fontId="0" fillId="40" borderId="18" xfId="2604" applyFont="1" applyFill="1" applyBorder="1"/>
    <xf numFmtId="166" fontId="0" fillId="40" borderId="46" xfId="2604" applyFont="1" applyFill="1" applyBorder="1"/>
    <xf numFmtId="166" fontId="22" fillId="40" borderId="13" xfId="2604" applyFont="1" applyFill="1" applyBorder="1"/>
    <xf numFmtId="166" fontId="22" fillId="39" borderId="19" xfId="2604" applyFont="1" applyFill="1" applyBorder="1" applyAlignment="1">
      <alignment horizontal="center"/>
    </xf>
    <xf numFmtId="166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6" fontId="0" fillId="0" borderId="59" xfId="2604" applyFont="1" applyBorder="1"/>
    <xf numFmtId="166" fontId="0" fillId="0" borderId="60" xfId="2604" applyFont="1" applyBorder="1"/>
    <xf numFmtId="166" fontId="22" fillId="39" borderId="19" xfId="2604" applyFont="1" applyFill="1" applyBorder="1"/>
    <xf numFmtId="166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6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6" fontId="0" fillId="0" borderId="3" xfId="2601" applyFont="1" applyBorder="1" applyAlignment="1">
      <alignment vertical="top"/>
    </xf>
    <xf numFmtId="166" fontId="0" fillId="0" borderId="3" xfId="2601" applyFont="1" applyBorder="1"/>
    <xf numFmtId="166" fontId="0" fillId="51" borderId="3" xfId="2601" applyFont="1" applyFill="1" applyBorder="1" applyAlignment="1">
      <alignment vertical="top"/>
    </xf>
    <xf numFmtId="166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6" fontId="0" fillId="0" borderId="3" xfId="0" applyNumberFormat="1" applyBorder="1"/>
    <xf numFmtId="166" fontId="22" fillId="0" borderId="3" xfId="0" applyNumberFormat="1" applyFont="1" applyBorder="1"/>
    <xf numFmtId="166" fontId="0" fillId="34" borderId="0" xfId="0" applyNumberFormat="1" applyFill="1"/>
    <xf numFmtId="166" fontId="19" fillId="0" borderId="63" xfId="0" applyNumberFormat="1" applyFont="1" applyBorder="1"/>
    <xf numFmtId="166" fontId="22" fillId="0" borderId="19" xfId="0" applyNumberFormat="1" applyFont="1" applyBorder="1"/>
    <xf numFmtId="166" fontId="22" fillId="0" borderId="20" xfId="0" applyNumberFormat="1" applyFont="1" applyBorder="1"/>
    <xf numFmtId="166" fontId="22" fillId="0" borderId="45" xfId="0" applyNumberFormat="1" applyFont="1" applyBorder="1"/>
    <xf numFmtId="166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6" fontId="22" fillId="0" borderId="16" xfId="0" applyNumberFormat="1" applyFont="1" applyBorder="1"/>
    <xf numFmtId="166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166" fontId="0" fillId="0" borderId="15" xfId="2604" applyFont="1" applyFill="1" applyBorder="1"/>
    <xf numFmtId="166" fontId="0" fillId="0" borderId="16" xfId="2604" applyFont="1" applyFill="1" applyBorder="1"/>
    <xf numFmtId="166" fontId="0" fillId="0" borderId="17" xfId="2604" applyFont="1" applyFill="1" applyBorder="1"/>
    <xf numFmtId="166" fontId="0" fillId="0" borderId="0" xfId="2604" applyFont="1" applyFill="1"/>
    <xf numFmtId="166" fontId="0" fillId="0" borderId="51" xfId="2604" applyFont="1" applyFill="1" applyBorder="1"/>
    <xf numFmtId="166" fontId="0" fillId="0" borderId="4" xfId="2604" applyFont="1" applyFill="1" applyBorder="1"/>
    <xf numFmtId="166" fontId="0" fillId="0" borderId="3" xfId="2604" applyFont="1" applyFill="1" applyBorder="1"/>
    <xf numFmtId="166" fontId="0" fillId="45" borderId="23" xfId="2604" applyFont="1" applyFill="1" applyBorder="1" applyAlignment="1">
      <alignment horizontal="right"/>
    </xf>
    <xf numFmtId="166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6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7" fontId="25" fillId="0" borderId="22" xfId="2599" applyFont="1" applyBorder="1"/>
    <xf numFmtId="167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6" fontId="0" fillId="37" borderId="0" xfId="2604" applyFont="1" applyFill="1"/>
    <xf numFmtId="0" fontId="0" fillId="37" borderId="0" xfId="0" applyFill="1" applyAlignment="1">
      <alignment horizontal="center"/>
    </xf>
    <xf numFmtId="166" fontId="0" fillId="37" borderId="0" xfId="2601" applyFont="1" applyFill="1"/>
    <xf numFmtId="167" fontId="0" fillId="37" borderId="0" xfId="0" applyNumberFormat="1" applyFill="1"/>
    <xf numFmtId="166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6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6" fontId="41" fillId="38" borderId="19" xfId="2601" applyFont="1" applyFill="1" applyBorder="1" applyAlignment="1">
      <alignment horizontal="center"/>
    </xf>
    <xf numFmtId="166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6" fontId="0" fillId="0" borderId="11" xfId="2601" applyFont="1" applyBorder="1" applyAlignment="1">
      <alignment horizontal="center"/>
    </xf>
    <xf numFmtId="166" fontId="0" fillId="55" borderId="40" xfId="2601" applyFont="1" applyFill="1" applyBorder="1"/>
    <xf numFmtId="166" fontId="0" fillId="0" borderId="65" xfId="2601" applyFont="1" applyBorder="1"/>
    <xf numFmtId="166" fontId="0" fillId="55" borderId="3" xfId="2601" applyFont="1" applyFill="1" applyBorder="1"/>
    <xf numFmtId="166" fontId="0" fillId="0" borderId="4" xfId="2601" applyFont="1" applyBorder="1"/>
    <xf numFmtId="166" fontId="0" fillId="0" borderId="64" xfId="2601" applyFont="1" applyBorder="1"/>
    <xf numFmtId="166" fontId="0" fillId="0" borderId="58" xfId="2601" applyFont="1" applyBorder="1"/>
    <xf numFmtId="166" fontId="41" fillId="34" borderId="64" xfId="2601" applyFont="1" applyFill="1" applyBorder="1"/>
    <xf numFmtId="166" fontId="0" fillId="55" borderId="18" xfId="2601" applyFont="1" applyFill="1" applyBorder="1"/>
    <xf numFmtId="166" fontId="41" fillId="34" borderId="73" xfId="2601" applyFont="1" applyFill="1" applyBorder="1"/>
    <xf numFmtId="166" fontId="41" fillId="55" borderId="51" xfId="2601" applyFont="1" applyFill="1" applyBorder="1" applyAlignment="1">
      <alignment horizontal="left"/>
    </xf>
    <xf numFmtId="166" fontId="0" fillId="55" borderId="57" xfId="2601" applyFont="1" applyFill="1" applyBorder="1"/>
    <xf numFmtId="166" fontId="41" fillId="55" borderId="16" xfId="2601" applyFont="1" applyFill="1" applyBorder="1" applyAlignment="1">
      <alignment horizontal="left"/>
    </xf>
    <xf numFmtId="166" fontId="0" fillId="55" borderId="4" xfId="2601" applyFont="1" applyFill="1" applyBorder="1"/>
    <xf numFmtId="166" fontId="41" fillId="54" borderId="16" xfId="2601" applyFont="1" applyFill="1" applyBorder="1" applyAlignment="1">
      <alignment horizontal="left"/>
    </xf>
    <xf numFmtId="166" fontId="0" fillId="54" borderId="3" xfId="2601" applyFont="1" applyFill="1" applyBorder="1"/>
    <xf numFmtId="166" fontId="0" fillId="54" borderId="58" xfId="2601" applyFont="1" applyFill="1" applyBorder="1"/>
    <xf numFmtId="166" fontId="0" fillId="54" borderId="4" xfId="2601" applyFont="1" applyFill="1" applyBorder="1"/>
    <xf numFmtId="166" fontId="41" fillId="0" borderId="16" xfId="2601" applyFont="1" applyFill="1" applyBorder="1" applyAlignment="1">
      <alignment horizontal="left"/>
    </xf>
    <xf numFmtId="166" fontId="0" fillId="0" borderId="3" xfId="2601" applyFont="1" applyFill="1" applyBorder="1"/>
    <xf numFmtId="166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6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7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6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6" fontId="55" fillId="59" borderId="72" xfId="2604" applyFont="1" applyFill="1" applyBorder="1"/>
    <xf numFmtId="166" fontId="55" fillId="59" borderId="43" xfId="2604" applyFont="1" applyFill="1" applyBorder="1"/>
    <xf numFmtId="166" fontId="55" fillId="0" borderId="43" xfId="2604" applyFont="1" applyFill="1" applyBorder="1"/>
    <xf numFmtId="166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6" fontId="55" fillId="59" borderId="55" xfId="2604" applyFont="1" applyFill="1" applyBorder="1"/>
    <xf numFmtId="166" fontId="55" fillId="59" borderId="22" xfId="2604" applyFont="1" applyFill="1" applyBorder="1"/>
    <xf numFmtId="166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6" fontId="55" fillId="59" borderId="79" xfId="2604" applyFont="1" applyFill="1" applyBorder="1"/>
    <xf numFmtId="166" fontId="55" fillId="59" borderId="23" xfId="2604" applyFont="1" applyFill="1" applyBorder="1"/>
    <xf numFmtId="166" fontId="55" fillId="0" borderId="23" xfId="2604" applyFont="1" applyFill="1" applyBorder="1"/>
    <xf numFmtId="166" fontId="55" fillId="0" borderId="80" xfId="2604" applyFont="1" applyFill="1" applyBorder="1"/>
    <xf numFmtId="172" fontId="62" fillId="36" borderId="11" xfId="2604" applyNumberFormat="1" applyFont="1" applyFill="1" applyBorder="1"/>
    <xf numFmtId="166" fontId="62" fillId="59" borderId="11" xfId="2604" applyFont="1" applyFill="1" applyBorder="1"/>
    <xf numFmtId="166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6" fontId="55" fillId="36" borderId="41" xfId="2604" applyFont="1" applyFill="1" applyBorder="1"/>
    <xf numFmtId="166" fontId="55" fillId="36" borderId="49" xfId="2604" applyFont="1" applyFill="1" applyBorder="1"/>
    <xf numFmtId="166" fontId="19" fillId="0" borderId="3" xfId="2604" applyFont="1" applyBorder="1"/>
    <xf numFmtId="166" fontId="55" fillId="36" borderId="46" xfId="2604" applyFont="1" applyFill="1" applyBorder="1"/>
    <xf numFmtId="166" fontId="19" fillId="0" borderId="3" xfId="2604" applyFont="1" applyFill="1" applyBorder="1"/>
    <xf numFmtId="166" fontId="62" fillId="36" borderId="11" xfId="2604" applyFont="1" applyFill="1" applyBorder="1"/>
    <xf numFmtId="166" fontId="22" fillId="0" borderId="3" xfId="2604" applyFont="1" applyBorder="1"/>
    <xf numFmtId="168" fontId="0" fillId="0" borderId="0" xfId="2598" applyNumberFormat="1" applyFont="1"/>
    <xf numFmtId="166" fontId="0" fillId="34" borderId="3" xfId="0" applyNumberFormat="1" applyFill="1" applyBorder="1"/>
    <xf numFmtId="166" fontId="66" fillId="0" borderId="0" xfId="2617" applyNumberFormat="1"/>
    <xf numFmtId="166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6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7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6" fontId="22" fillId="0" borderId="0" xfId="2604" applyFont="1" applyAlignment="1"/>
    <xf numFmtId="166" fontId="0" fillId="0" borderId="0" xfId="2604" applyFont="1" applyAlignment="1"/>
    <xf numFmtId="0" fontId="22" fillId="0" borderId="0" xfId="0" applyFont="1" applyAlignment="1">
      <alignment horizontal="left"/>
    </xf>
    <xf numFmtId="166" fontId="0" fillId="0" borderId="17" xfId="0" applyNumberFormat="1" applyBorder="1"/>
    <xf numFmtId="166" fontId="0" fillId="0" borderId="18" xfId="0" applyNumberFormat="1" applyBorder="1"/>
    <xf numFmtId="0" fontId="56" fillId="0" borderId="1" xfId="0" applyFont="1" applyBorder="1"/>
    <xf numFmtId="166" fontId="0" fillId="0" borderId="16" xfId="0" applyNumberFormat="1" applyBorder="1"/>
    <xf numFmtId="166" fontId="22" fillId="0" borderId="17" xfId="0" applyNumberFormat="1" applyFont="1" applyBorder="1"/>
    <xf numFmtId="166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6" fontId="0" fillId="61" borderId="3" xfId="2604" applyFont="1" applyFill="1" applyBorder="1"/>
    <xf numFmtId="166" fontId="0" fillId="61" borderId="3" xfId="0" applyNumberFormat="1" applyFill="1" applyBorder="1"/>
    <xf numFmtId="0" fontId="0" fillId="53" borderId="3" xfId="0" applyFill="1" applyBorder="1"/>
    <xf numFmtId="166" fontId="0" fillId="53" borderId="3" xfId="2604" applyFont="1" applyFill="1" applyBorder="1"/>
    <xf numFmtId="166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6" fontId="0" fillId="0" borderId="63" xfId="2601" applyFont="1" applyBorder="1"/>
    <xf numFmtId="166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6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4" fontId="19" fillId="33" borderId="0" xfId="0" applyNumberFormat="1" applyFont="1" applyFill="1" applyAlignment="1">
      <alignment vertical="top"/>
    </xf>
    <xf numFmtId="0" fontId="19" fillId="48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6" fontId="62" fillId="0" borderId="5" xfId="0" applyNumberFormat="1" applyFont="1" applyBorder="1" applyAlignment="1">
      <alignment horizontal="center"/>
    </xf>
    <xf numFmtId="166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/>
  </sheetViews>
  <sheetFormatPr baseColWidth="10" defaultRowHeight="13.2" x14ac:dyDescent="0.25"/>
  <cols>
    <col min="1" max="1" width="2.21875" customWidth="1"/>
    <col min="2" max="2" width="12.77734375" bestFit="1" customWidth="1"/>
    <col min="3" max="3" width="7.21875" customWidth="1"/>
    <col min="4" max="4" width="15.21875" style="167" customWidth="1"/>
    <col min="5" max="5" width="20.44140625" style="167" customWidth="1"/>
    <col min="6" max="6" width="15.21875" style="167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21532120</v>
      </c>
      <c r="E4" s="180">
        <v>250</v>
      </c>
      <c r="F4" s="180">
        <v>18262430</v>
      </c>
      <c r="G4" s="181">
        <v>217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14335960</v>
      </c>
      <c r="E6" s="180">
        <v>80</v>
      </c>
      <c r="F6" s="180">
        <v>8615850</v>
      </c>
      <c r="G6" s="181">
        <v>64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35868080</v>
      </c>
      <c r="E9" s="186">
        <v>330</v>
      </c>
      <c r="F9" s="186">
        <v>26878280</v>
      </c>
      <c r="G9" s="186">
        <v>281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798760</v>
      </c>
      <c r="G13" s="181">
        <v>7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228530</v>
      </c>
      <c r="G15" s="181">
        <v>1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1027290</v>
      </c>
      <c r="G18" s="186">
        <v>8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21532120</v>
      </c>
      <c r="E22" s="180">
        <v>250</v>
      </c>
      <c r="F22" s="180">
        <v>19061190</v>
      </c>
      <c r="G22" s="181">
        <v>224</v>
      </c>
      <c r="I22" s="179">
        <v>40593310</v>
      </c>
      <c r="J22" s="181">
        <v>474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14335960</v>
      </c>
      <c r="E24" s="180">
        <v>80</v>
      </c>
      <c r="F24" s="180">
        <v>8844380</v>
      </c>
      <c r="G24" s="181">
        <v>65</v>
      </c>
      <c r="I24" s="179">
        <v>23180340</v>
      </c>
      <c r="J24" s="181">
        <v>145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35868080</v>
      </c>
      <c r="E27" s="186">
        <v>330</v>
      </c>
      <c r="F27" s="186">
        <v>27905570</v>
      </c>
      <c r="G27" s="186">
        <v>289</v>
      </c>
      <c r="I27" s="204">
        <v>63773650</v>
      </c>
      <c r="J27" s="205">
        <v>619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/>
  </sheetViews>
  <sheetFormatPr baseColWidth="10" defaultRowHeight="13.2" x14ac:dyDescent="0.25"/>
  <cols>
    <col min="1" max="1" width="2.21875" customWidth="1"/>
    <col min="2" max="2" width="12.77734375" bestFit="1" customWidth="1"/>
    <col min="3" max="3" width="7.218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</cols>
  <sheetData>
    <row r="1" spans="2:13" ht="14.55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11569331103</v>
      </c>
      <c r="E3" s="176">
        <v>255523</v>
      </c>
      <c r="F3" s="176">
        <v>17277226302</v>
      </c>
      <c r="G3" s="177">
        <v>316936</v>
      </c>
      <c r="J3" s="728"/>
    </row>
    <row r="4" spans="2:13" ht="12.6" customHeight="1" x14ac:dyDescent="0.25">
      <c r="C4" s="178">
        <v>2</v>
      </c>
      <c r="D4" s="179">
        <v>9606604754</v>
      </c>
      <c r="E4" s="180">
        <v>194100</v>
      </c>
      <c r="F4" s="180">
        <v>19264884848</v>
      </c>
      <c r="G4" s="181">
        <v>396694</v>
      </c>
      <c r="J4" s="728"/>
    </row>
    <row r="5" spans="2:13" ht="12.6" customHeight="1" x14ac:dyDescent="0.25">
      <c r="C5" s="178">
        <v>3</v>
      </c>
      <c r="D5" s="179">
        <v>7742246377</v>
      </c>
      <c r="E5" s="180">
        <v>182798</v>
      </c>
      <c r="F5" s="180">
        <v>15047689272</v>
      </c>
      <c r="G5" s="181">
        <v>273948</v>
      </c>
      <c r="J5" s="728"/>
    </row>
    <row r="6" spans="2:13" ht="12.6" customHeight="1" x14ac:dyDescent="0.25">
      <c r="C6" s="178">
        <v>4</v>
      </c>
      <c r="D6" s="179">
        <v>8062155957</v>
      </c>
      <c r="E6" s="180">
        <v>139505</v>
      </c>
      <c r="F6" s="180">
        <v>7298795841</v>
      </c>
      <c r="G6" s="181">
        <v>142161</v>
      </c>
    </row>
    <row r="7" spans="2:13" ht="12.6" customHeight="1" x14ac:dyDescent="0.25">
      <c r="C7" s="178">
        <v>5</v>
      </c>
      <c r="D7" s="179">
        <v>6139322220</v>
      </c>
      <c r="E7" s="180">
        <v>123536</v>
      </c>
      <c r="F7" s="180">
        <v>11700424846</v>
      </c>
      <c r="G7" s="181">
        <v>249311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43119660411</v>
      </c>
      <c r="E9" s="186">
        <v>895462</v>
      </c>
      <c r="F9" s="186">
        <v>70589021109</v>
      </c>
      <c r="G9" s="186">
        <v>1379050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122584360</v>
      </c>
      <c r="E12" s="176">
        <v>2043</v>
      </c>
      <c r="F12" s="176">
        <v>208241806</v>
      </c>
      <c r="G12" s="177">
        <v>4505</v>
      </c>
    </row>
    <row r="13" spans="2:13" ht="12.6" customHeight="1" x14ac:dyDescent="0.25">
      <c r="C13" s="178">
        <v>2</v>
      </c>
      <c r="D13" s="179">
        <v>59571250</v>
      </c>
      <c r="E13" s="180">
        <v>1204</v>
      </c>
      <c r="F13" s="180">
        <v>47318959</v>
      </c>
      <c r="G13" s="181">
        <v>914</v>
      </c>
    </row>
    <row r="14" spans="2:13" ht="12.6" customHeight="1" x14ac:dyDescent="0.25">
      <c r="C14" s="178">
        <v>3</v>
      </c>
      <c r="D14" s="179">
        <v>64416890</v>
      </c>
      <c r="E14" s="180">
        <v>1231</v>
      </c>
      <c r="F14" s="180">
        <v>96850450</v>
      </c>
      <c r="G14" s="181">
        <v>2077</v>
      </c>
    </row>
    <row r="15" spans="2:13" ht="12.6" customHeight="1" x14ac:dyDescent="0.25">
      <c r="C15" s="178">
        <v>4</v>
      </c>
      <c r="D15" s="179">
        <v>68519068</v>
      </c>
      <c r="E15" s="180">
        <v>1069</v>
      </c>
      <c r="F15" s="180">
        <v>96874840</v>
      </c>
      <c r="G15" s="181">
        <v>2369</v>
      </c>
    </row>
    <row r="16" spans="2:13" ht="12.6" customHeight="1" x14ac:dyDescent="0.25">
      <c r="C16" s="178">
        <v>5</v>
      </c>
      <c r="D16" s="179">
        <v>107615030</v>
      </c>
      <c r="E16" s="180">
        <v>2071</v>
      </c>
      <c r="F16" s="180">
        <v>80297730</v>
      </c>
      <c r="G16" s="181">
        <v>1887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422706598</v>
      </c>
      <c r="E18" s="186">
        <v>7618</v>
      </c>
      <c r="F18" s="186">
        <v>529583785</v>
      </c>
      <c r="G18" s="186">
        <v>11752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11691915463</v>
      </c>
      <c r="E21" s="176">
        <v>257566</v>
      </c>
      <c r="F21" s="176">
        <v>17485468108</v>
      </c>
      <c r="G21" s="177">
        <v>321441</v>
      </c>
      <c r="I21" s="175">
        <v>29177383571</v>
      </c>
      <c r="J21" s="177">
        <v>579007</v>
      </c>
    </row>
    <row r="22" spans="1:11" s="167" customFormat="1" ht="12.6" customHeight="1" x14ac:dyDescent="0.25">
      <c r="B22"/>
      <c r="C22" s="178">
        <v>2</v>
      </c>
      <c r="D22" s="179">
        <v>9666176004</v>
      </c>
      <c r="E22" s="180">
        <v>195304</v>
      </c>
      <c r="F22" s="180">
        <v>19312203807</v>
      </c>
      <c r="G22" s="181">
        <v>397608</v>
      </c>
      <c r="I22" s="179">
        <v>28978379811</v>
      </c>
      <c r="J22" s="181">
        <v>592912</v>
      </c>
    </row>
    <row r="23" spans="1:11" s="167" customFormat="1" ht="12.6" customHeight="1" x14ac:dyDescent="0.25">
      <c r="B23"/>
      <c r="C23" s="178">
        <v>3</v>
      </c>
      <c r="D23" s="179">
        <v>7806663267</v>
      </c>
      <c r="E23" s="180">
        <v>184029</v>
      </c>
      <c r="F23" s="180">
        <v>15144539722</v>
      </c>
      <c r="G23" s="181">
        <v>276025</v>
      </c>
      <c r="I23" s="179">
        <v>22951202989</v>
      </c>
      <c r="J23" s="181">
        <v>460054</v>
      </c>
    </row>
    <row r="24" spans="1:11" s="167" customFormat="1" ht="12.6" customHeight="1" x14ac:dyDescent="0.25">
      <c r="B24"/>
      <c r="C24" s="178">
        <v>4</v>
      </c>
      <c r="D24" s="179">
        <v>8130675025</v>
      </c>
      <c r="E24" s="180">
        <v>140574</v>
      </c>
      <c r="F24" s="180">
        <v>7395670681</v>
      </c>
      <c r="G24" s="181">
        <v>144530</v>
      </c>
      <c r="I24" s="179">
        <v>15526345706</v>
      </c>
      <c r="J24" s="181">
        <v>285104</v>
      </c>
    </row>
    <row r="25" spans="1:11" s="167" customFormat="1" ht="12.6" customHeight="1" x14ac:dyDescent="0.25">
      <c r="B25"/>
      <c r="C25" s="178">
        <v>5</v>
      </c>
      <c r="D25" s="179">
        <v>6246937250</v>
      </c>
      <c r="E25" s="180">
        <v>125607</v>
      </c>
      <c r="F25" s="180">
        <v>11780722576</v>
      </c>
      <c r="G25" s="181">
        <v>251198</v>
      </c>
      <c r="I25" s="179">
        <v>18027659826</v>
      </c>
      <c r="J25" s="181">
        <v>376805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43542367009</v>
      </c>
      <c r="E27" s="186">
        <v>903080</v>
      </c>
      <c r="F27" s="186">
        <v>71118604894</v>
      </c>
      <c r="G27" s="186">
        <v>1390802</v>
      </c>
      <c r="I27" s="204">
        <v>114660971903</v>
      </c>
      <c r="J27" s="205">
        <v>2293882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/>
  </sheetViews>
  <sheetFormatPr baseColWidth="10" defaultRowHeight="13.2" x14ac:dyDescent="0.25"/>
  <cols>
    <col min="1" max="1" width="2.21875" customWidth="1"/>
    <col min="2" max="2" width="12.77734375" bestFit="1" customWidth="1"/>
    <col min="3" max="3" width="7.218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</cols>
  <sheetData>
    <row r="1" spans="2:13" ht="14.55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133950890</v>
      </c>
      <c r="E7" s="180">
        <v>2925</v>
      </c>
      <c r="F7" s="180">
        <v>32068500</v>
      </c>
      <c r="G7" s="181">
        <v>539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133950890</v>
      </c>
      <c r="E9" s="186">
        <v>2925</v>
      </c>
      <c r="F9" s="186">
        <v>32068500</v>
      </c>
      <c r="G9" s="186">
        <v>539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488120</v>
      </c>
      <c r="G16" s="181">
        <v>11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488120</v>
      </c>
      <c r="G18" s="186">
        <v>11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133950890</v>
      </c>
      <c r="E25" s="180">
        <v>2925</v>
      </c>
      <c r="F25" s="180">
        <v>32556620</v>
      </c>
      <c r="G25" s="181">
        <v>550</v>
      </c>
      <c r="I25" s="179">
        <v>166507510</v>
      </c>
      <c r="J25" s="181">
        <v>3475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133950890</v>
      </c>
      <c r="E27" s="186">
        <v>2925</v>
      </c>
      <c r="F27" s="186">
        <v>32556620</v>
      </c>
      <c r="G27" s="186">
        <v>550</v>
      </c>
      <c r="I27" s="204">
        <v>166507510</v>
      </c>
      <c r="J27" s="205">
        <v>3475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G41" sqref="G41"/>
    </sheetView>
  </sheetViews>
  <sheetFormatPr baseColWidth="10" defaultColWidth="11.44140625" defaultRowHeight="13.2" x14ac:dyDescent="0.25"/>
  <cols>
    <col min="1" max="1" width="2.21875" style="213" customWidth="1"/>
    <col min="2" max="2" width="25" style="213" bestFit="1" customWidth="1"/>
    <col min="3" max="3" width="4.77734375" style="213" bestFit="1" customWidth="1"/>
    <col min="4" max="4" width="13.77734375" style="167" bestFit="1" customWidth="1"/>
    <col min="5" max="5" width="19" style="167" bestFit="1" customWidth="1"/>
    <col min="6" max="6" width="13.77734375" style="167" bestFit="1" customWidth="1"/>
    <col min="7" max="7" width="19" style="167" bestFit="1" customWidth="1"/>
    <col min="8" max="8" width="3.77734375" style="167" customWidth="1"/>
    <col min="9" max="9" width="20" style="167" bestFit="1" customWidth="1"/>
    <col min="10" max="10" width="26.5546875" style="167" bestFit="1" customWidth="1"/>
    <col min="11" max="13" width="19.777343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/>
  </sheetViews>
  <sheetFormatPr baseColWidth="10" defaultColWidth="11.44140625" defaultRowHeight="13.2" x14ac:dyDescent="0.25"/>
  <cols>
    <col min="1" max="1" width="2.21875" style="166" customWidth="1"/>
    <col min="2" max="2" width="12.77734375" style="166" bestFit="1" customWidth="1"/>
    <col min="3" max="3" width="7.21875" style="166" customWidth="1"/>
    <col min="4" max="4" width="15.21875" style="167" customWidth="1"/>
    <col min="5" max="5" width="20.44140625" style="167" customWidth="1"/>
    <col min="6" max="6" width="15.21875" style="167" customWidth="1"/>
    <col min="7" max="7" width="20.21875" style="167" customWidth="1"/>
    <col min="8" max="8" width="3.77734375" style="167" customWidth="1"/>
    <col min="9" max="10" width="26.5546875" style="167" bestFit="1" customWidth="1"/>
    <col min="11" max="13" width="19.777343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442776725</v>
      </c>
      <c r="E3" s="176">
        <v>1586</v>
      </c>
      <c r="F3" s="176">
        <v>708118766</v>
      </c>
      <c r="G3" s="177">
        <v>2516</v>
      </c>
      <c r="J3" s="728"/>
    </row>
    <row r="4" spans="2:13" x14ac:dyDescent="0.25">
      <c r="C4" s="178">
        <v>2</v>
      </c>
      <c r="D4" s="278">
        <v>658758009</v>
      </c>
      <c r="E4" s="180">
        <v>3480</v>
      </c>
      <c r="F4" s="180">
        <v>2044964380</v>
      </c>
      <c r="G4" s="181">
        <v>10424</v>
      </c>
      <c r="J4" s="728"/>
    </row>
    <row r="5" spans="2:13" x14ac:dyDescent="0.25">
      <c r="C5" s="178">
        <v>3</v>
      </c>
      <c r="D5" s="278">
        <v>509207119</v>
      </c>
      <c r="E5" s="180">
        <v>1312</v>
      </c>
      <c r="F5" s="180">
        <v>799641564</v>
      </c>
      <c r="G5" s="181">
        <v>2133</v>
      </c>
      <c r="J5" s="728"/>
    </row>
    <row r="6" spans="2:13" x14ac:dyDescent="0.25">
      <c r="C6" s="178">
        <v>4</v>
      </c>
      <c r="D6" s="278">
        <v>398329749</v>
      </c>
      <c r="E6" s="180">
        <v>2523</v>
      </c>
      <c r="F6" s="180">
        <v>769620840</v>
      </c>
      <c r="G6" s="181">
        <v>4462</v>
      </c>
    </row>
    <row r="7" spans="2:13" x14ac:dyDescent="0.25">
      <c r="C7" s="178">
        <v>5</v>
      </c>
      <c r="D7" s="278">
        <v>111642450</v>
      </c>
      <c r="E7" s="180">
        <v>858</v>
      </c>
      <c r="F7" s="180">
        <v>305626540</v>
      </c>
      <c r="G7" s="181">
        <v>1484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2120714052</v>
      </c>
      <c r="E9" s="186">
        <v>9759</v>
      </c>
      <c r="F9" s="186">
        <v>4627972090</v>
      </c>
      <c r="G9" s="186">
        <v>21019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54415194</v>
      </c>
      <c r="E12" s="191">
        <v>118</v>
      </c>
      <c r="F12" s="191">
        <v>202466152</v>
      </c>
      <c r="G12" s="192">
        <v>535</v>
      </c>
    </row>
    <row r="13" spans="2:13" x14ac:dyDescent="0.25">
      <c r="C13" s="193">
        <v>2</v>
      </c>
      <c r="D13" s="278">
        <v>107206036</v>
      </c>
      <c r="E13" s="180">
        <v>95</v>
      </c>
      <c r="F13" s="180">
        <v>341841786</v>
      </c>
      <c r="G13" s="181">
        <v>623</v>
      </c>
    </row>
    <row r="14" spans="2:13" x14ac:dyDescent="0.25">
      <c r="C14" s="193">
        <v>3</v>
      </c>
      <c r="D14" s="278">
        <v>37034630</v>
      </c>
      <c r="E14" s="180">
        <v>34</v>
      </c>
      <c r="F14" s="180">
        <v>469277064</v>
      </c>
      <c r="G14" s="181">
        <v>248</v>
      </c>
    </row>
    <row r="15" spans="2:13" x14ac:dyDescent="0.25">
      <c r="C15" s="193">
        <v>4</v>
      </c>
      <c r="D15" s="278">
        <v>18558870</v>
      </c>
      <c r="E15" s="180">
        <v>30</v>
      </c>
      <c r="F15" s="180">
        <v>208355087</v>
      </c>
      <c r="G15" s="181">
        <v>216</v>
      </c>
    </row>
    <row r="16" spans="2:13" x14ac:dyDescent="0.25">
      <c r="C16" s="193">
        <v>5</v>
      </c>
      <c r="D16" s="278">
        <v>6082405</v>
      </c>
      <c r="E16" s="180">
        <v>9</v>
      </c>
      <c r="F16" s="180">
        <v>35584035</v>
      </c>
      <c r="G16" s="181">
        <v>152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223297135</v>
      </c>
      <c r="E18" s="198">
        <v>286</v>
      </c>
      <c r="F18" s="198">
        <v>1257524124</v>
      </c>
      <c r="G18" s="198">
        <v>1774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497191919</v>
      </c>
      <c r="E21" s="282">
        <v>1704</v>
      </c>
      <c r="F21" s="176">
        <v>910584918</v>
      </c>
      <c r="G21" s="177">
        <v>3051</v>
      </c>
      <c r="I21" s="175">
        <v>1407776837</v>
      </c>
      <c r="J21" s="177">
        <v>4755</v>
      </c>
    </row>
    <row r="22" spans="1:13" s="167" customFormat="1" x14ac:dyDescent="0.25">
      <c r="B22" s="166"/>
      <c r="C22" s="178">
        <v>2</v>
      </c>
      <c r="D22" s="278">
        <v>765964045</v>
      </c>
      <c r="E22" s="283">
        <v>3575</v>
      </c>
      <c r="F22" s="180">
        <v>2386806166</v>
      </c>
      <c r="G22" s="181">
        <v>11047</v>
      </c>
      <c r="I22" s="179">
        <v>3152770211</v>
      </c>
      <c r="J22" s="181">
        <v>14622</v>
      </c>
    </row>
    <row r="23" spans="1:13" s="167" customFormat="1" x14ac:dyDescent="0.25">
      <c r="B23" s="166"/>
      <c r="C23" s="178">
        <v>3</v>
      </c>
      <c r="D23" s="278">
        <v>546241749</v>
      </c>
      <c r="E23" s="283">
        <v>1346</v>
      </c>
      <c r="F23" s="180">
        <v>1268918628</v>
      </c>
      <c r="G23" s="181">
        <v>2381</v>
      </c>
      <c r="I23" s="179">
        <v>1815160377</v>
      </c>
      <c r="J23" s="181">
        <v>3727</v>
      </c>
    </row>
    <row r="24" spans="1:13" s="167" customFormat="1" x14ac:dyDescent="0.25">
      <c r="B24" s="166"/>
      <c r="C24" s="178">
        <v>4</v>
      </c>
      <c r="D24" s="278">
        <v>416888619</v>
      </c>
      <c r="E24" s="283">
        <v>2553</v>
      </c>
      <c r="F24" s="180">
        <v>977975927</v>
      </c>
      <c r="G24" s="181">
        <v>4678</v>
      </c>
      <c r="I24" s="179">
        <v>1394864546</v>
      </c>
      <c r="J24" s="181">
        <v>7231</v>
      </c>
    </row>
    <row r="25" spans="1:13" s="167" customFormat="1" x14ac:dyDescent="0.25">
      <c r="B25" s="166"/>
      <c r="C25" s="178">
        <v>5</v>
      </c>
      <c r="D25" s="278">
        <v>117724855</v>
      </c>
      <c r="E25" s="283">
        <v>867</v>
      </c>
      <c r="F25" s="180">
        <v>341210575</v>
      </c>
      <c r="G25" s="181">
        <v>1636</v>
      </c>
      <c r="I25" s="179">
        <v>458935430</v>
      </c>
      <c r="J25" s="181">
        <v>2503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2344011187</v>
      </c>
      <c r="E27" s="186">
        <v>10045</v>
      </c>
      <c r="F27" s="186">
        <v>5885496214</v>
      </c>
      <c r="G27" s="186">
        <v>22793</v>
      </c>
      <c r="I27" s="204">
        <v>8229507401</v>
      </c>
      <c r="J27" s="205">
        <v>32838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/>
  </sheetViews>
  <sheetFormatPr baseColWidth="10" defaultRowHeight="13.2" x14ac:dyDescent="0.25"/>
  <cols>
    <col min="1" max="1" width="6" customWidth="1"/>
    <col min="2" max="2" width="47.77734375" bestFit="1" customWidth="1"/>
    <col min="3" max="9" width="22.77734375" customWidth="1"/>
    <col min="10" max="10" width="17.777343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327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70945837075.779999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13713260</v>
      </c>
      <c r="G2" s="249">
        <f t="shared" si="0"/>
        <v>28784210</v>
      </c>
      <c r="H2" s="249">
        <f t="shared" si="0"/>
        <v>5632571077.2400007</v>
      </c>
      <c r="I2" s="250">
        <f>SUM(C2:H2)</f>
        <v>76620905623.020004</v>
      </c>
    </row>
    <row r="3" spans="1:10" x14ac:dyDescent="0.25">
      <c r="B3" t="s">
        <v>98</v>
      </c>
      <c r="C3" s="249">
        <f>C14+C24+C33+C42+C52</f>
        <v>176140888.22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14192310</v>
      </c>
      <c r="G3" s="249">
        <f t="shared" ref="G3" si="2">G14+G24+G33+G42+G52</f>
        <v>3772410</v>
      </c>
      <c r="H3" s="249">
        <f t="shared" si="1"/>
        <v>225794229.16999999</v>
      </c>
      <c r="I3" s="250">
        <f>SUM(C3:H3)</f>
        <v>419899837.38999999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27130907.59</v>
      </c>
      <c r="I4" s="250">
        <f>SUM(C4:H4)</f>
        <v>27130907.59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71121977964</v>
      </c>
      <c r="D6" s="250">
        <f t="shared" ref="D6:H6" si="5">SUM(D2:D5)</f>
        <v>0</v>
      </c>
      <c r="E6" s="250">
        <f t="shared" si="5"/>
        <v>0</v>
      </c>
      <c r="F6" s="250">
        <f t="shared" si="5"/>
        <v>27905570</v>
      </c>
      <c r="G6" s="250">
        <f t="shared" si="5"/>
        <v>32556620</v>
      </c>
      <c r="H6" s="250">
        <f t="shared" si="5"/>
        <v>5885496214.000001</v>
      </c>
      <c r="I6" s="250">
        <f>SUM(I2:I5)</f>
        <v>77067936368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327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17445127414</v>
      </c>
      <c r="D13" s="244"/>
      <c r="E13" s="244"/>
      <c r="F13" s="244"/>
      <c r="G13" s="244"/>
      <c r="H13" s="244">
        <v>878866230</v>
      </c>
      <c r="I13" s="246">
        <f>SUM(C13:H13)</f>
        <v>18323993644</v>
      </c>
      <c r="J13" s="251" t="b">
        <f>SUM(C13:H13)=I13</f>
        <v>1</v>
      </c>
    </row>
    <row r="14" spans="1:10" x14ac:dyDescent="0.25">
      <c r="B14" s="89" t="s">
        <v>98</v>
      </c>
      <c r="C14" s="244">
        <v>40340694</v>
      </c>
      <c r="D14" s="244"/>
      <c r="E14" s="244"/>
      <c r="F14" s="244"/>
      <c r="G14" s="244"/>
      <c r="H14" s="244">
        <v>20016520.48</v>
      </c>
      <c r="I14" s="246">
        <f t="shared" ref="I14:I16" si="7">SUM(C14:H14)</f>
        <v>60357214.480000004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11702167.52</v>
      </c>
      <c r="I15" s="246">
        <f t="shared" si="7"/>
        <v>11702167.52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/>
      <c r="E16" s="244"/>
      <c r="F16" s="244"/>
      <c r="G16" s="244"/>
      <c r="H16" s="244"/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17485468108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910584918</v>
      </c>
      <c r="I17" s="247">
        <f t="shared" si="9"/>
        <v>18396053026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327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19260091230.779999</v>
      </c>
      <c r="D23" s="244"/>
      <c r="E23" s="244">
        <v>0</v>
      </c>
      <c r="F23" s="244">
        <v>9350210</v>
      </c>
      <c r="G23" s="244"/>
      <c r="H23" s="244">
        <v>2260522795</v>
      </c>
      <c r="I23" s="246">
        <f>SUM(C23:H23)</f>
        <v>21529964235.779999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53772356.219999999</v>
      </c>
      <c r="D24" s="244"/>
      <c r="E24" s="244">
        <v>0</v>
      </c>
      <c r="F24" s="244">
        <v>9710980</v>
      </c>
      <c r="G24" s="244"/>
      <c r="H24" s="244">
        <v>126283371</v>
      </c>
      <c r="I24" s="246">
        <f t="shared" ref="I24:I26" si="11">SUM(C24:H24)</f>
        <v>189766707.22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19313863587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19061190</v>
      </c>
      <c r="G27" s="244">
        <f>SUM(G23:G26)</f>
        <v>0</v>
      </c>
      <c r="H27" s="244">
        <f>SUM(H23:H26)</f>
        <v>2386806166</v>
      </c>
      <c r="I27" s="247">
        <f>SUM(I23:I26)</f>
        <v>21719730943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327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15124893786</v>
      </c>
      <c r="D32" s="244"/>
      <c r="E32" s="244"/>
      <c r="F32" s="244">
        <v>0</v>
      </c>
      <c r="G32" s="244"/>
      <c r="H32" s="244">
        <v>1255924231.01</v>
      </c>
      <c r="I32" s="246">
        <f>SUM(C32:H32)</f>
        <v>16380818017.01</v>
      </c>
      <c r="J32" s="251" t="b">
        <f>SUM(C32:H32)=I32</f>
        <v>1</v>
      </c>
    </row>
    <row r="33" spans="2:10" x14ac:dyDescent="0.25">
      <c r="B33" s="89" t="s">
        <v>98</v>
      </c>
      <c r="C33" s="244">
        <v>20418516</v>
      </c>
      <c r="D33" s="244"/>
      <c r="E33" s="244"/>
      <c r="F33" s="244">
        <v>0</v>
      </c>
      <c r="G33" s="244"/>
      <c r="H33" s="244">
        <v>10719555.23</v>
      </c>
      <c r="I33" s="246">
        <f>SUM(C33:H33)</f>
        <v>31138071.23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2274841.7599999998</v>
      </c>
      <c r="I34" s="246">
        <f t="shared" ref="I34:I35" si="14">SUM(C34:H34)</f>
        <v>2274841.7599999998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/>
      <c r="E35" s="244"/>
      <c r="F35" s="244">
        <v>0</v>
      </c>
      <c r="G35" s="244"/>
      <c r="H35" s="244"/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15145312302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1268918628</v>
      </c>
      <c r="I36" s="247">
        <f>SUM(I32:I35)</f>
        <v>16414230930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327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7358390426</v>
      </c>
      <c r="D41" s="244"/>
      <c r="E41" s="244">
        <v>0</v>
      </c>
      <c r="F41" s="244">
        <v>4363050</v>
      </c>
      <c r="G41" s="244"/>
      <c r="H41" s="244">
        <v>908362098.17999995</v>
      </c>
      <c r="I41" s="246">
        <f t="shared" ref="I41:I44" si="16">SUM(C41:H41)</f>
        <v>8271115574.1800003</v>
      </c>
      <c r="J41" s="251" t="b">
        <f>SUM(C41:H41)=I41</f>
        <v>1</v>
      </c>
    </row>
    <row r="42" spans="2:10" x14ac:dyDescent="0.25">
      <c r="B42" s="89" t="s">
        <v>98</v>
      </c>
      <c r="C42" s="244">
        <v>37713515</v>
      </c>
      <c r="D42" s="244"/>
      <c r="E42" s="244">
        <v>0</v>
      </c>
      <c r="F42" s="244">
        <v>4481330</v>
      </c>
      <c r="G42" s="244"/>
      <c r="H42" s="244">
        <v>57223143.460000001</v>
      </c>
      <c r="I42" s="246">
        <f t="shared" si="16"/>
        <v>99417988.460000008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12390685.359999999</v>
      </c>
      <c r="I43" s="246">
        <f t="shared" si="16"/>
        <v>12390685.359999999</v>
      </c>
      <c r="J43" s="251" t="b">
        <f t="shared" si="17"/>
        <v>1</v>
      </c>
    </row>
    <row r="44" spans="2:10" x14ac:dyDescent="0.25">
      <c r="B44" s="89" t="s">
        <v>169</v>
      </c>
      <c r="C44" s="244"/>
      <c r="D44" s="244"/>
      <c r="E44" s="244"/>
      <c r="F44" s="244"/>
      <c r="G44" s="244"/>
      <c r="H44" s="244"/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7396103941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8844380</v>
      </c>
      <c r="G45" s="244">
        <f>SUM(G41:G44)</f>
        <v>0</v>
      </c>
      <c r="H45" s="244">
        <f>SUM(H41:H44)</f>
        <v>977975927</v>
      </c>
      <c r="I45" s="247">
        <f>SUM(I41:I44)</f>
        <v>8382924248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327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11757334219</v>
      </c>
      <c r="D51" s="244"/>
      <c r="E51" s="244"/>
      <c r="F51" s="244"/>
      <c r="G51" s="244">
        <v>28784210</v>
      </c>
      <c r="H51" s="590">
        <v>328895723.05000001</v>
      </c>
      <c r="I51" s="246">
        <f t="shared" ref="I51:I54" si="19">SUM(C51:H51)</f>
        <v>12115014152.049999</v>
      </c>
      <c r="J51" s="251" t="b">
        <f>SUM(C51:H51)=I51</f>
        <v>1</v>
      </c>
    </row>
    <row r="52" spans="2:10" x14ac:dyDescent="0.25">
      <c r="B52" s="89" t="s">
        <v>98</v>
      </c>
      <c r="C52" s="590">
        <v>23895807</v>
      </c>
      <c r="D52" s="244"/>
      <c r="E52" s="244"/>
      <c r="F52" s="244"/>
      <c r="G52" s="244">
        <v>3772410</v>
      </c>
      <c r="H52" s="590">
        <v>11551639</v>
      </c>
      <c r="I52" s="246">
        <f>SUM(C52:H52)</f>
        <v>39219856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/>
      <c r="E53" s="244"/>
      <c r="F53" s="244"/>
      <c r="G53" s="244">
        <v>0</v>
      </c>
      <c r="H53" s="590">
        <v>763212.95</v>
      </c>
      <c r="I53" s="246">
        <f t="shared" si="19"/>
        <v>763212.95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/>
      <c r="E54" s="244"/>
      <c r="F54" s="244"/>
      <c r="G54" s="244"/>
      <c r="H54" s="244"/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11781230026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32556620</v>
      </c>
      <c r="H55" s="244">
        <f>SUM(H51:H54)</f>
        <v>341210575</v>
      </c>
      <c r="I55" s="247">
        <f>SUM(I51:I54)</f>
        <v>12154997221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335</v>
      </c>
      <c r="C59" s="209">
        <v>2</v>
      </c>
      <c r="D59" s="744" t="s">
        <v>336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17485468108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337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19061190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325</v>
      </c>
      <c r="C65" s="749">
        <f>IF($C$59=1,'Recaudo ENEL'!D22,'Recaudo ENEL'!F22)</f>
        <v>19312203807</v>
      </c>
      <c r="D65" s="748" t="b">
        <f>C27=C65</f>
        <v>0</v>
      </c>
      <c r="E65" s="750">
        <f>C27-C65</f>
        <v>1659780</v>
      </c>
      <c r="F65" s="142" t="s">
        <v>342</v>
      </c>
    </row>
    <row r="66" spans="2:7" x14ac:dyDescent="0.25">
      <c r="B66" s="748" t="s">
        <v>338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15144539722</v>
      </c>
      <c r="D67" s="745" t="b">
        <f>C36=C67</f>
        <v>0</v>
      </c>
      <c r="E67" s="747">
        <f>C36-C67</f>
        <v>772580</v>
      </c>
      <c r="F67" s="760" t="s">
        <v>342</v>
      </c>
    </row>
    <row r="68" spans="2:7" x14ac:dyDescent="0.25">
      <c r="B68" s="745" t="s">
        <v>339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8844380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326</v>
      </c>
      <c r="C70" s="749">
        <f>IF($C$59=1,'Recaudo ENEL'!D24,'Recaudo ENEL'!F24)</f>
        <v>7395670681</v>
      </c>
      <c r="D70" s="748" t="b">
        <f>C45=C70</f>
        <v>0</v>
      </c>
      <c r="E70" s="750">
        <f>C45-C70</f>
        <v>433260</v>
      </c>
      <c r="F70" s="142" t="s">
        <v>342</v>
      </c>
    </row>
    <row r="71" spans="2:7" x14ac:dyDescent="0.25">
      <c r="B71" s="748" t="s">
        <v>340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11780722576</v>
      </c>
      <c r="D72" s="745" t="b">
        <f>C55=C72</f>
        <v>0</v>
      </c>
      <c r="E72" s="747">
        <f>C55-C72</f>
        <v>507450</v>
      </c>
      <c r="F72" s="142" t="s">
        <v>342</v>
      </c>
    </row>
    <row r="73" spans="2:7" x14ac:dyDescent="0.25">
      <c r="B73" s="745" t="s">
        <v>328</v>
      </c>
      <c r="C73" s="746">
        <f>IF($C$59=1,'Recaudo ENERBIT'!D25,'Recaudo ENERBIT'!F25)</f>
        <v>32556620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261</v>
      </c>
      <c r="C75" s="746">
        <f>IF($C$59=1,'Recaudo Directa Occidente'!D21,'Recaudo Directa Occidente'!F21)</f>
        <v>910584918</v>
      </c>
      <c r="D75" s="745" t="b">
        <f>C75=H17</f>
        <v>1</v>
      </c>
      <c r="E75" s="747">
        <f>C75-H17</f>
        <v>0</v>
      </c>
      <c r="F75" s="695"/>
      <c r="G75" s="695"/>
    </row>
    <row r="76" spans="2:7" x14ac:dyDescent="0.25">
      <c r="B76" s="748" t="s">
        <v>262</v>
      </c>
      <c r="C76" s="749">
        <f>IF($C$59=1,'Recaudo Directa Occidente'!D22,'Recaudo Directa Occidente'!F22)</f>
        <v>2386806166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263</v>
      </c>
      <c r="C77" s="746">
        <f>IF($C$59=1,'Recaudo Directa Occidente'!D23,'Recaudo Directa Occidente'!F23)</f>
        <v>1268918628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264</v>
      </c>
      <c r="C78" s="749">
        <f>IF($C$59=1,'Recaudo Directa Occidente'!D24,'Recaudo Directa Occidente'!F24)</f>
        <v>977975927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265</v>
      </c>
      <c r="C79" s="746">
        <f>IF($C$59=1,'Recaudo Directa Occidente'!D25,'Recaudo Directa Occidente'!F25)</f>
        <v>341210575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J36" sqref="J36"/>
    </sheetView>
  </sheetViews>
  <sheetFormatPr baseColWidth="10" defaultRowHeight="13.2" x14ac:dyDescent="0.25"/>
  <cols>
    <col min="1" max="1" width="3.44140625" customWidth="1"/>
    <col min="2" max="2" width="20.77734375" bestFit="1" customWidth="1"/>
    <col min="3" max="3" width="13.21875" bestFit="1" customWidth="1"/>
    <col min="4" max="6" width="12.77734375" bestFit="1" customWidth="1"/>
    <col min="7" max="7" width="12.5546875" customWidth="1"/>
    <col min="8" max="14" width="12.77734375" bestFit="1" customWidth="1"/>
    <col min="16" max="16" width="12.77734375" bestFit="1" customWidth="1"/>
  </cols>
  <sheetData>
    <row r="1" spans="1:16" ht="13.8" thickBot="1" x14ac:dyDescent="0.3">
      <c r="C1" s="771" t="s">
        <v>99</v>
      </c>
      <c r="D1" s="771"/>
      <c r="E1" s="771" t="s">
        <v>100</v>
      </c>
      <c r="F1" s="771"/>
      <c r="G1" s="771" t="s">
        <v>101</v>
      </c>
      <c r="H1" s="771"/>
      <c r="I1" s="771" t="s">
        <v>102</v>
      </c>
      <c r="J1" s="771"/>
      <c r="K1" s="771" t="s">
        <v>103</v>
      </c>
      <c r="L1" s="771"/>
      <c r="M1" s="771" t="s">
        <v>2</v>
      </c>
      <c r="N1" s="771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63570</v>
      </c>
      <c r="D3" s="249">
        <f>D11+D19+D27+D35+D43</f>
        <v>-73090</v>
      </c>
      <c r="E3" s="249">
        <f t="shared" ref="E3:K3" si="0">E11+E19+E27+E35+E43</f>
        <v>221630</v>
      </c>
      <c r="F3" s="249">
        <f>F11+F19+F27+F35+F43</f>
        <v>-13472482</v>
      </c>
      <c r="G3" s="249">
        <f t="shared" si="0"/>
        <v>0</v>
      </c>
      <c r="H3" s="249">
        <f t="shared" si="0"/>
        <v>-4617354</v>
      </c>
      <c r="I3" s="249">
        <f t="shared" si="0"/>
        <v>4030410</v>
      </c>
      <c r="J3" s="249">
        <f t="shared" si="0"/>
        <v>-15663330</v>
      </c>
      <c r="K3" s="249">
        <f t="shared" si="0"/>
        <v>1249810</v>
      </c>
      <c r="L3" s="249">
        <f>L11+L19+L27+L35+L43</f>
        <v>-4011371.65</v>
      </c>
      <c r="M3" s="259">
        <f>C3+E3+G3+I3+K3</f>
        <v>5565420</v>
      </c>
      <c r="N3" s="260">
        <f>D3+F3+H3+J3+L3</f>
        <v>-37837627.649999999</v>
      </c>
      <c r="P3" s="209" t="b">
        <f>N3=(-VALIDACION_TOTAL!M9)</f>
        <v>1</v>
      </c>
    </row>
    <row r="4" spans="1:16" ht="13.8" thickBot="1" x14ac:dyDescent="0.3">
      <c r="B4" s="210" t="s">
        <v>152</v>
      </c>
      <c r="C4" s="730">
        <f>C12+C20+C28+C36+C44</f>
        <v>76340</v>
      </c>
      <c r="D4" s="731">
        <f>D12+D20+D28+D36+D44</f>
        <v>-66820</v>
      </c>
      <c r="E4" s="731">
        <f t="shared" ref="E4:K4" si="1">E12+E20+E28+E36+E44</f>
        <v>2593540</v>
      </c>
      <c r="F4" s="731">
        <f t="shared" si="1"/>
        <v>-79350</v>
      </c>
      <c r="G4" s="731">
        <f t="shared" si="1"/>
        <v>0</v>
      </c>
      <c r="H4" s="731">
        <f t="shared" si="1"/>
        <v>0</v>
      </c>
      <c r="I4" s="731">
        <f t="shared" si="1"/>
        <v>8227070</v>
      </c>
      <c r="J4" s="731">
        <f t="shared" si="1"/>
        <v>-36570</v>
      </c>
      <c r="K4" s="731">
        <f t="shared" si="1"/>
        <v>2298610</v>
      </c>
      <c r="L4" s="731">
        <f>L12+L20+L28+L36+L44</f>
        <v>-1057608.3500000001</v>
      </c>
      <c r="M4" s="734">
        <f>C4+E4+G4+I4+K4</f>
        <v>13195560</v>
      </c>
      <c r="N4" s="735">
        <f>D4+F4+H4+J4+L4</f>
        <v>-1240348.3500000001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139910</v>
      </c>
      <c r="D5" s="254">
        <f t="shared" ref="D5:L5" si="2">SUM(D3:D4)</f>
        <v>-139910</v>
      </c>
      <c r="E5" s="254">
        <f t="shared" si="2"/>
        <v>2815170</v>
      </c>
      <c r="F5" s="254">
        <f t="shared" si="2"/>
        <v>-13551832</v>
      </c>
      <c r="G5" s="254">
        <f t="shared" si="2"/>
        <v>0</v>
      </c>
      <c r="H5" s="254">
        <f t="shared" si="2"/>
        <v>-4617354</v>
      </c>
      <c r="I5" s="254">
        <f t="shared" si="2"/>
        <v>12257480</v>
      </c>
      <c r="J5" s="254">
        <f t="shared" si="2"/>
        <v>-15699900</v>
      </c>
      <c r="K5" s="254">
        <f>SUM(K3:K4)</f>
        <v>3548420</v>
      </c>
      <c r="L5" s="256">
        <f t="shared" si="2"/>
        <v>-5068980</v>
      </c>
      <c r="M5" s="253">
        <f t="shared" ref="M5" si="3">SUM(M3:M4)</f>
        <v>18760980</v>
      </c>
      <c r="N5" s="255">
        <f>SUM(N3:N4)</f>
        <v>-39077976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1" t="s">
        <v>99</v>
      </c>
      <c r="D9" s="771"/>
      <c r="E9" s="771" t="s">
        <v>100</v>
      </c>
      <c r="F9" s="771"/>
      <c r="G9" s="771" t="s">
        <v>101</v>
      </c>
      <c r="H9" s="771"/>
      <c r="I9" s="771" t="s">
        <v>102</v>
      </c>
      <c r="J9" s="771"/>
      <c r="K9" s="771" t="s">
        <v>103</v>
      </c>
      <c r="L9" s="771"/>
      <c r="M9" s="771" t="s">
        <v>2</v>
      </c>
      <c r="N9" s="771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24890</v>
      </c>
      <c r="F11" s="245">
        <v>-24890</v>
      </c>
      <c r="G11" s="245">
        <v>0</v>
      </c>
      <c r="H11" s="245">
        <v>0</v>
      </c>
      <c r="I11" s="245">
        <v>154832</v>
      </c>
      <c r="J11" s="245">
        <v>-474944</v>
      </c>
      <c r="K11" s="244">
        <v>1249810</v>
      </c>
      <c r="L11" s="245">
        <v>-2556821.65</v>
      </c>
      <c r="M11" s="249">
        <f>C11+E11+G11+I11+K11</f>
        <v>1429532</v>
      </c>
      <c r="N11" s="245">
        <f>D11+F11+H11+J11+L11</f>
        <v>-3056655.65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320112</v>
      </c>
      <c r="J12" s="245">
        <v>0</v>
      </c>
      <c r="K12" s="244">
        <v>2298610</v>
      </c>
      <c r="L12" s="245">
        <v>-1057608.3500000001</v>
      </c>
      <c r="M12" s="249">
        <f>C12+E12+G12+I12+K12</f>
        <v>2618722</v>
      </c>
      <c r="N12" s="245">
        <f>D12+F12+H12+J12+L12</f>
        <v>-1057608.3500000001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24890</v>
      </c>
      <c r="F13" s="249">
        <f t="shared" si="6"/>
        <v>-24890</v>
      </c>
      <c r="G13" s="249">
        <f>SUM(G11:G12)</f>
        <v>0</v>
      </c>
      <c r="H13" s="249">
        <f>SUM(H11:H12)</f>
        <v>0</v>
      </c>
      <c r="I13" s="249">
        <f t="shared" si="6"/>
        <v>474944</v>
      </c>
      <c r="J13" s="249">
        <f t="shared" si="6"/>
        <v>-474944</v>
      </c>
      <c r="K13" s="249">
        <f t="shared" si="6"/>
        <v>3548420</v>
      </c>
      <c r="L13" s="249">
        <f t="shared" si="6"/>
        <v>-3614430</v>
      </c>
      <c r="M13" s="249">
        <f t="shared" si="6"/>
        <v>4048254</v>
      </c>
      <c r="N13" s="249">
        <f t="shared" si="6"/>
        <v>-4114264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1" t="s">
        <v>99</v>
      </c>
      <c r="D17" s="771"/>
      <c r="E17" s="771" t="s">
        <v>100</v>
      </c>
      <c r="F17" s="771"/>
      <c r="G17" s="771" t="s">
        <v>101</v>
      </c>
      <c r="H17" s="771"/>
      <c r="I17" s="771" t="s">
        <v>102</v>
      </c>
      <c r="J17" s="771"/>
      <c r="K17" s="771" t="s">
        <v>103</v>
      </c>
      <c r="L17" s="771"/>
      <c r="M17" s="771" t="s">
        <v>2</v>
      </c>
      <c r="N17" s="771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232870</v>
      </c>
      <c r="J19" s="245">
        <v>-549540</v>
      </c>
      <c r="K19" s="244">
        <v>0</v>
      </c>
      <c r="L19" s="245">
        <v>0</v>
      </c>
      <c r="M19" s="245">
        <f>C19+E19+G19+I19+K19</f>
        <v>232870</v>
      </c>
      <c r="N19" s="245">
        <f>D19+F19+H19+J19+L19</f>
        <v>-549540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316670</v>
      </c>
      <c r="J20" s="546">
        <v>0</v>
      </c>
      <c r="K20" s="244">
        <v>0</v>
      </c>
      <c r="L20" s="245">
        <v>0</v>
      </c>
      <c r="M20" s="245">
        <f>C20+E20+G20+I20+K20</f>
        <v>316670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549540</v>
      </c>
      <c r="J21" s="249">
        <f t="shared" si="7"/>
        <v>-549540</v>
      </c>
      <c r="K21" s="249">
        <f t="shared" si="7"/>
        <v>0</v>
      </c>
      <c r="L21" s="249">
        <f t="shared" si="7"/>
        <v>0</v>
      </c>
      <c r="M21" s="249">
        <f>C21+E21+G21+I21+K21</f>
        <v>549540</v>
      </c>
      <c r="N21" s="249">
        <f t="shared" ref="N21" si="8">SUM(N19:N20)</f>
        <v>-549540</v>
      </c>
    </row>
    <row r="24" spans="2:14" ht="14.4" x14ac:dyDescent="0.3">
      <c r="B24" s="208" t="s">
        <v>154</v>
      </c>
      <c r="C24" s="209"/>
    </row>
    <row r="25" spans="2:14" x14ac:dyDescent="0.25">
      <c r="C25" s="771" t="s">
        <v>99</v>
      </c>
      <c r="D25" s="771"/>
      <c r="E25" s="771" t="s">
        <v>100</v>
      </c>
      <c r="F25" s="771"/>
      <c r="G25" s="771" t="s">
        <v>101</v>
      </c>
      <c r="H25" s="771"/>
      <c r="I25" s="771" t="s">
        <v>102</v>
      </c>
      <c r="J25" s="771"/>
      <c r="K25" s="771" t="s">
        <v>103</v>
      </c>
      <c r="L25" s="771"/>
      <c r="M25" s="771" t="s">
        <v>2</v>
      </c>
      <c r="N25" s="771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1" t="s">
        <v>99</v>
      </c>
      <c r="D33" s="771"/>
      <c r="E33" s="771" t="s">
        <v>100</v>
      </c>
      <c r="F33" s="771"/>
      <c r="G33" s="771" t="s">
        <v>101</v>
      </c>
      <c r="H33" s="771"/>
      <c r="I33" s="771" t="s">
        <v>102</v>
      </c>
      <c r="J33" s="771"/>
      <c r="K33" s="771" t="s">
        <v>103</v>
      </c>
      <c r="L33" s="771"/>
      <c r="M33" s="771" t="s">
        <v>2</v>
      </c>
      <c r="N33" s="771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63570</v>
      </c>
      <c r="D35" s="245">
        <v>-73090</v>
      </c>
      <c r="E35" s="245">
        <v>196740</v>
      </c>
      <c r="F35" s="245">
        <v>-13447592</v>
      </c>
      <c r="G35" s="245">
        <v>0</v>
      </c>
      <c r="H35" s="245">
        <v>-4617354</v>
      </c>
      <c r="I35" s="245">
        <v>3642708</v>
      </c>
      <c r="J35" s="245">
        <v>-14638846</v>
      </c>
      <c r="K35" s="244">
        <v>0</v>
      </c>
      <c r="L35" s="245">
        <v>-1454550</v>
      </c>
      <c r="M35" s="245">
        <f>C35+E35+G35+I35+K35</f>
        <v>3903018</v>
      </c>
      <c r="N35" s="245">
        <f>D35+F35+H35+J35+L35</f>
        <v>-34231432</v>
      </c>
    </row>
    <row r="36" spans="2:14" x14ac:dyDescent="0.25">
      <c r="B36" s="210" t="s">
        <v>152</v>
      </c>
      <c r="C36" s="245">
        <v>76340</v>
      </c>
      <c r="D36" s="245">
        <v>-66820</v>
      </c>
      <c r="E36" s="245">
        <v>2593540</v>
      </c>
      <c r="F36" s="245">
        <v>-79350</v>
      </c>
      <c r="G36" s="245">
        <v>0</v>
      </c>
      <c r="H36" s="245">
        <v>0</v>
      </c>
      <c r="I36" s="245">
        <v>7590288</v>
      </c>
      <c r="J36" s="245">
        <v>-36570</v>
      </c>
      <c r="K36" s="244">
        <v>0</v>
      </c>
      <c r="L36" s="245">
        <v>0</v>
      </c>
      <c r="M36" s="245">
        <f>C36+E36+G36+I36+K36</f>
        <v>10260168</v>
      </c>
      <c r="N36" s="245">
        <f>D36+F36+H36+J36+L36</f>
        <v>-182740</v>
      </c>
    </row>
    <row r="37" spans="2:14" x14ac:dyDescent="0.25">
      <c r="B37" s="211" t="s">
        <v>2</v>
      </c>
      <c r="C37" s="249">
        <f>SUM(C35:C36)</f>
        <v>139910</v>
      </c>
      <c r="D37" s="249">
        <f t="shared" ref="D37:L37" si="10">SUM(D35:D36)</f>
        <v>-139910</v>
      </c>
      <c r="E37" s="249">
        <f t="shared" si="10"/>
        <v>2790280</v>
      </c>
      <c r="F37" s="249">
        <f t="shared" si="10"/>
        <v>-13526942</v>
      </c>
      <c r="G37" s="249">
        <f t="shared" si="10"/>
        <v>0</v>
      </c>
      <c r="H37" s="249">
        <f t="shared" si="10"/>
        <v>-4617354</v>
      </c>
      <c r="I37" s="249">
        <f t="shared" si="10"/>
        <v>11232996</v>
      </c>
      <c r="J37" s="249">
        <f t="shared" si="10"/>
        <v>-14675416</v>
      </c>
      <c r="K37" s="249">
        <f t="shared" si="10"/>
        <v>0</v>
      </c>
      <c r="L37" s="249">
        <f t="shared" si="10"/>
        <v>-1454550</v>
      </c>
      <c r="M37" s="249">
        <f>SUM(M35:M36)</f>
        <v>14163186</v>
      </c>
      <c r="N37" s="249">
        <f t="shared" ref="N37" si="11">SUM(N35:N36)</f>
        <v>-34414172</v>
      </c>
    </row>
    <row r="39" spans="2:14" x14ac:dyDescent="0.25">
      <c r="L39" s="212"/>
    </row>
    <row r="40" spans="2:14" x14ac:dyDescent="0.25">
      <c r="B40" s="742" t="s">
        <v>327</v>
      </c>
    </row>
    <row r="41" spans="2:14" x14ac:dyDescent="0.25">
      <c r="C41" s="771" t="s">
        <v>99</v>
      </c>
      <c r="D41" s="771"/>
      <c r="E41" s="771" t="s">
        <v>100</v>
      </c>
      <c r="F41" s="771"/>
      <c r="G41" s="771" t="s">
        <v>101</v>
      </c>
      <c r="H41" s="771"/>
      <c r="I41" s="771" t="s">
        <v>102</v>
      </c>
      <c r="J41" s="771"/>
      <c r="K41" s="771" t="s">
        <v>103</v>
      </c>
      <c r="L41" s="771"/>
      <c r="M41" s="771" t="s">
        <v>2</v>
      </c>
      <c r="N41" s="771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77734375" bestFit="1" customWidth="1"/>
    <col min="4" max="4" width="1.77734375" style="238" customWidth="1"/>
    <col min="5" max="5" width="14.77734375" customWidth="1"/>
    <col min="6" max="6" width="15.77734375" bestFit="1" customWidth="1"/>
    <col min="7" max="7" width="1.77734375" style="238" customWidth="1"/>
    <col min="8" max="8" width="9.21875" customWidth="1"/>
    <col min="9" max="9" width="15.77734375" bestFit="1" customWidth="1"/>
    <col min="10" max="10" width="1.77734375" style="238" customWidth="1"/>
    <col min="11" max="11" width="14.21875" customWidth="1"/>
    <col min="12" max="12" width="17.44140625" customWidth="1"/>
    <col min="13" max="13" width="1.77734375" style="238" customWidth="1"/>
    <col min="14" max="14" width="14.21875" customWidth="1"/>
    <col min="15" max="15" width="17.44140625" customWidth="1"/>
    <col min="16" max="16" width="1.77734375" style="238" customWidth="1"/>
    <col min="17" max="17" width="20.21875" customWidth="1"/>
    <col min="18" max="18" width="15.777343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327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60357214.480000004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40340694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20016520.48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189766707.22</v>
      </c>
      <c r="E4" s="16">
        <v>2</v>
      </c>
      <c r="F4" s="15">
        <f>'REPORTE RECAUDO x BANCO'!F24</f>
        <v>9710980</v>
      </c>
      <c r="H4" s="16">
        <v>2</v>
      </c>
      <c r="I4" s="15">
        <f>'REPORTE RECAUDO x BANCO'!C24</f>
        <v>53772356.219999999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126283371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31138071.23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20418516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10719555.23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99417988.460000008</v>
      </c>
      <c r="E6" s="16">
        <v>4</v>
      </c>
      <c r="F6" s="15">
        <f>'REPORTE RECAUDO x BANCO'!F42</f>
        <v>4481330</v>
      </c>
      <c r="H6" s="16">
        <v>4</v>
      </c>
      <c r="I6" s="15">
        <f>'REPORTE RECAUDO x BANCO'!C42</f>
        <v>37713515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57223143.460000001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39219856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23895807</v>
      </c>
      <c r="K7" s="19">
        <v>5</v>
      </c>
      <c r="L7" s="15">
        <f>'REPORTE RECAUDO x BANCO'!G52</f>
        <v>3772410</v>
      </c>
      <c r="N7" s="19">
        <v>5</v>
      </c>
      <c r="O7" s="15">
        <f>'REPORTE RECAUDO x BANCO'!H52</f>
        <v>11551639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419899837.38999999</v>
      </c>
      <c r="E8" s="21"/>
      <c r="F8" s="47">
        <f>SUM(F3:F7)</f>
        <v>14192310</v>
      </c>
      <c r="H8" s="21"/>
      <c r="I8" s="47">
        <f>SUM(I3:I7)</f>
        <v>176140888.22</v>
      </c>
      <c r="K8" s="21"/>
      <c r="L8" s="47">
        <f>SUM(L3:L7)</f>
        <v>3772410</v>
      </c>
      <c r="N8" s="21"/>
      <c r="O8" s="47">
        <f>SUM(O3:O7)</f>
        <v>225794229.16999999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76340</v>
      </c>
      <c r="E12" s="14">
        <v>1</v>
      </c>
      <c r="F12" s="15">
        <f>'ANT EXT-REV'!C20</f>
        <v>0</v>
      </c>
      <c r="H12" s="14">
        <v>1</v>
      </c>
      <c r="I12" s="15">
        <f>'ANT EXT-REV'!C36</f>
        <v>76340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2593540</v>
      </c>
      <c r="E13" s="16">
        <v>2</v>
      </c>
      <c r="F13" s="15">
        <f>'ANT EXT-REV'!E20</f>
        <v>0</v>
      </c>
      <c r="H13" s="16">
        <v>2</v>
      </c>
      <c r="I13" s="15">
        <f>'ANT EXT-REV'!E36</f>
        <v>2593540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8227070</v>
      </c>
      <c r="E15" s="16">
        <v>4</v>
      </c>
      <c r="F15" s="15">
        <f>'ANT EXT-REV'!I20</f>
        <v>316670</v>
      </c>
      <c r="H15" s="16">
        <v>4</v>
      </c>
      <c r="I15" s="15">
        <f>'ANT EXT-REV'!I36</f>
        <v>7590288</v>
      </c>
      <c r="K15" s="16">
        <v>4</v>
      </c>
      <c r="L15" s="15">
        <f>'ANT EXT-REV'!I44</f>
        <v>0</v>
      </c>
      <c r="N15" s="16">
        <v>4</v>
      </c>
      <c r="O15" s="15">
        <f>'ANT EXT-REV'!I12</f>
        <v>320112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2298610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2298610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13195560</v>
      </c>
      <c r="E17" s="21"/>
      <c r="F17" s="47">
        <f>SUM(F12:F16)</f>
        <v>316670</v>
      </c>
      <c r="H17" s="21"/>
      <c r="I17" s="47">
        <f>SUM(I12:I16)</f>
        <v>10260168</v>
      </c>
      <c r="K17" s="21"/>
      <c r="L17" s="47">
        <f>SUM(L12:L16)</f>
        <v>0</v>
      </c>
      <c r="N17" s="21"/>
      <c r="O17" s="47">
        <f>SUM(O12:O16)</f>
        <v>2618722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-66820</v>
      </c>
      <c r="E21" s="14">
        <v>1</v>
      </c>
      <c r="F21" s="15">
        <f>'ANT EXT-REV'!D20</f>
        <v>0</v>
      </c>
      <c r="H21" s="14">
        <v>1</v>
      </c>
      <c r="I21" s="15">
        <f>'ANT EXT-REV'!D36</f>
        <v>-66820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-79350</v>
      </c>
      <c r="E22" s="16">
        <v>2</v>
      </c>
      <c r="F22" s="15">
        <f>'ANT EXT-REV'!F20</f>
        <v>0</v>
      </c>
      <c r="H22" s="16">
        <v>2</v>
      </c>
      <c r="I22" s="15">
        <f>'ANT EXT-REV'!F36</f>
        <v>-79350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-36570</v>
      </c>
      <c r="E24" s="16">
        <v>4</v>
      </c>
      <c r="F24" s="15">
        <f>'ANT EXT-REV'!J20</f>
        <v>0</v>
      </c>
      <c r="H24" s="16">
        <v>4</v>
      </c>
      <c r="I24" s="15">
        <f>'ANT EXT-REV'!J36</f>
        <v>-36570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-1057608.3500000001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-1057608.3500000001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-1240348.3500000001</v>
      </c>
      <c r="E26" s="21"/>
      <c r="F26" s="47">
        <f t="shared" ref="F26" si="1">SUM(F21:F25)</f>
        <v>0</v>
      </c>
      <c r="H26" s="21"/>
      <c r="I26" s="47">
        <f t="shared" ref="I26" si="2">SUM(I21:I25)</f>
        <v>-182740</v>
      </c>
      <c r="K26" s="21"/>
      <c r="L26" s="47">
        <f t="shared" ref="L26:O26" si="3">SUM(L21:L25)</f>
        <v>0</v>
      </c>
      <c r="N26" s="21"/>
      <c r="O26" s="47">
        <f t="shared" si="3"/>
        <v>-1057608.3500000001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H34" sqref="H34"/>
    </sheetView>
  </sheetViews>
  <sheetFormatPr baseColWidth="10" defaultRowHeight="13.2" x14ac:dyDescent="0.25"/>
  <cols>
    <col min="3" max="3" width="11.44140625" style="123"/>
    <col min="4" max="4" width="19.21875" customWidth="1"/>
    <col min="5" max="5" width="18.21875" customWidth="1"/>
    <col min="6" max="7" width="18" customWidth="1"/>
    <col min="8" max="8" width="27.77734375" customWidth="1"/>
    <col min="9" max="9" width="33.5546875" customWidth="1"/>
    <col min="13" max="13" width="28.44140625" customWidth="1"/>
    <col min="17" max="17" width="12.777343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-6202728417.6000004</v>
      </c>
      <c r="E3" s="592">
        <v>2592514668.3299999</v>
      </c>
      <c r="F3" s="593">
        <f>D3+E3</f>
        <v>-3610213749.2700005</v>
      </c>
      <c r="G3" s="499"/>
      <c r="H3" s="612">
        <f>DetRetri2026082!J9</f>
        <v>-3610213749</v>
      </c>
      <c r="I3" s="276">
        <f>F3-H3</f>
        <v>-0.27000045776367188</v>
      </c>
    </row>
    <row r="4" spans="1:17" x14ac:dyDescent="0.25">
      <c r="C4" s="124">
        <v>2</v>
      </c>
      <c r="D4" s="602">
        <v>-6674386829.5799999</v>
      </c>
      <c r="E4" s="602">
        <v>2384510488.25</v>
      </c>
      <c r="F4" s="593">
        <f>D4+E4</f>
        <v>-4289876341.3299999</v>
      </c>
      <c r="G4" s="499"/>
      <c r="H4" s="613">
        <f>DetRetri2026082!J10</f>
        <v>-4289876341</v>
      </c>
      <c r="I4" s="276">
        <f t="shared" ref="I4:I7" si="0">F4-H4</f>
        <v>-0.32999992370605469</v>
      </c>
    </row>
    <row r="5" spans="1:17" x14ac:dyDescent="0.25">
      <c r="C5" s="124">
        <v>3</v>
      </c>
      <c r="D5" s="602">
        <v>-2191389399.8099999</v>
      </c>
      <c r="E5" s="602">
        <v>1362127166.51</v>
      </c>
      <c r="F5" s="593">
        <f>D5+E5</f>
        <v>-829262233.29999995</v>
      </c>
      <c r="G5" s="499"/>
      <c r="H5" s="613">
        <f>DetRetri2026082!J11</f>
        <v>-829262233</v>
      </c>
      <c r="I5" s="276">
        <f t="shared" si="0"/>
        <v>-0.29999995231628418</v>
      </c>
    </row>
    <row r="6" spans="1:17" x14ac:dyDescent="0.25">
      <c r="C6" s="124">
        <v>4</v>
      </c>
      <c r="D6" s="602">
        <v>-2584194619.0100002</v>
      </c>
      <c r="E6" s="602">
        <v>1877958693.8</v>
      </c>
      <c r="F6" s="593">
        <f>D6+E6</f>
        <v>-706235925.21000028</v>
      </c>
      <c r="G6" s="499"/>
      <c r="H6" s="613">
        <f>DetRetri2026082!J12</f>
        <v>-706235925</v>
      </c>
      <c r="I6" s="276">
        <f t="shared" si="0"/>
        <v>-0.21000027656555176</v>
      </c>
    </row>
    <row r="7" spans="1:17" ht="13.8" thickBot="1" x14ac:dyDescent="0.3">
      <c r="C7" s="125">
        <v>5</v>
      </c>
      <c r="D7" s="603">
        <v>-1237570991.6099999</v>
      </c>
      <c r="E7" s="603">
        <v>1214167050.3</v>
      </c>
      <c r="F7" s="594">
        <f>D7+E7</f>
        <v>-23403941.309999943</v>
      </c>
      <c r="G7" s="499"/>
      <c r="H7" s="614">
        <f>DetRetri2026082!J13</f>
        <v>-23403941</v>
      </c>
      <c r="I7" s="276">
        <f t="shared" si="0"/>
        <v>-0.30999994277954102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-9458992190.4200001</v>
      </c>
      <c r="G9" s="499"/>
      <c r="H9" s="615">
        <f>SUM(H3:H7)</f>
        <v>-9458992189</v>
      </c>
      <c r="I9" s="276">
        <f>F9-H9</f>
        <v>-1.4200000762939453</v>
      </c>
    </row>
    <row r="10" spans="1:17" ht="13.8" thickBot="1" x14ac:dyDescent="0.3">
      <c r="D10" s="144"/>
      <c r="E10" s="144"/>
      <c r="F10" s="144"/>
      <c r="G10" s="500"/>
      <c r="H10" s="265" t="b">
        <f>H9=DetRetri2026082!J14</f>
        <v>1</v>
      </c>
    </row>
    <row r="11" spans="1:17" ht="13.8" thickBot="1" x14ac:dyDescent="0.3">
      <c r="D11" s="264">
        <f>SUM(D3:D7)</f>
        <v>-18890270257.610001</v>
      </c>
      <c r="E11" s="264">
        <f t="shared" ref="E11" si="1">SUM(E3:E7)</f>
        <v>9431278067.1900005</v>
      </c>
      <c r="F11" s="264">
        <f>SUM(D3:E7)</f>
        <v>-9458992190.420002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-3610213749.2700005</v>
      </c>
      <c r="F19" s="514" t="b">
        <f>E19=F3</f>
        <v>1</v>
      </c>
      <c r="G19" s="514" t="b">
        <f>E19=H3</f>
        <v>0</v>
      </c>
      <c r="H19" s="515">
        <f>E19-H3</f>
        <v>-0.27000045776367188</v>
      </c>
      <c r="I19" s="137"/>
    </row>
    <row r="20" spans="4:9" x14ac:dyDescent="0.25">
      <c r="D20" s="511">
        <v>2</v>
      </c>
      <c r="E20" s="516">
        <f>'CONSOLIDADO_TOTAL RECAUDO'!J105</f>
        <v>-4289876341.3299999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-0.32999992370605469</v>
      </c>
      <c r="I20" s="137"/>
    </row>
    <row r="21" spans="4:9" x14ac:dyDescent="0.25">
      <c r="D21" s="511">
        <v>3</v>
      </c>
      <c r="E21" s="516">
        <f>'CONSOLIDADO_TOTAL RECAUDO'!J106</f>
        <v>-829262233.29999995</v>
      </c>
      <c r="F21" s="505" t="b">
        <f t="shared" si="2"/>
        <v>1</v>
      </c>
      <c r="G21" s="505" t="b">
        <f t="shared" si="3"/>
        <v>0</v>
      </c>
      <c r="H21" s="261">
        <f t="shared" si="4"/>
        <v>-0.29999995231628418</v>
      </c>
    </row>
    <row r="22" spans="4:9" x14ac:dyDescent="0.25">
      <c r="D22" s="511">
        <v>4</v>
      </c>
      <c r="E22" s="516">
        <f>'CONSOLIDADO_TOTAL RECAUDO'!J107</f>
        <v>-706235925.21000028</v>
      </c>
      <c r="F22" s="505" t="b">
        <f t="shared" si="2"/>
        <v>1</v>
      </c>
      <c r="G22" s="505" t="b">
        <f t="shared" si="3"/>
        <v>0</v>
      </c>
      <c r="H22" s="261">
        <f t="shared" si="4"/>
        <v>-0.21000027656555176</v>
      </c>
    </row>
    <row r="23" spans="4:9" ht="13.8" thickBot="1" x14ac:dyDescent="0.3">
      <c r="D23" s="512">
        <v>5</v>
      </c>
      <c r="E23" s="517">
        <f>'CONSOLIDADO_TOTAL RECAUDO'!J108</f>
        <v>-23403941.309999943</v>
      </c>
      <c r="F23" s="518" t="b">
        <f t="shared" si="2"/>
        <v>1</v>
      </c>
      <c r="G23" s="518" t="b">
        <f t="shared" si="3"/>
        <v>0</v>
      </c>
      <c r="H23" s="262">
        <f t="shared" si="4"/>
        <v>-0.30999994277954102</v>
      </c>
    </row>
    <row r="24" spans="4:9" ht="13.8" thickBot="1" x14ac:dyDescent="0.3">
      <c r="E24" s="264">
        <f>SUM(E19:E23)</f>
        <v>-9458992190.4200001</v>
      </c>
      <c r="F24" s="506" t="b">
        <f>E24=F9</f>
        <v>1</v>
      </c>
      <c r="G24" s="507" t="b">
        <f>E24=H9</f>
        <v>0</v>
      </c>
      <c r="H24" s="263">
        <f>E24-H9</f>
        <v>-1.4200000762939453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86"/>
  <sheetViews>
    <sheetView tabSelected="1" zoomScale="90" zoomScaleNormal="90" workbookViewId="0">
      <pane ySplit="5" topLeftCell="A144" activePane="bottomLeft" state="frozen"/>
      <selection activeCell="A3" sqref="A3"/>
      <selection pane="bottomLeft" activeCell="I191" sqref="I191"/>
    </sheetView>
  </sheetViews>
  <sheetFormatPr baseColWidth="10" defaultRowHeight="13.2" x14ac:dyDescent="0.25"/>
  <cols>
    <col min="1" max="1" width="13.77734375" customWidth="1"/>
    <col min="2" max="2" width="16.77734375" customWidth="1"/>
    <col min="3" max="3" width="15.77734375" bestFit="1" customWidth="1"/>
    <col min="4" max="4" width="16.77734375" bestFit="1" customWidth="1"/>
    <col min="5" max="5" width="17" bestFit="1" customWidth="1"/>
    <col min="6" max="6" width="17.44140625" bestFit="1" customWidth="1"/>
    <col min="7" max="7" width="16.77734375" bestFit="1" customWidth="1"/>
    <col min="8" max="8" width="16.21875" bestFit="1" customWidth="1"/>
    <col min="9" max="9" width="19.21875" customWidth="1"/>
    <col min="10" max="10" width="17" customWidth="1"/>
    <col min="11" max="11" width="17.21875" bestFit="1" customWidth="1"/>
    <col min="12" max="12" width="22.44140625" bestFit="1" customWidth="1"/>
    <col min="13" max="13" width="16.777343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21875" customWidth="1"/>
    <col min="18" max="18" width="17.21875" customWidth="1"/>
    <col min="19" max="19" width="24" customWidth="1"/>
    <col min="20" max="22" width="23.77734375" customWidth="1"/>
    <col min="23" max="24" width="20" bestFit="1" customWidth="1"/>
    <col min="25" max="25" width="18.77734375" customWidth="1"/>
    <col min="26" max="26" width="14.21875" bestFit="1" customWidth="1"/>
  </cols>
  <sheetData>
    <row r="1" spans="1:26" x14ac:dyDescent="0.25">
      <c r="F1" s="638"/>
    </row>
    <row r="3" spans="1:26" s="238" customFormat="1" x14ac:dyDescent="0.25"/>
    <row r="4" spans="1:26" ht="13.5" customHeight="1" x14ac:dyDescent="0.25">
      <c r="B4" s="97" t="s">
        <v>74</v>
      </c>
    </row>
    <row r="5" spans="1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223</v>
      </c>
      <c r="V5" s="89" t="s">
        <v>223</v>
      </c>
      <c r="W5" s="89" t="s">
        <v>173</v>
      </c>
      <c r="X5" t="s">
        <v>167</v>
      </c>
      <c r="Y5" s="89" t="s">
        <v>135</v>
      </c>
      <c r="Z5" s="89" t="s">
        <v>167</v>
      </c>
    </row>
    <row r="6" spans="1:26" ht="12.75" customHeight="1" x14ac:dyDescent="0.25">
      <c r="E6" s="89" t="s">
        <v>72</v>
      </c>
      <c r="F6" s="371">
        <v>-9123.9</v>
      </c>
      <c r="G6" s="90">
        <v>-625.08000000000004</v>
      </c>
      <c r="H6" s="90">
        <v>-265.56</v>
      </c>
      <c r="I6" s="90">
        <v>-115.95</v>
      </c>
      <c r="J6" s="90">
        <v>-1600.92</v>
      </c>
      <c r="K6" s="90">
        <v>-103.46</v>
      </c>
      <c r="L6" s="90">
        <v>0</v>
      </c>
      <c r="M6" s="90">
        <v>-907.42</v>
      </c>
      <c r="N6" s="90">
        <v>-759.41</v>
      </c>
      <c r="O6" s="90">
        <v>-3031.34</v>
      </c>
      <c r="P6" s="90">
        <v>-1545.97</v>
      </c>
      <c r="Q6" s="90">
        <v>-168.79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1:26" ht="12.75" customHeight="1" x14ac:dyDescent="0.25">
      <c r="D7" t="s">
        <v>86</v>
      </c>
      <c r="E7" s="89" t="s">
        <v>70</v>
      </c>
      <c r="F7" s="371">
        <v>-9123.9</v>
      </c>
      <c r="G7" s="90">
        <v>-625.08000000000004</v>
      </c>
      <c r="H7" s="90">
        <v>-265.56</v>
      </c>
      <c r="I7" s="90">
        <v>-115.95</v>
      </c>
      <c r="J7" s="90">
        <v>-1600.92</v>
      </c>
      <c r="K7" s="90">
        <v>-103.46</v>
      </c>
      <c r="L7" s="90">
        <v>0</v>
      </c>
      <c r="M7" s="90">
        <v>-907.42</v>
      </c>
      <c r="N7" s="90">
        <v>-759.41</v>
      </c>
      <c r="O7" s="90">
        <v>-3031.34</v>
      </c>
      <c r="P7" s="90">
        <v>-1545.97</v>
      </c>
      <c r="Q7" s="90">
        <v>-168.79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1:26" s="94" customFormat="1" ht="12.75" customHeight="1" x14ac:dyDescent="0.25">
      <c r="C8" s="101" t="s">
        <v>119</v>
      </c>
      <c r="D8" s="101" t="s">
        <v>70</v>
      </c>
      <c r="F8" s="93">
        <v>-9123.9</v>
      </c>
      <c r="G8" s="93">
        <v>-625.08000000000004</v>
      </c>
      <c r="H8" s="93">
        <v>-265.56</v>
      </c>
      <c r="I8" s="93">
        <v>-115.95</v>
      </c>
      <c r="J8" s="93">
        <v>-1600.92</v>
      </c>
      <c r="K8" s="93">
        <v>-103.46</v>
      </c>
      <c r="L8" s="93">
        <v>0</v>
      </c>
      <c r="M8" s="93">
        <v>-907.42</v>
      </c>
      <c r="N8" s="93">
        <v>-759.41</v>
      </c>
      <c r="O8" s="93">
        <v>-3031.34</v>
      </c>
      <c r="P8" s="93">
        <v>-1545.97</v>
      </c>
      <c r="Q8" s="93">
        <v>-168.79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</row>
    <row r="9" spans="1:26" ht="12.75" customHeight="1" x14ac:dyDescent="0.25">
      <c r="B9" t="s">
        <v>112</v>
      </c>
      <c r="C9" t="s">
        <v>70</v>
      </c>
      <c r="E9" s="89"/>
      <c r="F9" s="371">
        <v>-9123.9</v>
      </c>
      <c r="G9" s="90">
        <v>-625.08000000000004</v>
      </c>
      <c r="H9" s="90">
        <v>-265.56</v>
      </c>
      <c r="I9" s="90">
        <v>-115.95</v>
      </c>
      <c r="J9" s="90">
        <v>-1600.92</v>
      </c>
      <c r="K9" s="90">
        <v>-103.46</v>
      </c>
      <c r="L9" s="90">
        <v>0</v>
      </c>
      <c r="M9" s="90">
        <v>-907.42</v>
      </c>
      <c r="N9" s="90">
        <v>-759.41</v>
      </c>
      <c r="O9" s="90">
        <v>-3031.34</v>
      </c>
      <c r="P9" s="90">
        <v>-1545.97</v>
      </c>
      <c r="Q9" s="90">
        <v>-168.79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1:26" s="458" customFormat="1" ht="12.75" customHeight="1" x14ac:dyDescent="0.25">
      <c r="A10" s="458" t="s">
        <v>186</v>
      </c>
      <c r="B10" s="458" t="s">
        <v>70</v>
      </c>
      <c r="F10" s="458">
        <v>-9123.9</v>
      </c>
      <c r="G10" s="458">
        <v>-625.08000000000004</v>
      </c>
      <c r="H10" s="458">
        <v>-265.56</v>
      </c>
      <c r="I10" s="458">
        <v>-115.95</v>
      </c>
      <c r="J10" s="458">
        <v>-1600.92</v>
      </c>
      <c r="K10" s="458">
        <v>-103.46</v>
      </c>
      <c r="L10" s="458">
        <v>0</v>
      </c>
      <c r="M10" s="458">
        <v>-907.42</v>
      </c>
      <c r="N10" s="458">
        <v>-759.41</v>
      </c>
      <c r="O10" s="458">
        <v>-3031.34</v>
      </c>
      <c r="P10" s="458">
        <v>-1545.97</v>
      </c>
      <c r="Q10" s="458">
        <v>-168.79</v>
      </c>
      <c r="R10" s="458">
        <v>0</v>
      </c>
      <c r="S10" s="458">
        <v>0</v>
      </c>
      <c r="T10" s="458">
        <v>0</v>
      </c>
      <c r="U10" s="458">
        <v>0</v>
      </c>
      <c r="V10" s="458">
        <v>0</v>
      </c>
      <c r="W10" s="458">
        <v>0</v>
      </c>
      <c r="X10" s="458">
        <v>0</v>
      </c>
      <c r="Y10" s="458">
        <v>0</v>
      </c>
      <c r="Z10" s="458">
        <v>0</v>
      </c>
    </row>
    <row r="11" spans="1:26" ht="12.75" customHeight="1" x14ac:dyDescent="0.25">
      <c r="E11" s="89" t="s">
        <v>72</v>
      </c>
      <c r="F11" s="371">
        <v>42369.42</v>
      </c>
      <c r="G11" s="90">
        <v>2242.46</v>
      </c>
      <c r="H11" s="90">
        <v>1266.0899999999999</v>
      </c>
      <c r="I11" s="90">
        <v>664.53</v>
      </c>
      <c r="J11" s="90">
        <v>10026.01</v>
      </c>
      <c r="K11" s="90">
        <v>372.31</v>
      </c>
      <c r="L11" s="90">
        <v>0</v>
      </c>
      <c r="M11" s="90">
        <v>3265.88</v>
      </c>
      <c r="N11" s="90">
        <v>3109.1</v>
      </c>
      <c r="O11" s="90">
        <v>14722.61</v>
      </c>
      <c r="P11" s="90">
        <v>6097.75</v>
      </c>
      <c r="Q11" s="90">
        <v>607.45000000000005</v>
      </c>
      <c r="R11" s="90">
        <v>-4.7699999999999996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1:26" ht="12.75" customHeight="1" x14ac:dyDescent="0.25">
      <c r="D12" t="s">
        <v>156</v>
      </c>
      <c r="E12" s="89" t="s">
        <v>70</v>
      </c>
      <c r="F12" s="371">
        <v>42369.42</v>
      </c>
      <c r="G12" s="90">
        <v>2242.46</v>
      </c>
      <c r="H12" s="90">
        <v>1266.0899999999999</v>
      </c>
      <c r="I12" s="90">
        <v>664.53</v>
      </c>
      <c r="J12" s="90">
        <v>10026.01</v>
      </c>
      <c r="K12" s="90">
        <v>372.31</v>
      </c>
      <c r="L12" s="90">
        <v>0</v>
      </c>
      <c r="M12" s="90">
        <v>3265.88</v>
      </c>
      <c r="N12" s="90">
        <v>3109.1</v>
      </c>
      <c r="O12" s="90">
        <v>14722.61</v>
      </c>
      <c r="P12" s="90">
        <v>6097.75</v>
      </c>
      <c r="Q12" s="90">
        <v>607.45000000000005</v>
      </c>
      <c r="R12" s="90">
        <v>-4.7699999999999996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1:26" s="286" customFormat="1" ht="12.75" customHeight="1" x14ac:dyDescent="0.25">
      <c r="C13" s="286" t="s">
        <v>155</v>
      </c>
      <c r="D13" s="286" t="s">
        <v>70</v>
      </c>
      <c r="E13" s="229"/>
      <c r="F13" s="229">
        <v>42369.42</v>
      </c>
      <c r="G13" s="230">
        <v>2242.46</v>
      </c>
      <c r="H13" s="230">
        <v>1266.0899999999999</v>
      </c>
      <c r="I13" s="230">
        <v>664.53</v>
      </c>
      <c r="J13" s="230">
        <v>10026.01</v>
      </c>
      <c r="K13" s="230">
        <v>372.31</v>
      </c>
      <c r="L13" s="230">
        <v>0</v>
      </c>
      <c r="M13" s="230">
        <v>3265.88</v>
      </c>
      <c r="N13" s="230">
        <v>3109.1</v>
      </c>
      <c r="O13" s="230">
        <v>14722.61</v>
      </c>
      <c r="P13" s="230">
        <v>6097.75</v>
      </c>
      <c r="Q13" s="230">
        <v>607.45000000000005</v>
      </c>
      <c r="R13" s="230">
        <v>-4.7699999999999996</v>
      </c>
      <c r="S13" s="230">
        <v>0</v>
      </c>
      <c r="T13" s="230">
        <v>0</v>
      </c>
      <c r="U13" s="230">
        <v>0</v>
      </c>
      <c r="V13" s="230">
        <v>0</v>
      </c>
      <c r="W13" s="230">
        <v>0</v>
      </c>
      <c r="X13" s="230">
        <v>0</v>
      </c>
      <c r="Y13" s="230">
        <v>0</v>
      </c>
      <c r="Z13" s="230">
        <v>0</v>
      </c>
    </row>
    <row r="14" spans="1:26" s="378" customFormat="1" ht="12.75" customHeight="1" x14ac:dyDescent="0.25">
      <c r="B14" s="378" t="s">
        <v>122</v>
      </c>
      <c r="C14" s="378" t="s">
        <v>70</v>
      </c>
      <c r="E14" s="376"/>
      <c r="F14" s="710">
        <v>42369.42</v>
      </c>
      <c r="G14" s="377">
        <v>2242.46</v>
      </c>
      <c r="H14" s="377">
        <v>1266.0899999999999</v>
      </c>
      <c r="I14" s="377">
        <v>664.53</v>
      </c>
      <c r="J14" s="377">
        <v>10026.01</v>
      </c>
      <c r="K14" s="377">
        <v>372.31</v>
      </c>
      <c r="L14" s="377">
        <v>0</v>
      </c>
      <c r="M14" s="377">
        <v>3265.88</v>
      </c>
      <c r="N14" s="377">
        <v>3109.1</v>
      </c>
      <c r="O14" s="377">
        <v>14722.61</v>
      </c>
      <c r="P14" s="377">
        <v>6097.75</v>
      </c>
      <c r="Q14" s="377">
        <v>607.45000000000005</v>
      </c>
      <c r="R14" s="377">
        <v>-4.7699999999999996</v>
      </c>
      <c r="S14" s="377">
        <v>0</v>
      </c>
      <c r="T14" s="377">
        <v>0</v>
      </c>
      <c r="U14" s="377">
        <v>0</v>
      </c>
      <c r="V14" s="377">
        <v>0</v>
      </c>
      <c r="W14" s="377">
        <v>0</v>
      </c>
      <c r="X14" s="377">
        <v>0</v>
      </c>
      <c r="Y14" s="377">
        <v>0</v>
      </c>
      <c r="Z14" s="377">
        <v>0</v>
      </c>
    </row>
    <row r="15" spans="1:26" ht="12.75" customHeight="1" x14ac:dyDescent="0.25">
      <c r="E15" s="89" t="s">
        <v>72</v>
      </c>
      <c r="F15" s="371">
        <v>17290064314.52</v>
      </c>
      <c r="G15" s="90">
        <v>875679227.55999994</v>
      </c>
      <c r="H15" s="90">
        <v>493761649.63999999</v>
      </c>
      <c r="I15" s="90">
        <v>259701349.31</v>
      </c>
      <c r="J15" s="90">
        <v>4120776478.5900002</v>
      </c>
      <c r="K15" s="90">
        <v>154423786.41</v>
      </c>
      <c r="L15" s="90">
        <v>16025087.76</v>
      </c>
      <c r="M15" s="90">
        <v>1357666964.54</v>
      </c>
      <c r="N15" s="90">
        <v>1287591861.95</v>
      </c>
      <c r="O15" s="90">
        <v>6093979781.1400003</v>
      </c>
      <c r="P15" s="90">
        <v>2378368882.0300002</v>
      </c>
      <c r="Q15" s="90">
        <v>252086089.09</v>
      </c>
      <c r="R15" s="90">
        <v>3156.5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</row>
    <row r="16" spans="1:26" ht="12.75" customHeight="1" x14ac:dyDescent="0.25">
      <c r="E16" s="89" t="s">
        <v>81</v>
      </c>
      <c r="F16" s="90">
        <v>3168870.32</v>
      </c>
      <c r="G16" s="90">
        <v>181699.71</v>
      </c>
      <c r="H16" s="90">
        <v>94563.09</v>
      </c>
      <c r="I16" s="90">
        <v>50842.1</v>
      </c>
      <c r="J16" s="90">
        <v>719172.29</v>
      </c>
      <c r="K16" s="90">
        <v>28488.91</v>
      </c>
      <c r="L16" s="90">
        <v>600.77</v>
      </c>
      <c r="M16" s="90">
        <v>251707.71</v>
      </c>
      <c r="N16" s="90">
        <v>231457.21</v>
      </c>
      <c r="O16" s="90">
        <v>1072357.8400000001</v>
      </c>
      <c r="P16" s="90">
        <v>490967.89</v>
      </c>
      <c r="Q16" s="90">
        <v>46457.99</v>
      </c>
      <c r="R16" s="90">
        <v>253.72</v>
      </c>
      <c r="S16" s="90">
        <v>0</v>
      </c>
      <c r="T16" s="90">
        <v>301.08999999999997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ht="12.75" customHeight="1" x14ac:dyDescent="0.25">
      <c r="D17" t="s">
        <v>156</v>
      </c>
      <c r="E17" s="89" t="s">
        <v>70</v>
      </c>
      <c r="F17" s="89">
        <v>17293233184.84</v>
      </c>
      <c r="G17" s="90">
        <v>875860927.26999998</v>
      </c>
      <c r="H17" s="90">
        <v>493856212.73000002</v>
      </c>
      <c r="I17" s="90">
        <v>259752191.41</v>
      </c>
      <c r="J17" s="90">
        <v>4121495650.8800001</v>
      </c>
      <c r="K17" s="90">
        <v>154452275.31999999</v>
      </c>
      <c r="L17" s="90">
        <v>16025688.529999999</v>
      </c>
      <c r="M17" s="90">
        <v>1357918672.25</v>
      </c>
      <c r="N17" s="90">
        <v>1287823319.1600001</v>
      </c>
      <c r="O17" s="90">
        <v>6095052138.9799995</v>
      </c>
      <c r="P17" s="90">
        <v>2378859849.9200001</v>
      </c>
      <c r="Q17" s="90">
        <v>252132547.08000001</v>
      </c>
      <c r="R17" s="90">
        <v>3410.22</v>
      </c>
      <c r="S17" s="90">
        <v>0</v>
      </c>
      <c r="T17" s="90">
        <v>301.08999999999997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</row>
    <row r="18" spans="1:26" s="286" customFormat="1" ht="12.75" customHeight="1" x14ac:dyDescent="0.25">
      <c r="C18" s="286" t="s">
        <v>155</v>
      </c>
      <c r="D18" s="286" t="s">
        <v>70</v>
      </c>
      <c r="E18" s="229"/>
      <c r="F18" s="229">
        <v>17293233184.84</v>
      </c>
      <c r="G18" s="230">
        <v>875860927.26999998</v>
      </c>
      <c r="H18" s="230">
        <v>493856212.73000002</v>
      </c>
      <c r="I18" s="230">
        <v>259752191.41</v>
      </c>
      <c r="J18" s="230">
        <v>4121495650.8800001</v>
      </c>
      <c r="K18" s="230">
        <v>154452275.31999999</v>
      </c>
      <c r="L18" s="230">
        <v>16025688.529999999</v>
      </c>
      <c r="M18" s="230">
        <v>1357918672.25</v>
      </c>
      <c r="N18" s="230">
        <v>1287823319.1600001</v>
      </c>
      <c r="O18" s="230">
        <v>6095052138.9799995</v>
      </c>
      <c r="P18" s="230">
        <v>2378859849.9200001</v>
      </c>
      <c r="Q18" s="230">
        <v>252132547.08000001</v>
      </c>
      <c r="R18" s="230">
        <v>3410.22</v>
      </c>
      <c r="S18" s="230">
        <v>0</v>
      </c>
      <c r="T18" s="230">
        <v>301.08999999999997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Z18" s="230">
        <v>0</v>
      </c>
    </row>
    <row r="19" spans="1:26" ht="12.75" customHeight="1" x14ac:dyDescent="0.25">
      <c r="E19" s="89" t="s">
        <v>72</v>
      </c>
      <c r="F19" s="89">
        <v>31630649.030000001</v>
      </c>
      <c r="G19" s="90">
        <v>2116281.4900000002</v>
      </c>
      <c r="H19" s="90">
        <v>1170722.51</v>
      </c>
      <c r="I19" s="90">
        <v>622287.66</v>
      </c>
      <c r="J19" s="90">
        <v>6853780.1299999999</v>
      </c>
      <c r="K19" s="90">
        <v>205254.36</v>
      </c>
      <c r="L19" s="90">
        <v>0</v>
      </c>
      <c r="M19" s="90">
        <v>1791021.46</v>
      </c>
      <c r="N19" s="90">
        <v>2239705.04</v>
      </c>
      <c r="O19" s="90">
        <v>10554766.18</v>
      </c>
      <c r="P19" s="90">
        <v>5742154.8099999996</v>
      </c>
      <c r="Q19" s="90">
        <v>334770.08</v>
      </c>
      <c r="R19" s="90">
        <v>-94.69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</row>
    <row r="20" spans="1:26" ht="12.75" customHeight="1" x14ac:dyDescent="0.25">
      <c r="E20" s="89" t="s">
        <v>81</v>
      </c>
      <c r="F20" s="90">
        <v>56566.94</v>
      </c>
      <c r="G20" s="90">
        <v>3153.2</v>
      </c>
      <c r="H20" s="90">
        <v>1630.48</v>
      </c>
      <c r="I20" s="90">
        <v>910.69</v>
      </c>
      <c r="J20" s="90">
        <v>14196.75</v>
      </c>
      <c r="K20" s="90">
        <v>404.44</v>
      </c>
      <c r="L20" s="90">
        <v>0</v>
      </c>
      <c r="M20" s="90">
        <v>3503.55</v>
      </c>
      <c r="N20" s="90">
        <v>4189.5</v>
      </c>
      <c r="O20" s="90">
        <v>19352.39</v>
      </c>
      <c r="P20" s="90">
        <v>8568.43</v>
      </c>
      <c r="Q20" s="90">
        <v>658.34</v>
      </c>
      <c r="R20" s="90">
        <v>-0.86</v>
      </c>
      <c r="S20" s="90">
        <v>0</v>
      </c>
      <c r="T20" s="90">
        <v>0.03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</row>
    <row r="21" spans="1:26" ht="12.75" customHeight="1" x14ac:dyDescent="0.25">
      <c r="D21" s="89" t="s">
        <v>82</v>
      </c>
      <c r="E21" s="89" t="s">
        <v>70</v>
      </c>
      <c r="F21" s="90">
        <v>31687215.969999999</v>
      </c>
      <c r="G21" s="90">
        <v>2119434.69</v>
      </c>
      <c r="H21" s="90">
        <v>1172352.99</v>
      </c>
      <c r="I21" s="90">
        <v>623198.35</v>
      </c>
      <c r="J21" s="90">
        <v>6867976.8799999999</v>
      </c>
      <c r="K21" s="90">
        <v>205658.8</v>
      </c>
      <c r="L21" s="90">
        <v>0</v>
      </c>
      <c r="M21" s="90">
        <v>1794525.01</v>
      </c>
      <c r="N21" s="90">
        <v>2243894.54</v>
      </c>
      <c r="O21" s="90">
        <v>10574118.57</v>
      </c>
      <c r="P21" s="90">
        <v>5750723.2400000002</v>
      </c>
      <c r="Q21" s="90">
        <v>335428.42</v>
      </c>
      <c r="R21" s="90">
        <v>-95.55</v>
      </c>
      <c r="S21" s="90">
        <v>0</v>
      </c>
      <c r="T21" s="90">
        <v>0.03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</row>
    <row r="22" spans="1:26" ht="12.75" customHeight="1" x14ac:dyDescent="0.25">
      <c r="E22" s="89" t="s">
        <v>72</v>
      </c>
      <c r="F22" s="90">
        <v>116689234.31999999</v>
      </c>
      <c r="G22" s="90">
        <v>12754733.99</v>
      </c>
      <c r="H22" s="90">
        <v>7083985.9900000002</v>
      </c>
      <c r="I22" s="90">
        <v>3721696.38</v>
      </c>
      <c r="J22" s="90">
        <v>14791579.289999999</v>
      </c>
      <c r="K22" s="90">
        <v>679432.2</v>
      </c>
      <c r="L22" s="90">
        <v>200407</v>
      </c>
      <c r="M22" s="90">
        <v>5966168.71</v>
      </c>
      <c r="N22" s="90">
        <v>6324114.46</v>
      </c>
      <c r="O22" s="90">
        <v>29397613.739999998</v>
      </c>
      <c r="P22" s="90">
        <v>34660611.57</v>
      </c>
      <c r="Q22" s="90">
        <v>1109795.57</v>
      </c>
      <c r="R22" s="90">
        <v>-904.58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</row>
    <row r="23" spans="1:26" ht="12.75" customHeight="1" x14ac:dyDescent="0.25">
      <c r="E23" s="89" t="s">
        <v>81</v>
      </c>
      <c r="F23" s="90">
        <v>298459.58</v>
      </c>
      <c r="G23" s="90">
        <v>17963.04</v>
      </c>
      <c r="H23" s="90">
        <v>7955.38</v>
      </c>
      <c r="I23" s="90">
        <v>3775.96</v>
      </c>
      <c r="J23" s="90">
        <v>65367.19</v>
      </c>
      <c r="K23" s="90">
        <v>2954.14</v>
      </c>
      <c r="L23" s="90">
        <v>175.21</v>
      </c>
      <c r="M23" s="90">
        <v>26504.61</v>
      </c>
      <c r="N23" s="90">
        <v>23098.54</v>
      </c>
      <c r="O23" s="90">
        <v>96645.91</v>
      </c>
      <c r="P23" s="90">
        <v>49317.74</v>
      </c>
      <c r="Q23" s="90">
        <v>4814.6000000000004</v>
      </c>
      <c r="R23" s="90">
        <v>-5.81</v>
      </c>
      <c r="S23" s="90">
        <v>0</v>
      </c>
      <c r="T23" s="90">
        <v>0.13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-107.06</v>
      </c>
    </row>
    <row r="24" spans="1:26" ht="12.75" customHeight="1" x14ac:dyDescent="0.25">
      <c r="D24" s="89" t="s">
        <v>86</v>
      </c>
      <c r="E24" s="89" t="s">
        <v>70</v>
      </c>
      <c r="F24" s="90">
        <v>116987693.90000001</v>
      </c>
      <c r="G24" s="90">
        <v>12772697.029999999</v>
      </c>
      <c r="H24" s="90">
        <v>7091941.3700000001</v>
      </c>
      <c r="I24" s="90">
        <v>3725472.34</v>
      </c>
      <c r="J24" s="90">
        <v>14856946.48</v>
      </c>
      <c r="K24" s="90">
        <v>682386.34</v>
      </c>
      <c r="L24" s="90">
        <v>200582.21</v>
      </c>
      <c r="M24" s="90">
        <v>5992673.3200000003</v>
      </c>
      <c r="N24" s="90">
        <v>6347213</v>
      </c>
      <c r="O24" s="90">
        <v>29494259.649999999</v>
      </c>
      <c r="P24" s="90">
        <v>34709929.310000002</v>
      </c>
      <c r="Q24" s="90">
        <v>1114610.17</v>
      </c>
      <c r="R24" s="90">
        <v>-910.39</v>
      </c>
      <c r="S24" s="90">
        <v>0</v>
      </c>
      <c r="T24" s="90">
        <v>0.13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-107.06</v>
      </c>
    </row>
    <row r="25" spans="1:26" ht="12.75" customHeight="1" x14ac:dyDescent="0.25">
      <c r="C25" s="89"/>
      <c r="D25" s="89"/>
      <c r="E25" t="s">
        <v>72</v>
      </c>
      <c r="F25" s="90">
        <v>533963464.75</v>
      </c>
      <c r="G25" s="90">
        <v>84240997.329999998</v>
      </c>
      <c r="H25" s="90">
        <v>47757391.700000003</v>
      </c>
      <c r="I25" s="90">
        <v>25132510.239999998</v>
      </c>
      <c r="J25" s="90">
        <v>41404004.219999999</v>
      </c>
      <c r="K25" s="90">
        <v>1121828.4099999999</v>
      </c>
      <c r="L25" s="90">
        <v>20785144</v>
      </c>
      <c r="M25" s="90">
        <v>9808677.1300000008</v>
      </c>
      <c r="N25" s="90">
        <v>12792123</v>
      </c>
      <c r="O25" s="90">
        <v>60185506.18</v>
      </c>
      <c r="P25" s="90">
        <v>228905204.69</v>
      </c>
      <c r="Q25" s="90">
        <v>1830367.32</v>
      </c>
      <c r="R25" s="90">
        <v>-289.47000000000003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1:26" ht="12.75" customHeight="1" x14ac:dyDescent="0.25">
      <c r="B26" s="89"/>
      <c r="C26" s="89"/>
      <c r="E26" t="s">
        <v>81</v>
      </c>
      <c r="F26" s="90">
        <v>1648345.42</v>
      </c>
      <c r="G26" s="90">
        <v>174887.74</v>
      </c>
      <c r="H26" s="90">
        <v>87267.15</v>
      </c>
      <c r="I26" s="90">
        <v>44237.05</v>
      </c>
      <c r="J26" s="90">
        <v>278588.77</v>
      </c>
      <c r="K26" s="90">
        <v>9930.26</v>
      </c>
      <c r="L26" s="90">
        <v>13403.82</v>
      </c>
      <c r="M26" s="90">
        <v>86925</v>
      </c>
      <c r="N26" s="90">
        <v>89458.52</v>
      </c>
      <c r="O26" s="90">
        <v>385189.1</v>
      </c>
      <c r="P26" s="90">
        <v>462280.45</v>
      </c>
      <c r="Q26" s="90">
        <v>16184.13</v>
      </c>
      <c r="R26" s="90">
        <v>-6.73</v>
      </c>
      <c r="S26" s="90">
        <v>0.08</v>
      </c>
      <c r="T26" s="90">
        <v>0.08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ht="12.75" customHeight="1" x14ac:dyDescent="0.25">
      <c r="C27" s="89"/>
      <c r="D27" s="89" t="s">
        <v>87</v>
      </c>
      <c r="E27" t="s">
        <v>70</v>
      </c>
      <c r="F27" s="90">
        <v>535611810.17000002</v>
      </c>
      <c r="G27" s="90">
        <v>84415885.069999993</v>
      </c>
      <c r="H27" s="90">
        <v>47844658.850000001</v>
      </c>
      <c r="I27" s="90">
        <v>25176747.289999999</v>
      </c>
      <c r="J27" s="90">
        <v>41682592.990000002</v>
      </c>
      <c r="K27" s="90">
        <v>1131758.67</v>
      </c>
      <c r="L27" s="90">
        <v>20798547.82</v>
      </c>
      <c r="M27" s="90">
        <v>9895602.1300000008</v>
      </c>
      <c r="N27" s="90">
        <v>12881581.52</v>
      </c>
      <c r="O27" s="90">
        <v>60570695.280000001</v>
      </c>
      <c r="P27" s="90">
        <v>229367485.13999999</v>
      </c>
      <c r="Q27" s="90">
        <v>1846551.45</v>
      </c>
      <c r="R27" s="90">
        <v>-296.2</v>
      </c>
      <c r="S27" s="90">
        <v>0.08</v>
      </c>
      <c r="T27" s="90">
        <v>0.08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1:26" s="94" customFormat="1" ht="12.75" customHeight="1" x14ac:dyDescent="0.25">
      <c r="C28" s="101" t="s">
        <v>119</v>
      </c>
      <c r="D28" s="101" t="s">
        <v>70</v>
      </c>
      <c r="F28" s="93">
        <v>684286720.03999996</v>
      </c>
      <c r="G28" s="93">
        <v>99308016.790000007</v>
      </c>
      <c r="H28" s="93">
        <v>56108953.210000001</v>
      </c>
      <c r="I28" s="93">
        <v>29525417.98</v>
      </c>
      <c r="J28" s="93">
        <v>63407516.350000001</v>
      </c>
      <c r="K28" s="93">
        <v>2019803.81</v>
      </c>
      <c r="L28" s="93">
        <v>20999130.030000001</v>
      </c>
      <c r="M28" s="93">
        <v>17682800.460000001</v>
      </c>
      <c r="N28" s="93">
        <v>21472689.059999999</v>
      </c>
      <c r="O28" s="93">
        <v>100639073.5</v>
      </c>
      <c r="P28" s="93">
        <v>269828137.69</v>
      </c>
      <c r="Q28" s="93">
        <v>3296590.04</v>
      </c>
      <c r="R28" s="93">
        <v>-1302.1400000000001</v>
      </c>
      <c r="S28" s="93">
        <v>0.08</v>
      </c>
      <c r="T28" s="93">
        <v>0.24</v>
      </c>
      <c r="U28" s="93">
        <v>0</v>
      </c>
      <c r="V28" s="93">
        <v>0</v>
      </c>
      <c r="W28" s="93">
        <v>0</v>
      </c>
      <c r="X28" s="93">
        <v>0</v>
      </c>
      <c r="Y28" s="93">
        <v>0</v>
      </c>
      <c r="Z28" s="93">
        <v>-107.06</v>
      </c>
    </row>
    <row r="29" spans="1:26" s="226" customFormat="1" ht="12.75" customHeight="1" x14ac:dyDescent="0.25">
      <c r="B29" s="98" t="s">
        <v>112</v>
      </c>
      <c r="C29" s="98" t="s">
        <v>70</v>
      </c>
      <c r="F29" s="100">
        <v>17977519904.880001</v>
      </c>
      <c r="G29" s="100">
        <v>975168944.05999994</v>
      </c>
      <c r="H29" s="100">
        <v>549965165.94000006</v>
      </c>
      <c r="I29" s="100">
        <v>289277609.38999999</v>
      </c>
      <c r="J29" s="100">
        <v>4184903167.23</v>
      </c>
      <c r="K29" s="100">
        <v>156472079.13</v>
      </c>
      <c r="L29" s="100">
        <v>37024818.560000002</v>
      </c>
      <c r="M29" s="100">
        <v>1375601472.71</v>
      </c>
      <c r="N29" s="100">
        <v>1309296008.22</v>
      </c>
      <c r="O29" s="100">
        <v>6195691212.4799995</v>
      </c>
      <c r="P29" s="100">
        <v>2648687987.6100001</v>
      </c>
      <c r="Q29" s="100">
        <v>255429137.12</v>
      </c>
      <c r="R29" s="100">
        <v>2108.08</v>
      </c>
      <c r="S29" s="100">
        <v>0.08</v>
      </c>
      <c r="T29" s="100">
        <v>301.33</v>
      </c>
      <c r="U29" s="100">
        <v>0</v>
      </c>
      <c r="V29" s="100">
        <v>0</v>
      </c>
      <c r="W29" s="100">
        <v>0</v>
      </c>
      <c r="X29" s="100">
        <v>0</v>
      </c>
      <c r="Y29" s="100">
        <v>0</v>
      </c>
      <c r="Z29" s="100">
        <v>-107.06</v>
      </c>
    </row>
    <row r="30" spans="1:26" ht="12.6" customHeight="1" x14ac:dyDescent="0.25">
      <c r="A30" t="s">
        <v>78</v>
      </c>
      <c r="B30" t="s">
        <v>70</v>
      </c>
      <c r="E30" s="89"/>
      <c r="F30" s="89">
        <v>17977562274.299999</v>
      </c>
      <c r="G30" s="90">
        <v>975171186.51999998</v>
      </c>
      <c r="H30" s="90">
        <v>549966432.02999997</v>
      </c>
      <c r="I30" s="90">
        <v>289278273.92000002</v>
      </c>
      <c r="J30" s="90">
        <v>4184913193.2399998</v>
      </c>
      <c r="K30" s="90">
        <v>156472451.44</v>
      </c>
      <c r="L30" s="90">
        <v>37024818.560000002</v>
      </c>
      <c r="M30" s="90">
        <v>1375604738.5899999</v>
      </c>
      <c r="N30" s="90">
        <v>1309299117.3199999</v>
      </c>
      <c r="O30" s="90">
        <v>6195705935.0900002</v>
      </c>
      <c r="P30" s="90">
        <v>2648694085.3600001</v>
      </c>
      <c r="Q30" s="90">
        <v>255429744.56999999</v>
      </c>
      <c r="R30" s="90">
        <v>2103.31</v>
      </c>
      <c r="S30" s="90">
        <v>0.08</v>
      </c>
      <c r="T30" s="90">
        <v>301.33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-107.06</v>
      </c>
    </row>
    <row r="31" spans="1:26" ht="12.6" customHeight="1" x14ac:dyDescent="0.25">
      <c r="E31" s="89" t="s">
        <v>73</v>
      </c>
      <c r="F31" s="89">
        <v>21200.58</v>
      </c>
      <c r="G31" s="90">
        <v>1121.23</v>
      </c>
      <c r="H31" s="90">
        <v>633.04999999999995</v>
      </c>
      <c r="I31" s="90">
        <v>332.27</v>
      </c>
      <c r="J31" s="90">
        <v>5013.01</v>
      </c>
      <c r="K31" s="90">
        <v>186.15</v>
      </c>
      <c r="L31" s="90">
        <v>0</v>
      </c>
      <c r="M31" s="90">
        <v>1632.95</v>
      </c>
      <c r="N31" s="90">
        <v>1554.55</v>
      </c>
      <c r="O31" s="90">
        <v>7361.31</v>
      </c>
      <c r="P31" s="90">
        <v>3062.34</v>
      </c>
      <c r="Q31" s="90">
        <v>303.72000000000003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</row>
    <row r="32" spans="1:26" ht="12.6" customHeight="1" x14ac:dyDescent="0.25">
      <c r="D32" t="s">
        <v>156</v>
      </c>
      <c r="E32" s="89" t="s">
        <v>70</v>
      </c>
      <c r="F32" s="89">
        <v>21200.58</v>
      </c>
      <c r="G32" s="90">
        <v>1121.23</v>
      </c>
      <c r="H32" s="90">
        <v>633.04999999999995</v>
      </c>
      <c r="I32" s="90">
        <v>332.27</v>
      </c>
      <c r="J32" s="90">
        <v>5013.01</v>
      </c>
      <c r="K32" s="90">
        <v>186.15</v>
      </c>
      <c r="L32" s="90">
        <v>0</v>
      </c>
      <c r="M32" s="90">
        <v>1632.95</v>
      </c>
      <c r="N32" s="90">
        <v>1554.55</v>
      </c>
      <c r="O32" s="90">
        <v>7361.31</v>
      </c>
      <c r="P32" s="90">
        <v>3062.34</v>
      </c>
      <c r="Q32" s="90">
        <v>303.72000000000003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1:26" s="286" customFormat="1" ht="12.75" customHeight="1" x14ac:dyDescent="0.25">
      <c r="C33" s="286" t="s">
        <v>155</v>
      </c>
      <c r="D33" s="286" t="s">
        <v>70</v>
      </c>
      <c r="E33" s="229"/>
      <c r="F33" s="229">
        <v>21200.58</v>
      </c>
      <c r="G33" s="230">
        <v>1121.23</v>
      </c>
      <c r="H33" s="230">
        <v>633.04999999999995</v>
      </c>
      <c r="I33" s="230">
        <v>332.27</v>
      </c>
      <c r="J33" s="230">
        <v>5013.01</v>
      </c>
      <c r="K33" s="230">
        <v>186.15</v>
      </c>
      <c r="L33" s="230">
        <v>0</v>
      </c>
      <c r="M33" s="230">
        <v>1632.95</v>
      </c>
      <c r="N33" s="230">
        <v>1554.55</v>
      </c>
      <c r="O33" s="230">
        <v>7361.31</v>
      </c>
      <c r="P33" s="230">
        <v>3062.34</v>
      </c>
      <c r="Q33" s="230">
        <v>303.72000000000003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Z33" s="230">
        <v>0</v>
      </c>
    </row>
    <row r="34" spans="1:26" s="378" customFormat="1" ht="12.6" customHeight="1" x14ac:dyDescent="0.25">
      <c r="B34" s="378" t="s">
        <v>122</v>
      </c>
      <c r="C34" s="378" t="s">
        <v>70</v>
      </c>
      <c r="E34" s="376"/>
      <c r="F34" s="376">
        <v>21200.58</v>
      </c>
      <c r="G34" s="377">
        <v>1121.23</v>
      </c>
      <c r="H34" s="377">
        <v>633.04999999999995</v>
      </c>
      <c r="I34" s="377">
        <v>332.27</v>
      </c>
      <c r="J34" s="377">
        <v>5013.01</v>
      </c>
      <c r="K34" s="377">
        <v>186.15</v>
      </c>
      <c r="L34" s="377">
        <v>0</v>
      </c>
      <c r="M34" s="377">
        <v>1632.95</v>
      </c>
      <c r="N34" s="377">
        <v>1554.55</v>
      </c>
      <c r="O34" s="377">
        <v>7361.31</v>
      </c>
      <c r="P34" s="377">
        <v>3062.34</v>
      </c>
      <c r="Q34" s="377">
        <v>303.72000000000003</v>
      </c>
      <c r="R34" s="377">
        <v>0</v>
      </c>
      <c r="S34" s="377">
        <v>0</v>
      </c>
      <c r="T34" s="377">
        <v>0</v>
      </c>
      <c r="U34" s="377">
        <v>0</v>
      </c>
      <c r="V34" s="377">
        <v>0</v>
      </c>
      <c r="W34" s="377">
        <v>0</v>
      </c>
      <c r="X34" s="377">
        <v>0</v>
      </c>
      <c r="Y34" s="377">
        <v>0</v>
      </c>
      <c r="Z34" s="377">
        <v>0</v>
      </c>
    </row>
    <row r="35" spans="1:26" ht="12.75" customHeight="1" x14ac:dyDescent="0.25">
      <c r="E35" s="89" t="s">
        <v>73</v>
      </c>
      <c r="F35" s="384">
        <v>151894229.16</v>
      </c>
      <c r="G35" s="90">
        <v>90683812.030000001</v>
      </c>
      <c r="H35" s="90">
        <v>51049001.82</v>
      </c>
      <c r="I35" s="90">
        <v>26794377.77</v>
      </c>
      <c r="J35" s="90">
        <v>-86416492.859999999</v>
      </c>
      <c r="K35" s="90">
        <v>-3024948.55</v>
      </c>
      <c r="L35" s="90">
        <v>0</v>
      </c>
      <c r="M35" s="90">
        <v>-27764105.780000001</v>
      </c>
      <c r="N35" s="90">
        <v>-25271107.739999998</v>
      </c>
      <c r="O35" s="90">
        <v>-120395616.61</v>
      </c>
      <c r="P35" s="90">
        <v>251159209.43000001</v>
      </c>
      <c r="Q35" s="90">
        <v>-4919900.3499999996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ht="12.75" customHeight="1" x14ac:dyDescent="0.25">
      <c r="D36" t="s">
        <v>156</v>
      </c>
      <c r="E36" s="89" t="s">
        <v>70</v>
      </c>
      <c r="F36" s="384">
        <v>151894229.16</v>
      </c>
      <c r="G36" s="90">
        <v>90683812.030000001</v>
      </c>
      <c r="H36" s="90">
        <v>51049001.82</v>
      </c>
      <c r="I36" s="90">
        <v>26794377.77</v>
      </c>
      <c r="J36" s="90">
        <v>-86416492.859999999</v>
      </c>
      <c r="K36" s="90">
        <v>-3024948.55</v>
      </c>
      <c r="L36" s="90">
        <v>0</v>
      </c>
      <c r="M36" s="90">
        <v>-27764105.780000001</v>
      </c>
      <c r="N36" s="90">
        <v>-25271107.739999998</v>
      </c>
      <c r="O36" s="90">
        <v>-120395616.61</v>
      </c>
      <c r="P36" s="90">
        <v>251159209.43000001</v>
      </c>
      <c r="Q36" s="90">
        <v>-4919900.3499999996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s="286" customFormat="1" ht="12.75" customHeight="1" x14ac:dyDescent="0.25">
      <c r="C37" s="286" t="s">
        <v>155</v>
      </c>
      <c r="D37" s="286" t="s">
        <v>70</v>
      </c>
      <c r="E37" s="229"/>
      <c r="F37" s="229">
        <v>151894229.16</v>
      </c>
      <c r="G37" s="230">
        <v>90683812.030000001</v>
      </c>
      <c r="H37" s="230">
        <v>51049001.82</v>
      </c>
      <c r="I37" s="230">
        <v>26794377.77</v>
      </c>
      <c r="J37" s="230">
        <v>-86416492.859999999</v>
      </c>
      <c r="K37" s="230">
        <v>-3024948.55</v>
      </c>
      <c r="L37" s="230">
        <v>0</v>
      </c>
      <c r="M37" s="230">
        <v>-27764105.780000001</v>
      </c>
      <c r="N37" s="230">
        <v>-25271107.739999998</v>
      </c>
      <c r="O37" s="230">
        <v>-120395616.61</v>
      </c>
      <c r="P37" s="230">
        <v>251159209.43000001</v>
      </c>
      <c r="Q37" s="230">
        <v>-4919900.3499999996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Z37" s="230">
        <v>0</v>
      </c>
    </row>
    <row r="38" spans="1:26" ht="12.75" customHeight="1" x14ac:dyDescent="0.25">
      <c r="D38" s="89"/>
      <c r="E38" s="89" t="s">
        <v>73</v>
      </c>
      <c r="F38" s="90">
        <v>2021483.03</v>
      </c>
      <c r="G38" s="90">
        <v>707748.14</v>
      </c>
      <c r="H38" s="90">
        <v>403617.61</v>
      </c>
      <c r="I38" s="90">
        <v>212434.65</v>
      </c>
      <c r="J38" s="90">
        <v>-402532.63</v>
      </c>
      <c r="K38" s="90">
        <v>-15766.67</v>
      </c>
      <c r="L38" s="90">
        <v>0</v>
      </c>
      <c r="M38" s="90">
        <v>-141242.42000000001</v>
      </c>
      <c r="N38" s="90">
        <v>-116984.96000000001</v>
      </c>
      <c r="O38" s="90">
        <v>-532807.93000000005</v>
      </c>
      <c r="P38" s="90">
        <v>1932740.99</v>
      </c>
      <c r="Q38" s="90">
        <v>-25723.75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t="s">
        <v>82</v>
      </c>
      <c r="E39" s="89" t="s">
        <v>70</v>
      </c>
      <c r="F39" s="90">
        <v>2021483.03</v>
      </c>
      <c r="G39" s="90">
        <v>707748.14</v>
      </c>
      <c r="H39" s="90">
        <v>403617.61</v>
      </c>
      <c r="I39" s="90">
        <v>212434.65</v>
      </c>
      <c r="J39" s="90">
        <v>-402532.63</v>
      </c>
      <c r="K39" s="90">
        <v>-15766.67</v>
      </c>
      <c r="L39" s="90">
        <v>0</v>
      </c>
      <c r="M39" s="90">
        <v>-141242.42000000001</v>
      </c>
      <c r="N39" s="90">
        <v>-116984.96000000001</v>
      </c>
      <c r="O39" s="90">
        <v>-532807.93000000005</v>
      </c>
      <c r="P39" s="90">
        <v>1932740.99</v>
      </c>
      <c r="Q39" s="90">
        <v>-25723.75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D40" s="89"/>
      <c r="E40" s="89" t="s">
        <v>73</v>
      </c>
      <c r="F40" s="90">
        <v>13967365.52</v>
      </c>
      <c r="G40" s="90">
        <v>2999538.79</v>
      </c>
      <c r="H40" s="90">
        <v>1727763.65</v>
      </c>
      <c r="I40" s="90">
        <v>908877.93</v>
      </c>
      <c r="J40" s="90">
        <v>-376035.93</v>
      </c>
      <c r="K40" s="90">
        <v>-21939.23</v>
      </c>
      <c r="L40" s="90">
        <v>0</v>
      </c>
      <c r="M40" s="90">
        <v>-193832.61</v>
      </c>
      <c r="N40" s="90">
        <v>102993.61</v>
      </c>
      <c r="O40" s="90">
        <v>642642.72</v>
      </c>
      <c r="P40" s="90">
        <v>8213151.1200000001</v>
      </c>
      <c r="Q40" s="90">
        <v>-35794.53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D41" t="s">
        <v>86</v>
      </c>
      <c r="E41" s="89" t="s">
        <v>70</v>
      </c>
      <c r="F41" s="90">
        <v>13967365.52</v>
      </c>
      <c r="G41" s="90">
        <v>2999538.79</v>
      </c>
      <c r="H41" s="90">
        <v>1727763.65</v>
      </c>
      <c r="I41" s="90">
        <v>908877.93</v>
      </c>
      <c r="J41" s="90">
        <v>-376035.93</v>
      </c>
      <c r="K41" s="90">
        <v>-21939.23</v>
      </c>
      <c r="L41" s="90">
        <v>0</v>
      </c>
      <c r="M41" s="90">
        <v>-193832.61</v>
      </c>
      <c r="N41" s="90">
        <v>102993.61</v>
      </c>
      <c r="O41" s="90">
        <v>642642.72</v>
      </c>
      <c r="P41" s="90">
        <v>8213151.1200000001</v>
      </c>
      <c r="Q41" s="90">
        <v>-35794.53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/>
      <c r="E42" s="89" t="s">
        <v>73</v>
      </c>
      <c r="F42" s="90">
        <v>190301952.83000001</v>
      </c>
      <c r="G42" s="90">
        <v>34107615.439999998</v>
      </c>
      <c r="H42" s="90">
        <v>19171703.530000001</v>
      </c>
      <c r="I42" s="90">
        <v>10096437.050000001</v>
      </c>
      <c r="J42" s="90">
        <v>10987895.109999999</v>
      </c>
      <c r="K42" s="90">
        <v>313087.53000000003</v>
      </c>
      <c r="L42" s="90">
        <v>0</v>
      </c>
      <c r="M42" s="90">
        <v>2737745.54</v>
      </c>
      <c r="N42" s="90">
        <v>3379843.01</v>
      </c>
      <c r="O42" s="90">
        <v>15862576.49</v>
      </c>
      <c r="P42" s="90">
        <v>93134787.319999993</v>
      </c>
      <c r="Q42" s="90">
        <v>510261.81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 t="s">
        <v>87</v>
      </c>
      <c r="E43" t="s">
        <v>70</v>
      </c>
      <c r="F43" s="90">
        <v>190301952.83000001</v>
      </c>
      <c r="G43" s="90">
        <v>34107615.439999998</v>
      </c>
      <c r="H43" s="90">
        <v>19171703.530000001</v>
      </c>
      <c r="I43" s="90">
        <v>10096437.050000001</v>
      </c>
      <c r="J43" s="90">
        <v>10987895.109999999</v>
      </c>
      <c r="K43" s="90">
        <v>313087.53000000003</v>
      </c>
      <c r="L43" s="90">
        <v>0</v>
      </c>
      <c r="M43" s="90">
        <v>2737745.54</v>
      </c>
      <c r="N43" s="90">
        <v>3379843.01</v>
      </c>
      <c r="O43" s="90">
        <v>15862576.49</v>
      </c>
      <c r="P43" s="90">
        <v>93134787.319999993</v>
      </c>
      <c r="Q43" s="90">
        <v>510261.81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s="94" customFormat="1" ht="12.75" customHeight="1" x14ac:dyDescent="0.25">
      <c r="C44" s="101" t="s">
        <v>119</v>
      </c>
      <c r="D44" s="101" t="s">
        <v>70</v>
      </c>
      <c r="F44" s="93">
        <v>206290801.38</v>
      </c>
      <c r="G44" s="93">
        <v>37814902.369999997</v>
      </c>
      <c r="H44" s="93">
        <v>21303084.789999999</v>
      </c>
      <c r="I44" s="93">
        <v>11217749.630000001</v>
      </c>
      <c r="J44" s="93">
        <v>10209326.550000001</v>
      </c>
      <c r="K44" s="93">
        <v>275381.63</v>
      </c>
      <c r="L44" s="93">
        <v>0</v>
      </c>
      <c r="M44" s="93">
        <v>2402670.5099999998</v>
      </c>
      <c r="N44" s="93">
        <v>3365851.66</v>
      </c>
      <c r="O44" s="93">
        <v>15972411.279999999</v>
      </c>
      <c r="P44" s="93">
        <v>103280679.43000001</v>
      </c>
      <c r="Q44" s="93">
        <v>448743.53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0</v>
      </c>
      <c r="Z44" s="93">
        <v>0</v>
      </c>
    </row>
    <row r="45" spans="1:26" s="226" customFormat="1" ht="12.75" customHeight="1" x14ac:dyDescent="0.25">
      <c r="B45" s="98" t="s">
        <v>112</v>
      </c>
      <c r="C45" s="98" t="s">
        <v>70</v>
      </c>
      <c r="F45" s="100">
        <v>358185030.54000002</v>
      </c>
      <c r="G45" s="100">
        <v>128498714.40000001</v>
      </c>
      <c r="H45" s="100">
        <v>72352086.609999999</v>
      </c>
      <c r="I45" s="100">
        <v>38012127.399999999</v>
      </c>
      <c r="J45" s="100">
        <v>-76207166.310000002</v>
      </c>
      <c r="K45" s="100">
        <v>-2749566.92</v>
      </c>
      <c r="L45" s="100">
        <v>0</v>
      </c>
      <c r="M45" s="100">
        <v>-25361435.27</v>
      </c>
      <c r="N45" s="100">
        <v>-21905256.079999998</v>
      </c>
      <c r="O45" s="100">
        <v>-104423205.33</v>
      </c>
      <c r="P45" s="100">
        <v>354439888.86000001</v>
      </c>
      <c r="Q45" s="100">
        <v>-4471156.82</v>
      </c>
      <c r="R45" s="100">
        <v>0</v>
      </c>
      <c r="S45" s="100">
        <v>0</v>
      </c>
      <c r="T45" s="100">
        <v>0</v>
      </c>
      <c r="U45" s="100">
        <v>0</v>
      </c>
      <c r="V45" s="100">
        <v>0</v>
      </c>
      <c r="W45" s="100">
        <v>0</v>
      </c>
      <c r="X45" s="100">
        <v>0</v>
      </c>
      <c r="Y45" s="100">
        <v>0</v>
      </c>
      <c r="Z45" s="100">
        <v>0</v>
      </c>
    </row>
    <row r="46" spans="1:26" ht="12.75" customHeight="1" x14ac:dyDescent="0.25">
      <c r="A46" s="89" t="s">
        <v>79</v>
      </c>
      <c r="B46" t="s">
        <v>70</v>
      </c>
      <c r="F46" s="90">
        <v>358206231.12</v>
      </c>
      <c r="G46" s="90">
        <v>128499835.63</v>
      </c>
      <c r="H46" s="90">
        <v>72352719.659999996</v>
      </c>
      <c r="I46" s="90">
        <v>38012459.670000002</v>
      </c>
      <c r="J46" s="90">
        <v>-76202153.299999997</v>
      </c>
      <c r="K46" s="90">
        <v>-2749380.77</v>
      </c>
      <c r="L46" s="90">
        <v>0</v>
      </c>
      <c r="M46" s="90">
        <v>-25359802.32</v>
      </c>
      <c r="N46" s="90">
        <v>-21903701.530000001</v>
      </c>
      <c r="O46" s="90">
        <v>-104415844.02</v>
      </c>
      <c r="P46" s="90">
        <v>354442951.19999999</v>
      </c>
      <c r="Q46" s="90">
        <v>-4470853.0999999996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1:26" ht="12.75" customHeight="1" x14ac:dyDescent="0.25">
      <c r="A47" s="89" t="s">
        <v>70</v>
      </c>
      <c r="F47" s="90">
        <v>18335759381.52</v>
      </c>
      <c r="G47" s="90">
        <v>1103670397.0699999</v>
      </c>
      <c r="H47" s="90">
        <v>622318886.13</v>
      </c>
      <c r="I47" s="90">
        <v>327290617.63999999</v>
      </c>
      <c r="J47" s="90">
        <v>4108709439.02</v>
      </c>
      <c r="K47" s="90">
        <v>153722967.21000001</v>
      </c>
      <c r="L47" s="90">
        <v>37024818.560000002</v>
      </c>
      <c r="M47" s="90">
        <v>1350244028.8499999</v>
      </c>
      <c r="N47" s="90">
        <v>1287394656.3800001</v>
      </c>
      <c r="O47" s="90">
        <v>6091287059.7299995</v>
      </c>
      <c r="P47" s="90">
        <v>3003135490.5900002</v>
      </c>
      <c r="Q47" s="90">
        <v>250958722.68000001</v>
      </c>
      <c r="R47" s="90">
        <v>2103.31</v>
      </c>
      <c r="S47" s="90">
        <v>0.08</v>
      </c>
      <c r="T47">
        <v>301.33</v>
      </c>
      <c r="U47">
        <v>0</v>
      </c>
      <c r="V47">
        <v>0</v>
      </c>
      <c r="W47">
        <v>0</v>
      </c>
      <c r="X47" s="90">
        <v>0</v>
      </c>
      <c r="Y47" s="90">
        <v>0</v>
      </c>
      <c r="Z47">
        <v>-107.06</v>
      </c>
    </row>
    <row r="48" spans="1:26" ht="12.75" customHeight="1" x14ac:dyDescent="0.25">
      <c r="A48" s="89"/>
      <c r="D48" s="143"/>
      <c r="E48" s="137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X48" s="90"/>
      <c r="Y48" s="90"/>
    </row>
    <row r="49" spans="1:42" ht="12.75" customHeight="1" x14ac:dyDescent="0.25">
      <c r="A49" s="89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42" ht="12.75" customHeight="1" x14ac:dyDescent="0.25">
      <c r="C50" s="774" t="s">
        <v>2</v>
      </c>
      <c r="D50" s="772" t="s">
        <v>132</v>
      </c>
      <c r="E50" s="98" t="s">
        <v>70</v>
      </c>
      <c r="F50" s="100">
        <f>F29+F45+F9-L9-L29</f>
        <v>18298670992.959999</v>
      </c>
      <c r="G50" s="100">
        <f>G29+G9</f>
        <v>975168318.9799999</v>
      </c>
      <c r="H50" s="100">
        <f t="shared" ref="H50:AP50" si="0">H29+H9</f>
        <v>549964900.38000011</v>
      </c>
      <c r="I50" s="100">
        <f t="shared" si="0"/>
        <v>289277493.44</v>
      </c>
      <c r="J50" s="100">
        <f t="shared" si="0"/>
        <v>4184901566.3099999</v>
      </c>
      <c r="K50" s="100">
        <f t="shared" si="0"/>
        <v>156471975.66999999</v>
      </c>
      <c r="L50" s="100">
        <f t="shared" si="0"/>
        <v>37024818.560000002</v>
      </c>
      <c r="M50" s="100">
        <f t="shared" si="0"/>
        <v>1375600565.29</v>
      </c>
      <c r="N50" s="100">
        <f t="shared" si="0"/>
        <v>1309295248.8099999</v>
      </c>
      <c r="O50" s="100">
        <f t="shared" si="0"/>
        <v>6195688181.1399994</v>
      </c>
      <c r="P50" s="100">
        <f t="shared" si="0"/>
        <v>2648686441.6400003</v>
      </c>
      <c r="Q50" s="100">
        <f t="shared" si="0"/>
        <v>255428968.33000001</v>
      </c>
      <c r="R50" s="100">
        <f t="shared" si="0"/>
        <v>2108.08</v>
      </c>
      <c r="S50" s="100">
        <f t="shared" si="0"/>
        <v>0.08</v>
      </c>
      <c r="T50" s="100">
        <f t="shared" si="0"/>
        <v>301.33</v>
      </c>
      <c r="U50" s="100">
        <f t="shared" si="0"/>
        <v>0</v>
      </c>
      <c r="V50" s="100">
        <f t="shared" si="0"/>
        <v>0</v>
      </c>
      <c r="W50" s="100">
        <f t="shared" si="0"/>
        <v>0</v>
      </c>
      <c r="X50" s="100">
        <f t="shared" si="0"/>
        <v>0</v>
      </c>
      <c r="Y50" s="100">
        <f t="shared" si="0"/>
        <v>0</v>
      </c>
      <c r="Z50" s="100">
        <f t="shared" si="0"/>
        <v>-107.06</v>
      </c>
      <c r="AA50" s="100">
        <f t="shared" si="0"/>
        <v>0</v>
      </c>
      <c r="AB50" s="100">
        <f t="shared" si="0"/>
        <v>0</v>
      </c>
      <c r="AC50" s="100">
        <f t="shared" si="0"/>
        <v>0</v>
      </c>
      <c r="AD50" s="100">
        <f t="shared" si="0"/>
        <v>0</v>
      </c>
      <c r="AE50" s="100">
        <f t="shared" si="0"/>
        <v>0</v>
      </c>
      <c r="AF50" s="100">
        <f t="shared" si="0"/>
        <v>0</v>
      </c>
      <c r="AG50" s="100">
        <f t="shared" si="0"/>
        <v>0</v>
      </c>
      <c r="AH50" s="100">
        <f t="shared" si="0"/>
        <v>0</v>
      </c>
      <c r="AI50" s="100">
        <f t="shared" si="0"/>
        <v>0</v>
      </c>
      <c r="AJ50" s="100">
        <f t="shared" si="0"/>
        <v>0</v>
      </c>
      <c r="AK50" s="100">
        <f t="shared" si="0"/>
        <v>0</v>
      </c>
      <c r="AL50" s="100">
        <f t="shared" si="0"/>
        <v>0</v>
      </c>
      <c r="AM50" s="100">
        <f t="shared" si="0"/>
        <v>0</v>
      </c>
      <c r="AN50" s="100">
        <f t="shared" si="0"/>
        <v>0</v>
      </c>
      <c r="AO50" s="100">
        <f t="shared" si="0"/>
        <v>0</v>
      </c>
      <c r="AP50" s="100">
        <f t="shared" si="0"/>
        <v>0</v>
      </c>
    </row>
    <row r="51" spans="1:42" ht="12.75" customHeight="1" x14ac:dyDescent="0.25">
      <c r="C51" s="774"/>
      <c r="D51" s="772"/>
      <c r="E51" s="98" t="s">
        <v>73</v>
      </c>
      <c r="F51" s="100">
        <f>F45</f>
        <v>358185030.54000002</v>
      </c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42" ht="12.75" customHeight="1" x14ac:dyDescent="0.25">
      <c r="C52" s="774"/>
      <c r="D52" s="772" t="s">
        <v>133</v>
      </c>
      <c r="E52" s="233" t="s">
        <v>70</v>
      </c>
      <c r="F52" s="234">
        <f>F34+F14-L14</f>
        <v>63570</v>
      </c>
      <c r="G52" s="234">
        <f>G14</f>
        <v>2242.46</v>
      </c>
      <c r="H52" s="234">
        <f t="shared" ref="H52:AP52" si="1">H14</f>
        <v>1266.0899999999999</v>
      </c>
      <c r="I52" s="234">
        <f t="shared" si="1"/>
        <v>664.53</v>
      </c>
      <c r="J52" s="234">
        <f t="shared" si="1"/>
        <v>10026.01</v>
      </c>
      <c r="K52" s="234">
        <f t="shared" si="1"/>
        <v>372.31</v>
      </c>
      <c r="L52" s="234">
        <f t="shared" si="1"/>
        <v>0</v>
      </c>
      <c r="M52" s="234">
        <f t="shared" si="1"/>
        <v>3265.88</v>
      </c>
      <c r="N52" s="234">
        <f t="shared" si="1"/>
        <v>3109.1</v>
      </c>
      <c r="O52" s="234">
        <f t="shared" si="1"/>
        <v>14722.61</v>
      </c>
      <c r="P52" s="234">
        <f t="shared" si="1"/>
        <v>6097.75</v>
      </c>
      <c r="Q52" s="234">
        <f t="shared" si="1"/>
        <v>607.45000000000005</v>
      </c>
      <c r="R52" s="234">
        <f t="shared" si="1"/>
        <v>-4.7699999999999996</v>
      </c>
      <c r="S52" s="234">
        <f t="shared" si="1"/>
        <v>0</v>
      </c>
      <c r="T52" s="234">
        <f t="shared" si="1"/>
        <v>0</v>
      </c>
      <c r="U52" s="234">
        <f t="shared" si="1"/>
        <v>0</v>
      </c>
      <c r="V52" s="234">
        <f t="shared" si="1"/>
        <v>0</v>
      </c>
      <c r="W52" s="234">
        <f t="shared" si="1"/>
        <v>0</v>
      </c>
      <c r="X52" s="234">
        <f t="shared" si="1"/>
        <v>0</v>
      </c>
      <c r="Y52" s="234">
        <f t="shared" si="1"/>
        <v>0</v>
      </c>
      <c r="Z52" s="234">
        <f t="shared" si="1"/>
        <v>0</v>
      </c>
      <c r="AA52" s="234">
        <f t="shared" si="1"/>
        <v>0</v>
      </c>
      <c r="AB52" s="234">
        <f t="shared" si="1"/>
        <v>0</v>
      </c>
      <c r="AC52" s="234">
        <f t="shared" si="1"/>
        <v>0</v>
      </c>
      <c r="AD52" s="234">
        <f t="shared" si="1"/>
        <v>0</v>
      </c>
      <c r="AE52" s="234">
        <f t="shared" si="1"/>
        <v>0</v>
      </c>
      <c r="AF52" s="234">
        <f t="shared" si="1"/>
        <v>0</v>
      </c>
      <c r="AG52" s="234">
        <f t="shared" si="1"/>
        <v>0</v>
      </c>
      <c r="AH52" s="234">
        <f t="shared" si="1"/>
        <v>0</v>
      </c>
      <c r="AI52" s="234">
        <f t="shared" si="1"/>
        <v>0</v>
      </c>
      <c r="AJ52" s="234">
        <f t="shared" si="1"/>
        <v>0</v>
      </c>
      <c r="AK52" s="234">
        <f t="shared" si="1"/>
        <v>0</v>
      </c>
      <c r="AL52" s="234">
        <f t="shared" si="1"/>
        <v>0</v>
      </c>
      <c r="AM52" s="234">
        <f t="shared" si="1"/>
        <v>0</v>
      </c>
      <c r="AN52" s="234">
        <f t="shared" si="1"/>
        <v>0</v>
      </c>
      <c r="AO52" s="234">
        <f t="shared" si="1"/>
        <v>0</v>
      </c>
      <c r="AP52" s="234">
        <f t="shared" si="1"/>
        <v>0</v>
      </c>
    </row>
    <row r="53" spans="1:42" ht="12.75" customHeight="1" x14ac:dyDescent="0.25">
      <c r="C53" s="774"/>
      <c r="D53" s="772"/>
      <c r="E53" s="233" t="s">
        <v>73</v>
      </c>
      <c r="F53" s="234">
        <f>F34</f>
        <v>21200.58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42" ht="12.75" customHeight="1" x14ac:dyDescent="0.25">
      <c r="A54" s="89"/>
      <c r="C54" s="97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42" ht="12.75" customHeight="1" x14ac:dyDescent="0.25">
      <c r="C55" s="774" t="s">
        <v>160</v>
      </c>
      <c r="D55" s="772" t="s">
        <v>132</v>
      </c>
      <c r="E55" s="223" t="s">
        <v>70</v>
      </c>
      <c r="F55" s="225">
        <v>0</v>
      </c>
      <c r="G55" s="225">
        <v>0</v>
      </c>
      <c r="H55" s="225">
        <v>0</v>
      </c>
      <c r="I55" s="225">
        <v>0</v>
      </c>
      <c r="J55" s="225">
        <v>0</v>
      </c>
      <c r="K55" s="225">
        <v>0</v>
      </c>
      <c r="L55" s="225">
        <v>0</v>
      </c>
      <c r="M55" s="225">
        <v>0</v>
      </c>
      <c r="N55" s="225">
        <v>0</v>
      </c>
      <c r="O55" s="225">
        <v>0</v>
      </c>
      <c r="P55" s="225">
        <v>0</v>
      </c>
      <c r="Q55" s="225">
        <v>0</v>
      </c>
      <c r="R55" s="225">
        <v>0</v>
      </c>
      <c r="S55" s="225">
        <v>0</v>
      </c>
      <c r="T55" s="225">
        <v>0</v>
      </c>
      <c r="U55" s="225">
        <v>0</v>
      </c>
      <c r="V55" s="225">
        <v>0</v>
      </c>
      <c r="W55" s="225">
        <v>0</v>
      </c>
      <c r="X55" s="225">
        <v>0</v>
      </c>
      <c r="Y55" s="225">
        <v>0</v>
      </c>
      <c r="Z55" s="225">
        <v>0</v>
      </c>
      <c r="AA55" s="225">
        <v>0</v>
      </c>
      <c r="AB55" s="225">
        <v>0</v>
      </c>
      <c r="AC55" s="225">
        <v>0</v>
      </c>
      <c r="AD55" s="225">
        <v>0</v>
      </c>
      <c r="AE55" s="225">
        <v>0</v>
      </c>
      <c r="AF55" s="225">
        <v>0</v>
      </c>
      <c r="AG55" s="225">
        <v>0</v>
      </c>
      <c r="AH55" s="225">
        <v>0</v>
      </c>
      <c r="AI55" s="225">
        <v>0</v>
      </c>
      <c r="AJ55" s="225">
        <v>0</v>
      </c>
      <c r="AK55" s="225">
        <v>0</v>
      </c>
      <c r="AL55" s="225">
        <v>0</v>
      </c>
      <c r="AM55" s="225">
        <v>0</v>
      </c>
      <c r="AN55" s="225">
        <v>0</v>
      </c>
      <c r="AO55" s="225">
        <v>0</v>
      </c>
      <c r="AP55" s="225">
        <v>0</v>
      </c>
    </row>
    <row r="56" spans="1:42" ht="12.75" customHeight="1" x14ac:dyDescent="0.25">
      <c r="C56" s="774"/>
      <c r="D56" s="772"/>
      <c r="E56" s="223" t="s">
        <v>73</v>
      </c>
      <c r="F56" s="225">
        <v>0</v>
      </c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42" ht="12.75" customHeight="1" x14ac:dyDescent="0.25">
      <c r="C57" s="774"/>
      <c r="D57" s="772" t="s">
        <v>133</v>
      </c>
      <c r="E57" s="227" t="s">
        <v>70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X57" s="228">
        <v>0</v>
      </c>
      <c r="Y57" s="228">
        <v>0</v>
      </c>
      <c r="Z57" s="228">
        <v>0</v>
      </c>
      <c r="AA57" s="228">
        <v>0</v>
      </c>
      <c r="AB57" s="228">
        <v>0</v>
      </c>
      <c r="AC57" s="228">
        <v>0</v>
      </c>
      <c r="AD57" s="228">
        <v>0</v>
      </c>
      <c r="AE57" s="228">
        <v>0</v>
      </c>
      <c r="AF57" s="228">
        <v>0</v>
      </c>
      <c r="AG57" s="228">
        <v>0</v>
      </c>
      <c r="AH57" s="228">
        <v>0</v>
      </c>
      <c r="AI57" s="228">
        <v>0</v>
      </c>
      <c r="AJ57" s="228">
        <v>0</v>
      </c>
      <c r="AK57" s="228">
        <v>0</v>
      </c>
      <c r="AL57" s="228">
        <v>0</v>
      </c>
      <c r="AM57" s="228">
        <v>0</v>
      </c>
      <c r="AN57" s="228">
        <v>0</v>
      </c>
      <c r="AO57" s="228">
        <v>0</v>
      </c>
      <c r="AP57" s="228">
        <v>0</v>
      </c>
    </row>
    <row r="58" spans="1:42" ht="12.75" customHeight="1" x14ac:dyDescent="0.25">
      <c r="C58" s="774"/>
      <c r="D58" s="772"/>
      <c r="E58" s="227" t="s">
        <v>73</v>
      </c>
      <c r="F58" s="228">
        <v>0</v>
      </c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</row>
    <row r="59" spans="1:42" ht="12.75" customHeight="1" x14ac:dyDescent="0.25">
      <c r="A59" s="89"/>
      <c r="C59" s="97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42" ht="12.75" customHeight="1" x14ac:dyDescent="0.25">
      <c r="C60" s="774" t="s">
        <v>155</v>
      </c>
      <c r="D60" s="772" t="s">
        <v>132</v>
      </c>
      <c r="E60" s="221" t="s">
        <v>70</v>
      </c>
      <c r="F60" s="222">
        <f>F37+F18-L18</f>
        <v>17429101725.470001</v>
      </c>
      <c r="G60" s="222">
        <f>G18</f>
        <v>875860927.26999998</v>
      </c>
      <c r="H60" s="222">
        <f t="shared" ref="H60:AP60" si="2">H18</f>
        <v>493856212.73000002</v>
      </c>
      <c r="I60" s="222">
        <f t="shared" si="2"/>
        <v>259752191.41</v>
      </c>
      <c r="J60" s="222">
        <f t="shared" si="2"/>
        <v>4121495650.8800001</v>
      </c>
      <c r="K60" s="222">
        <f t="shared" si="2"/>
        <v>154452275.31999999</v>
      </c>
      <c r="L60" s="222">
        <f t="shared" si="2"/>
        <v>16025688.529999999</v>
      </c>
      <c r="M60" s="222">
        <f t="shared" si="2"/>
        <v>1357918672.25</v>
      </c>
      <c r="N60" s="222">
        <f t="shared" si="2"/>
        <v>1287823319.1600001</v>
      </c>
      <c r="O60" s="222">
        <f t="shared" si="2"/>
        <v>6095052138.9799995</v>
      </c>
      <c r="P60" s="222">
        <f t="shared" si="2"/>
        <v>2378859849.9200001</v>
      </c>
      <c r="Q60" s="222">
        <f t="shared" si="2"/>
        <v>252132547.08000001</v>
      </c>
      <c r="R60" s="222">
        <f t="shared" si="2"/>
        <v>3410.22</v>
      </c>
      <c r="S60" s="222">
        <f t="shared" si="2"/>
        <v>0</v>
      </c>
      <c r="T60" s="222">
        <f t="shared" si="2"/>
        <v>301.08999999999997</v>
      </c>
      <c r="U60" s="222">
        <f t="shared" si="2"/>
        <v>0</v>
      </c>
      <c r="V60" s="222">
        <f t="shared" si="2"/>
        <v>0</v>
      </c>
      <c r="W60" s="222">
        <f t="shared" si="2"/>
        <v>0</v>
      </c>
      <c r="X60" s="222">
        <f t="shared" si="2"/>
        <v>0</v>
      </c>
      <c r="Y60" s="222">
        <f t="shared" si="2"/>
        <v>0</v>
      </c>
      <c r="Z60" s="222">
        <f t="shared" si="2"/>
        <v>0</v>
      </c>
      <c r="AA60" s="222">
        <f t="shared" si="2"/>
        <v>0</v>
      </c>
      <c r="AB60" s="222">
        <f t="shared" si="2"/>
        <v>0</v>
      </c>
      <c r="AC60" s="222">
        <f t="shared" si="2"/>
        <v>0</v>
      </c>
      <c r="AD60" s="222">
        <f t="shared" si="2"/>
        <v>0</v>
      </c>
      <c r="AE60" s="222">
        <f t="shared" si="2"/>
        <v>0</v>
      </c>
      <c r="AF60" s="222">
        <f t="shared" si="2"/>
        <v>0</v>
      </c>
      <c r="AG60" s="222">
        <f t="shared" si="2"/>
        <v>0</v>
      </c>
      <c r="AH60" s="222">
        <f t="shared" si="2"/>
        <v>0</v>
      </c>
      <c r="AI60" s="222">
        <f t="shared" si="2"/>
        <v>0</v>
      </c>
      <c r="AJ60" s="222">
        <f t="shared" si="2"/>
        <v>0</v>
      </c>
      <c r="AK60" s="222">
        <f t="shared" si="2"/>
        <v>0</v>
      </c>
      <c r="AL60" s="222">
        <f t="shared" si="2"/>
        <v>0</v>
      </c>
      <c r="AM60" s="222">
        <f t="shared" si="2"/>
        <v>0</v>
      </c>
      <c r="AN60" s="222">
        <f t="shared" si="2"/>
        <v>0</v>
      </c>
      <c r="AO60" s="222">
        <f t="shared" si="2"/>
        <v>0</v>
      </c>
      <c r="AP60" s="222">
        <f t="shared" si="2"/>
        <v>0</v>
      </c>
    </row>
    <row r="61" spans="1:42" ht="12.75" customHeight="1" x14ac:dyDescent="0.25">
      <c r="C61" s="774"/>
      <c r="D61" s="772"/>
      <c r="E61" s="221" t="s">
        <v>73</v>
      </c>
      <c r="F61" s="222">
        <f>F37</f>
        <v>151894229.16</v>
      </c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42" ht="12.75" customHeight="1" x14ac:dyDescent="0.25">
      <c r="B62" s="150"/>
      <c r="C62" s="774"/>
      <c r="D62" s="772" t="s">
        <v>133</v>
      </c>
      <c r="E62" s="229" t="s">
        <v>70</v>
      </c>
      <c r="F62" s="230">
        <f>F33+F13-L13</f>
        <v>63570</v>
      </c>
      <c r="G62" s="230">
        <f>G13</f>
        <v>2242.46</v>
      </c>
      <c r="H62" s="230">
        <f t="shared" ref="H62:AP62" si="3">H13</f>
        <v>1266.0899999999999</v>
      </c>
      <c r="I62" s="230">
        <f t="shared" si="3"/>
        <v>664.53</v>
      </c>
      <c r="J62" s="230">
        <f t="shared" si="3"/>
        <v>10026.01</v>
      </c>
      <c r="K62" s="230">
        <f t="shared" si="3"/>
        <v>372.31</v>
      </c>
      <c r="L62" s="230">
        <f t="shared" si="3"/>
        <v>0</v>
      </c>
      <c r="M62" s="230">
        <f t="shared" si="3"/>
        <v>3265.88</v>
      </c>
      <c r="N62" s="230">
        <f t="shared" si="3"/>
        <v>3109.1</v>
      </c>
      <c r="O62" s="230">
        <f t="shared" si="3"/>
        <v>14722.61</v>
      </c>
      <c r="P62" s="230">
        <f t="shared" si="3"/>
        <v>6097.75</v>
      </c>
      <c r="Q62" s="230">
        <f t="shared" si="3"/>
        <v>607.45000000000005</v>
      </c>
      <c r="R62" s="230">
        <f t="shared" si="3"/>
        <v>-4.7699999999999996</v>
      </c>
      <c r="S62" s="230">
        <f t="shared" si="3"/>
        <v>0</v>
      </c>
      <c r="T62" s="230">
        <f t="shared" si="3"/>
        <v>0</v>
      </c>
      <c r="U62" s="230">
        <f t="shared" si="3"/>
        <v>0</v>
      </c>
      <c r="V62" s="230">
        <f t="shared" si="3"/>
        <v>0</v>
      </c>
      <c r="W62" s="230">
        <f t="shared" si="3"/>
        <v>0</v>
      </c>
      <c r="X62" s="230">
        <f t="shared" si="3"/>
        <v>0</v>
      </c>
      <c r="Y62" s="230">
        <f t="shared" si="3"/>
        <v>0</v>
      </c>
      <c r="Z62" s="230">
        <f t="shared" si="3"/>
        <v>0</v>
      </c>
      <c r="AA62" s="230">
        <f t="shared" si="3"/>
        <v>0</v>
      </c>
      <c r="AB62" s="230">
        <f t="shared" si="3"/>
        <v>0</v>
      </c>
      <c r="AC62" s="230">
        <f t="shared" si="3"/>
        <v>0</v>
      </c>
      <c r="AD62" s="230">
        <f t="shared" si="3"/>
        <v>0</v>
      </c>
      <c r="AE62" s="230">
        <f t="shared" si="3"/>
        <v>0</v>
      </c>
      <c r="AF62" s="230">
        <f t="shared" si="3"/>
        <v>0</v>
      </c>
      <c r="AG62" s="230">
        <f t="shared" si="3"/>
        <v>0</v>
      </c>
      <c r="AH62" s="230">
        <f t="shared" si="3"/>
        <v>0</v>
      </c>
      <c r="AI62" s="230">
        <f t="shared" si="3"/>
        <v>0</v>
      </c>
      <c r="AJ62" s="230">
        <f t="shared" si="3"/>
        <v>0</v>
      </c>
      <c r="AK62" s="230">
        <f t="shared" si="3"/>
        <v>0</v>
      </c>
      <c r="AL62" s="230">
        <f t="shared" si="3"/>
        <v>0</v>
      </c>
      <c r="AM62" s="230">
        <f t="shared" si="3"/>
        <v>0</v>
      </c>
      <c r="AN62" s="230">
        <f t="shared" si="3"/>
        <v>0</v>
      </c>
      <c r="AO62" s="230">
        <f t="shared" si="3"/>
        <v>0</v>
      </c>
      <c r="AP62" s="230">
        <f t="shared" si="3"/>
        <v>0</v>
      </c>
    </row>
    <row r="63" spans="1:42" ht="12.75" customHeight="1" x14ac:dyDescent="0.25">
      <c r="B63" s="150"/>
      <c r="C63" s="774"/>
      <c r="D63" s="772"/>
      <c r="E63" s="229" t="s">
        <v>73</v>
      </c>
      <c r="F63" s="230">
        <f>F33</f>
        <v>21200.58</v>
      </c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42" ht="12.75" customHeight="1" x14ac:dyDescent="0.25">
      <c r="A64" s="89"/>
      <c r="C64" s="97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42" ht="12.75" customHeight="1" x14ac:dyDescent="0.25">
      <c r="C65" s="775" t="s">
        <v>327</v>
      </c>
      <c r="D65" s="772" t="s">
        <v>132</v>
      </c>
      <c r="E65" s="373" t="s">
        <v>70</v>
      </c>
      <c r="F65" s="374">
        <v>0</v>
      </c>
      <c r="G65" s="374">
        <v>0</v>
      </c>
      <c r="H65" s="374">
        <v>0</v>
      </c>
      <c r="I65" s="374">
        <v>0</v>
      </c>
      <c r="J65" s="374">
        <v>0</v>
      </c>
      <c r="K65" s="374">
        <v>0</v>
      </c>
      <c r="L65" s="374">
        <v>0</v>
      </c>
      <c r="M65" s="374">
        <v>0</v>
      </c>
      <c r="N65" s="374">
        <v>0</v>
      </c>
      <c r="O65" s="374">
        <v>0</v>
      </c>
      <c r="P65" s="374">
        <v>0</v>
      </c>
      <c r="Q65" s="374">
        <v>0</v>
      </c>
      <c r="R65" s="374">
        <v>0</v>
      </c>
      <c r="S65" s="374">
        <v>0</v>
      </c>
      <c r="T65" s="374">
        <v>0</v>
      </c>
      <c r="U65" s="374">
        <v>0</v>
      </c>
      <c r="V65" s="374">
        <v>0</v>
      </c>
      <c r="W65" s="374">
        <v>0</v>
      </c>
      <c r="X65" s="374">
        <v>0</v>
      </c>
      <c r="Y65" s="374">
        <v>0</v>
      </c>
      <c r="Z65" s="374">
        <v>0</v>
      </c>
      <c r="AA65" s="374">
        <v>0</v>
      </c>
      <c r="AB65" s="374">
        <v>0</v>
      </c>
      <c r="AC65" s="374">
        <v>0</v>
      </c>
      <c r="AD65" s="374">
        <v>0</v>
      </c>
      <c r="AE65" s="374">
        <v>0</v>
      </c>
      <c r="AF65" s="374">
        <v>0</v>
      </c>
      <c r="AG65" s="374">
        <v>0</v>
      </c>
      <c r="AH65" s="374">
        <v>0</v>
      </c>
      <c r="AI65" s="374">
        <v>0</v>
      </c>
      <c r="AJ65" s="374">
        <v>0</v>
      </c>
      <c r="AK65" s="374">
        <v>0</v>
      </c>
      <c r="AL65" s="374">
        <v>0</v>
      </c>
      <c r="AM65" s="374">
        <v>0</v>
      </c>
      <c r="AN65" s="374">
        <v>0</v>
      </c>
      <c r="AO65" s="374">
        <v>0</v>
      </c>
    </row>
    <row r="66" spans="1:42" ht="12.75" customHeight="1" x14ac:dyDescent="0.25">
      <c r="C66" s="775"/>
      <c r="D66" s="772"/>
      <c r="E66" s="373" t="s">
        <v>73</v>
      </c>
      <c r="F66" s="374">
        <v>0</v>
      </c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 spans="1:42" ht="12.75" customHeight="1" x14ac:dyDescent="0.25">
      <c r="C67" s="775"/>
      <c r="D67" s="772" t="s">
        <v>133</v>
      </c>
      <c r="E67" s="242" t="s">
        <v>70</v>
      </c>
      <c r="F67" s="243">
        <v>0</v>
      </c>
      <c r="G67" s="243">
        <v>0</v>
      </c>
      <c r="H67" s="243">
        <v>0</v>
      </c>
      <c r="I67" s="243">
        <v>0</v>
      </c>
      <c r="J67" s="243">
        <v>0</v>
      </c>
      <c r="K67" s="243">
        <v>0</v>
      </c>
      <c r="L67" s="243">
        <v>0</v>
      </c>
      <c r="M67" s="243">
        <v>0</v>
      </c>
      <c r="N67" s="243">
        <v>0</v>
      </c>
      <c r="O67" s="243">
        <v>0</v>
      </c>
      <c r="P67" s="243">
        <v>0</v>
      </c>
      <c r="Q67" s="243">
        <v>0</v>
      </c>
      <c r="R67" s="243">
        <v>0</v>
      </c>
      <c r="S67" s="243">
        <v>0</v>
      </c>
      <c r="T67" s="243">
        <v>0</v>
      </c>
      <c r="U67" s="243">
        <v>0</v>
      </c>
      <c r="V67" s="243">
        <v>0</v>
      </c>
      <c r="W67" s="243">
        <v>0</v>
      </c>
      <c r="X67" s="243">
        <v>0</v>
      </c>
      <c r="Y67" s="243">
        <v>0</v>
      </c>
      <c r="Z67" s="243">
        <v>0</v>
      </c>
      <c r="AA67" s="243">
        <v>0</v>
      </c>
      <c r="AB67" s="243">
        <v>0</v>
      </c>
      <c r="AC67" s="243">
        <v>0</v>
      </c>
      <c r="AD67" s="243">
        <v>0</v>
      </c>
      <c r="AE67" s="243">
        <v>0</v>
      </c>
      <c r="AF67" s="243">
        <v>0</v>
      </c>
      <c r="AG67" s="243">
        <v>0</v>
      </c>
      <c r="AH67" s="243">
        <v>0</v>
      </c>
      <c r="AI67" s="243">
        <v>0</v>
      </c>
      <c r="AJ67" s="243">
        <v>0</v>
      </c>
      <c r="AK67" s="243">
        <v>0</v>
      </c>
      <c r="AL67" s="243">
        <v>0</v>
      </c>
      <c r="AM67" s="243">
        <v>0</v>
      </c>
      <c r="AN67" s="243">
        <v>0</v>
      </c>
      <c r="AO67" s="243">
        <v>0</v>
      </c>
    </row>
    <row r="68" spans="1:42" ht="12.75" customHeight="1" x14ac:dyDescent="0.25">
      <c r="C68" s="775"/>
      <c r="D68" s="772"/>
      <c r="E68" s="242" t="s">
        <v>73</v>
      </c>
      <c r="F68" s="243">
        <v>0</v>
      </c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</row>
    <row r="69" spans="1:42" ht="12.75" customHeight="1" x14ac:dyDescent="0.25">
      <c r="A69" s="89"/>
      <c r="C69" s="97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 spans="1:42" ht="12.75" customHeight="1" x14ac:dyDescent="0.25">
      <c r="C70" s="774" t="s">
        <v>119</v>
      </c>
      <c r="D70" s="772" t="s">
        <v>132</v>
      </c>
      <c r="E70" s="101" t="s">
        <v>70</v>
      </c>
      <c r="F70" s="93">
        <f>F44+F28+F8-L8-L28</f>
        <v>869569267.49000001</v>
      </c>
      <c r="G70" s="93">
        <f t="shared" ref="G70:AP70" si="4">G28+G8</f>
        <v>99307391.710000008</v>
      </c>
      <c r="H70" s="93">
        <f t="shared" si="4"/>
        <v>56108687.649999999</v>
      </c>
      <c r="I70" s="93">
        <f t="shared" si="4"/>
        <v>29525302.030000001</v>
      </c>
      <c r="J70" s="93">
        <f t="shared" si="4"/>
        <v>63405915.43</v>
      </c>
      <c r="K70" s="93">
        <f t="shared" si="4"/>
        <v>2019700.35</v>
      </c>
      <c r="L70" s="93">
        <f t="shared" si="4"/>
        <v>20999130.030000001</v>
      </c>
      <c r="M70" s="93">
        <f t="shared" si="4"/>
        <v>17681893.039999999</v>
      </c>
      <c r="N70" s="93">
        <f t="shared" si="4"/>
        <v>21471929.649999999</v>
      </c>
      <c r="O70" s="93">
        <f t="shared" si="4"/>
        <v>100636042.16</v>
      </c>
      <c r="P70" s="93">
        <f t="shared" si="4"/>
        <v>269826591.71999997</v>
      </c>
      <c r="Q70" s="93">
        <f t="shared" si="4"/>
        <v>3296421.25</v>
      </c>
      <c r="R70" s="93">
        <f t="shared" si="4"/>
        <v>-1302.1400000000001</v>
      </c>
      <c r="S70" s="93">
        <f t="shared" si="4"/>
        <v>0.08</v>
      </c>
      <c r="T70" s="93">
        <f t="shared" si="4"/>
        <v>0.24</v>
      </c>
      <c r="U70" s="93">
        <f t="shared" si="4"/>
        <v>0</v>
      </c>
      <c r="V70" s="93">
        <f t="shared" si="4"/>
        <v>0</v>
      </c>
      <c r="W70" s="93">
        <f t="shared" si="4"/>
        <v>0</v>
      </c>
      <c r="X70" s="93">
        <f t="shared" si="4"/>
        <v>0</v>
      </c>
      <c r="Y70" s="93">
        <f t="shared" si="4"/>
        <v>0</v>
      </c>
      <c r="Z70" s="93">
        <f t="shared" si="4"/>
        <v>-107.06</v>
      </c>
      <c r="AA70" s="93">
        <f t="shared" si="4"/>
        <v>0</v>
      </c>
      <c r="AB70" s="93">
        <f t="shared" si="4"/>
        <v>0</v>
      </c>
      <c r="AC70" s="93">
        <f t="shared" si="4"/>
        <v>0</v>
      </c>
      <c r="AD70" s="93">
        <f t="shared" si="4"/>
        <v>0</v>
      </c>
      <c r="AE70" s="93">
        <f t="shared" si="4"/>
        <v>0</v>
      </c>
      <c r="AF70" s="93">
        <f t="shared" si="4"/>
        <v>0</v>
      </c>
      <c r="AG70" s="93">
        <f t="shared" si="4"/>
        <v>0</v>
      </c>
      <c r="AH70" s="93">
        <f t="shared" si="4"/>
        <v>0</v>
      </c>
      <c r="AI70" s="93">
        <f t="shared" si="4"/>
        <v>0</v>
      </c>
      <c r="AJ70" s="93">
        <f t="shared" si="4"/>
        <v>0</v>
      </c>
      <c r="AK70" s="93">
        <f t="shared" si="4"/>
        <v>0</v>
      </c>
      <c r="AL70" s="93">
        <f t="shared" si="4"/>
        <v>0</v>
      </c>
      <c r="AM70" s="93">
        <f t="shared" si="4"/>
        <v>0</v>
      </c>
      <c r="AN70" s="93">
        <f t="shared" si="4"/>
        <v>0</v>
      </c>
      <c r="AO70" s="93">
        <f t="shared" si="4"/>
        <v>0</v>
      </c>
      <c r="AP70" s="93">
        <f t="shared" si="4"/>
        <v>0</v>
      </c>
    </row>
    <row r="71" spans="1:42" ht="12.75" customHeight="1" x14ac:dyDescent="0.25">
      <c r="C71" s="774"/>
      <c r="D71" s="772"/>
      <c r="E71" s="101" t="s">
        <v>73</v>
      </c>
      <c r="F71" s="93">
        <f>F44</f>
        <v>206290801.38</v>
      </c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42" ht="12.75" customHeight="1" x14ac:dyDescent="0.25">
      <c r="C72" s="774"/>
      <c r="D72" s="772" t="s">
        <v>133</v>
      </c>
      <c r="E72" s="235" t="s">
        <v>70</v>
      </c>
      <c r="F72" s="236">
        <v>0</v>
      </c>
      <c r="G72" s="236">
        <v>0</v>
      </c>
      <c r="H72" s="236">
        <v>0</v>
      </c>
      <c r="I72" s="236">
        <v>0</v>
      </c>
      <c r="J72" s="236">
        <v>0</v>
      </c>
      <c r="K72" s="236">
        <v>0</v>
      </c>
      <c r="L72" s="236">
        <v>0</v>
      </c>
      <c r="M72" s="236">
        <v>0</v>
      </c>
      <c r="N72" s="236">
        <v>0</v>
      </c>
      <c r="O72" s="236">
        <v>0</v>
      </c>
      <c r="P72" s="236">
        <v>0</v>
      </c>
      <c r="Q72" s="236">
        <v>0</v>
      </c>
      <c r="R72" s="236">
        <v>0</v>
      </c>
      <c r="S72" s="236">
        <v>0</v>
      </c>
      <c r="T72" s="236">
        <v>0</v>
      </c>
      <c r="U72" s="236">
        <v>0</v>
      </c>
      <c r="V72" s="236">
        <v>0</v>
      </c>
      <c r="W72" s="236">
        <v>0</v>
      </c>
      <c r="X72" s="236">
        <v>0</v>
      </c>
      <c r="Y72" s="236">
        <v>0</v>
      </c>
      <c r="Z72" s="236">
        <v>0</v>
      </c>
      <c r="AA72" s="236">
        <v>0</v>
      </c>
      <c r="AB72" s="236">
        <v>0</v>
      </c>
      <c r="AC72" s="236">
        <v>0</v>
      </c>
      <c r="AD72" s="236">
        <v>0</v>
      </c>
      <c r="AE72" s="236">
        <v>0</v>
      </c>
      <c r="AF72" s="236">
        <v>0</v>
      </c>
      <c r="AG72" s="236">
        <v>0</v>
      </c>
      <c r="AH72" s="236">
        <v>0</v>
      </c>
      <c r="AI72" s="236">
        <v>0</v>
      </c>
      <c r="AJ72" s="236">
        <v>0</v>
      </c>
      <c r="AK72" s="236">
        <v>0</v>
      </c>
      <c r="AL72" s="236">
        <v>0</v>
      </c>
      <c r="AM72" s="236">
        <v>0</v>
      </c>
      <c r="AN72" s="236">
        <v>0</v>
      </c>
      <c r="AO72" s="236">
        <v>0</v>
      </c>
      <c r="AP72" s="236">
        <v>0</v>
      </c>
    </row>
    <row r="73" spans="1:42" ht="12.75" customHeight="1" x14ac:dyDescent="0.25">
      <c r="C73" s="774"/>
      <c r="D73" s="772"/>
      <c r="E73" s="235" t="s">
        <v>73</v>
      </c>
      <c r="F73" s="236">
        <v>0</v>
      </c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42" ht="12.75" customHeight="1" x14ac:dyDescent="0.25">
      <c r="A74" s="89"/>
      <c r="C74" s="97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3" t="s">
        <v>161</v>
      </c>
      <c r="D75" s="772" t="s">
        <v>132</v>
      </c>
      <c r="E75" s="231" t="s">
        <v>70</v>
      </c>
      <c r="F75" s="232">
        <v>0</v>
      </c>
      <c r="G75" s="232">
        <v>0</v>
      </c>
      <c r="H75" s="232">
        <v>0</v>
      </c>
      <c r="I75" s="232">
        <v>0</v>
      </c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X75" s="232">
        <v>0</v>
      </c>
      <c r="Y75" s="232">
        <v>0</v>
      </c>
      <c r="Z75" s="232">
        <v>0</v>
      </c>
      <c r="AA75" s="232">
        <v>0</v>
      </c>
      <c r="AB75" s="232">
        <v>0</v>
      </c>
      <c r="AC75" s="232">
        <v>0</v>
      </c>
      <c r="AD75" s="232">
        <v>0</v>
      </c>
      <c r="AE75" s="232">
        <v>0</v>
      </c>
      <c r="AF75" s="232">
        <v>0</v>
      </c>
      <c r="AG75" s="232">
        <v>0</v>
      </c>
      <c r="AH75" s="232">
        <v>0</v>
      </c>
      <c r="AI75" s="232">
        <v>0</v>
      </c>
      <c r="AJ75" s="232">
        <v>0</v>
      </c>
      <c r="AK75" s="232">
        <v>0</v>
      </c>
      <c r="AL75" s="232">
        <v>0</v>
      </c>
      <c r="AM75" s="232">
        <v>0</v>
      </c>
      <c r="AN75" s="232">
        <v>0</v>
      </c>
      <c r="AO75" s="232">
        <v>0</v>
      </c>
      <c r="AP75" s="232">
        <v>0</v>
      </c>
    </row>
    <row r="76" spans="1:42" ht="12.75" customHeight="1" x14ac:dyDescent="0.25">
      <c r="C76" s="773"/>
      <c r="D76" s="772"/>
      <c r="E76" s="231" t="s">
        <v>73</v>
      </c>
      <c r="F76" s="232"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3"/>
      <c r="D77" s="772" t="s">
        <v>133</v>
      </c>
      <c r="E77" s="148" t="s">
        <v>70</v>
      </c>
      <c r="F77" s="149">
        <v>0</v>
      </c>
      <c r="G77" s="149">
        <v>0</v>
      </c>
      <c r="H77" s="149">
        <v>0</v>
      </c>
      <c r="I77" s="149">
        <v>0</v>
      </c>
      <c r="J77" s="149">
        <v>0</v>
      </c>
      <c r="K77" s="149">
        <v>0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  <c r="AF77" s="149">
        <v>0</v>
      </c>
      <c r="AG77" s="149">
        <v>0</v>
      </c>
      <c r="AH77" s="149">
        <v>0</v>
      </c>
      <c r="AI77" s="149">
        <v>0</v>
      </c>
      <c r="AJ77" s="149">
        <v>0</v>
      </c>
      <c r="AK77" s="149">
        <v>0</v>
      </c>
      <c r="AL77" s="149">
        <v>0</v>
      </c>
      <c r="AM77" s="149">
        <v>0</v>
      </c>
      <c r="AN77" s="149">
        <v>0</v>
      </c>
      <c r="AO77" s="149">
        <v>0</v>
      </c>
      <c r="AP77" s="149">
        <v>0</v>
      </c>
    </row>
    <row r="78" spans="1:42" ht="12.75" customHeight="1" x14ac:dyDescent="0.25">
      <c r="C78" s="773"/>
      <c r="D78" s="772"/>
      <c r="E78" s="148" t="s">
        <v>73</v>
      </c>
      <c r="F78" s="149"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C79" s="388"/>
      <c r="D79" s="220"/>
      <c r="E79" s="89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</row>
    <row r="80" spans="1:42" ht="12.75" customHeight="1" x14ac:dyDescent="0.25">
      <c r="D80" s="458" t="s">
        <v>186</v>
      </c>
      <c r="E80" s="459" t="s">
        <v>70</v>
      </c>
      <c r="F80" s="460">
        <f t="shared" ref="F80:AP80" si="5">F10</f>
        <v>-9123.9</v>
      </c>
      <c r="G80" s="460">
        <f t="shared" si="5"/>
        <v>-625.08000000000004</v>
      </c>
      <c r="H80" s="460">
        <f t="shared" si="5"/>
        <v>-265.56</v>
      </c>
      <c r="I80" s="460">
        <f t="shared" si="5"/>
        <v>-115.95</v>
      </c>
      <c r="J80" s="460">
        <f t="shared" si="5"/>
        <v>-1600.92</v>
      </c>
      <c r="K80" s="460">
        <f t="shared" si="5"/>
        <v>-103.46</v>
      </c>
      <c r="L80" s="460">
        <f t="shared" si="5"/>
        <v>0</v>
      </c>
      <c r="M80" s="460">
        <f t="shared" si="5"/>
        <v>-907.42</v>
      </c>
      <c r="N80" s="460">
        <f t="shared" si="5"/>
        <v>-759.41</v>
      </c>
      <c r="O80" s="460">
        <f t="shared" si="5"/>
        <v>-3031.34</v>
      </c>
      <c r="P80" s="460">
        <f t="shared" si="5"/>
        <v>-1545.97</v>
      </c>
      <c r="Q80" s="460">
        <f t="shared" si="5"/>
        <v>-168.79</v>
      </c>
      <c r="R80" s="460">
        <f t="shared" si="5"/>
        <v>0</v>
      </c>
      <c r="S80" s="460">
        <f t="shared" si="5"/>
        <v>0</v>
      </c>
      <c r="T80" s="460">
        <f t="shared" si="5"/>
        <v>0</v>
      </c>
      <c r="U80" s="460">
        <f t="shared" si="5"/>
        <v>0</v>
      </c>
      <c r="V80" s="460">
        <f t="shared" si="5"/>
        <v>0</v>
      </c>
      <c r="W80" s="460">
        <f t="shared" si="5"/>
        <v>0</v>
      </c>
      <c r="X80" s="460">
        <f t="shared" si="5"/>
        <v>0</v>
      </c>
      <c r="Y80" s="460">
        <f t="shared" si="5"/>
        <v>0</v>
      </c>
      <c r="Z80" s="460">
        <f t="shared" si="5"/>
        <v>0</v>
      </c>
      <c r="AA80" s="460">
        <f t="shared" si="5"/>
        <v>0</v>
      </c>
      <c r="AB80" s="460">
        <f t="shared" si="5"/>
        <v>0</v>
      </c>
      <c r="AC80" s="460">
        <f t="shared" si="5"/>
        <v>0</v>
      </c>
      <c r="AD80" s="460">
        <f t="shared" si="5"/>
        <v>0</v>
      </c>
      <c r="AE80" s="460">
        <f t="shared" si="5"/>
        <v>0</v>
      </c>
      <c r="AF80" s="460">
        <f t="shared" si="5"/>
        <v>0</v>
      </c>
      <c r="AG80" s="460">
        <f t="shared" si="5"/>
        <v>0</v>
      </c>
      <c r="AH80" s="460">
        <f t="shared" si="5"/>
        <v>0</v>
      </c>
      <c r="AI80" s="460">
        <f t="shared" si="5"/>
        <v>0</v>
      </c>
      <c r="AJ80" s="460">
        <f t="shared" si="5"/>
        <v>0</v>
      </c>
      <c r="AK80" s="460">
        <f t="shared" si="5"/>
        <v>0</v>
      </c>
      <c r="AL80" s="460">
        <f t="shared" si="5"/>
        <v>0</v>
      </c>
      <c r="AM80" s="460">
        <f t="shared" si="5"/>
        <v>0</v>
      </c>
      <c r="AN80" s="460">
        <f t="shared" si="5"/>
        <v>0</v>
      </c>
      <c r="AO80" s="460">
        <f t="shared" si="5"/>
        <v>0</v>
      </c>
      <c r="AP80" s="460">
        <f t="shared" si="5"/>
        <v>0</v>
      </c>
    </row>
    <row r="81" spans="1:26" ht="12.75" customHeight="1" x14ac:dyDescent="0.25">
      <c r="C81" s="388"/>
      <c r="D81" s="220"/>
      <c r="E81" s="89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</row>
    <row r="82" spans="1:26" s="238" customFormat="1" ht="12.75" customHeight="1" x14ac:dyDescent="0.25">
      <c r="B82" s="239"/>
      <c r="C82" s="239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</row>
    <row r="83" spans="1:26" ht="12" customHeight="1" x14ac:dyDescent="0.25">
      <c r="A83" s="89"/>
      <c r="B83" s="97" t="s">
        <v>75</v>
      </c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26" ht="12.75" customHeight="1" x14ac:dyDescent="0.25">
      <c r="F84" s="89" t="s">
        <v>70</v>
      </c>
      <c r="G84" s="89" t="s">
        <v>64</v>
      </c>
      <c r="H84" s="89" t="s">
        <v>65</v>
      </c>
      <c r="I84" s="218" t="s">
        <v>164</v>
      </c>
      <c r="J84" s="89" t="s">
        <v>69</v>
      </c>
      <c r="K84" s="89" t="s">
        <v>68</v>
      </c>
      <c r="L84" s="89" t="s">
        <v>71</v>
      </c>
      <c r="M84" s="89" t="s">
        <v>66</v>
      </c>
      <c r="N84" s="89" t="s">
        <v>63</v>
      </c>
      <c r="O84" s="89" t="s">
        <v>61</v>
      </c>
      <c r="P84" s="89" t="s">
        <v>62</v>
      </c>
      <c r="Q84" s="89" t="s">
        <v>67</v>
      </c>
      <c r="R84" s="89" t="s">
        <v>77</v>
      </c>
      <c r="S84" s="89" t="s">
        <v>80</v>
      </c>
      <c r="T84" s="89" t="s">
        <v>135</v>
      </c>
      <c r="U84" s="89" t="s">
        <v>222</v>
      </c>
      <c r="V84" s="89" t="s">
        <v>223</v>
      </c>
      <c r="W84" s="89" t="s">
        <v>173</v>
      </c>
      <c r="X84" t="s">
        <v>167</v>
      </c>
      <c r="Y84" s="89" t="s">
        <v>135</v>
      </c>
      <c r="Z84" s="89" t="s">
        <v>167</v>
      </c>
    </row>
    <row r="85" spans="1:26" ht="12.75" customHeight="1" x14ac:dyDescent="0.25">
      <c r="E85" t="s">
        <v>72</v>
      </c>
      <c r="F85" s="384">
        <v>-1414859.14</v>
      </c>
      <c r="G85" s="89">
        <v>-123592.91</v>
      </c>
      <c r="H85" s="89">
        <v>-52505.96</v>
      </c>
      <c r="I85" s="664">
        <v>-22930.17</v>
      </c>
      <c r="J85" s="89">
        <v>-283718.28999999998</v>
      </c>
      <c r="K85" s="89">
        <v>-11813.11</v>
      </c>
      <c r="L85" s="89">
        <v>0</v>
      </c>
      <c r="M85" s="89">
        <v>-103626.9</v>
      </c>
      <c r="N85" s="89">
        <v>-129894.77</v>
      </c>
      <c r="O85" s="89">
        <v>-436317.84</v>
      </c>
      <c r="P85" s="89">
        <v>-231183.82</v>
      </c>
      <c r="Q85" s="89">
        <v>-19275.37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>
        <v>0</v>
      </c>
      <c r="Y85" s="89">
        <v>0</v>
      </c>
      <c r="Z85" s="89">
        <v>0</v>
      </c>
    </row>
    <row r="86" spans="1:26" ht="12.75" customHeight="1" x14ac:dyDescent="0.25">
      <c r="D86" t="s">
        <v>156</v>
      </c>
      <c r="E86" t="s">
        <v>70</v>
      </c>
      <c r="F86" s="384">
        <v>-1414859.14</v>
      </c>
      <c r="G86" s="89">
        <v>-123592.91</v>
      </c>
      <c r="H86" s="89">
        <v>-52505.96</v>
      </c>
      <c r="I86" s="664">
        <v>-22930.17</v>
      </c>
      <c r="J86" s="89">
        <v>-283718.28999999998</v>
      </c>
      <c r="K86" s="89">
        <v>-11813.11</v>
      </c>
      <c r="L86" s="89">
        <v>0</v>
      </c>
      <c r="M86" s="89">
        <v>-103626.9</v>
      </c>
      <c r="N86" s="89">
        <v>-129894.77</v>
      </c>
      <c r="O86" s="89">
        <v>-436317.84</v>
      </c>
      <c r="P86" s="89">
        <v>-231183.82</v>
      </c>
      <c r="Q86" s="89">
        <v>-19275.37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>
        <v>0</v>
      </c>
      <c r="Y86" s="89">
        <v>0</v>
      </c>
      <c r="Z86" s="89">
        <v>0</v>
      </c>
    </row>
    <row r="87" spans="1:26" s="656" customFormat="1" ht="12.75" customHeight="1" x14ac:dyDescent="0.25">
      <c r="C87" s="656" t="s">
        <v>155</v>
      </c>
      <c r="D87" s="656" t="s">
        <v>70</v>
      </c>
      <c r="F87" s="736">
        <v>-1414859.14</v>
      </c>
      <c r="G87" s="657">
        <v>-123592.91</v>
      </c>
      <c r="H87" s="657">
        <v>-52505.96</v>
      </c>
      <c r="I87" s="737">
        <v>-22930.17</v>
      </c>
      <c r="J87" s="657">
        <v>-283718.28999999998</v>
      </c>
      <c r="K87" s="657">
        <v>-11813.11</v>
      </c>
      <c r="L87" s="657">
        <v>0</v>
      </c>
      <c r="M87" s="657">
        <v>-103626.9</v>
      </c>
      <c r="N87" s="657">
        <v>-129894.77</v>
      </c>
      <c r="O87" s="657">
        <v>-436317.84</v>
      </c>
      <c r="P87" s="657">
        <v>-231183.82</v>
      </c>
      <c r="Q87" s="657">
        <v>-19275.37</v>
      </c>
      <c r="R87" s="657">
        <v>0</v>
      </c>
      <c r="S87" s="657">
        <v>0</v>
      </c>
      <c r="T87" s="657">
        <v>0</v>
      </c>
      <c r="U87" s="657">
        <v>0</v>
      </c>
      <c r="V87" s="657">
        <v>0</v>
      </c>
      <c r="W87" s="657">
        <v>0</v>
      </c>
      <c r="X87" s="656">
        <v>0</v>
      </c>
      <c r="Y87" s="657">
        <v>0</v>
      </c>
      <c r="Z87" s="657">
        <v>0</v>
      </c>
    </row>
    <row r="88" spans="1:26" ht="12.75" customHeight="1" x14ac:dyDescent="0.25">
      <c r="E88" s="89" t="s">
        <v>72</v>
      </c>
      <c r="F88" s="90">
        <v>-20998.87</v>
      </c>
      <c r="G88" s="90">
        <v>-1840.53</v>
      </c>
      <c r="H88" s="90">
        <v>-781.92</v>
      </c>
      <c r="I88" s="90">
        <v>-341.46</v>
      </c>
      <c r="J88" s="90">
        <v>-4232.84</v>
      </c>
      <c r="K88" s="90">
        <v>-174.41</v>
      </c>
      <c r="L88" s="90">
        <v>0</v>
      </c>
      <c r="M88" s="90">
        <v>-1529.91</v>
      </c>
      <c r="N88" s="90">
        <v>-1917.75</v>
      </c>
      <c r="O88" s="90">
        <v>-6441.6</v>
      </c>
      <c r="P88" s="90">
        <v>-3453.9</v>
      </c>
      <c r="Q88" s="90">
        <v>-284.55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>
        <v>0</v>
      </c>
      <c r="Y88">
        <v>0</v>
      </c>
      <c r="Z88">
        <v>0</v>
      </c>
    </row>
    <row r="89" spans="1:26" ht="12.75" customHeight="1" x14ac:dyDescent="0.25">
      <c r="D89" t="s">
        <v>82</v>
      </c>
      <c r="E89" s="89" t="s">
        <v>70</v>
      </c>
      <c r="F89" s="371">
        <v>-20998.87</v>
      </c>
      <c r="G89" s="90">
        <v>-1840.53</v>
      </c>
      <c r="H89" s="90">
        <v>-781.92</v>
      </c>
      <c r="I89" s="90">
        <v>-341.46</v>
      </c>
      <c r="J89" s="90">
        <v>-4232.84</v>
      </c>
      <c r="K89" s="90">
        <v>-174.41</v>
      </c>
      <c r="L89" s="90">
        <v>0</v>
      </c>
      <c r="M89" s="90">
        <v>-1529.91</v>
      </c>
      <c r="N89" s="90">
        <v>-1917.75</v>
      </c>
      <c r="O89" s="90">
        <v>-6441.6</v>
      </c>
      <c r="P89" s="90">
        <v>-3453.9</v>
      </c>
      <c r="Q89" s="90">
        <v>-284.55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>
        <v>0</v>
      </c>
      <c r="Y89">
        <v>0</v>
      </c>
      <c r="Z89">
        <v>0</v>
      </c>
    </row>
    <row r="90" spans="1:26" ht="12.75" customHeight="1" x14ac:dyDescent="0.25">
      <c r="E90" s="89" t="s">
        <v>72</v>
      </c>
      <c r="F90" s="371">
        <v>-7651.97</v>
      </c>
      <c r="G90" s="90">
        <v>-673.86</v>
      </c>
      <c r="H90" s="90">
        <v>-286.26</v>
      </c>
      <c r="I90" s="90">
        <v>-125.04</v>
      </c>
      <c r="J90" s="90">
        <v>-1539.21</v>
      </c>
      <c r="K90" s="90">
        <v>-63.42</v>
      </c>
      <c r="L90" s="90">
        <v>0</v>
      </c>
      <c r="M90" s="90">
        <v>-556.33000000000004</v>
      </c>
      <c r="N90" s="90">
        <v>-697.38</v>
      </c>
      <c r="O90" s="90">
        <v>-2342.4</v>
      </c>
      <c r="P90" s="90">
        <v>-1264.56</v>
      </c>
      <c r="Q90" s="90">
        <v>-103.51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>
        <v>0</v>
      </c>
      <c r="Y90">
        <v>0</v>
      </c>
      <c r="Z90">
        <v>0</v>
      </c>
    </row>
    <row r="91" spans="1:26" ht="12.75" customHeight="1" x14ac:dyDescent="0.25">
      <c r="D91" t="s">
        <v>86</v>
      </c>
      <c r="E91" s="89" t="s">
        <v>70</v>
      </c>
      <c r="F91" s="371">
        <v>-7651.97</v>
      </c>
      <c r="G91" s="90">
        <v>-673.86</v>
      </c>
      <c r="H91" s="90">
        <v>-286.26</v>
      </c>
      <c r="I91" s="90">
        <v>-125.04</v>
      </c>
      <c r="J91" s="90">
        <v>-1539.21</v>
      </c>
      <c r="K91" s="90">
        <v>-63.42</v>
      </c>
      <c r="L91" s="90">
        <v>0</v>
      </c>
      <c r="M91" s="90">
        <v>-556.33000000000004</v>
      </c>
      <c r="N91" s="90">
        <v>-697.38</v>
      </c>
      <c r="O91" s="90">
        <v>-2342.4</v>
      </c>
      <c r="P91" s="90">
        <v>-1264.56</v>
      </c>
      <c r="Q91" s="90">
        <v>-103.51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>
        <v>0</v>
      </c>
      <c r="Y91">
        <v>0</v>
      </c>
      <c r="Z91">
        <v>0</v>
      </c>
    </row>
    <row r="92" spans="1:26" s="94" customFormat="1" ht="12.75" customHeight="1" x14ac:dyDescent="0.25">
      <c r="C92" s="94" t="s">
        <v>119</v>
      </c>
      <c r="D92" s="94" t="s">
        <v>70</v>
      </c>
      <c r="E92" s="101"/>
      <c r="F92" s="93">
        <v>-28650.84</v>
      </c>
      <c r="G92" s="93">
        <v>-2514.39</v>
      </c>
      <c r="H92" s="93">
        <v>-1068.18</v>
      </c>
      <c r="I92" s="93">
        <v>-466.5</v>
      </c>
      <c r="J92" s="93">
        <v>-5772.05</v>
      </c>
      <c r="K92" s="93">
        <v>-237.83</v>
      </c>
      <c r="L92" s="93">
        <v>0</v>
      </c>
      <c r="M92" s="93">
        <v>-2086.2399999999998</v>
      </c>
      <c r="N92" s="93">
        <v>-2615.13</v>
      </c>
      <c r="O92" s="93">
        <v>-8784</v>
      </c>
      <c r="P92" s="93">
        <v>-4718.46</v>
      </c>
      <c r="Q92" s="93">
        <v>-388.06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4">
        <v>0</v>
      </c>
      <c r="Y92" s="94">
        <v>0</v>
      </c>
      <c r="Z92" s="94">
        <v>0</v>
      </c>
    </row>
    <row r="93" spans="1:26" ht="12.75" customHeight="1" x14ac:dyDescent="0.25">
      <c r="B93" s="89" t="s">
        <v>112</v>
      </c>
      <c r="C93" s="89" t="s">
        <v>70</v>
      </c>
      <c r="F93" s="90">
        <v>-1443509.98</v>
      </c>
      <c r="G93" s="90">
        <v>-126107.3</v>
      </c>
      <c r="H93" s="90">
        <v>-53574.14</v>
      </c>
      <c r="I93" s="90">
        <v>-23396.67</v>
      </c>
      <c r="J93" s="90">
        <v>-289490.34000000003</v>
      </c>
      <c r="K93" s="90">
        <v>-12050.94</v>
      </c>
      <c r="L93" s="90">
        <v>0</v>
      </c>
      <c r="M93" s="90">
        <v>-105713.14</v>
      </c>
      <c r="N93" s="90">
        <v>-132509.9</v>
      </c>
      <c r="O93" s="90">
        <v>-445101.84</v>
      </c>
      <c r="P93" s="90">
        <v>-235902.28</v>
      </c>
      <c r="Q93" s="90">
        <v>-19663.43</v>
      </c>
      <c r="R93" s="90">
        <v>0</v>
      </c>
      <c r="S93" s="90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90">
        <v>0</v>
      </c>
      <c r="Z93">
        <v>0</v>
      </c>
    </row>
    <row r="94" spans="1:26" s="458" customFormat="1" x14ac:dyDescent="0.25">
      <c r="A94" s="458" t="s">
        <v>186</v>
      </c>
      <c r="B94" s="459" t="s">
        <v>70</v>
      </c>
      <c r="C94" s="459"/>
      <c r="F94" s="460">
        <v>-1443509.98</v>
      </c>
      <c r="G94" s="460">
        <v>-126107.3</v>
      </c>
      <c r="H94" s="460">
        <v>-53574.14</v>
      </c>
      <c r="I94" s="460">
        <v>-23396.67</v>
      </c>
      <c r="J94" s="460">
        <v>-289490.34000000003</v>
      </c>
      <c r="K94" s="460">
        <v>-12050.94</v>
      </c>
      <c r="L94" s="460">
        <v>0</v>
      </c>
      <c r="M94" s="460">
        <v>-105713.14</v>
      </c>
      <c r="N94" s="460">
        <v>-132509.9</v>
      </c>
      <c r="O94" s="460">
        <v>-445101.84</v>
      </c>
      <c r="P94" s="460">
        <v>-235902.28</v>
      </c>
      <c r="Q94" s="460">
        <v>-19663.43</v>
      </c>
      <c r="R94" s="460">
        <v>0</v>
      </c>
      <c r="S94" s="460">
        <v>0</v>
      </c>
      <c r="T94" s="460">
        <v>0</v>
      </c>
      <c r="U94" s="460">
        <v>0</v>
      </c>
      <c r="V94" s="460">
        <v>0</v>
      </c>
      <c r="W94" s="460">
        <v>0</v>
      </c>
      <c r="X94" s="460">
        <v>0</v>
      </c>
      <c r="Y94" s="460">
        <v>0</v>
      </c>
      <c r="Z94" s="460">
        <v>0</v>
      </c>
    </row>
    <row r="95" spans="1:26" ht="12.75" customHeight="1" x14ac:dyDescent="0.25">
      <c r="E95" s="89" t="s">
        <v>72</v>
      </c>
      <c r="F95" s="371">
        <v>131543.19</v>
      </c>
      <c r="G95" s="90">
        <v>13093.19</v>
      </c>
      <c r="H95" s="90">
        <v>7370.27</v>
      </c>
      <c r="I95" s="90">
        <v>4474.7</v>
      </c>
      <c r="J95" s="90">
        <v>25771.56</v>
      </c>
      <c r="K95" s="90">
        <v>925.74</v>
      </c>
      <c r="L95" s="90">
        <v>0</v>
      </c>
      <c r="M95" s="90">
        <v>8109.96</v>
      </c>
      <c r="N95" s="90">
        <v>7930.91</v>
      </c>
      <c r="O95" s="90">
        <v>37461.589999999997</v>
      </c>
      <c r="P95" s="90">
        <v>24418.29</v>
      </c>
      <c r="Q95" s="90">
        <v>1987.26</v>
      </c>
      <c r="R95" s="90">
        <v>-0.28000000000000003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>
        <v>0</v>
      </c>
      <c r="Y95">
        <v>0</v>
      </c>
      <c r="Z95">
        <v>0</v>
      </c>
    </row>
    <row r="96" spans="1:26" ht="12.75" customHeight="1" x14ac:dyDescent="0.25">
      <c r="D96" t="s">
        <v>156</v>
      </c>
      <c r="E96" s="89" t="s">
        <v>70</v>
      </c>
      <c r="F96" s="371">
        <v>131543.19</v>
      </c>
      <c r="G96" s="90">
        <v>13093.19</v>
      </c>
      <c r="H96" s="90">
        <v>7370.27</v>
      </c>
      <c r="I96" s="90">
        <v>4474.7</v>
      </c>
      <c r="J96" s="90">
        <v>25771.56</v>
      </c>
      <c r="K96" s="90">
        <v>925.74</v>
      </c>
      <c r="L96" s="90">
        <v>0</v>
      </c>
      <c r="M96" s="90">
        <v>8109.96</v>
      </c>
      <c r="N96" s="90">
        <v>7930.91</v>
      </c>
      <c r="O96" s="90">
        <v>37461.589999999997</v>
      </c>
      <c r="P96" s="90">
        <v>24418.29</v>
      </c>
      <c r="Q96" s="90">
        <v>1987.26</v>
      </c>
      <c r="R96" s="90">
        <v>-0.28000000000000003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2:26" s="656" customFormat="1" ht="12.75" customHeight="1" x14ac:dyDescent="0.25">
      <c r="C97" s="656" t="s">
        <v>155</v>
      </c>
      <c r="D97" s="656" t="s">
        <v>70</v>
      </c>
      <c r="F97" s="736">
        <v>131543.19</v>
      </c>
      <c r="G97" s="657">
        <v>13093.19</v>
      </c>
      <c r="H97" s="657">
        <v>7370.27</v>
      </c>
      <c r="I97" s="737">
        <v>4474.7</v>
      </c>
      <c r="J97" s="657">
        <v>25771.56</v>
      </c>
      <c r="K97" s="657">
        <v>925.74</v>
      </c>
      <c r="L97" s="657">
        <v>0</v>
      </c>
      <c r="M97" s="657">
        <v>8109.96</v>
      </c>
      <c r="N97" s="657">
        <v>7930.91</v>
      </c>
      <c r="O97" s="657">
        <v>37461.589999999997</v>
      </c>
      <c r="P97" s="657">
        <v>24418.29</v>
      </c>
      <c r="Q97" s="657">
        <v>1987.26</v>
      </c>
      <c r="R97" s="657">
        <v>-0.28000000000000003</v>
      </c>
      <c r="S97" s="657">
        <v>0</v>
      </c>
      <c r="T97" s="657">
        <v>0</v>
      </c>
      <c r="U97" s="657">
        <v>0</v>
      </c>
      <c r="V97" s="657">
        <v>0</v>
      </c>
      <c r="W97" s="657">
        <v>0</v>
      </c>
      <c r="X97" s="656">
        <v>0</v>
      </c>
      <c r="Y97" s="657">
        <v>0</v>
      </c>
      <c r="Z97" s="657">
        <v>0</v>
      </c>
    </row>
    <row r="98" spans="2:26" ht="12.75" customHeight="1" x14ac:dyDescent="0.25">
      <c r="E98" s="89" t="s">
        <v>72</v>
      </c>
      <c r="F98" s="371">
        <v>24890</v>
      </c>
      <c r="G98" s="90">
        <v>0</v>
      </c>
      <c r="H98" s="90">
        <v>0</v>
      </c>
      <c r="I98" s="90">
        <v>567.09</v>
      </c>
      <c r="J98" s="90">
        <v>5122.93</v>
      </c>
      <c r="K98" s="90">
        <v>373.45</v>
      </c>
      <c r="L98" s="90">
        <v>0</v>
      </c>
      <c r="M98" s="90">
        <v>0</v>
      </c>
      <c r="N98" s="90">
        <v>3176.37</v>
      </c>
      <c r="O98" s="90">
        <v>15040.85</v>
      </c>
      <c r="P98" s="90">
        <v>0</v>
      </c>
      <c r="Q98" s="90">
        <v>609.30999999999995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>
        <v>0</v>
      </c>
      <c r="Y98">
        <v>0</v>
      </c>
      <c r="Z98">
        <v>0</v>
      </c>
    </row>
    <row r="99" spans="2:26" ht="12.75" customHeight="1" x14ac:dyDescent="0.25">
      <c r="D99" t="s">
        <v>86</v>
      </c>
      <c r="E99" s="89" t="s">
        <v>70</v>
      </c>
      <c r="F99" s="371">
        <v>24890</v>
      </c>
      <c r="G99" s="90">
        <v>0</v>
      </c>
      <c r="H99" s="90">
        <v>0</v>
      </c>
      <c r="I99" s="90">
        <v>567.09</v>
      </c>
      <c r="J99" s="90">
        <v>5122.93</v>
      </c>
      <c r="K99" s="90">
        <v>373.45</v>
      </c>
      <c r="L99" s="90">
        <v>0</v>
      </c>
      <c r="M99" s="90">
        <v>0</v>
      </c>
      <c r="N99" s="90">
        <v>3176.37</v>
      </c>
      <c r="O99" s="90">
        <v>15040.85</v>
      </c>
      <c r="P99" s="90">
        <v>0</v>
      </c>
      <c r="Q99" s="90">
        <v>609.30999999999995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>
        <v>0</v>
      </c>
      <c r="Y99">
        <v>0</v>
      </c>
      <c r="Z99">
        <v>0</v>
      </c>
    </row>
    <row r="100" spans="2:26" s="94" customFormat="1" ht="12.75" customHeight="1" x14ac:dyDescent="0.25">
      <c r="C100" s="94" t="s">
        <v>119</v>
      </c>
      <c r="D100" s="94" t="s">
        <v>70</v>
      </c>
      <c r="E100" s="101"/>
      <c r="F100" s="93">
        <v>24890</v>
      </c>
      <c r="G100" s="93">
        <v>0</v>
      </c>
      <c r="H100" s="93">
        <v>0</v>
      </c>
      <c r="I100" s="93">
        <v>567.09</v>
      </c>
      <c r="J100" s="93">
        <v>5122.93</v>
      </c>
      <c r="K100" s="93">
        <v>373.45</v>
      </c>
      <c r="L100" s="93">
        <v>0</v>
      </c>
      <c r="M100" s="93">
        <v>0</v>
      </c>
      <c r="N100" s="93">
        <v>3176.37</v>
      </c>
      <c r="O100" s="93">
        <v>15040.85</v>
      </c>
      <c r="P100" s="93">
        <v>0</v>
      </c>
      <c r="Q100" s="93">
        <v>609.30999999999995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4">
        <v>0</v>
      </c>
      <c r="Y100" s="94">
        <v>0</v>
      </c>
      <c r="Z100" s="94">
        <v>0</v>
      </c>
    </row>
    <row r="101" spans="2:26" s="378" customFormat="1" ht="12.75" customHeight="1" x14ac:dyDescent="0.25">
      <c r="B101" s="378" t="s">
        <v>122</v>
      </c>
      <c r="C101" s="378" t="s">
        <v>70</v>
      </c>
      <c r="E101" s="376"/>
      <c r="F101" s="710">
        <v>156433.19</v>
      </c>
      <c r="G101" s="377">
        <v>13093.19</v>
      </c>
      <c r="H101" s="377">
        <v>7370.27</v>
      </c>
      <c r="I101" s="377">
        <v>5041.79</v>
      </c>
      <c r="J101" s="377">
        <v>30894.49</v>
      </c>
      <c r="K101" s="377">
        <v>1299.19</v>
      </c>
      <c r="L101" s="377">
        <v>0</v>
      </c>
      <c r="M101" s="377">
        <v>8109.96</v>
      </c>
      <c r="N101" s="377">
        <v>11107.28</v>
      </c>
      <c r="O101" s="377">
        <v>52502.44</v>
      </c>
      <c r="P101" s="377">
        <v>24418.29</v>
      </c>
      <c r="Q101" s="377">
        <v>2596.5700000000002</v>
      </c>
      <c r="R101" s="377">
        <v>-0.28000000000000003</v>
      </c>
      <c r="S101" s="377">
        <v>0</v>
      </c>
      <c r="T101" s="377">
        <v>0</v>
      </c>
      <c r="U101" s="377">
        <v>0</v>
      </c>
      <c r="V101" s="377">
        <v>0</v>
      </c>
      <c r="W101" s="377">
        <v>0</v>
      </c>
      <c r="X101" s="378">
        <v>0</v>
      </c>
      <c r="Y101" s="378">
        <v>0</v>
      </c>
      <c r="Z101" s="378">
        <v>0</v>
      </c>
    </row>
    <row r="102" spans="2:26" ht="12.75" customHeight="1" x14ac:dyDescent="0.25">
      <c r="E102" s="89" t="s">
        <v>72</v>
      </c>
      <c r="F102" s="371">
        <v>24730940551.650002</v>
      </c>
      <c r="G102" s="90">
        <v>1364112524.55</v>
      </c>
      <c r="H102" s="90">
        <v>761399187.89999998</v>
      </c>
      <c r="I102" s="90">
        <v>397562128.75999999</v>
      </c>
      <c r="J102" s="90">
        <v>6435626473.2799997</v>
      </c>
      <c r="K102" s="90">
        <v>215578294.58000001</v>
      </c>
      <c r="L102" s="90">
        <v>22415640.239999998</v>
      </c>
      <c r="M102" s="90">
        <v>1891782279.45</v>
      </c>
      <c r="N102" s="90">
        <v>1858318899.5599999</v>
      </c>
      <c r="O102" s="90">
        <v>8749864976.9200001</v>
      </c>
      <c r="P102" s="90">
        <v>2682322153.3000002</v>
      </c>
      <c r="Q102" s="90">
        <v>352178299.36000001</v>
      </c>
      <c r="R102" s="90">
        <v>-220306.25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>
        <v>0</v>
      </c>
      <c r="Y102">
        <v>0</v>
      </c>
      <c r="Z102">
        <v>0</v>
      </c>
    </row>
    <row r="103" spans="2:26" ht="12.75" customHeight="1" x14ac:dyDescent="0.25">
      <c r="E103" s="89" t="s">
        <v>81</v>
      </c>
      <c r="F103" s="90">
        <v>105078851.29000001</v>
      </c>
      <c r="G103" s="90">
        <v>12373207.9</v>
      </c>
      <c r="H103" s="90">
        <v>5822118.4400000004</v>
      </c>
      <c r="I103" s="90">
        <v>2557314.4300000002</v>
      </c>
      <c r="J103" s="90">
        <v>19359151.93</v>
      </c>
      <c r="K103" s="90">
        <v>689674.86</v>
      </c>
      <c r="L103" s="90">
        <v>17502.71</v>
      </c>
      <c r="M103" s="90">
        <v>6029529.7699999996</v>
      </c>
      <c r="N103" s="90">
        <v>7139477.9199999999</v>
      </c>
      <c r="O103" s="90">
        <v>25859857.550000001</v>
      </c>
      <c r="P103" s="90">
        <v>24102912.739999998</v>
      </c>
      <c r="Q103" s="90">
        <v>1125547.5900000001</v>
      </c>
      <c r="R103" s="90">
        <v>2527.3000000000002</v>
      </c>
      <c r="S103" s="90">
        <v>50.73</v>
      </c>
      <c r="T103" s="90">
        <v>0.9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-23.48</v>
      </c>
    </row>
    <row r="104" spans="2:26" ht="12.75" customHeight="1" x14ac:dyDescent="0.25">
      <c r="D104" t="s">
        <v>156</v>
      </c>
      <c r="E104" s="89" t="s">
        <v>70</v>
      </c>
      <c r="F104" s="90">
        <v>24836019402.939999</v>
      </c>
      <c r="G104" s="90">
        <v>1376485732.45</v>
      </c>
      <c r="H104" s="90">
        <v>767221306.34000003</v>
      </c>
      <c r="I104" s="90">
        <v>400119443.19</v>
      </c>
      <c r="J104" s="90">
        <v>6454985625.21</v>
      </c>
      <c r="K104" s="90">
        <v>216267969.44</v>
      </c>
      <c r="L104" s="90">
        <v>22433142.949999999</v>
      </c>
      <c r="M104" s="90">
        <v>1897811809.22</v>
      </c>
      <c r="N104" s="90">
        <v>1865458377.48</v>
      </c>
      <c r="O104" s="90">
        <v>8775724834.4699993</v>
      </c>
      <c r="P104" s="90">
        <v>2706425066.04</v>
      </c>
      <c r="Q104" s="90">
        <v>353303846.94999999</v>
      </c>
      <c r="R104" s="90">
        <v>-217778.95</v>
      </c>
      <c r="S104" s="90">
        <v>50.73</v>
      </c>
      <c r="T104" s="90">
        <v>0.9</v>
      </c>
      <c r="U104" s="90">
        <v>0</v>
      </c>
      <c r="V104" s="90">
        <v>0</v>
      </c>
      <c r="W104" s="90">
        <v>0</v>
      </c>
      <c r="X104">
        <v>0</v>
      </c>
      <c r="Y104">
        <v>0</v>
      </c>
      <c r="Z104">
        <v>-23.48</v>
      </c>
    </row>
    <row r="105" spans="2:26" s="656" customFormat="1" ht="12.75" customHeight="1" x14ac:dyDescent="0.25">
      <c r="C105" s="656" t="s">
        <v>155</v>
      </c>
      <c r="D105" s="657" t="s">
        <v>70</v>
      </c>
      <c r="E105" s="657"/>
      <c r="F105" s="658">
        <v>24836019402.939999</v>
      </c>
      <c r="G105" s="658">
        <v>1376485732.45</v>
      </c>
      <c r="H105" s="658">
        <v>767221306.34000003</v>
      </c>
      <c r="I105" s="658">
        <v>400119443.19</v>
      </c>
      <c r="J105" s="658">
        <v>6454985625.21</v>
      </c>
      <c r="K105" s="658">
        <v>216267969.44</v>
      </c>
      <c r="L105" s="658">
        <v>22433142.949999999</v>
      </c>
      <c r="M105" s="658">
        <v>1897811809.22</v>
      </c>
      <c r="N105" s="658">
        <v>1865458377.48</v>
      </c>
      <c r="O105" s="658">
        <v>8775724834.4699993</v>
      </c>
      <c r="P105" s="658">
        <v>2706425066.04</v>
      </c>
      <c r="Q105" s="658">
        <v>353303846.94999999</v>
      </c>
      <c r="R105" s="658">
        <v>-217778.95</v>
      </c>
      <c r="S105" s="658">
        <v>50.73</v>
      </c>
      <c r="T105" s="658">
        <v>0.9</v>
      </c>
      <c r="U105" s="658">
        <v>0</v>
      </c>
      <c r="V105" s="658">
        <v>0</v>
      </c>
      <c r="W105" s="658">
        <v>0</v>
      </c>
      <c r="X105" s="656">
        <v>0</v>
      </c>
      <c r="Y105" s="656">
        <v>0</v>
      </c>
      <c r="Z105" s="656">
        <v>-23.48</v>
      </c>
    </row>
    <row r="106" spans="2:26" ht="12.75" customHeight="1" x14ac:dyDescent="0.25">
      <c r="D106" s="89"/>
      <c r="E106" s="89" t="s">
        <v>72</v>
      </c>
      <c r="F106" s="371">
        <v>1148755.9099999999</v>
      </c>
      <c r="G106" s="90">
        <v>103833.95</v>
      </c>
      <c r="H106" s="90">
        <v>50131.96</v>
      </c>
      <c r="I106" s="90">
        <v>27876.21</v>
      </c>
      <c r="J106" s="90">
        <v>257690.34</v>
      </c>
      <c r="K106" s="90">
        <v>6913.63</v>
      </c>
      <c r="L106" s="90">
        <v>0</v>
      </c>
      <c r="M106" s="90">
        <v>60980.160000000003</v>
      </c>
      <c r="N106" s="90">
        <v>74702.16</v>
      </c>
      <c r="O106" s="90">
        <v>347093.13</v>
      </c>
      <c r="P106" s="90">
        <v>208245.74</v>
      </c>
      <c r="Q106" s="90">
        <v>11280.3</v>
      </c>
      <c r="R106" s="90">
        <v>8.33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>
        <v>0</v>
      </c>
      <c r="Y106">
        <v>0</v>
      </c>
      <c r="Z106">
        <v>0</v>
      </c>
    </row>
    <row r="107" spans="2:26" ht="12.75" customHeight="1" x14ac:dyDescent="0.25">
      <c r="D107" s="89"/>
      <c r="E107" s="89" t="s">
        <v>81</v>
      </c>
      <c r="F107" s="371">
        <v>199642.47</v>
      </c>
      <c r="G107" s="90">
        <v>21039.279999999999</v>
      </c>
      <c r="H107" s="90">
        <v>9401.5400000000009</v>
      </c>
      <c r="I107" s="90">
        <v>5415.39</v>
      </c>
      <c r="J107" s="90">
        <v>44862.35</v>
      </c>
      <c r="K107" s="90">
        <v>1038.8800000000001</v>
      </c>
      <c r="L107" s="90">
        <v>0</v>
      </c>
      <c r="M107" s="90">
        <v>9113.0400000000009</v>
      </c>
      <c r="N107" s="90">
        <v>11405.09</v>
      </c>
      <c r="O107" s="90">
        <v>53456.23</v>
      </c>
      <c r="P107" s="90">
        <v>42215.06</v>
      </c>
      <c r="Q107" s="90">
        <v>1695.12</v>
      </c>
      <c r="R107" s="90">
        <v>0.49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>
        <v>0</v>
      </c>
      <c r="Y107">
        <v>0</v>
      </c>
      <c r="Z107">
        <v>0</v>
      </c>
    </row>
    <row r="108" spans="2:26" ht="12.75" customHeight="1" x14ac:dyDescent="0.25">
      <c r="D108" s="89" t="s">
        <v>115</v>
      </c>
      <c r="E108" s="89" t="s">
        <v>70</v>
      </c>
      <c r="F108" s="371">
        <v>1348398.38</v>
      </c>
      <c r="G108" s="90">
        <v>124873.23</v>
      </c>
      <c r="H108" s="90">
        <v>59533.5</v>
      </c>
      <c r="I108" s="90">
        <v>33291.599999999999</v>
      </c>
      <c r="J108" s="90">
        <v>302552.69</v>
      </c>
      <c r="K108" s="90">
        <v>7952.51</v>
      </c>
      <c r="L108" s="90">
        <v>0</v>
      </c>
      <c r="M108" s="90">
        <v>70093.2</v>
      </c>
      <c r="N108" s="90">
        <v>86107.25</v>
      </c>
      <c r="O108" s="90">
        <v>400549.36</v>
      </c>
      <c r="P108" s="90">
        <v>250460.79999999999</v>
      </c>
      <c r="Q108" s="90">
        <v>12975.42</v>
      </c>
      <c r="R108" s="90">
        <v>8.82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0</v>
      </c>
    </row>
    <row r="109" spans="2:26" ht="12.75" customHeight="1" x14ac:dyDescent="0.25">
      <c r="D109" s="89"/>
      <c r="E109" s="89" t="s">
        <v>72</v>
      </c>
      <c r="F109" s="90">
        <v>230376.22</v>
      </c>
      <c r="G109" s="90">
        <v>18333.27</v>
      </c>
      <c r="H109" s="90">
        <v>9782.2900000000009</v>
      </c>
      <c r="I109" s="90">
        <v>5319.95</v>
      </c>
      <c r="J109" s="90">
        <v>54717.31</v>
      </c>
      <c r="K109" s="90">
        <v>1624.1</v>
      </c>
      <c r="L109" s="90">
        <v>0</v>
      </c>
      <c r="M109" s="90">
        <v>14246.4</v>
      </c>
      <c r="N109" s="90">
        <v>15524.85</v>
      </c>
      <c r="O109" s="90">
        <v>70821.649999999994</v>
      </c>
      <c r="P109" s="90">
        <v>37360.92</v>
      </c>
      <c r="Q109" s="90">
        <v>2649.83</v>
      </c>
      <c r="R109" s="90">
        <v>-4.3499999999999996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0</v>
      </c>
    </row>
    <row r="110" spans="2:26" ht="12.75" customHeight="1" x14ac:dyDescent="0.25">
      <c r="D110" t="s">
        <v>116</v>
      </c>
      <c r="E110" s="89" t="s">
        <v>70</v>
      </c>
      <c r="F110" s="90">
        <v>230376.22</v>
      </c>
      <c r="G110" s="90">
        <v>18333.27</v>
      </c>
      <c r="H110" s="90">
        <v>9782.2900000000009</v>
      </c>
      <c r="I110" s="90">
        <v>5319.95</v>
      </c>
      <c r="J110" s="90">
        <v>54717.31</v>
      </c>
      <c r="K110" s="90">
        <v>1624.1</v>
      </c>
      <c r="L110" s="90">
        <v>0</v>
      </c>
      <c r="M110" s="90">
        <v>14246.4</v>
      </c>
      <c r="N110" s="90">
        <v>15524.85</v>
      </c>
      <c r="O110" s="90">
        <v>70821.649999999994</v>
      </c>
      <c r="P110" s="90">
        <v>37360.92</v>
      </c>
      <c r="Q110" s="90">
        <v>2649.83</v>
      </c>
      <c r="R110" s="90">
        <v>-4.3499999999999996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>
        <v>0</v>
      </c>
      <c r="Y110">
        <v>0</v>
      </c>
      <c r="Z110">
        <v>0</v>
      </c>
    </row>
    <row r="111" spans="2:26" ht="12.75" customHeight="1" x14ac:dyDescent="0.25">
      <c r="D111" s="89"/>
      <c r="E111" s="89" t="s">
        <v>72</v>
      </c>
      <c r="F111" s="90">
        <v>9689217.1799999997</v>
      </c>
      <c r="G111" s="90">
        <v>518533.02</v>
      </c>
      <c r="H111" s="90">
        <v>287577.53000000003</v>
      </c>
      <c r="I111" s="90">
        <v>156432.14000000001</v>
      </c>
      <c r="J111" s="90">
        <v>2441050.67</v>
      </c>
      <c r="K111" s="90">
        <v>82298.98</v>
      </c>
      <c r="L111" s="90">
        <v>0</v>
      </c>
      <c r="M111" s="90">
        <v>728609.23</v>
      </c>
      <c r="N111" s="90">
        <v>748449.81</v>
      </c>
      <c r="O111" s="90">
        <v>3562346.91</v>
      </c>
      <c r="P111" s="90">
        <v>1027130.59</v>
      </c>
      <c r="Q111" s="90">
        <v>136840.93</v>
      </c>
      <c r="R111" s="90">
        <v>-52.63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>
        <v>0</v>
      </c>
      <c r="Y111">
        <v>0</v>
      </c>
      <c r="Z111">
        <v>0</v>
      </c>
    </row>
    <row r="112" spans="2:26" ht="12.75" customHeight="1" x14ac:dyDescent="0.25">
      <c r="E112" s="89" t="s">
        <v>81</v>
      </c>
      <c r="F112" s="90">
        <v>217045.55</v>
      </c>
      <c r="G112" s="90">
        <v>12559.35</v>
      </c>
      <c r="H112" s="90">
        <v>6390.48</v>
      </c>
      <c r="I112" s="90">
        <v>3379.76</v>
      </c>
      <c r="J112" s="90">
        <v>55867.7</v>
      </c>
      <c r="K112" s="90">
        <v>1678.84</v>
      </c>
      <c r="L112" s="90">
        <v>0</v>
      </c>
      <c r="M112" s="90">
        <v>14715.14</v>
      </c>
      <c r="N112" s="90">
        <v>18428.22</v>
      </c>
      <c r="O112" s="90">
        <v>76574.75</v>
      </c>
      <c r="P112" s="90">
        <v>24706.799999999999</v>
      </c>
      <c r="Q112" s="90">
        <v>2744.21</v>
      </c>
      <c r="R112" s="90">
        <v>0.42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>
        <v>0</v>
      </c>
      <c r="Y112">
        <v>0</v>
      </c>
      <c r="Z112">
        <v>-0.12</v>
      </c>
    </row>
    <row r="113" spans="1:26" ht="12.75" customHeight="1" x14ac:dyDescent="0.25">
      <c r="D113" t="s">
        <v>118</v>
      </c>
      <c r="E113" s="89" t="s">
        <v>70</v>
      </c>
      <c r="F113" s="90">
        <v>9906262.7300000004</v>
      </c>
      <c r="G113" s="90">
        <v>531092.37</v>
      </c>
      <c r="H113" s="90">
        <v>293968.01</v>
      </c>
      <c r="I113" s="90">
        <v>159811.9</v>
      </c>
      <c r="J113" s="90">
        <v>2496918.37</v>
      </c>
      <c r="K113" s="90">
        <v>83977.82</v>
      </c>
      <c r="L113" s="90">
        <v>0</v>
      </c>
      <c r="M113" s="90">
        <v>743324.37</v>
      </c>
      <c r="N113" s="90">
        <v>766878.03</v>
      </c>
      <c r="O113" s="90">
        <v>3638921.66</v>
      </c>
      <c r="P113" s="90">
        <v>1051837.3899999999</v>
      </c>
      <c r="Q113" s="90">
        <v>139585.14000000001</v>
      </c>
      <c r="R113" s="90">
        <v>-52.21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-0.12</v>
      </c>
    </row>
    <row r="114" spans="1:26" s="224" customFormat="1" ht="12.75" customHeight="1" x14ac:dyDescent="0.25">
      <c r="C114" s="223" t="s">
        <v>120</v>
      </c>
      <c r="D114" s="223" t="s">
        <v>70</v>
      </c>
      <c r="F114" s="225">
        <v>11485037.33</v>
      </c>
      <c r="G114" s="225">
        <v>674298.87</v>
      </c>
      <c r="H114" s="225">
        <v>363283.8</v>
      </c>
      <c r="I114" s="225">
        <v>198423.45</v>
      </c>
      <c r="J114" s="225">
        <v>2854188.37</v>
      </c>
      <c r="K114" s="225">
        <v>93554.43</v>
      </c>
      <c r="L114" s="225">
        <v>0</v>
      </c>
      <c r="M114" s="225">
        <v>827663.97</v>
      </c>
      <c r="N114" s="225">
        <v>868510.13</v>
      </c>
      <c r="O114" s="225">
        <v>4110292.67</v>
      </c>
      <c r="P114" s="225">
        <v>1339659.1100000001</v>
      </c>
      <c r="Q114" s="225">
        <v>155210.39000000001</v>
      </c>
      <c r="R114" s="225">
        <v>-47.74</v>
      </c>
      <c r="S114" s="225">
        <v>0</v>
      </c>
      <c r="T114" s="225">
        <v>0</v>
      </c>
      <c r="U114" s="225">
        <v>0</v>
      </c>
      <c r="V114" s="225">
        <v>0</v>
      </c>
      <c r="W114" s="225">
        <v>0</v>
      </c>
      <c r="X114" s="224">
        <v>0</v>
      </c>
      <c r="Y114" s="224">
        <v>0</v>
      </c>
      <c r="Z114" s="224">
        <v>-0.12</v>
      </c>
    </row>
    <row r="115" spans="1:26" ht="12.75" customHeight="1" x14ac:dyDescent="0.25">
      <c r="C115" s="89"/>
      <c r="D115" s="89"/>
      <c r="E115" t="s">
        <v>72</v>
      </c>
      <c r="F115" s="90">
        <v>849867693.01999998</v>
      </c>
      <c r="G115" s="90">
        <v>54948681.759999998</v>
      </c>
      <c r="H115" s="90">
        <v>30927411.800000001</v>
      </c>
      <c r="I115" s="90">
        <v>16373301.779999999</v>
      </c>
      <c r="J115" s="90">
        <v>204630030.11000001</v>
      </c>
      <c r="K115" s="90">
        <v>5205045.5999999996</v>
      </c>
      <c r="L115" s="90">
        <v>673000</v>
      </c>
      <c r="M115" s="90">
        <v>45746296.700000003</v>
      </c>
      <c r="N115" s="90">
        <v>64731342.149999999</v>
      </c>
      <c r="O115" s="90">
        <v>309036244.22000003</v>
      </c>
      <c r="P115" s="90">
        <v>109057152.40000001</v>
      </c>
      <c r="Q115" s="90">
        <v>8539363</v>
      </c>
      <c r="R115" s="90">
        <v>-176.5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C116" s="89"/>
      <c r="D116" s="89"/>
      <c r="E116" t="s">
        <v>81</v>
      </c>
      <c r="F116" s="90">
        <v>8247331.1699999999</v>
      </c>
      <c r="G116" s="90">
        <v>759088.58</v>
      </c>
      <c r="H116" s="90">
        <v>410996.96</v>
      </c>
      <c r="I116" s="90">
        <v>215618.58</v>
      </c>
      <c r="J116" s="90">
        <v>1740497.9</v>
      </c>
      <c r="K116" s="90">
        <v>46283.83</v>
      </c>
      <c r="L116" s="90">
        <v>1155.9100000000001</v>
      </c>
      <c r="M116" s="90">
        <v>406506.42</v>
      </c>
      <c r="N116" s="90">
        <v>562874.1</v>
      </c>
      <c r="O116" s="90">
        <v>2504417.54</v>
      </c>
      <c r="P116" s="90">
        <v>1524265.47</v>
      </c>
      <c r="Q116" s="90">
        <v>75637.47</v>
      </c>
      <c r="R116" s="90">
        <v>-19.600000000000001</v>
      </c>
      <c r="S116" s="90">
        <v>8.07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-0.06</v>
      </c>
    </row>
    <row r="117" spans="1:26" ht="12.75" customHeight="1" x14ac:dyDescent="0.25">
      <c r="D117" t="s">
        <v>82</v>
      </c>
      <c r="E117" s="89" t="s">
        <v>70</v>
      </c>
      <c r="F117" s="90">
        <v>858115024.19000006</v>
      </c>
      <c r="G117" s="90">
        <v>55707770.340000004</v>
      </c>
      <c r="H117" s="90">
        <v>31338408.760000002</v>
      </c>
      <c r="I117" s="90">
        <v>16588920.359999999</v>
      </c>
      <c r="J117" s="90">
        <v>206370528.00999999</v>
      </c>
      <c r="K117" s="90">
        <v>5251329.43</v>
      </c>
      <c r="L117" s="90">
        <v>674155.91</v>
      </c>
      <c r="M117" s="90">
        <v>46152803.119999997</v>
      </c>
      <c r="N117" s="90">
        <v>65294216.25</v>
      </c>
      <c r="O117" s="90">
        <v>311540661.75999999</v>
      </c>
      <c r="P117" s="90">
        <v>110581417.87</v>
      </c>
      <c r="Q117" s="90">
        <v>8615000.4700000007</v>
      </c>
      <c r="R117" s="90">
        <v>-196.1</v>
      </c>
      <c r="S117" s="90">
        <v>8.07</v>
      </c>
      <c r="T117" s="90">
        <v>0</v>
      </c>
      <c r="U117" s="90">
        <v>0</v>
      </c>
      <c r="V117" s="90">
        <v>0</v>
      </c>
      <c r="W117" s="90">
        <v>0</v>
      </c>
      <c r="X117">
        <v>0</v>
      </c>
      <c r="Y117">
        <v>0</v>
      </c>
      <c r="Z117">
        <v>-0.06</v>
      </c>
    </row>
    <row r="118" spans="1:26" ht="12.75" customHeight="1" x14ac:dyDescent="0.25">
      <c r="E118" s="89" t="s">
        <v>72</v>
      </c>
      <c r="F118" s="90">
        <v>295886562.18000001</v>
      </c>
      <c r="G118" s="90">
        <v>29517675.829999998</v>
      </c>
      <c r="H118" s="90">
        <v>16386777.960000001</v>
      </c>
      <c r="I118" s="90">
        <v>8578454.3499999996</v>
      </c>
      <c r="J118" s="90">
        <v>51586339.859999999</v>
      </c>
      <c r="K118" s="90">
        <v>1513601.47</v>
      </c>
      <c r="L118" s="90">
        <v>19313383.559999999</v>
      </c>
      <c r="M118" s="90">
        <v>13264846.220000001</v>
      </c>
      <c r="N118" s="90">
        <v>16618333.75</v>
      </c>
      <c r="O118" s="90">
        <v>77934436.870000005</v>
      </c>
      <c r="P118" s="90">
        <v>58698285.340000004</v>
      </c>
      <c r="Q118" s="90">
        <v>2474833.44</v>
      </c>
      <c r="R118" s="90">
        <v>-406.47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0</v>
      </c>
    </row>
    <row r="119" spans="1:26" ht="12.75" customHeight="1" x14ac:dyDescent="0.25">
      <c r="D119" s="89"/>
      <c r="E119" s="89" t="s">
        <v>81</v>
      </c>
      <c r="F119" s="90">
        <v>11325633.789999999</v>
      </c>
      <c r="G119" s="90">
        <v>1576014.18</v>
      </c>
      <c r="H119" s="90">
        <v>801745.8</v>
      </c>
      <c r="I119" s="90">
        <v>381190.53</v>
      </c>
      <c r="J119" s="90">
        <v>1442587.85</v>
      </c>
      <c r="K119" s="90">
        <v>48878.89</v>
      </c>
      <c r="L119" s="90">
        <v>910795.42</v>
      </c>
      <c r="M119" s="90">
        <v>429267.26</v>
      </c>
      <c r="N119" s="90">
        <v>538325.67000000004</v>
      </c>
      <c r="O119" s="90">
        <v>2011275.27</v>
      </c>
      <c r="P119" s="90">
        <v>3105732.13</v>
      </c>
      <c r="Q119" s="90">
        <v>79805.539999999994</v>
      </c>
      <c r="R119" s="90">
        <v>11.95</v>
      </c>
      <c r="S119" s="90">
        <v>3.62</v>
      </c>
      <c r="T119" s="90">
        <v>0.11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-0.43</v>
      </c>
    </row>
    <row r="120" spans="1:26" ht="12.75" customHeight="1" x14ac:dyDescent="0.25">
      <c r="D120" t="s">
        <v>86</v>
      </c>
      <c r="E120" s="89" t="s">
        <v>70</v>
      </c>
      <c r="F120" s="90">
        <v>307212195.97000003</v>
      </c>
      <c r="G120" s="90">
        <v>31093690.010000002</v>
      </c>
      <c r="H120" s="90">
        <v>17188523.760000002</v>
      </c>
      <c r="I120" s="90">
        <v>8959644.8800000008</v>
      </c>
      <c r="J120" s="90">
        <v>53028927.710000001</v>
      </c>
      <c r="K120" s="90">
        <v>1562480.36</v>
      </c>
      <c r="L120" s="90">
        <v>20224178.98</v>
      </c>
      <c r="M120" s="90">
        <v>13694113.48</v>
      </c>
      <c r="N120" s="90">
        <v>17156659.420000002</v>
      </c>
      <c r="O120" s="90">
        <v>79945712.140000001</v>
      </c>
      <c r="P120" s="90">
        <v>61804017.469999999</v>
      </c>
      <c r="Q120" s="90">
        <v>2554638.98</v>
      </c>
      <c r="R120" s="90">
        <v>-394.52</v>
      </c>
      <c r="S120" s="90">
        <v>3.62</v>
      </c>
      <c r="T120" s="90">
        <v>0.11</v>
      </c>
      <c r="U120" s="90">
        <v>0</v>
      </c>
      <c r="V120" s="90">
        <v>0</v>
      </c>
      <c r="W120" s="90">
        <v>0</v>
      </c>
      <c r="X120">
        <v>0</v>
      </c>
      <c r="Y120">
        <v>0</v>
      </c>
      <c r="Z120">
        <v>-0.43</v>
      </c>
    </row>
    <row r="121" spans="1:26" ht="12.75" customHeight="1" x14ac:dyDescent="0.25">
      <c r="E121" s="89" t="s">
        <v>72</v>
      </c>
      <c r="F121" s="90">
        <v>956486354.97000003</v>
      </c>
      <c r="G121" s="90">
        <v>178908073.68000001</v>
      </c>
      <c r="H121" s="90">
        <v>100746040.56999999</v>
      </c>
      <c r="I121" s="90">
        <v>53063769.32</v>
      </c>
      <c r="J121" s="90">
        <v>83199922.829999998</v>
      </c>
      <c r="K121" s="90">
        <v>2112137.6</v>
      </c>
      <c r="L121" s="90">
        <v>22121500</v>
      </c>
      <c r="M121" s="90">
        <v>18518451.050000001</v>
      </c>
      <c r="N121" s="90">
        <v>26067922.52</v>
      </c>
      <c r="O121" s="90">
        <v>126629527.23999999</v>
      </c>
      <c r="P121" s="90">
        <v>341652099.43000001</v>
      </c>
      <c r="Q121" s="90">
        <v>3468045</v>
      </c>
      <c r="R121" s="90">
        <v>-1134.27</v>
      </c>
      <c r="S121" s="90">
        <v>0</v>
      </c>
      <c r="T121" s="90">
        <v>0</v>
      </c>
      <c r="U121" s="90">
        <v>0</v>
      </c>
      <c r="V121" s="90">
        <v>0</v>
      </c>
      <c r="W121" s="90">
        <v>0</v>
      </c>
      <c r="X121">
        <v>0</v>
      </c>
      <c r="Y121">
        <v>0</v>
      </c>
      <c r="Z121">
        <v>0</v>
      </c>
    </row>
    <row r="122" spans="1:26" ht="12.75" customHeight="1" x14ac:dyDescent="0.25">
      <c r="D122" s="89"/>
      <c r="E122" s="89" t="s">
        <v>81</v>
      </c>
      <c r="F122" s="90">
        <v>22524838.239999998</v>
      </c>
      <c r="G122" s="90">
        <v>4952770.1500000004</v>
      </c>
      <c r="H122" s="90">
        <v>2755528.01</v>
      </c>
      <c r="I122" s="90">
        <v>1468280.39</v>
      </c>
      <c r="J122" s="90">
        <v>1122794.42</v>
      </c>
      <c r="K122" s="90">
        <v>28207.59</v>
      </c>
      <c r="L122" s="90">
        <v>222526.16</v>
      </c>
      <c r="M122" s="90">
        <v>246960.98</v>
      </c>
      <c r="N122" s="90">
        <v>346793.07</v>
      </c>
      <c r="O122" s="90">
        <v>1614571.03</v>
      </c>
      <c r="P122" s="90">
        <v>9720305.7699999996</v>
      </c>
      <c r="Q122" s="90">
        <v>46107.8</v>
      </c>
      <c r="R122" s="90">
        <v>-7.11</v>
      </c>
      <c r="S122" s="90">
        <v>0.24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-0.26</v>
      </c>
    </row>
    <row r="123" spans="1:26" ht="12.75" customHeight="1" x14ac:dyDescent="0.25">
      <c r="D123" t="s">
        <v>87</v>
      </c>
      <c r="E123" s="89" t="s">
        <v>70</v>
      </c>
      <c r="F123" s="90">
        <v>979011193.21000004</v>
      </c>
      <c r="G123" s="90">
        <v>183860843.83000001</v>
      </c>
      <c r="H123" s="90">
        <v>103501568.58</v>
      </c>
      <c r="I123" s="90">
        <v>54532049.710000001</v>
      </c>
      <c r="J123" s="90">
        <v>84322717.25</v>
      </c>
      <c r="K123" s="90">
        <v>2140345.19</v>
      </c>
      <c r="L123" s="90">
        <v>22344026.16</v>
      </c>
      <c r="M123" s="90">
        <v>18765412.030000001</v>
      </c>
      <c r="N123" s="90">
        <v>26414715.59</v>
      </c>
      <c r="O123" s="90">
        <v>128244098.27</v>
      </c>
      <c r="P123" s="90">
        <v>351372405.19999999</v>
      </c>
      <c r="Q123" s="90">
        <v>3514152.8</v>
      </c>
      <c r="R123" s="90">
        <v>-1141.3800000000001</v>
      </c>
      <c r="S123" s="90">
        <v>0.24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-0.26</v>
      </c>
    </row>
    <row r="124" spans="1:26" s="94" customFormat="1" ht="12.75" customHeight="1" x14ac:dyDescent="0.25">
      <c r="C124" s="94" t="s">
        <v>119</v>
      </c>
      <c r="D124" s="94" t="s">
        <v>70</v>
      </c>
      <c r="E124" s="101"/>
      <c r="F124" s="93">
        <v>2144338413.3699999</v>
      </c>
      <c r="G124" s="93">
        <v>270662304.18000001</v>
      </c>
      <c r="H124" s="93">
        <v>152028501.09999999</v>
      </c>
      <c r="I124" s="93">
        <v>80080614.950000003</v>
      </c>
      <c r="J124" s="93">
        <v>343722172.97000003</v>
      </c>
      <c r="K124" s="93">
        <v>8954154.9800000004</v>
      </c>
      <c r="L124" s="93">
        <v>43242361.049999997</v>
      </c>
      <c r="M124" s="93">
        <v>78612328.629999995</v>
      </c>
      <c r="N124" s="93">
        <v>108865591.26000001</v>
      </c>
      <c r="O124" s="93">
        <v>519730472.17000002</v>
      </c>
      <c r="P124" s="93">
        <v>523757840.54000002</v>
      </c>
      <c r="Q124" s="93">
        <v>14683792.25</v>
      </c>
      <c r="R124" s="93">
        <v>-1732</v>
      </c>
      <c r="S124" s="93">
        <v>11.93</v>
      </c>
      <c r="T124" s="93">
        <v>0.11</v>
      </c>
      <c r="U124" s="93">
        <v>0</v>
      </c>
      <c r="V124" s="93">
        <v>0</v>
      </c>
      <c r="W124" s="93">
        <v>0</v>
      </c>
      <c r="X124" s="94">
        <v>0</v>
      </c>
      <c r="Y124" s="94">
        <v>0</v>
      </c>
      <c r="Z124" s="94">
        <v>-0.75</v>
      </c>
    </row>
    <row r="125" spans="1:26" s="226" customFormat="1" ht="12.75" customHeight="1" x14ac:dyDescent="0.25">
      <c r="B125" s="98" t="s">
        <v>112</v>
      </c>
      <c r="C125" s="98" t="s">
        <v>70</v>
      </c>
      <c r="F125" s="100">
        <v>26991842853.639999</v>
      </c>
      <c r="G125" s="100">
        <v>1647822335.5</v>
      </c>
      <c r="H125" s="100">
        <v>919613091.24000001</v>
      </c>
      <c r="I125" s="100">
        <v>480398481.58999997</v>
      </c>
      <c r="J125" s="100">
        <v>6801561986.5500002</v>
      </c>
      <c r="K125" s="100">
        <v>225315678.84999999</v>
      </c>
      <c r="L125" s="100">
        <v>65675504</v>
      </c>
      <c r="M125" s="100">
        <v>1977251801.8199999</v>
      </c>
      <c r="N125" s="100">
        <v>1975192478.8699999</v>
      </c>
      <c r="O125" s="100">
        <v>9299565599.3099995</v>
      </c>
      <c r="P125" s="100">
        <v>3231522565.6900001</v>
      </c>
      <c r="Q125" s="100">
        <v>368142849.58999997</v>
      </c>
      <c r="R125" s="100">
        <v>-219558.69</v>
      </c>
      <c r="S125" s="100">
        <v>62.66</v>
      </c>
      <c r="T125" s="100">
        <v>1.01</v>
      </c>
      <c r="U125" s="100">
        <v>0</v>
      </c>
      <c r="V125" s="100">
        <v>0</v>
      </c>
      <c r="W125" s="100">
        <v>0</v>
      </c>
      <c r="X125" s="226">
        <v>0</v>
      </c>
      <c r="Y125" s="226">
        <v>0</v>
      </c>
      <c r="Z125" s="226">
        <v>-24.35</v>
      </c>
    </row>
    <row r="126" spans="1:26" ht="12.75" customHeight="1" x14ac:dyDescent="0.25">
      <c r="A126" t="s">
        <v>78</v>
      </c>
      <c r="B126" s="89" t="s">
        <v>70</v>
      </c>
      <c r="C126" s="89"/>
      <c r="F126" s="90">
        <v>26991999286.830002</v>
      </c>
      <c r="G126" s="90">
        <v>1647835428.6900001</v>
      </c>
      <c r="H126" s="90">
        <v>919620461.50999999</v>
      </c>
      <c r="I126" s="90">
        <v>480403523.38</v>
      </c>
      <c r="J126" s="90">
        <v>6801592881.04</v>
      </c>
      <c r="K126" s="90">
        <v>225316978.03999999</v>
      </c>
      <c r="L126" s="90">
        <v>65675504</v>
      </c>
      <c r="M126" s="90">
        <v>1977259911.78</v>
      </c>
      <c r="N126" s="90">
        <v>1975203586.1500001</v>
      </c>
      <c r="O126" s="90">
        <v>9299618101.75</v>
      </c>
      <c r="P126" s="90">
        <v>3231546983.98</v>
      </c>
      <c r="Q126" s="90">
        <v>368145446.16000003</v>
      </c>
      <c r="R126" s="90">
        <v>-219558.97</v>
      </c>
      <c r="S126" s="90">
        <v>62.66</v>
      </c>
      <c r="T126" s="90">
        <v>1.01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-24.35</v>
      </c>
    </row>
    <row r="127" spans="1:26" ht="12.75" customHeight="1" x14ac:dyDescent="0.25">
      <c r="B127" s="89"/>
      <c r="C127" s="89"/>
      <c r="E127" t="s">
        <v>73</v>
      </c>
      <c r="F127" s="90">
        <v>65196.81</v>
      </c>
      <c r="G127" s="90">
        <v>6546.6</v>
      </c>
      <c r="H127" s="90">
        <v>3685.14</v>
      </c>
      <c r="I127" s="90">
        <v>1939.87</v>
      </c>
      <c r="J127" s="90">
        <v>12877.56</v>
      </c>
      <c r="K127" s="90">
        <v>462.28</v>
      </c>
      <c r="L127" s="90">
        <v>0</v>
      </c>
      <c r="M127" s="90">
        <v>4054.99</v>
      </c>
      <c r="N127" s="90">
        <v>3960.35</v>
      </c>
      <c r="O127" s="90">
        <v>18706.63</v>
      </c>
      <c r="P127" s="90">
        <v>12209.15</v>
      </c>
      <c r="Q127" s="90">
        <v>754.24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B128" s="89"/>
      <c r="C128" s="89"/>
      <c r="D128" t="s">
        <v>156</v>
      </c>
      <c r="E128" t="s">
        <v>70</v>
      </c>
      <c r="F128" s="90">
        <v>65196.81</v>
      </c>
      <c r="G128" s="90">
        <v>6546.6</v>
      </c>
      <c r="H128" s="90">
        <v>3685.14</v>
      </c>
      <c r="I128" s="90">
        <v>1939.87</v>
      </c>
      <c r="J128" s="90">
        <v>12877.56</v>
      </c>
      <c r="K128" s="90">
        <v>462.28</v>
      </c>
      <c r="L128" s="90">
        <v>0</v>
      </c>
      <c r="M128" s="90">
        <v>4054.99</v>
      </c>
      <c r="N128" s="90">
        <v>3960.35</v>
      </c>
      <c r="O128" s="90">
        <v>18706.63</v>
      </c>
      <c r="P128" s="90">
        <v>12209.15</v>
      </c>
      <c r="Q128" s="90">
        <v>754.24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2:26" s="656" customFormat="1" ht="12.75" customHeight="1" x14ac:dyDescent="0.25">
      <c r="C129" s="656" t="s">
        <v>155</v>
      </c>
      <c r="D129" s="657" t="s">
        <v>70</v>
      </c>
      <c r="E129" s="657"/>
      <c r="F129" s="658">
        <v>65196.81</v>
      </c>
      <c r="G129" s="658">
        <v>6546.6</v>
      </c>
      <c r="H129" s="658">
        <v>3685.14</v>
      </c>
      <c r="I129" s="658">
        <v>1939.87</v>
      </c>
      <c r="J129" s="658">
        <v>12877.56</v>
      </c>
      <c r="K129" s="658">
        <v>462.28</v>
      </c>
      <c r="L129" s="658">
        <v>0</v>
      </c>
      <c r="M129" s="658">
        <v>4054.99</v>
      </c>
      <c r="N129" s="658">
        <v>3960.35</v>
      </c>
      <c r="O129" s="658">
        <v>18706.63</v>
      </c>
      <c r="P129" s="658">
        <v>12209.15</v>
      </c>
      <c r="Q129" s="658">
        <v>754.24</v>
      </c>
      <c r="R129" s="658">
        <v>0</v>
      </c>
      <c r="S129" s="658">
        <v>0</v>
      </c>
      <c r="T129" s="658">
        <v>0</v>
      </c>
      <c r="U129" s="658">
        <v>0</v>
      </c>
      <c r="V129" s="658">
        <v>0</v>
      </c>
      <c r="W129" s="658">
        <v>0</v>
      </c>
      <c r="X129" s="656">
        <v>0</v>
      </c>
      <c r="Y129" s="656">
        <v>0</v>
      </c>
      <c r="Z129" s="656">
        <v>0</v>
      </c>
    </row>
    <row r="130" spans="2:26" s="378" customFormat="1" ht="12.75" customHeight="1" x14ac:dyDescent="0.25">
      <c r="B130" s="378" t="s">
        <v>122</v>
      </c>
      <c r="C130" s="378" t="s">
        <v>70</v>
      </c>
      <c r="E130" s="376"/>
      <c r="F130" s="710">
        <v>65196.81</v>
      </c>
      <c r="G130" s="377">
        <v>6546.6</v>
      </c>
      <c r="H130" s="377">
        <v>3685.14</v>
      </c>
      <c r="I130" s="377">
        <v>1939.87</v>
      </c>
      <c r="J130" s="377">
        <v>12877.56</v>
      </c>
      <c r="K130" s="377">
        <v>462.28</v>
      </c>
      <c r="L130" s="377">
        <v>0</v>
      </c>
      <c r="M130" s="377">
        <v>4054.99</v>
      </c>
      <c r="N130" s="377">
        <v>3960.35</v>
      </c>
      <c r="O130" s="377">
        <v>18706.63</v>
      </c>
      <c r="P130" s="377">
        <v>12209.15</v>
      </c>
      <c r="Q130" s="377">
        <v>754.24</v>
      </c>
      <c r="R130" s="377">
        <v>0</v>
      </c>
      <c r="S130" s="377">
        <v>0</v>
      </c>
      <c r="T130" s="377">
        <v>0</v>
      </c>
      <c r="U130" s="377">
        <v>0</v>
      </c>
      <c r="V130" s="377">
        <v>0</v>
      </c>
      <c r="W130" s="377">
        <v>0</v>
      </c>
      <c r="X130" s="378">
        <v>0</v>
      </c>
      <c r="Y130" s="378">
        <v>0</v>
      </c>
      <c r="Z130" s="378">
        <v>0</v>
      </c>
    </row>
    <row r="131" spans="2:26" ht="12.75" customHeight="1" x14ac:dyDescent="0.25">
      <c r="E131" s="89" t="s">
        <v>73</v>
      </c>
      <c r="F131" s="90">
        <v>-5574513313.0200005</v>
      </c>
      <c r="G131" s="90">
        <v>-142587049.96000001</v>
      </c>
      <c r="H131" s="90">
        <v>-77260837.579999998</v>
      </c>
      <c r="I131" s="90">
        <v>-40078326.579999998</v>
      </c>
      <c r="J131" s="90">
        <v>-1659794200.48</v>
      </c>
      <c r="K131" s="90">
        <v>-55669891.310000002</v>
      </c>
      <c r="L131" s="90">
        <v>0</v>
      </c>
      <c r="M131" s="90">
        <v>-488402705.69</v>
      </c>
      <c r="N131" s="90">
        <v>-486403545.58999997</v>
      </c>
      <c r="O131" s="90">
        <v>-2258121879.6500001</v>
      </c>
      <c r="P131" s="90">
        <v>-275363801.75999999</v>
      </c>
      <c r="Q131" s="90">
        <v>-90831074.420000002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2:26" ht="12.75" customHeight="1" x14ac:dyDescent="0.25">
      <c r="D132" s="89" t="s">
        <v>156</v>
      </c>
      <c r="E132" s="89" t="s">
        <v>70</v>
      </c>
      <c r="F132" s="90">
        <v>-5574513313.0200005</v>
      </c>
      <c r="G132" s="90">
        <v>-142587049.96000001</v>
      </c>
      <c r="H132" s="90">
        <v>-77260837.579999998</v>
      </c>
      <c r="I132" s="90">
        <v>-40078326.579999998</v>
      </c>
      <c r="J132" s="90">
        <v>-1659794200.48</v>
      </c>
      <c r="K132" s="90">
        <v>-55669891.310000002</v>
      </c>
      <c r="L132" s="90">
        <v>0</v>
      </c>
      <c r="M132" s="90">
        <v>-488402705.69</v>
      </c>
      <c r="N132" s="90">
        <v>-486403545.58999997</v>
      </c>
      <c r="O132" s="90">
        <v>-2258121879.6500001</v>
      </c>
      <c r="P132" s="90">
        <v>-275363801.75999999</v>
      </c>
      <c r="Q132" s="90">
        <v>-90831074.420000002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2:26" s="656" customFormat="1" ht="12.75" customHeight="1" x14ac:dyDescent="0.25">
      <c r="C133" s="656" t="s">
        <v>155</v>
      </c>
      <c r="D133" s="657" t="s">
        <v>70</v>
      </c>
      <c r="E133" s="657"/>
      <c r="F133" s="738">
        <v>-5574513313.0200005</v>
      </c>
      <c r="G133" s="658">
        <v>-142587049.96000001</v>
      </c>
      <c r="H133" s="658">
        <v>-77260837.579999998</v>
      </c>
      <c r="I133" s="658">
        <v>-40078326.579999998</v>
      </c>
      <c r="J133" s="658">
        <v>-1659794200.48</v>
      </c>
      <c r="K133" s="658">
        <v>-55669891.310000002</v>
      </c>
      <c r="L133" s="658">
        <v>0</v>
      </c>
      <c r="M133" s="658">
        <v>-488402705.69</v>
      </c>
      <c r="N133" s="658">
        <v>-486403545.58999997</v>
      </c>
      <c r="O133" s="658">
        <v>-2258121879.6500001</v>
      </c>
      <c r="P133" s="658">
        <v>-275363801.75999999</v>
      </c>
      <c r="Q133" s="658">
        <v>-90831074.420000002</v>
      </c>
      <c r="R133" s="658">
        <v>0</v>
      </c>
      <c r="S133" s="658">
        <v>0</v>
      </c>
      <c r="T133" s="658">
        <v>0</v>
      </c>
      <c r="U133" s="658">
        <v>0</v>
      </c>
      <c r="V133" s="658">
        <v>0</v>
      </c>
      <c r="W133" s="658">
        <v>0</v>
      </c>
      <c r="X133" s="656">
        <v>0</v>
      </c>
      <c r="Y133" s="656">
        <v>0</v>
      </c>
      <c r="Z133" s="656">
        <v>0</v>
      </c>
    </row>
    <row r="134" spans="2:26" ht="12.75" customHeight="1" x14ac:dyDescent="0.25">
      <c r="D134" s="89"/>
      <c r="E134" s="89" t="s">
        <v>73</v>
      </c>
      <c r="F134" s="371">
        <v>364711.62</v>
      </c>
      <c r="G134" s="90">
        <v>42523.37</v>
      </c>
      <c r="H134" s="90">
        <v>19399.8</v>
      </c>
      <c r="I134" s="90">
        <v>11145.84</v>
      </c>
      <c r="J134" s="90">
        <v>76488.73</v>
      </c>
      <c r="K134" s="90">
        <v>1644.02</v>
      </c>
      <c r="L134" s="90">
        <v>0</v>
      </c>
      <c r="M134" s="90">
        <v>14420.95</v>
      </c>
      <c r="N134" s="90">
        <v>19608.240000000002</v>
      </c>
      <c r="O134" s="90">
        <v>91459.93</v>
      </c>
      <c r="P134" s="90">
        <v>85338.37</v>
      </c>
      <c r="Q134" s="90">
        <v>2682.37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2:26" ht="12.75" customHeight="1" x14ac:dyDescent="0.25">
      <c r="D135" s="89" t="s">
        <v>115</v>
      </c>
      <c r="E135" s="89" t="s">
        <v>70</v>
      </c>
      <c r="F135" s="371">
        <v>364711.62</v>
      </c>
      <c r="G135" s="90">
        <v>42523.37</v>
      </c>
      <c r="H135" s="90">
        <v>19399.8</v>
      </c>
      <c r="I135" s="90">
        <v>11145.84</v>
      </c>
      <c r="J135" s="90">
        <v>76488.73</v>
      </c>
      <c r="K135" s="90">
        <v>1644.02</v>
      </c>
      <c r="L135" s="90">
        <v>0</v>
      </c>
      <c r="M135" s="90">
        <v>14420.95</v>
      </c>
      <c r="N135" s="90">
        <v>19608.240000000002</v>
      </c>
      <c r="O135" s="90">
        <v>91459.93</v>
      </c>
      <c r="P135" s="90">
        <v>85338.37</v>
      </c>
      <c r="Q135" s="90">
        <v>2682.37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2:26" ht="12.75" customHeight="1" x14ac:dyDescent="0.25">
      <c r="D136" s="89"/>
      <c r="E136" s="89" t="s">
        <v>73</v>
      </c>
      <c r="F136" s="371">
        <v>-12716.22</v>
      </c>
      <c r="G136" s="90">
        <v>-696.42</v>
      </c>
      <c r="H136" s="90">
        <v>-320.42</v>
      </c>
      <c r="I136" s="90">
        <v>-174.1</v>
      </c>
      <c r="J136" s="90">
        <v>-3726.43</v>
      </c>
      <c r="K136" s="90">
        <v>-89.68</v>
      </c>
      <c r="L136" s="90">
        <v>0</v>
      </c>
      <c r="M136" s="90">
        <v>-786.79</v>
      </c>
      <c r="N136" s="90">
        <v>-977.8</v>
      </c>
      <c r="O136" s="90">
        <v>-4383.22</v>
      </c>
      <c r="P136" s="90">
        <v>-1415.01</v>
      </c>
      <c r="Q136" s="90">
        <v>-146.35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2:26" ht="12.75" customHeight="1" x14ac:dyDescent="0.25">
      <c r="D137" s="89" t="s">
        <v>116</v>
      </c>
      <c r="E137" s="89" t="s">
        <v>70</v>
      </c>
      <c r="F137" s="371">
        <v>-12716.22</v>
      </c>
      <c r="G137" s="90">
        <v>-696.42</v>
      </c>
      <c r="H137" s="90">
        <v>-320.42</v>
      </c>
      <c r="I137" s="90">
        <v>-174.1</v>
      </c>
      <c r="J137" s="90">
        <v>-3726.43</v>
      </c>
      <c r="K137" s="90">
        <v>-89.68</v>
      </c>
      <c r="L137" s="90">
        <v>0</v>
      </c>
      <c r="M137" s="90">
        <v>-786.79</v>
      </c>
      <c r="N137" s="90">
        <v>-977.8</v>
      </c>
      <c r="O137" s="90">
        <v>-4383.22</v>
      </c>
      <c r="P137" s="90">
        <v>-1415.01</v>
      </c>
      <c r="Q137" s="90">
        <v>-146.35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2:26" ht="12.75" customHeight="1" x14ac:dyDescent="0.25">
      <c r="E138" s="89" t="s">
        <v>73</v>
      </c>
      <c r="F138" s="90">
        <v>-2486822.73</v>
      </c>
      <c r="G138" s="90">
        <v>-85228.71</v>
      </c>
      <c r="H138" s="90">
        <v>-47226.25</v>
      </c>
      <c r="I138" s="90">
        <v>-25296.05</v>
      </c>
      <c r="J138" s="90">
        <v>-681872.95</v>
      </c>
      <c r="K138" s="90">
        <v>-24041.32</v>
      </c>
      <c r="L138" s="90">
        <v>0</v>
      </c>
      <c r="M138" s="90">
        <v>-210886.27</v>
      </c>
      <c r="N138" s="90">
        <v>-212027.1</v>
      </c>
      <c r="O138" s="90">
        <v>-999338.13</v>
      </c>
      <c r="P138" s="90">
        <v>-161680.99</v>
      </c>
      <c r="Q138" s="90">
        <v>-39224.959999999999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2:26" ht="12.75" customHeight="1" x14ac:dyDescent="0.25">
      <c r="D139" s="89" t="s">
        <v>118</v>
      </c>
      <c r="E139" s="89" t="s">
        <v>70</v>
      </c>
      <c r="F139" s="90">
        <v>-2486822.73</v>
      </c>
      <c r="G139" s="90">
        <v>-85228.71</v>
      </c>
      <c r="H139" s="90">
        <v>-47226.25</v>
      </c>
      <c r="I139" s="90">
        <v>-25296.05</v>
      </c>
      <c r="J139" s="90">
        <v>-681872.95</v>
      </c>
      <c r="K139" s="90">
        <v>-24041.32</v>
      </c>
      <c r="L139" s="90">
        <v>0</v>
      </c>
      <c r="M139" s="90">
        <v>-210886.27</v>
      </c>
      <c r="N139" s="90">
        <v>-212027.1</v>
      </c>
      <c r="O139" s="90">
        <v>-999338.13</v>
      </c>
      <c r="P139" s="90">
        <v>-161680.99</v>
      </c>
      <c r="Q139" s="90">
        <v>-39224.959999999999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2:26" s="224" customFormat="1" ht="12.75" customHeight="1" x14ac:dyDescent="0.25">
      <c r="C140" s="223" t="s">
        <v>120</v>
      </c>
      <c r="D140" s="223" t="s">
        <v>70</v>
      </c>
      <c r="F140" s="225">
        <v>-2134827.33</v>
      </c>
      <c r="G140" s="225">
        <v>-43401.760000000002</v>
      </c>
      <c r="H140" s="225">
        <v>-28146.87</v>
      </c>
      <c r="I140" s="225">
        <v>-14324.31</v>
      </c>
      <c r="J140" s="225">
        <v>-609110.65</v>
      </c>
      <c r="K140" s="225">
        <v>-22486.98</v>
      </c>
      <c r="L140" s="225">
        <v>0</v>
      </c>
      <c r="M140" s="225">
        <v>-197252.11</v>
      </c>
      <c r="N140" s="225">
        <v>-193396.66</v>
      </c>
      <c r="O140" s="225">
        <v>-912261.42</v>
      </c>
      <c r="P140" s="225">
        <v>-77757.63</v>
      </c>
      <c r="Q140" s="225">
        <v>-36688.94</v>
      </c>
      <c r="R140" s="225">
        <v>0</v>
      </c>
      <c r="S140" s="225">
        <v>0</v>
      </c>
      <c r="T140" s="225">
        <v>0</v>
      </c>
      <c r="U140" s="225">
        <v>0</v>
      </c>
      <c r="V140" s="225">
        <v>0</v>
      </c>
      <c r="W140" s="225">
        <v>0</v>
      </c>
      <c r="X140" s="224">
        <v>0</v>
      </c>
      <c r="Y140" s="224">
        <v>0</v>
      </c>
      <c r="Z140" s="224">
        <v>0</v>
      </c>
    </row>
    <row r="141" spans="2:26" ht="12.75" customHeight="1" x14ac:dyDescent="0.25">
      <c r="E141" s="89" t="s">
        <v>73</v>
      </c>
      <c r="F141" s="90">
        <v>-88320395.319999993</v>
      </c>
      <c r="G141" s="90">
        <v>2427279.77</v>
      </c>
      <c r="H141" s="90">
        <v>1456596.47</v>
      </c>
      <c r="I141" s="90">
        <v>802018.26</v>
      </c>
      <c r="J141" s="90">
        <v>-32051889.670000002</v>
      </c>
      <c r="K141" s="90">
        <v>-806848.78</v>
      </c>
      <c r="L141" s="90">
        <v>0</v>
      </c>
      <c r="M141" s="90">
        <v>-7090187.2199999997</v>
      </c>
      <c r="N141" s="90">
        <v>-9935609.3200000003</v>
      </c>
      <c r="O141" s="90">
        <v>-46910576.280000001</v>
      </c>
      <c r="P141" s="90">
        <v>5106300</v>
      </c>
      <c r="Q141" s="90">
        <v>-1317478.55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2:26" ht="12.75" customHeight="1" x14ac:dyDescent="0.25">
      <c r="D142" s="89" t="s">
        <v>82</v>
      </c>
      <c r="E142" s="89" t="s">
        <v>70</v>
      </c>
      <c r="F142" s="90">
        <v>-88320395.319999993</v>
      </c>
      <c r="G142" s="90">
        <v>2427279.77</v>
      </c>
      <c r="H142" s="90">
        <v>1456596.47</v>
      </c>
      <c r="I142" s="90">
        <v>802018.26</v>
      </c>
      <c r="J142" s="90">
        <v>-32051889.670000002</v>
      </c>
      <c r="K142" s="90">
        <v>-806848.78</v>
      </c>
      <c r="L142" s="90">
        <v>0</v>
      </c>
      <c r="M142" s="90">
        <v>-7090187.2199999997</v>
      </c>
      <c r="N142" s="90">
        <v>-9935609.3200000003</v>
      </c>
      <c r="O142" s="90">
        <v>-46910576.280000001</v>
      </c>
      <c r="P142" s="90">
        <v>5106300</v>
      </c>
      <c r="Q142" s="90">
        <v>-1317478.55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2:26" ht="12.75" customHeight="1" x14ac:dyDescent="0.25">
      <c r="E143" s="89" t="s">
        <v>73</v>
      </c>
      <c r="F143" s="90">
        <v>33440247</v>
      </c>
      <c r="G143" s="90">
        <v>11940858.26</v>
      </c>
      <c r="H143" s="90">
        <v>6716518.6900000004</v>
      </c>
      <c r="I143" s="90">
        <v>3546778.51</v>
      </c>
      <c r="J143" s="90">
        <v>-4143518.02</v>
      </c>
      <c r="K143" s="90">
        <v>-120856.49</v>
      </c>
      <c r="L143" s="90">
        <v>0</v>
      </c>
      <c r="M143" s="90">
        <v>-1063481.6200000001</v>
      </c>
      <c r="N143" s="90">
        <v>-1252132.3700000001</v>
      </c>
      <c r="O143" s="90">
        <v>-5903053.4400000004</v>
      </c>
      <c r="P143" s="90">
        <v>23916725.73</v>
      </c>
      <c r="Q143" s="90">
        <v>-197592.25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2:26" ht="12.75" customHeight="1" x14ac:dyDescent="0.25">
      <c r="D144" s="89" t="s">
        <v>86</v>
      </c>
      <c r="E144" s="89" t="s">
        <v>70</v>
      </c>
      <c r="F144" s="90">
        <v>33440247</v>
      </c>
      <c r="G144" s="90">
        <v>11940858.26</v>
      </c>
      <c r="H144" s="90">
        <v>6716518.6900000004</v>
      </c>
      <c r="I144" s="90">
        <v>3546778.51</v>
      </c>
      <c r="J144" s="90">
        <v>-4143518.02</v>
      </c>
      <c r="K144" s="90">
        <v>-120856.49</v>
      </c>
      <c r="L144" s="90">
        <v>0</v>
      </c>
      <c r="M144" s="90">
        <v>-1063481.6200000001</v>
      </c>
      <c r="N144" s="90">
        <v>-1252132.3700000001</v>
      </c>
      <c r="O144" s="90">
        <v>-5903053.4400000004</v>
      </c>
      <c r="P144" s="90">
        <v>23916725.73</v>
      </c>
      <c r="Q144" s="90">
        <v>-197592.25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E145" s="89" t="s">
        <v>73</v>
      </c>
      <c r="F145" s="90">
        <v>171093180.78999999</v>
      </c>
      <c r="G145" s="90">
        <v>43534891.729999997</v>
      </c>
      <c r="H145" s="90">
        <v>24590894.77</v>
      </c>
      <c r="I145" s="90">
        <v>13001647.109999999</v>
      </c>
      <c r="J145" s="90">
        <v>1105193.25</v>
      </c>
      <c r="K145" s="90">
        <v>22819.35</v>
      </c>
      <c r="L145" s="90">
        <v>0</v>
      </c>
      <c r="M145" s="90">
        <v>199843.49</v>
      </c>
      <c r="N145" s="90">
        <v>289515.46000000002</v>
      </c>
      <c r="O145" s="90">
        <v>1194847.71</v>
      </c>
      <c r="P145" s="90">
        <v>87116178.75</v>
      </c>
      <c r="Q145" s="90">
        <v>37349.17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D146" s="89" t="s">
        <v>87</v>
      </c>
      <c r="E146" s="89" t="s">
        <v>70</v>
      </c>
      <c r="F146" s="90">
        <v>171093180.78999999</v>
      </c>
      <c r="G146" s="90">
        <v>43534891.729999997</v>
      </c>
      <c r="H146" s="90">
        <v>24590894.77</v>
      </c>
      <c r="I146" s="90">
        <v>13001647.109999999</v>
      </c>
      <c r="J146" s="90">
        <v>1105193.25</v>
      </c>
      <c r="K146" s="90">
        <v>22819.35</v>
      </c>
      <c r="L146" s="90">
        <v>0</v>
      </c>
      <c r="M146" s="90">
        <v>199843.49</v>
      </c>
      <c r="N146" s="90">
        <v>289515.46000000002</v>
      </c>
      <c r="O146" s="90">
        <v>1194847.71</v>
      </c>
      <c r="P146" s="90">
        <v>87116178.75</v>
      </c>
      <c r="Q146" s="90">
        <v>37349.17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>
        <v>0</v>
      </c>
      <c r="Y146">
        <v>0</v>
      </c>
      <c r="Z146">
        <v>0</v>
      </c>
    </row>
    <row r="147" spans="1:26" s="94" customFormat="1" ht="12.75" customHeight="1" x14ac:dyDescent="0.25">
      <c r="C147" s="101" t="s">
        <v>119</v>
      </c>
      <c r="D147" s="101" t="s">
        <v>70</v>
      </c>
      <c r="F147" s="93">
        <v>116213032.47</v>
      </c>
      <c r="G147" s="93">
        <v>57903029.759999998</v>
      </c>
      <c r="H147" s="93">
        <v>32764009.93</v>
      </c>
      <c r="I147" s="93">
        <v>17350443.879999999</v>
      </c>
      <c r="J147" s="93">
        <v>-35090214.439999998</v>
      </c>
      <c r="K147" s="93">
        <v>-904885.92</v>
      </c>
      <c r="L147" s="93">
        <v>0</v>
      </c>
      <c r="M147" s="93">
        <v>-7953825.3499999996</v>
      </c>
      <c r="N147" s="93">
        <v>-10898226.23</v>
      </c>
      <c r="O147" s="93">
        <v>-51618782.009999998</v>
      </c>
      <c r="P147" s="93">
        <v>116139204.48</v>
      </c>
      <c r="Q147" s="93">
        <v>-1477721.63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0</v>
      </c>
      <c r="X147" s="94">
        <v>0</v>
      </c>
      <c r="Y147" s="94">
        <v>0</v>
      </c>
      <c r="Z147" s="94">
        <v>0</v>
      </c>
    </row>
    <row r="148" spans="1:26" s="226" customFormat="1" ht="12.75" customHeight="1" x14ac:dyDescent="0.25">
      <c r="B148" s="98" t="s">
        <v>112</v>
      </c>
      <c r="C148" s="98" t="s">
        <v>70</v>
      </c>
      <c r="F148" s="100">
        <v>-5460435107.8800001</v>
      </c>
      <c r="G148" s="100">
        <v>-84727421.959999993</v>
      </c>
      <c r="H148" s="100">
        <v>-44524974.520000003</v>
      </c>
      <c r="I148" s="100">
        <v>-22742207.010000002</v>
      </c>
      <c r="J148" s="100">
        <v>-1695493525.5699999</v>
      </c>
      <c r="K148" s="100">
        <v>-56597264.210000001</v>
      </c>
      <c r="L148" s="100">
        <v>0</v>
      </c>
      <c r="M148" s="100">
        <v>-496553783.14999998</v>
      </c>
      <c r="N148" s="100">
        <v>-497495168.48000002</v>
      </c>
      <c r="O148" s="100">
        <v>-2310652923.0799999</v>
      </c>
      <c r="P148" s="100">
        <v>-159302354.91</v>
      </c>
      <c r="Q148" s="100">
        <v>-92345484.989999995</v>
      </c>
      <c r="R148" s="100">
        <v>0</v>
      </c>
      <c r="S148" s="100">
        <v>0</v>
      </c>
      <c r="T148" s="100">
        <v>0</v>
      </c>
      <c r="U148" s="100">
        <v>0</v>
      </c>
      <c r="V148" s="100">
        <v>0</v>
      </c>
      <c r="W148" s="100">
        <v>0</v>
      </c>
      <c r="X148" s="226">
        <v>0</v>
      </c>
      <c r="Y148" s="226">
        <v>0</v>
      </c>
      <c r="Z148" s="226">
        <v>0</v>
      </c>
    </row>
    <row r="149" spans="1:26" ht="12.75" customHeight="1" x14ac:dyDescent="0.25">
      <c r="A149" s="89" t="s">
        <v>79</v>
      </c>
      <c r="B149" s="89" t="s">
        <v>70</v>
      </c>
      <c r="F149" s="90">
        <v>-5460369911.0699997</v>
      </c>
      <c r="G149" s="90">
        <v>-84720875.359999999</v>
      </c>
      <c r="H149" s="90">
        <v>-44521289.380000003</v>
      </c>
      <c r="I149" s="90">
        <v>-22740267.140000001</v>
      </c>
      <c r="J149" s="90">
        <v>-1695480648.01</v>
      </c>
      <c r="K149" s="90">
        <v>-56596801.93</v>
      </c>
      <c r="L149" s="90">
        <v>0</v>
      </c>
      <c r="M149" s="90">
        <v>-496549728.16000003</v>
      </c>
      <c r="N149" s="90">
        <v>-497491208.13</v>
      </c>
      <c r="O149" s="90">
        <v>-2310634216.4499998</v>
      </c>
      <c r="P149" s="90">
        <v>-159290145.75999999</v>
      </c>
      <c r="Q149" s="90">
        <v>-92344730.75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1:26" ht="12.75" customHeight="1" x14ac:dyDescent="0.25">
      <c r="A150" s="89" t="s">
        <v>70</v>
      </c>
      <c r="F150" s="90">
        <v>21530185865.779999</v>
      </c>
      <c r="G150" s="90">
        <v>1562988446.03</v>
      </c>
      <c r="H150" s="90">
        <v>875045597.99000001</v>
      </c>
      <c r="I150" s="90">
        <v>457639859.56999999</v>
      </c>
      <c r="J150" s="90">
        <v>5105822742.6899996</v>
      </c>
      <c r="K150" s="90">
        <v>168708125.16999999</v>
      </c>
      <c r="L150" s="90">
        <v>65675504</v>
      </c>
      <c r="M150" s="90">
        <v>1480604470.48</v>
      </c>
      <c r="N150" s="90">
        <v>1477579868.1199999</v>
      </c>
      <c r="O150" s="90">
        <v>6988538783.46</v>
      </c>
      <c r="P150" s="90">
        <v>3072020935.9400001</v>
      </c>
      <c r="Q150" s="90">
        <v>275781051.98000002</v>
      </c>
      <c r="R150" s="90">
        <v>-219558.97</v>
      </c>
      <c r="S150" s="90">
        <v>62.66</v>
      </c>
      <c r="T150" s="90">
        <v>1.01</v>
      </c>
      <c r="U150" s="90">
        <v>0</v>
      </c>
      <c r="V150" s="90">
        <v>0</v>
      </c>
      <c r="W150" s="90">
        <v>0</v>
      </c>
      <c r="X150">
        <v>0</v>
      </c>
      <c r="Y150">
        <v>0</v>
      </c>
      <c r="Z150">
        <v>-24.35</v>
      </c>
    </row>
    <row r="151" spans="1:26" ht="12.75" customHeight="1" x14ac:dyDescent="0.25">
      <c r="A151" s="89"/>
      <c r="D151" s="89"/>
      <c r="E151" s="89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26" ht="12.75" customHeight="1" x14ac:dyDescent="0.25">
      <c r="A152" s="89"/>
      <c r="C152" s="89"/>
      <c r="D152" s="89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26" ht="12.75" hidden="1" customHeight="1" x14ac:dyDescent="0.25">
      <c r="A153" s="89"/>
      <c r="E153" s="89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26" ht="12.75" hidden="1" customHeight="1" x14ac:dyDescent="0.25">
      <c r="A154" s="89"/>
      <c r="D154" s="89"/>
      <c r="E154" s="89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26" ht="12.75" hidden="1" customHeight="1" x14ac:dyDescent="0.25">
      <c r="A155" s="89"/>
      <c r="E155" s="89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26" ht="12.75" hidden="1" customHeight="1" x14ac:dyDescent="0.25">
      <c r="A156" s="89"/>
      <c r="D156" s="89"/>
      <c r="E156" s="89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26" ht="12.75" hidden="1" customHeight="1" x14ac:dyDescent="0.25">
      <c r="A157" s="89"/>
      <c r="E157" s="89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26" ht="12.75" hidden="1" customHeight="1" x14ac:dyDescent="0.25">
      <c r="A158" s="89"/>
      <c r="D158" s="89"/>
      <c r="E158" s="89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26" ht="12.75" hidden="1" customHeight="1" x14ac:dyDescent="0.25">
      <c r="A159" s="89"/>
      <c r="C159" s="89"/>
      <c r="D159" s="89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26" ht="12.75" hidden="1" customHeight="1" x14ac:dyDescent="0.25">
      <c r="A160" s="89"/>
      <c r="B160" s="89"/>
      <c r="C160" s="89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B161" s="89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B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hidden="1" customHeight="1" x14ac:dyDescent="0.25">
      <c r="A177" s="89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hidden="1" customHeight="1" x14ac:dyDescent="0.25">
      <c r="A178" s="89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1:19" ht="12.75" hidden="1" customHeight="1" x14ac:dyDescent="0.25">
      <c r="A179" s="89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1:19" ht="12.75" hidden="1" customHeight="1" x14ac:dyDescent="0.25">
      <c r="A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19" ht="12.75" hidden="1" customHeight="1" x14ac:dyDescent="0.25">
      <c r="A181" s="89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spans="1:19" ht="12.75" hidden="1" customHeight="1" x14ac:dyDescent="0.25">
      <c r="A182" s="89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19" ht="12.75" hidden="1" customHeight="1" x14ac:dyDescent="0.25">
      <c r="A183" s="89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spans="1:19" ht="12.75" hidden="1" customHeight="1" x14ac:dyDescent="0.25">
      <c r="A184" s="89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19" ht="12.75" hidden="1" customHeight="1" x14ac:dyDescent="0.25">
      <c r="A185" s="89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19" ht="12.75" hidden="1" customHeight="1" x14ac:dyDescent="0.25">
      <c r="A186" s="89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1:19" ht="12.75" hidden="1" customHeight="1" x14ac:dyDescent="0.25">
      <c r="A187" s="89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19" ht="12.75" hidden="1" customHeight="1" x14ac:dyDescent="0.25">
      <c r="A188" s="89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spans="1:19" ht="12.75" hidden="1" customHeight="1" x14ac:dyDescent="0.25">
      <c r="A189" s="89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spans="1:19" ht="12.75" hidden="1" customHeight="1" x14ac:dyDescent="0.25">
      <c r="A190" s="89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19" x14ac:dyDescent="0.25">
      <c r="A191" s="89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spans="1:19" ht="12.75" customHeight="1" x14ac:dyDescent="0.25">
      <c r="A192" s="89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customHeight="1" x14ac:dyDescent="0.25">
      <c r="A193" s="89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 spans="1:42" ht="12.75" customHeight="1" x14ac:dyDescent="0.25">
      <c r="C194" s="774" t="s">
        <v>2</v>
      </c>
      <c r="D194" s="772" t="s">
        <v>132</v>
      </c>
      <c r="E194" s="98" t="s">
        <v>70</v>
      </c>
      <c r="F194" s="100">
        <f>F125+F148-L125+F93-L93</f>
        <v>21464288731.779999</v>
      </c>
      <c r="G194" s="100">
        <f t="shared" ref="G194:AP194" si="6">G125+G93</f>
        <v>1647696228.2</v>
      </c>
      <c r="H194" s="100">
        <f t="shared" si="6"/>
        <v>919559517.10000002</v>
      </c>
      <c r="I194" s="100">
        <f t="shared" si="6"/>
        <v>480375084.91999996</v>
      </c>
      <c r="J194" s="100">
        <f t="shared" si="6"/>
        <v>6801272496.21</v>
      </c>
      <c r="K194" s="100">
        <f t="shared" si="6"/>
        <v>225303627.91</v>
      </c>
      <c r="L194" s="100">
        <f t="shared" si="6"/>
        <v>65675504</v>
      </c>
      <c r="M194" s="100">
        <f t="shared" si="6"/>
        <v>1977146088.6799998</v>
      </c>
      <c r="N194" s="100">
        <f t="shared" si="6"/>
        <v>1975059968.9699998</v>
      </c>
      <c r="O194" s="100">
        <f t="shared" si="6"/>
        <v>9299120497.4699993</v>
      </c>
      <c r="P194" s="100">
        <f t="shared" si="6"/>
        <v>3231286663.4099998</v>
      </c>
      <c r="Q194" s="100">
        <f t="shared" si="6"/>
        <v>368123186.15999997</v>
      </c>
      <c r="R194" s="100">
        <f t="shared" si="6"/>
        <v>-219558.69</v>
      </c>
      <c r="S194" s="100">
        <f t="shared" si="6"/>
        <v>62.66</v>
      </c>
      <c r="T194" s="100">
        <f t="shared" si="6"/>
        <v>1.01</v>
      </c>
      <c r="U194" s="100">
        <f t="shared" si="6"/>
        <v>0</v>
      </c>
      <c r="V194" s="100">
        <f t="shared" si="6"/>
        <v>0</v>
      </c>
      <c r="W194" s="100">
        <f t="shared" si="6"/>
        <v>0</v>
      </c>
      <c r="X194" s="100">
        <f t="shared" si="6"/>
        <v>0</v>
      </c>
      <c r="Y194" s="100">
        <f t="shared" si="6"/>
        <v>0</v>
      </c>
      <c r="Z194" s="100">
        <f t="shared" si="6"/>
        <v>-24.35</v>
      </c>
      <c r="AA194" s="100">
        <f t="shared" si="6"/>
        <v>0</v>
      </c>
      <c r="AB194" s="100">
        <f t="shared" si="6"/>
        <v>0</v>
      </c>
      <c r="AC194" s="100">
        <f t="shared" si="6"/>
        <v>0</v>
      </c>
      <c r="AD194" s="100">
        <f t="shared" si="6"/>
        <v>0</v>
      </c>
      <c r="AE194" s="100">
        <f t="shared" si="6"/>
        <v>0</v>
      </c>
      <c r="AF194" s="100">
        <f t="shared" si="6"/>
        <v>0</v>
      </c>
      <c r="AG194" s="100">
        <f t="shared" si="6"/>
        <v>0</v>
      </c>
      <c r="AH194" s="100">
        <f t="shared" si="6"/>
        <v>0</v>
      </c>
      <c r="AI194" s="100">
        <f t="shared" si="6"/>
        <v>0</v>
      </c>
      <c r="AJ194" s="100">
        <f t="shared" si="6"/>
        <v>0</v>
      </c>
      <c r="AK194" s="100">
        <f t="shared" si="6"/>
        <v>0</v>
      </c>
      <c r="AL194" s="100">
        <f t="shared" si="6"/>
        <v>0</v>
      </c>
      <c r="AM194" s="100">
        <f t="shared" si="6"/>
        <v>0</v>
      </c>
      <c r="AN194" s="100">
        <f t="shared" si="6"/>
        <v>0</v>
      </c>
      <c r="AO194" s="100">
        <f t="shared" si="6"/>
        <v>0</v>
      </c>
      <c r="AP194" s="100">
        <f t="shared" si="6"/>
        <v>0</v>
      </c>
    </row>
    <row r="195" spans="1:42" ht="12.75" customHeight="1" x14ac:dyDescent="0.25">
      <c r="C195" s="774"/>
      <c r="D195" s="772"/>
      <c r="E195" s="98" t="s">
        <v>73</v>
      </c>
      <c r="F195" s="100">
        <f>F148</f>
        <v>-5460435107.8800001</v>
      </c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customHeight="1" x14ac:dyDescent="0.25">
      <c r="C196" s="774"/>
      <c r="D196" s="772" t="s">
        <v>133</v>
      </c>
      <c r="E196" s="233" t="s">
        <v>70</v>
      </c>
      <c r="F196" s="234">
        <f>F130+F101-L101</f>
        <v>221630</v>
      </c>
      <c r="G196" s="234">
        <f t="shared" ref="G196:AP196" si="7">G101</f>
        <v>13093.19</v>
      </c>
      <c r="H196" s="234">
        <f t="shared" si="7"/>
        <v>7370.27</v>
      </c>
      <c r="I196" s="234">
        <f t="shared" si="7"/>
        <v>5041.79</v>
      </c>
      <c r="J196" s="234">
        <f t="shared" si="7"/>
        <v>30894.49</v>
      </c>
      <c r="K196" s="234">
        <f t="shared" si="7"/>
        <v>1299.19</v>
      </c>
      <c r="L196" s="234">
        <f t="shared" si="7"/>
        <v>0</v>
      </c>
      <c r="M196" s="234">
        <f t="shared" si="7"/>
        <v>8109.96</v>
      </c>
      <c r="N196" s="234">
        <f t="shared" si="7"/>
        <v>11107.28</v>
      </c>
      <c r="O196" s="234">
        <f t="shared" si="7"/>
        <v>52502.44</v>
      </c>
      <c r="P196" s="234">
        <f t="shared" si="7"/>
        <v>24418.29</v>
      </c>
      <c r="Q196" s="234">
        <f t="shared" si="7"/>
        <v>2596.5700000000002</v>
      </c>
      <c r="R196" s="234">
        <f t="shared" si="7"/>
        <v>-0.28000000000000003</v>
      </c>
      <c r="S196" s="234">
        <f t="shared" si="7"/>
        <v>0</v>
      </c>
      <c r="T196" s="234">
        <f t="shared" si="7"/>
        <v>0</v>
      </c>
      <c r="U196" s="234">
        <f t="shared" si="7"/>
        <v>0</v>
      </c>
      <c r="V196" s="234">
        <f t="shared" si="7"/>
        <v>0</v>
      </c>
      <c r="W196" s="234">
        <f t="shared" si="7"/>
        <v>0</v>
      </c>
      <c r="X196" s="234">
        <f t="shared" si="7"/>
        <v>0</v>
      </c>
      <c r="Y196" s="234">
        <f t="shared" si="7"/>
        <v>0</v>
      </c>
      <c r="Z196" s="234">
        <f t="shared" si="7"/>
        <v>0</v>
      </c>
      <c r="AA196" s="234">
        <f t="shared" si="7"/>
        <v>0</v>
      </c>
      <c r="AB196" s="234">
        <f t="shared" si="7"/>
        <v>0</v>
      </c>
      <c r="AC196" s="234">
        <f t="shared" si="7"/>
        <v>0</v>
      </c>
      <c r="AD196" s="234">
        <f t="shared" si="7"/>
        <v>0</v>
      </c>
      <c r="AE196" s="234">
        <f t="shared" si="7"/>
        <v>0</v>
      </c>
      <c r="AF196" s="234">
        <f t="shared" si="7"/>
        <v>0</v>
      </c>
      <c r="AG196" s="234">
        <f t="shared" si="7"/>
        <v>0</v>
      </c>
      <c r="AH196" s="234">
        <f t="shared" si="7"/>
        <v>0</v>
      </c>
      <c r="AI196" s="234">
        <f t="shared" si="7"/>
        <v>0</v>
      </c>
      <c r="AJ196" s="234">
        <f t="shared" si="7"/>
        <v>0</v>
      </c>
      <c r="AK196" s="234">
        <f t="shared" si="7"/>
        <v>0</v>
      </c>
      <c r="AL196" s="234">
        <f t="shared" si="7"/>
        <v>0</v>
      </c>
      <c r="AM196" s="234">
        <f t="shared" si="7"/>
        <v>0</v>
      </c>
      <c r="AN196" s="234">
        <f t="shared" si="7"/>
        <v>0</v>
      </c>
      <c r="AO196" s="234">
        <f t="shared" si="7"/>
        <v>0</v>
      </c>
      <c r="AP196" s="234">
        <f t="shared" si="7"/>
        <v>0</v>
      </c>
    </row>
    <row r="197" spans="1:42" ht="12.75" customHeight="1" x14ac:dyDescent="0.25">
      <c r="C197" s="774"/>
      <c r="D197" s="772"/>
      <c r="E197" s="233" t="s">
        <v>73</v>
      </c>
      <c r="F197" s="234">
        <f>F130</f>
        <v>65196.81</v>
      </c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1:42" ht="12.75" customHeight="1" x14ac:dyDescent="0.25">
      <c r="A198" s="89"/>
      <c r="C198" s="97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 spans="1:42" ht="12.75" customHeight="1" x14ac:dyDescent="0.25">
      <c r="C199" s="774" t="s">
        <v>160</v>
      </c>
      <c r="D199" s="772" t="s">
        <v>132</v>
      </c>
      <c r="E199" s="223" t="s">
        <v>70</v>
      </c>
      <c r="F199" s="225">
        <f>F140+F114-L114</f>
        <v>9350210</v>
      </c>
      <c r="G199" s="225">
        <f t="shared" ref="G199:AP199" si="8">G114</f>
        <v>674298.87</v>
      </c>
      <c r="H199" s="225">
        <f t="shared" si="8"/>
        <v>363283.8</v>
      </c>
      <c r="I199" s="225">
        <f t="shared" si="8"/>
        <v>198423.45</v>
      </c>
      <c r="J199" s="225">
        <f t="shared" si="8"/>
        <v>2854188.37</v>
      </c>
      <c r="K199" s="225">
        <f t="shared" si="8"/>
        <v>93554.43</v>
      </c>
      <c r="L199" s="225">
        <f t="shared" si="8"/>
        <v>0</v>
      </c>
      <c r="M199" s="225">
        <f t="shared" si="8"/>
        <v>827663.97</v>
      </c>
      <c r="N199" s="225">
        <f t="shared" si="8"/>
        <v>868510.13</v>
      </c>
      <c r="O199" s="225">
        <f t="shared" si="8"/>
        <v>4110292.67</v>
      </c>
      <c r="P199" s="225">
        <f t="shared" si="8"/>
        <v>1339659.1100000001</v>
      </c>
      <c r="Q199" s="225">
        <f t="shared" si="8"/>
        <v>155210.39000000001</v>
      </c>
      <c r="R199" s="225">
        <f t="shared" si="8"/>
        <v>-47.74</v>
      </c>
      <c r="S199" s="225">
        <f t="shared" si="8"/>
        <v>0</v>
      </c>
      <c r="T199" s="225">
        <f t="shared" si="8"/>
        <v>0</v>
      </c>
      <c r="U199" s="225">
        <f t="shared" si="8"/>
        <v>0</v>
      </c>
      <c r="V199" s="225">
        <f t="shared" si="8"/>
        <v>0</v>
      </c>
      <c r="W199" s="225">
        <f t="shared" si="8"/>
        <v>0</v>
      </c>
      <c r="X199" s="225">
        <f t="shared" si="8"/>
        <v>0</v>
      </c>
      <c r="Y199" s="225">
        <f t="shared" si="8"/>
        <v>0</v>
      </c>
      <c r="Z199" s="225">
        <f t="shared" si="8"/>
        <v>-0.12</v>
      </c>
      <c r="AA199" s="225">
        <f t="shared" si="8"/>
        <v>0</v>
      </c>
      <c r="AB199" s="225">
        <f t="shared" si="8"/>
        <v>0</v>
      </c>
      <c r="AC199" s="225">
        <f t="shared" si="8"/>
        <v>0</v>
      </c>
      <c r="AD199" s="225">
        <f t="shared" si="8"/>
        <v>0</v>
      </c>
      <c r="AE199" s="225">
        <f t="shared" si="8"/>
        <v>0</v>
      </c>
      <c r="AF199" s="225">
        <f t="shared" si="8"/>
        <v>0</v>
      </c>
      <c r="AG199" s="225">
        <f t="shared" si="8"/>
        <v>0</v>
      </c>
      <c r="AH199" s="225">
        <f t="shared" si="8"/>
        <v>0</v>
      </c>
      <c r="AI199" s="225">
        <f t="shared" si="8"/>
        <v>0</v>
      </c>
      <c r="AJ199" s="225">
        <f t="shared" si="8"/>
        <v>0</v>
      </c>
      <c r="AK199" s="225">
        <f t="shared" si="8"/>
        <v>0</v>
      </c>
      <c r="AL199" s="225">
        <f t="shared" si="8"/>
        <v>0</v>
      </c>
      <c r="AM199" s="225">
        <f t="shared" si="8"/>
        <v>0</v>
      </c>
      <c r="AN199" s="225">
        <f t="shared" si="8"/>
        <v>0</v>
      </c>
      <c r="AO199" s="225">
        <f t="shared" si="8"/>
        <v>0</v>
      </c>
      <c r="AP199" s="225">
        <f t="shared" si="8"/>
        <v>0</v>
      </c>
    </row>
    <row r="200" spans="1:42" ht="12.75" customHeight="1" x14ac:dyDescent="0.25">
      <c r="C200" s="774"/>
      <c r="D200" s="772"/>
      <c r="E200" s="223" t="s">
        <v>73</v>
      </c>
      <c r="F200" s="225">
        <f>F140</f>
        <v>-2134827.33</v>
      </c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42" ht="12.75" customHeight="1" x14ac:dyDescent="0.25">
      <c r="C201" s="774"/>
      <c r="D201" s="772" t="s">
        <v>133</v>
      </c>
      <c r="E201" s="227" t="s">
        <v>70</v>
      </c>
      <c r="F201" s="228">
        <v>0</v>
      </c>
      <c r="G201" s="228">
        <v>0</v>
      </c>
      <c r="H201" s="228">
        <v>0</v>
      </c>
      <c r="I201" s="228">
        <v>0</v>
      </c>
      <c r="J201" s="228">
        <v>0</v>
      </c>
      <c r="K201" s="228">
        <v>0</v>
      </c>
      <c r="L201" s="228">
        <v>0</v>
      </c>
      <c r="M201" s="228">
        <v>0</v>
      </c>
      <c r="N201" s="228">
        <v>0</v>
      </c>
      <c r="O201" s="228">
        <v>0</v>
      </c>
      <c r="P201" s="228">
        <v>0</v>
      </c>
      <c r="Q201" s="228">
        <v>0</v>
      </c>
      <c r="R201" s="228">
        <v>0</v>
      </c>
      <c r="S201" s="228">
        <v>0</v>
      </c>
      <c r="T201" s="228">
        <v>0</v>
      </c>
      <c r="U201" s="228">
        <v>0</v>
      </c>
      <c r="V201" s="228">
        <v>0</v>
      </c>
      <c r="W201" s="228">
        <v>0</v>
      </c>
      <c r="X201" s="228">
        <v>0</v>
      </c>
      <c r="Y201" s="228">
        <v>0</v>
      </c>
      <c r="Z201" s="228">
        <v>0</v>
      </c>
      <c r="AA201" s="228">
        <v>0</v>
      </c>
      <c r="AB201" s="228">
        <v>0</v>
      </c>
      <c r="AC201" s="228">
        <v>0</v>
      </c>
      <c r="AD201" s="228">
        <v>0</v>
      </c>
      <c r="AE201" s="228">
        <v>0</v>
      </c>
      <c r="AF201" s="228">
        <v>0</v>
      </c>
      <c r="AG201" s="228">
        <v>0</v>
      </c>
      <c r="AH201" s="228">
        <v>0</v>
      </c>
      <c r="AI201" s="228">
        <v>0</v>
      </c>
      <c r="AJ201" s="228">
        <v>0</v>
      </c>
      <c r="AK201" s="228">
        <v>0</v>
      </c>
      <c r="AL201" s="228">
        <v>0</v>
      </c>
      <c r="AM201" s="228">
        <v>0</v>
      </c>
      <c r="AN201" s="228">
        <v>0</v>
      </c>
      <c r="AO201" s="228">
        <v>0</v>
      </c>
      <c r="AP201" s="228">
        <v>0</v>
      </c>
    </row>
    <row r="202" spans="1:42" ht="12.75" customHeight="1" x14ac:dyDescent="0.25">
      <c r="C202" s="774"/>
      <c r="D202" s="772"/>
      <c r="E202" s="227" t="s">
        <v>73</v>
      </c>
      <c r="F202" s="228">
        <v>0</v>
      </c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</row>
    <row r="203" spans="1:42" ht="12.75" customHeight="1" x14ac:dyDescent="0.25">
      <c r="A203" s="89"/>
      <c r="C203" s="97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 spans="1:42" ht="12.75" customHeight="1" x14ac:dyDescent="0.25">
      <c r="C204" s="774" t="s">
        <v>155</v>
      </c>
      <c r="D204" s="772" t="s">
        <v>132</v>
      </c>
      <c r="E204" s="221" t="s">
        <v>70</v>
      </c>
      <c r="F204" s="222">
        <f>F133+F105+F87--L87-L105</f>
        <v>19237658087.829998</v>
      </c>
      <c r="G204" s="222">
        <f t="shared" ref="G204:AA204" si="9">G105+G87</f>
        <v>1376362139.54</v>
      </c>
      <c r="H204" s="222">
        <f t="shared" si="9"/>
        <v>767168800.38</v>
      </c>
      <c r="I204" s="222">
        <f t="shared" si="9"/>
        <v>400096513.01999998</v>
      </c>
      <c r="J204" s="222">
        <f t="shared" si="9"/>
        <v>6454701906.9200001</v>
      </c>
      <c r="K204" s="222">
        <f t="shared" si="9"/>
        <v>216256156.32999998</v>
      </c>
      <c r="L204" s="222">
        <f t="shared" si="9"/>
        <v>22433142.949999999</v>
      </c>
      <c r="M204" s="222">
        <f t="shared" si="9"/>
        <v>1897708182.3199999</v>
      </c>
      <c r="N204" s="222">
        <f t="shared" si="9"/>
        <v>1865328482.71</v>
      </c>
      <c r="O204" s="222">
        <f t="shared" si="9"/>
        <v>8775288516.6299992</v>
      </c>
      <c r="P204" s="222">
        <f t="shared" si="9"/>
        <v>2706193882.2199998</v>
      </c>
      <c r="Q204" s="222">
        <f t="shared" si="9"/>
        <v>353284571.57999998</v>
      </c>
      <c r="R204" s="222">
        <f t="shared" si="9"/>
        <v>-217778.95</v>
      </c>
      <c r="S204" s="222">
        <f t="shared" si="9"/>
        <v>50.73</v>
      </c>
      <c r="T204" s="222">
        <f t="shared" si="9"/>
        <v>0.9</v>
      </c>
      <c r="U204" s="222">
        <f t="shared" si="9"/>
        <v>0</v>
      </c>
      <c r="V204" s="222">
        <f t="shared" si="9"/>
        <v>0</v>
      </c>
      <c r="W204" s="222">
        <f t="shared" si="9"/>
        <v>0</v>
      </c>
      <c r="X204" s="222">
        <f t="shared" si="9"/>
        <v>0</v>
      </c>
      <c r="Y204" s="222">
        <f t="shared" si="9"/>
        <v>0</v>
      </c>
      <c r="Z204" s="222">
        <f t="shared" si="9"/>
        <v>-23.48</v>
      </c>
      <c r="AA204" s="222">
        <f t="shared" si="9"/>
        <v>0</v>
      </c>
    </row>
    <row r="205" spans="1:42" ht="12.75" customHeight="1" x14ac:dyDescent="0.25">
      <c r="C205" s="774"/>
      <c r="D205" s="772"/>
      <c r="E205" s="221" t="s">
        <v>73</v>
      </c>
      <c r="F205" s="222">
        <f>F133</f>
        <v>-5574513313.0200005</v>
      </c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spans="1:42" ht="12.75" customHeight="1" x14ac:dyDescent="0.25">
      <c r="C206" s="774"/>
      <c r="D206" s="772" t="s">
        <v>133</v>
      </c>
      <c r="E206" s="229" t="s">
        <v>70</v>
      </c>
      <c r="F206" s="230">
        <f>F129+F97-L97</f>
        <v>196740</v>
      </c>
      <c r="G206" s="230">
        <f t="shared" ref="G206:AA206" si="10">G97</f>
        <v>13093.19</v>
      </c>
      <c r="H206" s="230">
        <f t="shared" si="10"/>
        <v>7370.27</v>
      </c>
      <c r="I206" s="230">
        <f t="shared" si="10"/>
        <v>4474.7</v>
      </c>
      <c r="J206" s="230">
        <f t="shared" si="10"/>
        <v>25771.56</v>
      </c>
      <c r="K206" s="230">
        <f t="shared" si="10"/>
        <v>925.74</v>
      </c>
      <c r="L206" s="230">
        <f t="shared" si="10"/>
        <v>0</v>
      </c>
      <c r="M206" s="230">
        <f t="shared" si="10"/>
        <v>8109.96</v>
      </c>
      <c r="N206" s="230">
        <f t="shared" si="10"/>
        <v>7930.91</v>
      </c>
      <c r="O206" s="230">
        <f t="shared" si="10"/>
        <v>37461.589999999997</v>
      </c>
      <c r="P206" s="230">
        <f t="shared" si="10"/>
        <v>24418.29</v>
      </c>
      <c r="Q206" s="230">
        <f t="shared" si="10"/>
        <v>1987.26</v>
      </c>
      <c r="R206" s="230">
        <f t="shared" si="10"/>
        <v>-0.28000000000000003</v>
      </c>
      <c r="S206" s="230">
        <f t="shared" si="10"/>
        <v>0</v>
      </c>
      <c r="T206" s="230">
        <f t="shared" si="10"/>
        <v>0</v>
      </c>
      <c r="U206" s="230">
        <f t="shared" si="10"/>
        <v>0</v>
      </c>
      <c r="V206" s="230">
        <f t="shared" si="10"/>
        <v>0</v>
      </c>
      <c r="W206" s="230">
        <f t="shared" si="10"/>
        <v>0</v>
      </c>
      <c r="X206" s="230">
        <f t="shared" si="10"/>
        <v>0</v>
      </c>
      <c r="Y206" s="230">
        <f t="shared" si="10"/>
        <v>0</v>
      </c>
      <c r="Z206" s="230">
        <f t="shared" si="10"/>
        <v>0</v>
      </c>
      <c r="AA206" s="230">
        <f t="shared" si="10"/>
        <v>0</v>
      </c>
    </row>
    <row r="207" spans="1:42" ht="12.75" customHeight="1" x14ac:dyDescent="0.25">
      <c r="C207" s="774"/>
      <c r="D207" s="772"/>
      <c r="E207" s="229" t="s">
        <v>73</v>
      </c>
      <c r="F207" s="230">
        <f>F129</f>
        <v>65196.81</v>
      </c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</row>
    <row r="208" spans="1:42" ht="12.75" customHeight="1" x14ac:dyDescent="0.25">
      <c r="A208" s="89"/>
      <c r="C208" s="97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</row>
    <row r="209" spans="1:42" ht="12.75" customHeight="1" x14ac:dyDescent="0.25">
      <c r="C209" s="775" t="s">
        <v>327</v>
      </c>
      <c r="D209" s="772" t="s">
        <v>132</v>
      </c>
      <c r="E209" s="373" t="s">
        <v>70</v>
      </c>
      <c r="F209" s="374">
        <v>0</v>
      </c>
      <c r="G209" s="374">
        <v>0</v>
      </c>
      <c r="H209" s="374">
        <v>0</v>
      </c>
      <c r="I209" s="374">
        <v>0</v>
      </c>
      <c r="J209" s="374">
        <v>0</v>
      </c>
      <c r="K209" s="374">
        <v>0</v>
      </c>
      <c r="L209" s="374">
        <v>0</v>
      </c>
      <c r="M209" s="374">
        <v>0</v>
      </c>
      <c r="N209" s="374">
        <v>0</v>
      </c>
      <c r="O209" s="374">
        <v>0</v>
      </c>
      <c r="P209" s="374">
        <v>0</v>
      </c>
      <c r="Q209" s="374">
        <v>0</v>
      </c>
      <c r="R209" s="374">
        <v>0</v>
      </c>
      <c r="S209" s="374">
        <v>0</v>
      </c>
      <c r="T209" s="374">
        <v>0</v>
      </c>
      <c r="U209" s="374">
        <v>0</v>
      </c>
      <c r="V209" s="374">
        <v>0</v>
      </c>
      <c r="W209" s="374">
        <v>0</v>
      </c>
      <c r="X209" s="374">
        <v>0</v>
      </c>
      <c r="Y209" s="374">
        <v>0</v>
      </c>
      <c r="Z209" s="374">
        <v>0</v>
      </c>
      <c r="AA209" s="374">
        <v>0</v>
      </c>
      <c r="AB209" s="374">
        <v>0</v>
      </c>
      <c r="AC209" s="374">
        <v>0</v>
      </c>
      <c r="AD209" s="374">
        <v>0</v>
      </c>
      <c r="AE209" s="374">
        <v>0</v>
      </c>
      <c r="AF209" s="374">
        <v>0</v>
      </c>
      <c r="AG209" s="374">
        <v>0</v>
      </c>
      <c r="AH209" s="374">
        <v>0</v>
      </c>
      <c r="AI209" s="374">
        <v>0</v>
      </c>
      <c r="AJ209" s="374">
        <v>0</v>
      </c>
      <c r="AK209" s="374">
        <v>0</v>
      </c>
      <c r="AL209" s="374">
        <v>0</v>
      </c>
      <c r="AM209" s="374">
        <v>0</v>
      </c>
      <c r="AN209" s="374">
        <v>0</v>
      </c>
      <c r="AO209" s="374">
        <v>0</v>
      </c>
    </row>
    <row r="210" spans="1:42" ht="12.75" customHeight="1" x14ac:dyDescent="0.25">
      <c r="C210" s="775"/>
      <c r="D210" s="772"/>
      <c r="E210" s="373" t="s">
        <v>73</v>
      </c>
      <c r="F210" s="374">
        <v>0</v>
      </c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 spans="1:42" ht="12.75" customHeight="1" x14ac:dyDescent="0.25">
      <c r="C211" s="775"/>
      <c r="D211" s="772" t="s">
        <v>133</v>
      </c>
      <c r="E211" s="242" t="s">
        <v>70</v>
      </c>
      <c r="F211" s="243">
        <v>0</v>
      </c>
      <c r="G211" s="243">
        <v>0</v>
      </c>
      <c r="H211" s="243">
        <v>0</v>
      </c>
      <c r="I211" s="243">
        <v>0</v>
      </c>
      <c r="J211" s="243">
        <v>0</v>
      </c>
      <c r="K211" s="243">
        <v>0</v>
      </c>
      <c r="L211" s="243">
        <v>0</v>
      </c>
      <c r="M211" s="243">
        <v>0</v>
      </c>
      <c r="N211" s="243">
        <v>0</v>
      </c>
      <c r="O211" s="243">
        <v>0</v>
      </c>
      <c r="P211" s="243">
        <v>0</v>
      </c>
      <c r="Q211" s="243">
        <v>0</v>
      </c>
      <c r="R211" s="243">
        <v>0</v>
      </c>
      <c r="S211" s="243">
        <v>0</v>
      </c>
      <c r="T211" s="243">
        <v>0</v>
      </c>
      <c r="U211" s="243">
        <v>0</v>
      </c>
      <c r="V211" s="243">
        <v>0</v>
      </c>
      <c r="W211" s="243">
        <v>0</v>
      </c>
      <c r="X211" s="243">
        <v>0</v>
      </c>
      <c r="Y211" s="243">
        <v>0</v>
      </c>
      <c r="Z211" s="243">
        <v>0</v>
      </c>
      <c r="AA211" s="243">
        <v>0</v>
      </c>
      <c r="AB211" s="243">
        <v>0</v>
      </c>
      <c r="AC211" s="243">
        <v>0</v>
      </c>
      <c r="AD211" s="243">
        <v>0</v>
      </c>
      <c r="AE211" s="243">
        <v>0</v>
      </c>
      <c r="AF211" s="243">
        <v>0</v>
      </c>
      <c r="AG211" s="243">
        <v>0</v>
      </c>
      <c r="AH211" s="243">
        <v>0</v>
      </c>
      <c r="AI211" s="243">
        <v>0</v>
      </c>
      <c r="AJ211" s="243">
        <v>0</v>
      </c>
      <c r="AK211" s="243">
        <v>0</v>
      </c>
      <c r="AL211" s="243">
        <v>0</v>
      </c>
      <c r="AM211" s="243">
        <v>0</v>
      </c>
      <c r="AN211" s="243">
        <v>0</v>
      </c>
      <c r="AO211" s="243">
        <v>0</v>
      </c>
    </row>
    <row r="212" spans="1:42" ht="12.75" customHeight="1" x14ac:dyDescent="0.25">
      <c r="C212" s="775"/>
      <c r="D212" s="772"/>
      <c r="E212" s="242" t="s">
        <v>73</v>
      </c>
      <c r="F212" s="243">
        <v>0</v>
      </c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</row>
    <row r="213" spans="1:42" ht="12.75" customHeight="1" x14ac:dyDescent="0.25">
      <c r="A213" s="89"/>
      <c r="C213" s="97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42" ht="12.75" customHeight="1" x14ac:dyDescent="0.25">
      <c r="C214" s="774" t="s">
        <v>119</v>
      </c>
      <c r="D214" s="772" t="s">
        <v>132</v>
      </c>
      <c r="E214" s="101" t="s">
        <v>70</v>
      </c>
      <c r="F214" s="93">
        <f>F147+F124+F92-L92-L124</f>
        <v>2217280433.9499993</v>
      </c>
      <c r="G214" s="93">
        <f t="shared" ref="G214:AP214" si="11">G124+G92</f>
        <v>270659789.79000002</v>
      </c>
      <c r="H214" s="93">
        <f t="shared" si="11"/>
        <v>152027432.91999999</v>
      </c>
      <c r="I214" s="93">
        <f t="shared" si="11"/>
        <v>80080148.450000003</v>
      </c>
      <c r="J214" s="93">
        <f t="shared" si="11"/>
        <v>343716400.92000002</v>
      </c>
      <c r="K214" s="93">
        <f t="shared" si="11"/>
        <v>8953917.1500000004</v>
      </c>
      <c r="L214" s="93">
        <f t="shared" si="11"/>
        <v>43242361.049999997</v>
      </c>
      <c r="M214" s="93">
        <f t="shared" si="11"/>
        <v>78610242.390000001</v>
      </c>
      <c r="N214" s="93">
        <f t="shared" si="11"/>
        <v>108862976.13000001</v>
      </c>
      <c r="O214" s="93">
        <f t="shared" si="11"/>
        <v>519721688.17000002</v>
      </c>
      <c r="P214" s="93">
        <f t="shared" si="11"/>
        <v>523753122.08000004</v>
      </c>
      <c r="Q214" s="93">
        <f t="shared" si="11"/>
        <v>14683404.189999999</v>
      </c>
      <c r="R214" s="93">
        <f t="shared" si="11"/>
        <v>-1732</v>
      </c>
      <c r="S214" s="93">
        <f t="shared" si="11"/>
        <v>11.93</v>
      </c>
      <c r="T214" s="93">
        <f t="shared" si="11"/>
        <v>0.11</v>
      </c>
      <c r="U214" s="93">
        <f t="shared" si="11"/>
        <v>0</v>
      </c>
      <c r="V214" s="93">
        <f t="shared" si="11"/>
        <v>0</v>
      </c>
      <c r="W214" s="93">
        <f t="shared" si="11"/>
        <v>0</v>
      </c>
      <c r="X214" s="93">
        <f t="shared" si="11"/>
        <v>0</v>
      </c>
      <c r="Y214" s="93">
        <f t="shared" si="11"/>
        <v>0</v>
      </c>
      <c r="Z214" s="93">
        <f t="shared" si="11"/>
        <v>-0.75</v>
      </c>
      <c r="AA214" s="93">
        <f t="shared" si="11"/>
        <v>0</v>
      </c>
      <c r="AB214" s="93">
        <f t="shared" si="11"/>
        <v>0</v>
      </c>
      <c r="AC214" s="93">
        <f t="shared" si="11"/>
        <v>0</v>
      </c>
      <c r="AD214" s="93">
        <f t="shared" si="11"/>
        <v>0</v>
      </c>
      <c r="AE214" s="93">
        <f t="shared" si="11"/>
        <v>0</v>
      </c>
      <c r="AF214" s="93">
        <f t="shared" si="11"/>
        <v>0</v>
      </c>
      <c r="AG214" s="93">
        <f t="shared" si="11"/>
        <v>0</v>
      </c>
      <c r="AH214" s="93">
        <f t="shared" si="11"/>
        <v>0</v>
      </c>
      <c r="AI214" s="93">
        <f t="shared" si="11"/>
        <v>0</v>
      </c>
      <c r="AJ214" s="93">
        <f t="shared" si="11"/>
        <v>0</v>
      </c>
      <c r="AK214" s="93">
        <f t="shared" si="11"/>
        <v>0</v>
      </c>
      <c r="AL214" s="93">
        <f t="shared" si="11"/>
        <v>0</v>
      </c>
      <c r="AM214" s="93">
        <f t="shared" si="11"/>
        <v>0</v>
      </c>
      <c r="AN214" s="93">
        <f t="shared" si="11"/>
        <v>0</v>
      </c>
      <c r="AO214" s="93">
        <f t="shared" si="11"/>
        <v>0</v>
      </c>
      <c r="AP214" s="93">
        <f t="shared" si="11"/>
        <v>0</v>
      </c>
    </row>
    <row r="215" spans="1:42" ht="12.75" customHeight="1" x14ac:dyDescent="0.25">
      <c r="C215" s="774"/>
      <c r="D215" s="772"/>
      <c r="E215" s="101" t="s">
        <v>73</v>
      </c>
      <c r="F215" s="93">
        <f>F147</f>
        <v>116213032.47</v>
      </c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42" ht="12.75" customHeight="1" x14ac:dyDescent="0.25">
      <c r="C216" s="774"/>
      <c r="D216" s="772" t="s">
        <v>133</v>
      </c>
      <c r="E216" s="235" t="s">
        <v>70</v>
      </c>
      <c r="F216" s="236">
        <f>F100-L100</f>
        <v>24890</v>
      </c>
      <c r="G216" s="236">
        <f t="shared" ref="G216:AP216" si="12">G100</f>
        <v>0</v>
      </c>
      <c r="H216" s="236">
        <f t="shared" si="12"/>
        <v>0</v>
      </c>
      <c r="I216" s="236">
        <f t="shared" si="12"/>
        <v>567.09</v>
      </c>
      <c r="J216" s="236">
        <f t="shared" si="12"/>
        <v>5122.93</v>
      </c>
      <c r="K216" s="236">
        <f t="shared" si="12"/>
        <v>373.45</v>
      </c>
      <c r="L216" s="236">
        <f t="shared" si="12"/>
        <v>0</v>
      </c>
      <c r="M216" s="236">
        <f t="shared" si="12"/>
        <v>0</v>
      </c>
      <c r="N216" s="236">
        <f t="shared" si="12"/>
        <v>3176.37</v>
      </c>
      <c r="O216" s="236">
        <f t="shared" si="12"/>
        <v>15040.85</v>
      </c>
      <c r="P216" s="236">
        <f t="shared" si="12"/>
        <v>0</v>
      </c>
      <c r="Q216" s="236">
        <f t="shared" si="12"/>
        <v>609.30999999999995</v>
      </c>
      <c r="R216" s="236">
        <f t="shared" si="12"/>
        <v>0</v>
      </c>
      <c r="S216" s="236">
        <f t="shared" si="12"/>
        <v>0</v>
      </c>
      <c r="T216" s="236">
        <f t="shared" si="12"/>
        <v>0</v>
      </c>
      <c r="U216" s="236">
        <f t="shared" si="12"/>
        <v>0</v>
      </c>
      <c r="V216" s="236">
        <f t="shared" si="12"/>
        <v>0</v>
      </c>
      <c r="W216" s="236">
        <f t="shared" si="12"/>
        <v>0</v>
      </c>
      <c r="X216" s="236">
        <f t="shared" si="12"/>
        <v>0</v>
      </c>
      <c r="Y216" s="236">
        <f t="shared" si="12"/>
        <v>0</v>
      </c>
      <c r="Z216" s="236">
        <f t="shared" si="12"/>
        <v>0</v>
      </c>
      <c r="AA216" s="236">
        <f t="shared" si="12"/>
        <v>0</v>
      </c>
      <c r="AB216" s="236">
        <f t="shared" si="12"/>
        <v>0</v>
      </c>
      <c r="AC216" s="236">
        <f t="shared" si="12"/>
        <v>0</v>
      </c>
      <c r="AD216" s="236">
        <f t="shared" si="12"/>
        <v>0</v>
      </c>
      <c r="AE216" s="236">
        <f t="shared" si="12"/>
        <v>0</v>
      </c>
      <c r="AF216" s="236">
        <f t="shared" si="12"/>
        <v>0</v>
      </c>
      <c r="AG216" s="236">
        <f t="shared" si="12"/>
        <v>0</v>
      </c>
      <c r="AH216" s="236">
        <f t="shared" si="12"/>
        <v>0</v>
      </c>
      <c r="AI216" s="236">
        <f t="shared" si="12"/>
        <v>0</v>
      </c>
      <c r="AJ216" s="236">
        <f t="shared" si="12"/>
        <v>0</v>
      </c>
      <c r="AK216" s="236">
        <f t="shared" si="12"/>
        <v>0</v>
      </c>
      <c r="AL216" s="236">
        <f t="shared" si="12"/>
        <v>0</v>
      </c>
      <c r="AM216" s="236">
        <f t="shared" si="12"/>
        <v>0</v>
      </c>
      <c r="AN216" s="236">
        <f t="shared" si="12"/>
        <v>0</v>
      </c>
      <c r="AO216" s="236">
        <f t="shared" si="12"/>
        <v>0</v>
      </c>
      <c r="AP216" s="236">
        <f t="shared" si="12"/>
        <v>0</v>
      </c>
    </row>
    <row r="217" spans="1:42" ht="12.75" customHeight="1" x14ac:dyDescent="0.25">
      <c r="C217" s="774"/>
      <c r="D217" s="772"/>
      <c r="E217" s="235" t="s">
        <v>73</v>
      </c>
      <c r="F217" s="236">
        <v>0</v>
      </c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1:42" ht="12.75" customHeight="1" x14ac:dyDescent="0.25">
      <c r="A218" s="89"/>
      <c r="C218" s="97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42" ht="12.75" customHeight="1" x14ac:dyDescent="0.25">
      <c r="C219" s="773" t="s">
        <v>161</v>
      </c>
      <c r="D219" s="772" t="s">
        <v>132</v>
      </c>
      <c r="E219" s="231" t="s">
        <v>70</v>
      </c>
      <c r="F219" s="232">
        <v>0</v>
      </c>
      <c r="G219" s="232">
        <v>0</v>
      </c>
      <c r="H219" s="232">
        <v>0</v>
      </c>
      <c r="I219" s="232">
        <v>0</v>
      </c>
      <c r="J219" s="232">
        <v>0</v>
      </c>
      <c r="K219" s="232">
        <v>0</v>
      </c>
      <c r="L219" s="232">
        <v>0</v>
      </c>
      <c r="M219" s="232">
        <v>0</v>
      </c>
      <c r="N219" s="232">
        <v>0</v>
      </c>
      <c r="O219" s="232">
        <v>0</v>
      </c>
      <c r="P219" s="232">
        <v>0</v>
      </c>
      <c r="Q219" s="232">
        <v>0</v>
      </c>
      <c r="R219" s="232">
        <v>0</v>
      </c>
      <c r="S219" s="232">
        <v>0</v>
      </c>
      <c r="T219" s="232">
        <v>0</v>
      </c>
      <c r="U219" s="232">
        <v>0</v>
      </c>
      <c r="V219" s="232">
        <v>0</v>
      </c>
      <c r="W219" s="232">
        <v>0</v>
      </c>
      <c r="X219" s="232">
        <v>0</v>
      </c>
      <c r="Y219" s="232"/>
      <c r="Z219" s="232">
        <v>0</v>
      </c>
      <c r="AA219" s="232">
        <v>0</v>
      </c>
      <c r="AB219" s="232">
        <v>0</v>
      </c>
      <c r="AC219" s="232">
        <v>0</v>
      </c>
      <c r="AD219" s="232">
        <v>0</v>
      </c>
      <c r="AE219" s="232">
        <v>0</v>
      </c>
      <c r="AF219" s="232">
        <v>0</v>
      </c>
      <c r="AG219" s="232">
        <v>0</v>
      </c>
      <c r="AH219" s="232">
        <v>0</v>
      </c>
      <c r="AI219" s="232">
        <v>0</v>
      </c>
      <c r="AJ219" s="232">
        <v>0</v>
      </c>
      <c r="AK219" s="232">
        <v>0</v>
      </c>
      <c r="AL219" s="232">
        <v>0</v>
      </c>
      <c r="AM219" s="232">
        <v>0</v>
      </c>
      <c r="AN219" s="232">
        <v>0</v>
      </c>
      <c r="AO219" s="232">
        <v>0</v>
      </c>
      <c r="AP219" s="232">
        <v>0</v>
      </c>
    </row>
    <row r="220" spans="1:42" ht="12.75" customHeight="1" x14ac:dyDescent="0.25">
      <c r="C220" s="773"/>
      <c r="D220" s="772"/>
      <c r="E220" s="231" t="s">
        <v>73</v>
      </c>
      <c r="F220" s="232">
        <v>0</v>
      </c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42" ht="12.75" customHeight="1" x14ac:dyDescent="0.25">
      <c r="C221" s="773"/>
      <c r="E221" s="148" t="s">
        <v>70</v>
      </c>
      <c r="F221" s="149">
        <v>0</v>
      </c>
      <c r="G221" s="149">
        <v>0</v>
      </c>
      <c r="H221" s="149">
        <v>0</v>
      </c>
      <c r="I221" s="149">
        <v>0</v>
      </c>
      <c r="J221" s="149">
        <v>0</v>
      </c>
      <c r="K221" s="149">
        <v>0</v>
      </c>
      <c r="L221" s="149">
        <v>0</v>
      </c>
      <c r="M221" s="149">
        <v>0</v>
      </c>
      <c r="N221" s="149">
        <v>0</v>
      </c>
      <c r="O221" s="149">
        <v>0</v>
      </c>
      <c r="P221" s="149">
        <v>0</v>
      </c>
      <c r="Q221" s="149">
        <v>0</v>
      </c>
      <c r="R221" s="149">
        <v>0</v>
      </c>
      <c r="S221" s="149">
        <v>0</v>
      </c>
      <c r="T221" s="149">
        <v>0</v>
      </c>
      <c r="U221" s="149">
        <v>0</v>
      </c>
      <c r="V221" s="149">
        <v>0</v>
      </c>
      <c r="W221" s="149">
        <v>0</v>
      </c>
      <c r="X221" s="149">
        <v>0</v>
      </c>
      <c r="Y221" s="149">
        <v>0</v>
      </c>
      <c r="Z221" s="149">
        <v>0</v>
      </c>
      <c r="AA221" s="149">
        <v>0</v>
      </c>
    </row>
    <row r="222" spans="1:42" ht="12.75" customHeight="1" x14ac:dyDescent="0.25">
      <c r="C222" s="773"/>
      <c r="D222" s="220" t="s">
        <v>132</v>
      </c>
      <c r="E222" s="148" t="s">
        <v>73</v>
      </c>
      <c r="F222" s="149">
        <v>0</v>
      </c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42" ht="12.75" customHeight="1" x14ac:dyDescent="0.25">
      <c r="C223" s="388"/>
      <c r="D223" s="220"/>
      <c r="E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42" ht="12.75" customHeight="1" x14ac:dyDescent="0.25">
      <c r="D224" s="458" t="s">
        <v>186</v>
      </c>
      <c r="E224" s="459" t="s">
        <v>70</v>
      </c>
      <c r="F224" s="460">
        <f t="shared" ref="F224:AA224" si="13">F93</f>
        <v>-1443509.98</v>
      </c>
      <c r="G224" s="460">
        <f t="shared" si="13"/>
        <v>-126107.3</v>
      </c>
      <c r="H224" s="460">
        <f t="shared" si="13"/>
        <v>-53574.14</v>
      </c>
      <c r="I224" s="460">
        <f t="shared" si="13"/>
        <v>-23396.67</v>
      </c>
      <c r="J224" s="460">
        <f t="shared" si="13"/>
        <v>-289490.34000000003</v>
      </c>
      <c r="K224" s="460">
        <f t="shared" si="13"/>
        <v>-12050.94</v>
      </c>
      <c r="L224" s="460">
        <f t="shared" si="13"/>
        <v>0</v>
      </c>
      <c r="M224" s="460">
        <f t="shared" si="13"/>
        <v>-105713.14</v>
      </c>
      <c r="N224" s="460">
        <f t="shared" si="13"/>
        <v>-132509.9</v>
      </c>
      <c r="O224" s="460">
        <f t="shared" si="13"/>
        <v>-445101.84</v>
      </c>
      <c r="P224" s="460">
        <f t="shared" si="13"/>
        <v>-235902.28</v>
      </c>
      <c r="Q224" s="460">
        <f t="shared" si="13"/>
        <v>-19663.43</v>
      </c>
      <c r="R224" s="460">
        <f t="shared" si="13"/>
        <v>0</v>
      </c>
      <c r="S224" s="460">
        <f t="shared" si="13"/>
        <v>0</v>
      </c>
      <c r="T224" s="460">
        <f t="shared" si="13"/>
        <v>0</v>
      </c>
      <c r="U224" s="460">
        <f t="shared" si="13"/>
        <v>0</v>
      </c>
      <c r="V224" s="460">
        <f t="shared" si="13"/>
        <v>0</v>
      </c>
      <c r="W224" s="460">
        <f t="shared" si="13"/>
        <v>0</v>
      </c>
      <c r="X224" s="460">
        <f t="shared" si="13"/>
        <v>0</v>
      </c>
      <c r="Y224" s="460">
        <f t="shared" si="13"/>
        <v>0</v>
      </c>
      <c r="Z224" s="460">
        <f t="shared" si="13"/>
        <v>0</v>
      </c>
      <c r="AA224" s="460">
        <f t="shared" si="13"/>
        <v>0</v>
      </c>
    </row>
    <row r="225" spans="1:26" ht="12.75" customHeight="1" x14ac:dyDescent="0.25">
      <c r="C225" s="388"/>
      <c r="D225" s="220"/>
      <c r="E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1:26" s="238" customFormat="1" ht="12.75" customHeight="1" x14ac:dyDescent="0.25">
      <c r="D226" s="239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</row>
    <row r="227" spans="1:26" ht="12.75" customHeight="1" x14ac:dyDescent="0.25">
      <c r="A227" s="89"/>
      <c r="B227" s="97" t="s">
        <v>76</v>
      </c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26" ht="12.45" customHeight="1" x14ac:dyDescent="0.25">
      <c r="F228" s="89" t="s">
        <v>70</v>
      </c>
      <c r="G228" s="89" t="s">
        <v>64</v>
      </c>
      <c r="H228" s="89" t="s">
        <v>65</v>
      </c>
      <c r="I228" s="218" t="s">
        <v>164</v>
      </c>
      <c r="J228" s="89" t="s">
        <v>69</v>
      </c>
      <c r="K228" s="89" t="s">
        <v>68</v>
      </c>
      <c r="L228" s="89" t="s">
        <v>71</v>
      </c>
      <c r="M228" s="89" t="s">
        <v>66</v>
      </c>
      <c r="N228" s="89" t="s">
        <v>63</v>
      </c>
      <c r="O228" s="89" t="s">
        <v>61</v>
      </c>
      <c r="P228" s="89" t="s">
        <v>62</v>
      </c>
      <c r="Q228" s="89" t="s">
        <v>67</v>
      </c>
      <c r="R228" s="89" t="s">
        <v>77</v>
      </c>
      <c r="S228" s="89" t="s">
        <v>80</v>
      </c>
      <c r="T228" s="89" t="s">
        <v>135</v>
      </c>
      <c r="U228" s="89" t="s">
        <v>173</v>
      </c>
      <c r="V228" s="89" t="s">
        <v>223</v>
      </c>
      <c r="W228" s="89" t="s">
        <v>173</v>
      </c>
      <c r="X228" t="s">
        <v>173</v>
      </c>
      <c r="Y228" s="89" t="s">
        <v>135</v>
      </c>
      <c r="Z228" t="s">
        <v>167</v>
      </c>
    </row>
    <row r="229" spans="1:26" ht="12.75" customHeight="1" x14ac:dyDescent="0.25">
      <c r="E229" s="89" t="s">
        <v>72</v>
      </c>
      <c r="F229" s="371">
        <v>-3933.31</v>
      </c>
      <c r="G229" s="90">
        <v>-339.36</v>
      </c>
      <c r="H229" s="90">
        <v>-144.18</v>
      </c>
      <c r="I229" s="90">
        <v>-62.97</v>
      </c>
      <c r="J229" s="90">
        <v>-769.6</v>
      </c>
      <c r="K229" s="90">
        <v>-31.71</v>
      </c>
      <c r="L229" s="90">
        <v>0</v>
      </c>
      <c r="M229" s="90">
        <v>-278.13</v>
      </c>
      <c r="N229" s="90">
        <v>-348.6</v>
      </c>
      <c r="O229" s="90">
        <v>-1170.96</v>
      </c>
      <c r="P229" s="90">
        <v>-736.08</v>
      </c>
      <c r="Q229" s="90">
        <v>-51.72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ht="12.75" customHeight="1" x14ac:dyDescent="0.25">
      <c r="D230" t="s">
        <v>156</v>
      </c>
      <c r="E230" s="89" t="s">
        <v>70</v>
      </c>
      <c r="F230" s="371">
        <v>-3933.31</v>
      </c>
      <c r="G230" s="90">
        <v>-339.36</v>
      </c>
      <c r="H230" s="90">
        <v>-144.18</v>
      </c>
      <c r="I230" s="90">
        <v>-62.97</v>
      </c>
      <c r="J230" s="90">
        <v>-769.6</v>
      </c>
      <c r="K230" s="90">
        <v>-31.71</v>
      </c>
      <c r="L230" s="90">
        <v>0</v>
      </c>
      <c r="M230" s="90">
        <v>-278.13</v>
      </c>
      <c r="N230" s="90">
        <v>-348.6</v>
      </c>
      <c r="O230" s="90">
        <v>-1170.96</v>
      </c>
      <c r="P230" s="90">
        <v>-736.08</v>
      </c>
      <c r="Q230" s="90">
        <v>-51.72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s="286" customFormat="1" ht="12.75" customHeight="1" x14ac:dyDescent="0.25">
      <c r="C231" s="286" t="s">
        <v>155</v>
      </c>
      <c r="D231" s="286" t="s">
        <v>70</v>
      </c>
      <c r="E231" s="229"/>
      <c r="F231" s="229">
        <v>-3933.31</v>
      </c>
      <c r="G231" s="230">
        <v>-339.36</v>
      </c>
      <c r="H231" s="230">
        <v>-144.18</v>
      </c>
      <c r="I231" s="230">
        <v>-62.97</v>
      </c>
      <c r="J231" s="230">
        <v>-769.6</v>
      </c>
      <c r="K231" s="230">
        <v>-31.71</v>
      </c>
      <c r="L231" s="230">
        <v>0</v>
      </c>
      <c r="M231" s="230">
        <v>-278.13</v>
      </c>
      <c r="N231" s="230">
        <v>-348.6</v>
      </c>
      <c r="O231" s="230">
        <v>-1170.96</v>
      </c>
      <c r="P231" s="230">
        <v>-736.08</v>
      </c>
      <c r="Q231" s="230">
        <v>-51.72</v>
      </c>
      <c r="R231" s="230">
        <v>0</v>
      </c>
      <c r="S231" s="230">
        <v>0</v>
      </c>
      <c r="T231" s="230">
        <v>0</v>
      </c>
      <c r="U231" s="230">
        <v>0</v>
      </c>
      <c r="V231" s="230">
        <v>0</v>
      </c>
      <c r="W231" s="230">
        <v>0</v>
      </c>
      <c r="X231" s="230">
        <v>0</v>
      </c>
      <c r="Y231" s="230">
        <v>0</v>
      </c>
      <c r="Z231" s="230">
        <v>0</v>
      </c>
    </row>
    <row r="232" spans="1:26" ht="12.75" customHeight="1" x14ac:dyDescent="0.25">
      <c r="E232" s="89" t="s">
        <v>72</v>
      </c>
      <c r="F232" s="371">
        <v>-522.79999999999995</v>
      </c>
      <c r="G232" s="90">
        <v>-45.25</v>
      </c>
      <c r="H232" s="90">
        <v>-19.22</v>
      </c>
      <c r="I232" s="90">
        <v>-8.39</v>
      </c>
      <c r="J232" s="90">
        <v>-100.86</v>
      </c>
      <c r="K232" s="90">
        <v>-4.2300000000000004</v>
      </c>
      <c r="L232" s="90">
        <v>0</v>
      </c>
      <c r="M232" s="90">
        <v>-37.08</v>
      </c>
      <c r="N232" s="90">
        <v>-46.6</v>
      </c>
      <c r="O232" s="90">
        <v>-156.13</v>
      </c>
      <c r="P232" s="90">
        <v>-98.14</v>
      </c>
      <c r="Q232" s="90">
        <v>-6.9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ht="12.75" customHeight="1" x14ac:dyDescent="0.25">
      <c r="D233" t="s">
        <v>86</v>
      </c>
      <c r="E233" s="89" t="s">
        <v>70</v>
      </c>
      <c r="F233" s="371">
        <v>-522.79999999999995</v>
      </c>
      <c r="G233" s="90">
        <v>-45.25</v>
      </c>
      <c r="H233" s="90">
        <v>-19.22</v>
      </c>
      <c r="I233" s="90">
        <v>-8.39</v>
      </c>
      <c r="J233" s="90">
        <v>-100.86</v>
      </c>
      <c r="K233" s="90">
        <v>-4.2300000000000004</v>
      </c>
      <c r="L233" s="90">
        <v>0</v>
      </c>
      <c r="M233" s="90">
        <v>-37.08</v>
      </c>
      <c r="N233" s="90">
        <v>-46.6</v>
      </c>
      <c r="O233" s="90">
        <v>-156.13</v>
      </c>
      <c r="P233" s="90">
        <v>-98.14</v>
      </c>
      <c r="Q233" s="90">
        <v>-6.9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s="94" customFormat="1" ht="12.75" customHeight="1" x14ac:dyDescent="0.25">
      <c r="C234" s="101" t="s">
        <v>119</v>
      </c>
      <c r="D234" s="101" t="s">
        <v>70</v>
      </c>
      <c r="F234" s="93">
        <v>-522.79999999999995</v>
      </c>
      <c r="G234" s="93">
        <v>-45.25</v>
      </c>
      <c r="H234" s="93">
        <v>-19.22</v>
      </c>
      <c r="I234" s="93">
        <v>-8.39</v>
      </c>
      <c r="J234" s="93">
        <v>-100.86</v>
      </c>
      <c r="K234" s="93">
        <v>-4.2300000000000004</v>
      </c>
      <c r="L234" s="93">
        <v>0</v>
      </c>
      <c r="M234" s="93">
        <v>-37.08</v>
      </c>
      <c r="N234" s="93">
        <v>-46.6</v>
      </c>
      <c r="O234" s="93">
        <v>-156.13</v>
      </c>
      <c r="P234" s="93">
        <v>-98.14</v>
      </c>
      <c r="Q234" s="93">
        <v>-6.9</v>
      </c>
      <c r="R234" s="93">
        <v>0</v>
      </c>
      <c r="S234" s="93">
        <v>0</v>
      </c>
      <c r="T234" s="94">
        <v>0</v>
      </c>
      <c r="U234" s="94">
        <v>0</v>
      </c>
      <c r="V234" s="94">
        <v>0</v>
      </c>
      <c r="W234" s="94">
        <v>0</v>
      </c>
      <c r="X234" s="94">
        <v>0</v>
      </c>
      <c r="Y234" s="94">
        <v>0</v>
      </c>
      <c r="Z234" s="94">
        <v>0</v>
      </c>
    </row>
    <row r="235" spans="1:26" ht="12.75" customHeight="1" x14ac:dyDescent="0.25">
      <c r="B235" t="s">
        <v>112</v>
      </c>
      <c r="C235" t="s">
        <v>70</v>
      </c>
      <c r="E235" s="89"/>
      <c r="F235" s="371">
        <v>-4456.1099999999997</v>
      </c>
      <c r="G235" s="90">
        <v>-384.61</v>
      </c>
      <c r="H235" s="90">
        <v>-163.4</v>
      </c>
      <c r="I235" s="90">
        <v>-71.36</v>
      </c>
      <c r="J235" s="90">
        <v>-870.46</v>
      </c>
      <c r="K235" s="90">
        <v>-35.94</v>
      </c>
      <c r="L235" s="90">
        <v>0</v>
      </c>
      <c r="M235" s="90">
        <v>-315.20999999999998</v>
      </c>
      <c r="N235" s="90">
        <v>-395.2</v>
      </c>
      <c r="O235" s="90">
        <v>-1327.09</v>
      </c>
      <c r="P235" s="90">
        <v>-834.22</v>
      </c>
      <c r="Q235" s="90">
        <v>-58.62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s="458" customFormat="1" ht="12.75" customHeight="1" x14ac:dyDescent="0.25">
      <c r="A236" s="458" t="s">
        <v>186</v>
      </c>
      <c r="B236" s="458" t="s">
        <v>70</v>
      </c>
      <c r="F236" s="458">
        <v>-4456.1099999999997</v>
      </c>
      <c r="G236" s="458">
        <v>-384.61</v>
      </c>
      <c r="H236" s="458">
        <v>-163.4</v>
      </c>
      <c r="I236" s="458">
        <v>-71.36</v>
      </c>
      <c r="J236" s="458">
        <v>-870.46</v>
      </c>
      <c r="K236" s="458">
        <v>-35.94</v>
      </c>
      <c r="L236" s="458">
        <v>0</v>
      </c>
      <c r="M236" s="458">
        <v>-315.20999999999998</v>
      </c>
      <c r="N236" s="458">
        <v>-395.2</v>
      </c>
      <c r="O236" s="458">
        <v>-1327.09</v>
      </c>
      <c r="P236" s="458">
        <v>-834.22</v>
      </c>
      <c r="Q236" s="458">
        <v>-58.62</v>
      </c>
      <c r="R236" s="458">
        <v>0</v>
      </c>
      <c r="S236" s="458">
        <v>0</v>
      </c>
      <c r="T236" s="458">
        <v>0</v>
      </c>
      <c r="U236" s="458">
        <v>0</v>
      </c>
      <c r="V236" s="458">
        <v>0</v>
      </c>
      <c r="W236" s="458">
        <v>0</v>
      </c>
      <c r="X236" s="458">
        <v>0</v>
      </c>
      <c r="Y236" s="458">
        <v>0</v>
      </c>
      <c r="Z236" s="458">
        <v>0</v>
      </c>
    </row>
    <row r="237" spans="1:26" ht="12.75" customHeight="1" x14ac:dyDescent="0.25">
      <c r="E237" s="89" t="s">
        <v>72</v>
      </c>
      <c r="F237" s="371">
        <v>16203110832.58</v>
      </c>
      <c r="G237" s="90">
        <v>976240418.40999997</v>
      </c>
      <c r="H237" s="90">
        <v>550553172.92999995</v>
      </c>
      <c r="I237" s="90">
        <v>289170374.94999999</v>
      </c>
      <c r="J237" s="90">
        <v>4498063138.4499998</v>
      </c>
      <c r="K237" s="90">
        <v>125574828.93000001</v>
      </c>
      <c r="L237" s="90">
        <v>20264217.379999999</v>
      </c>
      <c r="M237" s="90">
        <v>1101215665.1700001</v>
      </c>
      <c r="N237" s="90">
        <v>1069039105.4400001</v>
      </c>
      <c r="O237" s="90">
        <v>5055594780.9099998</v>
      </c>
      <c r="P237" s="90">
        <v>2312346459.71</v>
      </c>
      <c r="Q237" s="90">
        <v>204931459.27000001</v>
      </c>
      <c r="R237" s="90">
        <v>117211.03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ht="12.75" customHeight="1" x14ac:dyDescent="0.25">
      <c r="E238" s="89" t="s">
        <v>81</v>
      </c>
      <c r="F238" s="371">
        <v>9783329.8200000003</v>
      </c>
      <c r="G238" s="90">
        <v>938448.58</v>
      </c>
      <c r="H238" s="90">
        <v>503251.75</v>
      </c>
      <c r="I238" s="90">
        <v>261272.68</v>
      </c>
      <c r="J238" s="90">
        <v>1789165.82</v>
      </c>
      <c r="K238" s="90">
        <v>73394.289999999994</v>
      </c>
      <c r="L238" s="90">
        <v>38943.300000000003</v>
      </c>
      <c r="M238" s="90">
        <v>642167.4</v>
      </c>
      <c r="N238" s="90">
        <v>599838.02</v>
      </c>
      <c r="O238" s="90">
        <v>2640096.6</v>
      </c>
      <c r="P238" s="90">
        <v>2176435.0499999998</v>
      </c>
      <c r="Q238" s="90">
        <v>119898.21</v>
      </c>
      <c r="R238" s="90">
        <v>417.5</v>
      </c>
      <c r="S238" s="90">
        <v>0</v>
      </c>
      <c r="T238">
        <v>0.62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ht="12.75" customHeight="1" x14ac:dyDescent="0.25">
      <c r="D239" t="s">
        <v>156</v>
      </c>
      <c r="E239" s="89" t="s">
        <v>70</v>
      </c>
      <c r="F239" s="90">
        <v>16212894162.4</v>
      </c>
      <c r="G239" s="90">
        <v>977178866.99000001</v>
      </c>
      <c r="H239" s="90">
        <v>551056424.67999995</v>
      </c>
      <c r="I239" s="90">
        <v>289431647.63</v>
      </c>
      <c r="J239" s="90">
        <v>4499852304.2700005</v>
      </c>
      <c r="K239" s="90">
        <v>125648223.22</v>
      </c>
      <c r="L239" s="90">
        <v>20303160.68</v>
      </c>
      <c r="M239" s="90">
        <v>1101857832.5699999</v>
      </c>
      <c r="N239" s="90">
        <v>1069638943.46</v>
      </c>
      <c r="O239" s="90">
        <v>5058234877.5100002</v>
      </c>
      <c r="P239" s="90">
        <v>2314522894.7600002</v>
      </c>
      <c r="Q239" s="90">
        <v>205051357.47999999</v>
      </c>
      <c r="R239" s="90">
        <v>117628.53</v>
      </c>
      <c r="S239" s="90">
        <v>0</v>
      </c>
      <c r="T239">
        <v>0.62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s="286" customFormat="1" ht="12.75" customHeight="1" x14ac:dyDescent="0.25">
      <c r="C240" s="286" t="s">
        <v>155</v>
      </c>
      <c r="D240" s="286" t="s">
        <v>70</v>
      </c>
      <c r="E240" s="229"/>
      <c r="F240" s="229">
        <v>16212894162.4</v>
      </c>
      <c r="G240" s="230">
        <v>977178866.99000001</v>
      </c>
      <c r="H240" s="230">
        <v>551056424.67999995</v>
      </c>
      <c r="I240" s="230">
        <v>289431647.63</v>
      </c>
      <c r="J240" s="230">
        <v>4499852304.2700005</v>
      </c>
      <c r="K240" s="230">
        <v>125648223.22</v>
      </c>
      <c r="L240" s="230">
        <v>20303160.68</v>
      </c>
      <c r="M240" s="230">
        <v>1101857832.5699999</v>
      </c>
      <c r="N240" s="230">
        <v>1069638943.46</v>
      </c>
      <c r="O240" s="230">
        <v>5058234877.5100002</v>
      </c>
      <c r="P240" s="230">
        <v>2314522894.7600002</v>
      </c>
      <c r="Q240" s="230">
        <v>205051357.47999999</v>
      </c>
      <c r="R240" s="230">
        <v>117628.53</v>
      </c>
      <c r="S240" s="230">
        <v>0</v>
      </c>
      <c r="T240" s="230">
        <v>0.62</v>
      </c>
      <c r="U240" s="230">
        <v>0</v>
      </c>
      <c r="V240" s="230">
        <v>0</v>
      </c>
      <c r="W240" s="230">
        <v>0</v>
      </c>
      <c r="X240" s="230">
        <v>0</v>
      </c>
      <c r="Y240" s="230">
        <v>0</v>
      </c>
      <c r="Z240" s="230">
        <v>0</v>
      </c>
    </row>
    <row r="241" spans="1:26" ht="12.75" customHeight="1" x14ac:dyDescent="0.25">
      <c r="E241" s="89" t="s">
        <v>72</v>
      </c>
      <c r="F241" s="90">
        <v>56129769.210000001</v>
      </c>
      <c r="G241" s="90">
        <v>3612186.16</v>
      </c>
      <c r="H241" s="90">
        <v>2006551.81</v>
      </c>
      <c r="I241" s="90">
        <v>1069933.73</v>
      </c>
      <c r="J241" s="90">
        <v>12679014.02</v>
      </c>
      <c r="K241" s="90">
        <v>341950.57</v>
      </c>
      <c r="L241" s="90">
        <v>588000</v>
      </c>
      <c r="M241" s="90">
        <v>3001602.03</v>
      </c>
      <c r="N241" s="90">
        <v>4189079.11</v>
      </c>
      <c r="O241" s="90">
        <v>19596388.460000001</v>
      </c>
      <c r="P241" s="90">
        <v>8488561.4000000004</v>
      </c>
      <c r="Q241" s="90">
        <v>556673.93999999994</v>
      </c>
      <c r="R241" s="90">
        <v>-172.02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t="12.75" customHeight="1" x14ac:dyDescent="0.25">
      <c r="E242" s="89" t="s">
        <v>81</v>
      </c>
      <c r="F242" s="90">
        <v>445748.01</v>
      </c>
      <c r="G242" s="90">
        <v>37881.32</v>
      </c>
      <c r="H242" s="90">
        <v>20288.39</v>
      </c>
      <c r="I242" s="90">
        <v>10854.44</v>
      </c>
      <c r="J242" s="90">
        <v>90241.99</v>
      </c>
      <c r="K242" s="90">
        <v>2624.2</v>
      </c>
      <c r="L242" s="90">
        <v>2977.24</v>
      </c>
      <c r="M242" s="90">
        <v>23003.13</v>
      </c>
      <c r="N242" s="90">
        <v>29336.29</v>
      </c>
      <c r="O242" s="90">
        <v>135738.23999999999</v>
      </c>
      <c r="P242" s="90">
        <v>88525.02</v>
      </c>
      <c r="Q242" s="90">
        <v>4280.2700000000004</v>
      </c>
      <c r="R242" s="90">
        <v>-2.79</v>
      </c>
      <c r="S242" s="90">
        <v>0.27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ht="12.75" customHeight="1" x14ac:dyDescent="0.25">
      <c r="D243" s="89" t="s">
        <v>82</v>
      </c>
      <c r="E243" s="89" t="s">
        <v>70</v>
      </c>
      <c r="F243" s="90">
        <v>56575517.219999999</v>
      </c>
      <c r="G243" s="90">
        <v>3650067.48</v>
      </c>
      <c r="H243" s="90">
        <v>2026840.2</v>
      </c>
      <c r="I243" s="90">
        <v>1080788.17</v>
      </c>
      <c r="J243" s="90">
        <v>12769256.01</v>
      </c>
      <c r="K243" s="90">
        <v>344574.77</v>
      </c>
      <c r="L243" s="90">
        <v>590977.24</v>
      </c>
      <c r="M243" s="90">
        <v>3024605.16</v>
      </c>
      <c r="N243" s="90">
        <v>4218415.4000000004</v>
      </c>
      <c r="O243" s="90">
        <v>19732126.699999999</v>
      </c>
      <c r="P243" s="90">
        <v>8577086.4199999999</v>
      </c>
      <c r="Q243" s="90">
        <v>560954.21</v>
      </c>
      <c r="R243" s="90">
        <v>-174.81</v>
      </c>
      <c r="S243" s="90">
        <v>0.27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ht="12.75" customHeight="1" x14ac:dyDescent="0.25">
      <c r="D244" s="89"/>
      <c r="E244" s="89" t="s">
        <v>72</v>
      </c>
      <c r="F244" s="90">
        <v>69786246.859999999</v>
      </c>
      <c r="G244" s="90">
        <v>9968250.3100000005</v>
      </c>
      <c r="H244" s="90">
        <v>5506519.3099999996</v>
      </c>
      <c r="I244" s="90">
        <v>2876432.59</v>
      </c>
      <c r="J244" s="90">
        <v>7695333.3099999996</v>
      </c>
      <c r="K244" s="90">
        <v>286308.78000000003</v>
      </c>
      <c r="L244" s="90">
        <v>2185597.67</v>
      </c>
      <c r="M244" s="90">
        <v>2507089.44</v>
      </c>
      <c r="N244" s="90">
        <v>2734349.17</v>
      </c>
      <c r="O244" s="90">
        <v>12142713.65</v>
      </c>
      <c r="P244" s="90">
        <v>23417064.050000001</v>
      </c>
      <c r="Q244" s="90">
        <v>466943.72</v>
      </c>
      <c r="R244" s="90">
        <v>-355.14</v>
      </c>
      <c r="S244" s="90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ht="12.75" customHeight="1" x14ac:dyDescent="0.25">
      <c r="E245" s="89" t="s">
        <v>81</v>
      </c>
      <c r="F245" s="90">
        <v>-1435565.73</v>
      </c>
      <c r="G245" s="90">
        <v>389821.03</v>
      </c>
      <c r="H245" s="90">
        <v>170514.02</v>
      </c>
      <c r="I245" s="90">
        <v>70212.55</v>
      </c>
      <c r="J245" s="90">
        <v>245811.06</v>
      </c>
      <c r="K245" s="90">
        <v>14953.69</v>
      </c>
      <c r="L245" s="90">
        <v>70183.929999999993</v>
      </c>
      <c r="M245" s="90">
        <v>131060.59</v>
      </c>
      <c r="N245" s="90">
        <v>106081.33</v>
      </c>
      <c r="O245" s="90">
        <v>396319.07</v>
      </c>
      <c r="P245" s="90">
        <v>906960.48</v>
      </c>
      <c r="Q245" s="90">
        <v>24396.799999999999</v>
      </c>
      <c r="R245" s="90">
        <v>2.76</v>
      </c>
      <c r="S245" s="90">
        <v>-3961883.13</v>
      </c>
      <c r="T245">
        <v>0.09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ht="12.75" customHeight="1" x14ac:dyDescent="0.25">
      <c r="D246" s="89" t="s">
        <v>86</v>
      </c>
      <c r="E246" s="89" t="s">
        <v>70</v>
      </c>
      <c r="F246" s="90">
        <v>68350681.129999995</v>
      </c>
      <c r="G246" s="90">
        <v>10358071.34</v>
      </c>
      <c r="H246" s="90">
        <v>5677033.3300000001</v>
      </c>
      <c r="I246" s="90">
        <v>2946645.14</v>
      </c>
      <c r="J246" s="90">
        <v>7941144.3700000001</v>
      </c>
      <c r="K246" s="90">
        <v>301262.46999999997</v>
      </c>
      <c r="L246" s="90">
        <v>2255781.6</v>
      </c>
      <c r="M246" s="90">
        <v>2638150.0299999998</v>
      </c>
      <c r="N246" s="90">
        <v>2840430.5</v>
      </c>
      <c r="O246" s="90">
        <v>12539032.720000001</v>
      </c>
      <c r="P246" s="90">
        <v>24324024.530000001</v>
      </c>
      <c r="Q246" s="90">
        <v>491340.52</v>
      </c>
      <c r="R246" s="90">
        <v>-352.38</v>
      </c>
      <c r="S246" s="90">
        <v>-3961883.13</v>
      </c>
      <c r="T246">
        <v>0.09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t="12.75" customHeight="1" x14ac:dyDescent="0.25">
      <c r="E247" s="89" t="s">
        <v>72</v>
      </c>
      <c r="F247" s="90">
        <v>754857948.80999994</v>
      </c>
      <c r="G247" s="90">
        <v>148706575.02000001</v>
      </c>
      <c r="H247" s="90">
        <v>83937865.379999995</v>
      </c>
      <c r="I247" s="90">
        <v>44068434.130000003</v>
      </c>
      <c r="J247" s="90">
        <v>37108912.350000001</v>
      </c>
      <c r="K247" s="90">
        <v>930977.08</v>
      </c>
      <c r="L247" s="90">
        <v>14182236.76</v>
      </c>
      <c r="M247" s="90">
        <v>8142908.4699999997</v>
      </c>
      <c r="N247" s="90">
        <v>11743210.880000001</v>
      </c>
      <c r="O247" s="90">
        <v>55162077.310000002</v>
      </c>
      <c r="P247" s="90">
        <v>349358814.97000003</v>
      </c>
      <c r="Q247" s="90">
        <v>1516361.95</v>
      </c>
      <c r="R247" s="90">
        <v>-425.49</v>
      </c>
      <c r="S247" s="9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t="12.75" customHeight="1" x14ac:dyDescent="0.25">
      <c r="E248" s="89" t="s">
        <v>81</v>
      </c>
      <c r="F248" s="90">
        <v>17926857.18</v>
      </c>
      <c r="G248" s="90">
        <v>4123838.17</v>
      </c>
      <c r="H248" s="90">
        <v>2367978.8199999998</v>
      </c>
      <c r="I248" s="90">
        <v>1240495.6499999999</v>
      </c>
      <c r="J248" s="90">
        <v>200712.91</v>
      </c>
      <c r="K248" s="90">
        <v>4663.95</v>
      </c>
      <c r="L248" s="90">
        <v>9192.6299999999992</v>
      </c>
      <c r="M248" s="90">
        <v>40706.67</v>
      </c>
      <c r="N248" s="90">
        <v>56538.720000000001</v>
      </c>
      <c r="O248" s="90">
        <v>263898.53000000003</v>
      </c>
      <c r="P248" s="90">
        <v>9622953.2100000009</v>
      </c>
      <c r="Q248" s="90">
        <v>7594.24</v>
      </c>
      <c r="R248" s="90">
        <v>0.68</v>
      </c>
      <c r="S248" s="90">
        <v>-11717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ht="12.75" customHeight="1" x14ac:dyDescent="0.25">
      <c r="D249" s="89" t="s">
        <v>87</v>
      </c>
      <c r="E249" s="89" t="s">
        <v>70</v>
      </c>
      <c r="F249" s="90">
        <v>772784805.99000001</v>
      </c>
      <c r="G249" s="90">
        <v>152830413.19</v>
      </c>
      <c r="H249" s="90">
        <v>86305844.200000003</v>
      </c>
      <c r="I249" s="90">
        <v>45308929.780000001</v>
      </c>
      <c r="J249" s="90">
        <v>37309625.259999998</v>
      </c>
      <c r="K249" s="90">
        <v>935641.03</v>
      </c>
      <c r="L249" s="90">
        <v>14191429.390000001</v>
      </c>
      <c r="M249" s="90">
        <v>8183615.1399999997</v>
      </c>
      <c r="N249" s="90">
        <v>11799749.6</v>
      </c>
      <c r="O249" s="90">
        <v>55425975.840000004</v>
      </c>
      <c r="P249" s="90">
        <v>358981768.18000001</v>
      </c>
      <c r="Q249" s="90">
        <v>1523956.19</v>
      </c>
      <c r="R249" s="90">
        <v>-424.81</v>
      </c>
      <c r="S249" s="90">
        <v>-11717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s="94" customFormat="1" ht="12.75" customHeight="1" x14ac:dyDescent="0.25">
      <c r="C250" s="101" t="s">
        <v>119</v>
      </c>
      <c r="D250" s="101" t="s">
        <v>70</v>
      </c>
      <c r="F250" s="93">
        <v>897711004.34000003</v>
      </c>
      <c r="G250" s="93">
        <v>166838552.00999999</v>
      </c>
      <c r="H250" s="93">
        <v>94009717.730000004</v>
      </c>
      <c r="I250" s="93">
        <v>49336363.090000004</v>
      </c>
      <c r="J250" s="93">
        <v>58020025.640000001</v>
      </c>
      <c r="K250" s="93">
        <v>1581478.27</v>
      </c>
      <c r="L250" s="93">
        <v>17038188.23</v>
      </c>
      <c r="M250" s="93">
        <v>13846370.33</v>
      </c>
      <c r="N250" s="93">
        <v>18858595.5</v>
      </c>
      <c r="O250" s="93">
        <v>87697135.260000005</v>
      </c>
      <c r="P250" s="93">
        <v>391882879.13</v>
      </c>
      <c r="Q250" s="93">
        <v>2576250.92</v>
      </c>
      <c r="R250" s="93">
        <v>-952</v>
      </c>
      <c r="S250" s="93">
        <v>-3973599.86</v>
      </c>
      <c r="T250" s="94">
        <v>0.09</v>
      </c>
      <c r="U250" s="94">
        <v>0</v>
      </c>
      <c r="V250" s="94">
        <v>0</v>
      </c>
      <c r="W250" s="94">
        <v>0</v>
      </c>
      <c r="X250" s="94">
        <v>0</v>
      </c>
      <c r="Y250" s="94">
        <v>0</v>
      </c>
      <c r="Z250" s="94">
        <v>0</v>
      </c>
    </row>
    <row r="251" spans="1:26" s="226" customFormat="1" ht="12.75" customHeight="1" x14ac:dyDescent="0.25">
      <c r="B251" s="98" t="s">
        <v>112</v>
      </c>
      <c r="C251" s="98" t="s">
        <v>70</v>
      </c>
      <c r="F251" s="100">
        <v>17110605166.74</v>
      </c>
      <c r="G251" s="100">
        <v>1144017419</v>
      </c>
      <c r="H251" s="100">
        <v>645066142.40999997</v>
      </c>
      <c r="I251" s="100">
        <v>338768010.72000003</v>
      </c>
      <c r="J251" s="100">
        <v>4557872329.9099998</v>
      </c>
      <c r="K251" s="100">
        <v>127229701.48999999</v>
      </c>
      <c r="L251" s="100">
        <v>37341348.909999996</v>
      </c>
      <c r="M251" s="100">
        <v>1115704202.9000001</v>
      </c>
      <c r="N251" s="100">
        <v>1088497538.96</v>
      </c>
      <c r="O251" s="100">
        <v>5145932012.7700005</v>
      </c>
      <c r="P251" s="100">
        <v>2706405773.8899999</v>
      </c>
      <c r="Q251" s="100">
        <v>207627608.40000001</v>
      </c>
      <c r="R251" s="100">
        <v>116676.53</v>
      </c>
      <c r="S251" s="100">
        <v>-3973599.86</v>
      </c>
      <c r="T251" s="226">
        <v>0.71</v>
      </c>
      <c r="U251" s="226">
        <v>0</v>
      </c>
      <c r="V251" s="226">
        <v>0</v>
      </c>
      <c r="W251" s="226">
        <v>0</v>
      </c>
      <c r="X251" s="226">
        <v>0</v>
      </c>
      <c r="Y251" s="226">
        <v>0</v>
      </c>
      <c r="Z251" s="226">
        <v>0</v>
      </c>
    </row>
    <row r="252" spans="1:26" ht="12.75" customHeight="1" x14ac:dyDescent="0.25">
      <c r="A252" s="89" t="s">
        <v>78</v>
      </c>
      <c r="B252" s="89" t="s">
        <v>70</v>
      </c>
      <c r="F252" s="90">
        <v>17110605166.74</v>
      </c>
      <c r="G252" s="90">
        <v>1144017419</v>
      </c>
      <c r="H252" s="90">
        <v>645066142.40999997</v>
      </c>
      <c r="I252" s="90">
        <v>338768010.72000003</v>
      </c>
      <c r="J252" s="90">
        <v>4557872329.9099998</v>
      </c>
      <c r="K252" s="90">
        <v>127229701.48999999</v>
      </c>
      <c r="L252" s="90">
        <v>37341348.909999996</v>
      </c>
      <c r="M252" s="90">
        <v>1115704202.9000001</v>
      </c>
      <c r="N252" s="90">
        <v>1088497538.96</v>
      </c>
      <c r="O252" s="90">
        <v>5145932012.7700005</v>
      </c>
      <c r="P252" s="90">
        <v>2706405773.8899999</v>
      </c>
      <c r="Q252" s="90">
        <v>207627608.40000001</v>
      </c>
      <c r="R252" s="90">
        <v>116676.53</v>
      </c>
      <c r="S252" s="90">
        <v>-3973599.86</v>
      </c>
      <c r="T252">
        <v>0.71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t="12.6" customHeight="1" x14ac:dyDescent="0.25">
      <c r="E253" s="89" t="s">
        <v>73</v>
      </c>
      <c r="F253" s="371">
        <v>-1087996443.0899999</v>
      </c>
      <c r="G253" s="90">
        <v>192799744.37</v>
      </c>
      <c r="H253" s="90">
        <v>108870075.98</v>
      </c>
      <c r="I253" s="90">
        <v>57205798</v>
      </c>
      <c r="J253" s="90">
        <v>-715866743.75999999</v>
      </c>
      <c r="K253" s="90">
        <v>-19719209.789999999</v>
      </c>
      <c r="L253" s="90">
        <v>0</v>
      </c>
      <c r="M253" s="90">
        <v>-172988030.44999999</v>
      </c>
      <c r="N253" s="90">
        <v>-168117168.84999999</v>
      </c>
      <c r="O253" s="90">
        <v>-795100944.94000006</v>
      </c>
      <c r="P253" s="90">
        <v>457090640.20999998</v>
      </c>
      <c r="Q253" s="90">
        <v>-32170603.859999999</v>
      </c>
      <c r="R253" s="90">
        <v>0</v>
      </c>
      <c r="S253" s="90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ht="12.75" customHeight="1" x14ac:dyDescent="0.25">
      <c r="D254" t="s">
        <v>156</v>
      </c>
      <c r="E254" s="89" t="s">
        <v>70</v>
      </c>
      <c r="F254" s="371">
        <v>-1087996443.0899999</v>
      </c>
      <c r="G254" s="90">
        <v>192799744.37</v>
      </c>
      <c r="H254" s="90">
        <v>108870075.98</v>
      </c>
      <c r="I254" s="90">
        <v>57205798</v>
      </c>
      <c r="J254" s="90">
        <v>-715866743.75999999</v>
      </c>
      <c r="K254" s="90">
        <v>-19719209.789999999</v>
      </c>
      <c r="L254" s="90">
        <v>0</v>
      </c>
      <c r="M254" s="90">
        <v>-172988030.44999999</v>
      </c>
      <c r="N254" s="90">
        <v>-168117168.84999999</v>
      </c>
      <c r="O254" s="90">
        <v>-795100944.94000006</v>
      </c>
      <c r="P254" s="90">
        <v>457090640.20999998</v>
      </c>
      <c r="Q254" s="90">
        <v>-32170603.859999999</v>
      </c>
      <c r="R254" s="90">
        <v>0</v>
      </c>
      <c r="S254" s="90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s="286" customFormat="1" ht="12.75" customHeight="1" x14ac:dyDescent="0.25">
      <c r="C255" s="286" t="s">
        <v>155</v>
      </c>
      <c r="D255" s="286" t="s">
        <v>70</v>
      </c>
      <c r="E255" s="229"/>
      <c r="F255" s="229">
        <v>-1087996443.0899999</v>
      </c>
      <c r="G255" s="230">
        <v>192799744.37</v>
      </c>
      <c r="H255" s="230">
        <v>108870075.98</v>
      </c>
      <c r="I255" s="230">
        <v>57205798</v>
      </c>
      <c r="J255" s="230">
        <v>-715866743.75999999</v>
      </c>
      <c r="K255" s="230">
        <v>-19719209.789999999</v>
      </c>
      <c r="L255" s="230">
        <v>0</v>
      </c>
      <c r="M255" s="230">
        <v>-172988030.44999999</v>
      </c>
      <c r="N255" s="230">
        <v>-168117168.84999999</v>
      </c>
      <c r="O255" s="230">
        <v>-795100944.94000006</v>
      </c>
      <c r="P255" s="230">
        <v>457090640.20999998</v>
      </c>
      <c r="Q255" s="230">
        <v>-32170603.859999999</v>
      </c>
      <c r="R255" s="230">
        <v>0</v>
      </c>
      <c r="S255" s="230">
        <v>0</v>
      </c>
      <c r="T255" s="230">
        <v>0</v>
      </c>
      <c r="U255" s="230">
        <v>0</v>
      </c>
      <c r="V255" s="230">
        <v>0</v>
      </c>
      <c r="W255" s="230">
        <v>0</v>
      </c>
      <c r="X255" s="230">
        <v>0</v>
      </c>
      <c r="Y255" s="230">
        <v>0</v>
      </c>
      <c r="Z255" s="230">
        <v>0</v>
      </c>
    </row>
    <row r="256" spans="1:26" ht="12.75" customHeight="1" x14ac:dyDescent="0.25">
      <c r="D256" s="89"/>
      <c r="E256" s="89" t="s">
        <v>73</v>
      </c>
      <c r="F256" s="90">
        <v>2327352.7799999998</v>
      </c>
      <c r="G256" s="90">
        <v>852140.65</v>
      </c>
      <c r="H256" s="90">
        <v>481465.43</v>
      </c>
      <c r="I256" s="90">
        <v>251037.28</v>
      </c>
      <c r="J256" s="90">
        <v>-352667.51</v>
      </c>
      <c r="K256" s="90">
        <v>-10303.81</v>
      </c>
      <c r="L256" s="90">
        <v>0</v>
      </c>
      <c r="M256" s="90">
        <v>-90464.35</v>
      </c>
      <c r="N256" s="90">
        <v>-141735.89000000001</v>
      </c>
      <c r="O256" s="90">
        <v>-654318.1</v>
      </c>
      <c r="P256" s="90">
        <v>2009008.4</v>
      </c>
      <c r="Q256" s="90">
        <v>-16809.32</v>
      </c>
      <c r="R256" s="90">
        <v>0</v>
      </c>
      <c r="S256" s="90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ht="12.75" customHeight="1" x14ac:dyDescent="0.25">
      <c r="D257" t="s">
        <v>82</v>
      </c>
      <c r="E257" s="89" t="s">
        <v>70</v>
      </c>
      <c r="F257" s="90">
        <v>2327352.7799999998</v>
      </c>
      <c r="G257" s="90">
        <v>852140.65</v>
      </c>
      <c r="H257" s="90">
        <v>481465.43</v>
      </c>
      <c r="I257" s="90">
        <v>251037.28</v>
      </c>
      <c r="J257" s="90">
        <v>-352667.51</v>
      </c>
      <c r="K257" s="90">
        <v>-10303.81</v>
      </c>
      <c r="L257" s="90">
        <v>0</v>
      </c>
      <c r="M257" s="90">
        <v>-90464.35</v>
      </c>
      <c r="N257" s="90">
        <v>-141735.89000000001</v>
      </c>
      <c r="O257" s="90">
        <v>-654318.1</v>
      </c>
      <c r="P257" s="90">
        <v>2009008.4</v>
      </c>
      <c r="Q257" s="90">
        <v>-16809.32</v>
      </c>
      <c r="R257" s="90">
        <v>0</v>
      </c>
      <c r="S257" s="90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ht="12.75" customHeight="1" x14ac:dyDescent="0.25">
      <c r="D258" s="89"/>
      <c r="E258" s="89" t="s">
        <v>73</v>
      </c>
      <c r="F258" s="90">
        <v>30014496.440000001</v>
      </c>
      <c r="G258" s="90">
        <v>6971628.29</v>
      </c>
      <c r="H258" s="90">
        <v>3925790.17</v>
      </c>
      <c r="I258" s="90">
        <v>2052260.57</v>
      </c>
      <c r="J258" s="90">
        <v>162146.79</v>
      </c>
      <c r="K258" s="90">
        <v>1063.3800000000001</v>
      </c>
      <c r="L258" s="90">
        <v>0</v>
      </c>
      <c r="M258" s="90">
        <v>9642.2700000000405</v>
      </c>
      <c r="N258" s="90">
        <v>109927.61</v>
      </c>
      <c r="O258" s="90">
        <v>364617.9</v>
      </c>
      <c r="P258" s="90">
        <v>16415666.51</v>
      </c>
      <c r="Q258" s="90">
        <v>1752.95</v>
      </c>
      <c r="R258" s="90">
        <v>0</v>
      </c>
      <c r="S258" s="90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t="12.75" customHeight="1" x14ac:dyDescent="0.25">
      <c r="D259" t="s">
        <v>86</v>
      </c>
      <c r="E259" s="89" t="s">
        <v>70</v>
      </c>
      <c r="F259" s="90">
        <v>30014496.440000001</v>
      </c>
      <c r="G259" s="90">
        <v>6971628.29</v>
      </c>
      <c r="H259" s="90">
        <v>3925790.17</v>
      </c>
      <c r="I259" s="90">
        <v>2052260.57</v>
      </c>
      <c r="J259" s="90">
        <v>162146.79</v>
      </c>
      <c r="K259" s="90">
        <v>1063.3800000000001</v>
      </c>
      <c r="L259" s="90">
        <v>0</v>
      </c>
      <c r="M259" s="90">
        <v>9642.2700000000405</v>
      </c>
      <c r="N259" s="90">
        <v>109927.61</v>
      </c>
      <c r="O259" s="90">
        <v>364617.9</v>
      </c>
      <c r="P259" s="90">
        <v>16415666.51</v>
      </c>
      <c r="Q259" s="90">
        <v>1752.95</v>
      </c>
      <c r="R259" s="90">
        <v>0</v>
      </c>
      <c r="S259" s="90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ht="12.75" customHeight="1" x14ac:dyDescent="0.25">
      <c r="D260" s="89"/>
      <c r="E260" s="89" t="s">
        <v>73</v>
      </c>
      <c r="F260" s="90">
        <v>328146742.00999999</v>
      </c>
      <c r="G260" s="90">
        <v>76683146.879999995</v>
      </c>
      <c r="H260" s="90">
        <v>43193693.219999999</v>
      </c>
      <c r="I260" s="90">
        <v>22706908.890000001</v>
      </c>
      <c r="J260" s="90">
        <v>1825379.37</v>
      </c>
      <c r="K260" s="90">
        <v>41051.769999999997</v>
      </c>
      <c r="L260" s="90">
        <v>0</v>
      </c>
      <c r="M260" s="90">
        <v>358199.13</v>
      </c>
      <c r="N260" s="90">
        <v>493339.25</v>
      </c>
      <c r="O260" s="90">
        <v>2367883.44</v>
      </c>
      <c r="P260" s="90">
        <v>180410497.93000001</v>
      </c>
      <c r="Q260" s="90">
        <v>66642.13</v>
      </c>
      <c r="R260" s="90">
        <v>0</v>
      </c>
      <c r="S260" s="9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ht="12.75" customHeight="1" x14ac:dyDescent="0.25">
      <c r="C261" s="89"/>
      <c r="D261" s="89" t="s">
        <v>87</v>
      </c>
      <c r="E261" t="s">
        <v>70</v>
      </c>
      <c r="F261" s="90">
        <v>328146742.00999999</v>
      </c>
      <c r="G261" s="90">
        <v>76683146.879999995</v>
      </c>
      <c r="H261" s="90">
        <v>43193693.219999999</v>
      </c>
      <c r="I261" s="90">
        <v>22706908.890000001</v>
      </c>
      <c r="J261" s="90">
        <v>1825379.37</v>
      </c>
      <c r="K261" s="90">
        <v>41051.769999999997</v>
      </c>
      <c r="L261" s="90">
        <v>0</v>
      </c>
      <c r="M261" s="90">
        <v>358199.13</v>
      </c>
      <c r="N261" s="90">
        <v>493339.25</v>
      </c>
      <c r="O261" s="90">
        <v>2367883.44</v>
      </c>
      <c r="P261" s="90">
        <v>180410497.93000001</v>
      </c>
      <c r="Q261" s="90">
        <v>66642.13</v>
      </c>
      <c r="R261" s="90">
        <v>0</v>
      </c>
      <c r="S261" s="90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s="94" customFormat="1" ht="12.75" customHeight="1" x14ac:dyDescent="0.25">
      <c r="C262" s="101" t="s">
        <v>119</v>
      </c>
      <c r="D262" s="101" t="s">
        <v>70</v>
      </c>
      <c r="F262" s="93">
        <v>360488591.23000002</v>
      </c>
      <c r="G262" s="93">
        <v>84506915.819999993</v>
      </c>
      <c r="H262" s="93">
        <v>47600948.82</v>
      </c>
      <c r="I262" s="93">
        <v>25010206.739999998</v>
      </c>
      <c r="J262" s="93">
        <v>1634858.65</v>
      </c>
      <c r="K262" s="93">
        <v>31811.34</v>
      </c>
      <c r="L262" s="93">
        <v>0</v>
      </c>
      <c r="M262" s="93">
        <v>277377.05</v>
      </c>
      <c r="N262" s="93">
        <v>461530.97</v>
      </c>
      <c r="O262" s="93">
        <v>2078183.24</v>
      </c>
      <c r="P262" s="93">
        <v>198835172.84</v>
      </c>
      <c r="Q262" s="93">
        <v>51585.760000000002</v>
      </c>
      <c r="R262" s="93">
        <v>0</v>
      </c>
      <c r="S262" s="93">
        <v>0</v>
      </c>
      <c r="T262" s="94">
        <v>0</v>
      </c>
      <c r="U262" s="94">
        <v>0</v>
      </c>
      <c r="V262" s="94">
        <v>0</v>
      </c>
      <c r="W262" s="94">
        <v>0</v>
      </c>
      <c r="X262" s="94">
        <v>0</v>
      </c>
      <c r="Y262" s="94">
        <v>0</v>
      </c>
      <c r="Z262" s="94">
        <v>0</v>
      </c>
    </row>
    <row r="263" spans="1:26" s="226" customFormat="1" ht="12.75" customHeight="1" x14ac:dyDescent="0.25">
      <c r="A263" s="98"/>
      <c r="B263" s="98" t="s">
        <v>112</v>
      </c>
      <c r="C263" s="226" t="s">
        <v>70</v>
      </c>
      <c r="F263" s="100">
        <v>-727507851.86000001</v>
      </c>
      <c r="G263" s="100">
        <v>277306660.19</v>
      </c>
      <c r="H263" s="100">
        <v>156471024.80000001</v>
      </c>
      <c r="I263" s="100">
        <v>82216004.739999995</v>
      </c>
      <c r="J263" s="100">
        <v>-714231885.11000001</v>
      </c>
      <c r="K263" s="100">
        <v>-19687398.449999999</v>
      </c>
      <c r="L263" s="100">
        <v>0</v>
      </c>
      <c r="M263" s="100">
        <v>-172710653.40000001</v>
      </c>
      <c r="N263" s="100">
        <v>-167655637.88</v>
      </c>
      <c r="O263" s="100">
        <v>-793022761.70000005</v>
      </c>
      <c r="P263" s="100">
        <v>655925813.04999995</v>
      </c>
      <c r="Q263" s="100">
        <v>-32119018.100000001</v>
      </c>
      <c r="R263" s="100">
        <v>0</v>
      </c>
      <c r="S263" s="100">
        <v>0</v>
      </c>
      <c r="T263" s="226">
        <v>0</v>
      </c>
      <c r="U263" s="226">
        <v>0</v>
      </c>
      <c r="V263" s="226">
        <v>0</v>
      </c>
      <c r="W263" s="226">
        <v>0</v>
      </c>
      <c r="X263" s="226">
        <v>0</v>
      </c>
      <c r="Y263" s="226">
        <v>0</v>
      </c>
      <c r="Z263" s="226">
        <v>0</v>
      </c>
    </row>
    <row r="264" spans="1:26" ht="12.75" customHeight="1" x14ac:dyDescent="0.25">
      <c r="A264" s="89" t="s">
        <v>79</v>
      </c>
      <c r="B264" t="s">
        <v>70</v>
      </c>
      <c r="F264" s="90">
        <v>-727507851.86000001</v>
      </c>
      <c r="G264" s="90">
        <v>277306660.19</v>
      </c>
      <c r="H264" s="90">
        <v>156471024.80000001</v>
      </c>
      <c r="I264" s="90">
        <v>82216004.739999995</v>
      </c>
      <c r="J264" s="90">
        <v>-714231885.11000001</v>
      </c>
      <c r="K264" s="90">
        <v>-19687398.449999999</v>
      </c>
      <c r="L264" s="90">
        <v>0</v>
      </c>
      <c r="M264" s="90">
        <v>-172710653.40000001</v>
      </c>
      <c r="N264" s="90">
        <v>-167655637.88</v>
      </c>
      <c r="O264" s="90">
        <v>-793022761.70000005</v>
      </c>
      <c r="P264" s="90">
        <v>655925813.04999995</v>
      </c>
      <c r="Q264" s="90">
        <v>-32119018.100000001</v>
      </c>
      <c r="R264" s="90">
        <v>0</v>
      </c>
      <c r="S264" s="90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ht="12.75" customHeight="1" x14ac:dyDescent="0.25">
      <c r="A265" t="s">
        <v>70</v>
      </c>
      <c r="E265" s="89"/>
      <c r="F265" s="90">
        <v>16383092858.77</v>
      </c>
      <c r="G265" s="90">
        <v>1421323694.5799999</v>
      </c>
      <c r="H265" s="90">
        <v>801537003.80999994</v>
      </c>
      <c r="I265" s="90">
        <v>420983944.10000002</v>
      </c>
      <c r="J265" s="90">
        <v>3843639574.3400002</v>
      </c>
      <c r="K265" s="90">
        <v>107542267.09999999</v>
      </c>
      <c r="L265" s="90">
        <v>37341348.909999996</v>
      </c>
      <c r="M265" s="90">
        <v>942993234.28999996</v>
      </c>
      <c r="N265" s="90">
        <v>920841505.88</v>
      </c>
      <c r="O265" s="90">
        <v>4352907923.9799995</v>
      </c>
      <c r="P265" s="90">
        <v>3362330752.7199998</v>
      </c>
      <c r="Q265" s="90">
        <v>175508531.68000001</v>
      </c>
      <c r="R265" s="90">
        <v>116676.53</v>
      </c>
      <c r="S265" s="90">
        <v>-3973599.86</v>
      </c>
      <c r="T265" s="150">
        <v>0.71</v>
      </c>
      <c r="U265" s="150">
        <v>0</v>
      </c>
      <c r="V265" s="150">
        <v>0</v>
      </c>
      <c r="W265" s="150">
        <v>0</v>
      </c>
      <c r="X265">
        <v>0</v>
      </c>
      <c r="Y265">
        <v>0</v>
      </c>
      <c r="Z265">
        <v>0</v>
      </c>
    </row>
    <row r="266" spans="1:26" ht="12.75" hidden="1" customHeight="1" x14ac:dyDescent="0.25">
      <c r="A266" s="89"/>
      <c r="B266" s="89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spans="1:26" ht="12.75" hidden="1" customHeight="1" x14ac:dyDescent="0.25">
      <c r="E267" s="89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spans="1:26" ht="12.75" hidden="1" customHeight="1" x14ac:dyDescent="0.25">
      <c r="D268" s="89"/>
      <c r="E268" s="89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26" ht="12.75" hidden="1" customHeight="1" x14ac:dyDescent="0.25">
      <c r="D269" s="89"/>
      <c r="E269" s="89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spans="1:26" ht="12.75" hidden="1" customHeight="1" x14ac:dyDescent="0.25">
      <c r="E270" s="89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26" ht="12.75" hidden="1" customHeight="1" x14ac:dyDescent="0.25">
      <c r="D271" s="89"/>
      <c r="E271" s="89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spans="1:26" ht="12.75" hidden="1" customHeight="1" x14ac:dyDescent="0.25">
      <c r="E272" s="89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spans="1:19" ht="12.75" hidden="1" customHeight="1" x14ac:dyDescent="0.25">
      <c r="D273" s="89"/>
      <c r="E273" s="89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19" ht="12.75" hidden="1" customHeight="1" x14ac:dyDescent="0.25">
      <c r="E274" s="89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spans="1:19" ht="12.75" hidden="1" customHeight="1" x14ac:dyDescent="0.25">
      <c r="D275" s="89"/>
      <c r="E275" s="89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19" ht="12.75" hidden="1" customHeight="1" x14ac:dyDescent="0.25">
      <c r="C276" s="89"/>
      <c r="D276" s="89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spans="1:19" ht="12.75" hidden="1" customHeight="1" x14ac:dyDescent="0.25">
      <c r="E277" s="89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spans="1:19" ht="12.75" hidden="1" customHeight="1" x14ac:dyDescent="0.25">
      <c r="D278" s="89"/>
      <c r="E278" s="89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19" ht="12.75" hidden="1" customHeight="1" x14ac:dyDescent="0.25">
      <c r="E279" s="89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spans="1:19" ht="12.75" hidden="1" customHeight="1" x14ac:dyDescent="0.25"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19" ht="12.75" hidden="1" customHeight="1" x14ac:dyDescent="0.25"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19" ht="12.75" hidden="1" customHeight="1" x14ac:dyDescent="0.25">
      <c r="B282" s="89"/>
      <c r="C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19" ht="12.75" hidden="1" customHeight="1" x14ac:dyDescent="0.25">
      <c r="A283" s="89"/>
      <c r="B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19" ht="12.75" hidden="1" customHeight="1" x14ac:dyDescent="0.25">
      <c r="A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19" ht="12.75" hidden="1" customHeight="1" x14ac:dyDescent="0.25">
      <c r="A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19" ht="12.75" hidden="1" customHeight="1" x14ac:dyDescent="0.25">
      <c r="A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19" ht="12.75" hidden="1" customHeight="1" x14ac:dyDescent="0.25">
      <c r="A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19" ht="12.75" hidden="1" customHeight="1" x14ac:dyDescent="0.25">
      <c r="A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23" ht="12.75" hidden="1" customHeight="1" x14ac:dyDescent="0.25">
      <c r="A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150"/>
      <c r="U289" s="150"/>
      <c r="V289" s="150"/>
      <c r="W289" s="150"/>
    </row>
    <row r="290" spans="1:23" ht="12.75" hidden="1" customHeight="1" x14ac:dyDescent="0.25">
      <c r="A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150"/>
      <c r="U290" s="150"/>
      <c r="V290" s="150"/>
      <c r="W290" s="150"/>
    </row>
    <row r="291" spans="1:23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150"/>
      <c r="U291" s="150"/>
      <c r="V291" s="150"/>
      <c r="W291" s="150"/>
    </row>
    <row r="292" spans="1:23" ht="12.75" hidden="1" customHeight="1" x14ac:dyDescent="0.25">
      <c r="A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150"/>
      <c r="U292" s="150"/>
      <c r="V292" s="150"/>
      <c r="W292" s="150"/>
    </row>
    <row r="293" spans="1:23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150"/>
      <c r="U293" s="150"/>
      <c r="V293" s="150"/>
      <c r="W293" s="150"/>
    </row>
    <row r="294" spans="1:23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150"/>
      <c r="U294" s="150"/>
      <c r="V294" s="150"/>
      <c r="W294" s="150"/>
    </row>
    <row r="295" spans="1:23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150"/>
      <c r="U295" s="150"/>
      <c r="V295" s="150"/>
      <c r="W295" s="150"/>
    </row>
    <row r="296" spans="1:23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150"/>
      <c r="U296" s="150"/>
      <c r="V296" s="150"/>
      <c r="W296" s="150"/>
    </row>
    <row r="297" spans="1:23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150"/>
      <c r="U297" s="150"/>
      <c r="V297" s="150"/>
      <c r="W297" s="150"/>
    </row>
    <row r="298" spans="1:23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150"/>
      <c r="U298" s="150"/>
      <c r="V298" s="150"/>
      <c r="W298" s="150"/>
    </row>
    <row r="299" spans="1:23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150"/>
      <c r="U299" s="150"/>
      <c r="V299" s="150"/>
      <c r="W299" s="150"/>
    </row>
    <row r="300" spans="1:23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150"/>
      <c r="U300" s="150"/>
      <c r="V300" s="150"/>
      <c r="W300" s="150"/>
    </row>
    <row r="301" spans="1:23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150"/>
      <c r="U301" s="150"/>
      <c r="V301" s="150"/>
      <c r="W301" s="150"/>
    </row>
    <row r="302" spans="1:23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150"/>
      <c r="U302" s="150"/>
      <c r="V302" s="150"/>
      <c r="W302" s="150"/>
    </row>
    <row r="303" spans="1:23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150"/>
      <c r="U303" s="150"/>
      <c r="V303" s="150"/>
      <c r="W303" s="150"/>
    </row>
    <row r="304" spans="1:23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150"/>
      <c r="U304" s="150"/>
      <c r="V304" s="150"/>
      <c r="W304" s="150"/>
    </row>
    <row r="305" spans="1:23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150"/>
      <c r="U305" s="150"/>
      <c r="V305" s="150"/>
      <c r="W305" s="150"/>
    </row>
    <row r="306" spans="1:23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150"/>
      <c r="U306" s="150"/>
      <c r="V306" s="150"/>
      <c r="W306" s="150"/>
    </row>
    <row r="307" spans="1:23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23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23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23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23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23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23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23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23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23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150"/>
      <c r="U316" s="150"/>
      <c r="V316" s="150"/>
      <c r="W316" s="150"/>
    </row>
    <row r="317" spans="1:23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150"/>
      <c r="U317" s="150"/>
      <c r="V317" s="150"/>
      <c r="W317" s="150"/>
    </row>
    <row r="318" spans="1:23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150"/>
      <c r="U318" s="150"/>
      <c r="V318" s="150"/>
      <c r="W318" s="150"/>
    </row>
    <row r="319" spans="1:23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150"/>
      <c r="U319" s="150"/>
      <c r="V319" s="150"/>
      <c r="W319" s="150"/>
    </row>
    <row r="320" spans="1:23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150"/>
      <c r="U320" s="150"/>
      <c r="V320" s="150"/>
      <c r="W320" s="150"/>
    </row>
    <row r="321" spans="1:41" ht="12.75" hidden="1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150"/>
      <c r="U321" s="150"/>
      <c r="V321" s="150"/>
      <c r="W321" s="150"/>
    </row>
    <row r="322" spans="1:41" ht="12.75" hidden="1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150"/>
      <c r="U322" s="150"/>
      <c r="V322" s="150"/>
      <c r="W322" s="150"/>
    </row>
    <row r="323" spans="1:41" ht="12.75" customHeight="1" x14ac:dyDescent="0.25">
      <c r="A323" s="89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150"/>
      <c r="U323" s="150"/>
      <c r="V323" s="150"/>
      <c r="W323" s="150"/>
    </row>
    <row r="324" spans="1:41" ht="12.75" customHeight="1" x14ac:dyDescent="0.25">
      <c r="A324" s="89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150"/>
      <c r="U324" s="150"/>
      <c r="V324" s="150"/>
      <c r="W324" s="150"/>
    </row>
    <row r="325" spans="1:41" ht="12.75" customHeight="1" x14ac:dyDescent="0.25">
      <c r="C325" s="774" t="s">
        <v>2</v>
      </c>
      <c r="D325" s="772" t="s">
        <v>132</v>
      </c>
      <c r="E325" s="98" t="s">
        <v>70</v>
      </c>
      <c r="F325" s="100">
        <f>F251+F263+F235-L235-L251</f>
        <v>16345751509.859999</v>
      </c>
      <c r="G325" s="100">
        <f t="shared" ref="G325:AO325" si="14">G251+G235</f>
        <v>1144017034.3900001</v>
      </c>
      <c r="H325" s="100">
        <f t="shared" si="14"/>
        <v>645065979.00999999</v>
      </c>
      <c r="I325" s="100">
        <f t="shared" si="14"/>
        <v>338767939.36000001</v>
      </c>
      <c r="J325" s="100">
        <f t="shared" si="14"/>
        <v>4557871459.4499998</v>
      </c>
      <c r="K325" s="100">
        <f t="shared" si="14"/>
        <v>127229665.55</v>
      </c>
      <c r="L325" s="100">
        <f t="shared" si="14"/>
        <v>37341348.909999996</v>
      </c>
      <c r="M325" s="100">
        <f t="shared" si="14"/>
        <v>1115703887.6900001</v>
      </c>
      <c r="N325" s="100">
        <f t="shared" si="14"/>
        <v>1088497143.76</v>
      </c>
      <c r="O325" s="100">
        <f t="shared" si="14"/>
        <v>5145930685.6800003</v>
      </c>
      <c r="P325" s="100">
        <f t="shared" si="14"/>
        <v>2706404939.6700001</v>
      </c>
      <c r="Q325" s="100">
        <f t="shared" si="14"/>
        <v>207627549.78</v>
      </c>
      <c r="R325" s="100">
        <f t="shared" si="14"/>
        <v>116676.53</v>
      </c>
      <c r="S325" s="100">
        <f t="shared" si="14"/>
        <v>-3973599.86</v>
      </c>
      <c r="T325" s="100">
        <f t="shared" si="14"/>
        <v>0.71</v>
      </c>
      <c r="U325" s="100">
        <f t="shared" si="14"/>
        <v>0</v>
      </c>
      <c r="V325" s="100">
        <f t="shared" si="14"/>
        <v>0</v>
      </c>
      <c r="W325" s="100">
        <f t="shared" si="14"/>
        <v>0</v>
      </c>
      <c r="X325" s="100">
        <f t="shared" si="14"/>
        <v>0</v>
      </c>
      <c r="Y325" s="100">
        <f t="shared" si="14"/>
        <v>0</v>
      </c>
      <c r="Z325" s="100">
        <f t="shared" si="14"/>
        <v>0</v>
      </c>
      <c r="AA325" s="100">
        <f t="shared" si="14"/>
        <v>0</v>
      </c>
      <c r="AB325" s="100">
        <f t="shared" si="14"/>
        <v>0</v>
      </c>
      <c r="AC325" s="100">
        <f t="shared" si="14"/>
        <v>0</v>
      </c>
      <c r="AD325" s="100">
        <f t="shared" si="14"/>
        <v>0</v>
      </c>
      <c r="AE325" s="100">
        <f t="shared" si="14"/>
        <v>0</v>
      </c>
      <c r="AF325" s="100">
        <f t="shared" si="14"/>
        <v>0</v>
      </c>
      <c r="AG325" s="100">
        <f t="shared" si="14"/>
        <v>0</v>
      </c>
      <c r="AH325" s="100">
        <f t="shared" si="14"/>
        <v>0</v>
      </c>
      <c r="AI325" s="100">
        <f t="shared" si="14"/>
        <v>0</v>
      </c>
      <c r="AJ325" s="100">
        <f t="shared" si="14"/>
        <v>0</v>
      </c>
      <c r="AK325" s="100">
        <f t="shared" si="14"/>
        <v>0</v>
      </c>
      <c r="AL325" s="100">
        <f t="shared" si="14"/>
        <v>0</v>
      </c>
      <c r="AM325" s="100">
        <f t="shared" si="14"/>
        <v>0</v>
      </c>
      <c r="AN325" s="100">
        <f t="shared" si="14"/>
        <v>0</v>
      </c>
      <c r="AO325" s="100">
        <f t="shared" si="14"/>
        <v>0</v>
      </c>
    </row>
    <row r="326" spans="1:41" ht="12.75" customHeight="1" x14ac:dyDescent="0.25">
      <c r="C326" s="774"/>
      <c r="D326" s="772"/>
      <c r="E326" s="98" t="s">
        <v>73</v>
      </c>
      <c r="F326" s="100">
        <f>F263</f>
        <v>-727507851.86000001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 spans="1:41" ht="12.75" customHeight="1" x14ac:dyDescent="0.25">
      <c r="A327" s="90"/>
      <c r="C327" s="774"/>
      <c r="D327" s="772" t="s">
        <v>133</v>
      </c>
      <c r="E327" s="233" t="s">
        <v>70</v>
      </c>
      <c r="F327" s="234">
        <v>0</v>
      </c>
      <c r="G327" s="234">
        <v>0</v>
      </c>
      <c r="H327" s="234">
        <v>0</v>
      </c>
      <c r="I327" s="234">
        <v>0</v>
      </c>
      <c r="J327" s="234">
        <v>0</v>
      </c>
      <c r="K327" s="234">
        <v>0</v>
      </c>
      <c r="L327" s="234">
        <v>0</v>
      </c>
      <c r="M327" s="234">
        <v>0</v>
      </c>
      <c r="N327" s="234">
        <v>0</v>
      </c>
      <c r="O327" s="234">
        <v>0</v>
      </c>
      <c r="P327" s="234">
        <v>0</v>
      </c>
      <c r="Q327" s="234">
        <v>0</v>
      </c>
      <c r="R327" s="234">
        <v>0</v>
      </c>
      <c r="S327" s="234">
        <v>0</v>
      </c>
      <c r="T327" s="234">
        <v>0</v>
      </c>
      <c r="U327" s="234">
        <v>0</v>
      </c>
      <c r="V327" s="234">
        <v>0</v>
      </c>
      <c r="W327" s="234">
        <v>0</v>
      </c>
      <c r="X327" s="234">
        <v>0</v>
      </c>
      <c r="Y327" s="234">
        <v>0</v>
      </c>
      <c r="Z327" s="234">
        <v>0</v>
      </c>
      <c r="AA327" s="234">
        <v>0</v>
      </c>
      <c r="AB327" s="234">
        <v>0</v>
      </c>
      <c r="AC327" s="234">
        <v>0</v>
      </c>
      <c r="AD327" s="234">
        <v>0</v>
      </c>
      <c r="AE327" s="234">
        <v>0</v>
      </c>
      <c r="AF327" s="234">
        <v>0</v>
      </c>
      <c r="AG327" s="234">
        <v>0</v>
      </c>
      <c r="AH327" s="234">
        <v>0</v>
      </c>
      <c r="AI327" s="234">
        <v>0</v>
      </c>
      <c r="AJ327" s="234">
        <v>0</v>
      </c>
      <c r="AK327" s="234">
        <v>0</v>
      </c>
      <c r="AL327" s="234">
        <v>0</v>
      </c>
      <c r="AM327" s="234">
        <v>0</v>
      </c>
      <c r="AN327" s="234">
        <v>0</v>
      </c>
      <c r="AO327" s="234">
        <v>0</v>
      </c>
    </row>
    <row r="328" spans="1:41" ht="12.75" customHeight="1" x14ac:dyDescent="0.25">
      <c r="C328" s="774"/>
      <c r="D328" s="772"/>
      <c r="E328" s="233" t="s">
        <v>73</v>
      </c>
      <c r="F328" s="234">
        <v>0</v>
      </c>
      <c r="G328" s="371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</row>
    <row r="329" spans="1:41" ht="12.75" customHeight="1" x14ac:dyDescent="0.25">
      <c r="A329" s="89"/>
      <c r="C329" s="97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1" ht="12.75" customHeight="1" x14ac:dyDescent="0.25">
      <c r="C330" s="774" t="s">
        <v>160</v>
      </c>
      <c r="D330" s="772" t="s">
        <v>132</v>
      </c>
      <c r="E330" s="223" t="s">
        <v>70</v>
      </c>
      <c r="F330" s="225">
        <v>0</v>
      </c>
      <c r="G330" s="225">
        <v>0</v>
      </c>
      <c r="H330" s="225">
        <v>0</v>
      </c>
      <c r="I330" s="225">
        <v>0</v>
      </c>
      <c r="J330" s="225">
        <v>0</v>
      </c>
      <c r="K330" s="225">
        <v>0</v>
      </c>
      <c r="L330" s="225">
        <v>0</v>
      </c>
      <c r="M330" s="225">
        <v>0</v>
      </c>
      <c r="N330" s="225">
        <v>0</v>
      </c>
      <c r="O330" s="225">
        <v>0</v>
      </c>
      <c r="P330" s="225">
        <v>0</v>
      </c>
      <c r="Q330" s="225">
        <v>0</v>
      </c>
      <c r="R330" s="225">
        <v>0</v>
      </c>
      <c r="S330" s="225">
        <v>0</v>
      </c>
      <c r="T330" s="225">
        <v>0</v>
      </c>
      <c r="U330" s="225"/>
      <c r="V330" s="225"/>
      <c r="W330" s="225"/>
      <c r="X330" s="225">
        <v>0</v>
      </c>
      <c r="Y330" s="225">
        <v>0</v>
      </c>
      <c r="Z330" s="225">
        <v>0</v>
      </c>
      <c r="AA330" s="225">
        <v>0</v>
      </c>
      <c r="AB330" s="225">
        <v>0</v>
      </c>
      <c r="AC330" s="225">
        <v>0</v>
      </c>
      <c r="AD330" s="225">
        <v>0</v>
      </c>
      <c r="AE330" s="225">
        <v>0</v>
      </c>
      <c r="AF330" s="225">
        <v>0</v>
      </c>
      <c r="AG330" s="225">
        <v>0</v>
      </c>
      <c r="AH330" s="225">
        <v>0</v>
      </c>
      <c r="AI330" s="225">
        <v>0</v>
      </c>
      <c r="AJ330" s="225">
        <v>0</v>
      </c>
      <c r="AK330" s="225">
        <v>0</v>
      </c>
      <c r="AL330" s="225">
        <v>0</v>
      </c>
      <c r="AM330" s="225">
        <v>0</v>
      </c>
      <c r="AN330" s="225">
        <v>0</v>
      </c>
      <c r="AO330" s="225">
        <v>0</v>
      </c>
    </row>
    <row r="331" spans="1:41" ht="12.75" customHeight="1" x14ac:dyDescent="0.25">
      <c r="C331" s="774"/>
      <c r="D331" s="772"/>
      <c r="E331" s="223" t="s">
        <v>73</v>
      </c>
      <c r="F331" s="225"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</row>
    <row r="332" spans="1:41" ht="12.75" customHeight="1" x14ac:dyDescent="0.25">
      <c r="C332" s="774"/>
      <c r="D332" s="772" t="s">
        <v>133</v>
      </c>
      <c r="E332" s="227" t="s">
        <v>70</v>
      </c>
      <c r="F332" s="228">
        <v>0</v>
      </c>
      <c r="G332" s="228">
        <v>0</v>
      </c>
      <c r="H332" s="228">
        <v>0</v>
      </c>
      <c r="I332" s="228">
        <v>0</v>
      </c>
      <c r="J332" s="228">
        <v>0</v>
      </c>
      <c r="K332" s="228">
        <v>0</v>
      </c>
      <c r="L332" s="228">
        <v>0</v>
      </c>
      <c r="M332" s="228">
        <v>0</v>
      </c>
      <c r="N332" s="228">
        <v>0</v>
      </c>
      <c r="O332" s="228">
        <v>0</v>
      </c>
      <c r="P332" s="228">
        <v>0</v>
      </c>
      <c r="Q332" s="228">
        <v>0</v>
      </c>
      <c r="R332" s="228">
        <v>0</v>
      </c>
      <c r="S332" s="228">
        <v>0</v>
      </c>
      <c r="T332" s="228">
        <v>0</v>
      </c>
      <c r="U332" s="228"/>
      <c r="V332" s="228"/>
      <c r="W332" s="228"/>
      <c r="X332" s="228">
        <v>0</v>
      </c>
      <c r="Y332" s="228">
        <v>0</v>
      </c>
      <c r="Z332" s="228">
        <v>0</v>
      </c>
      <c r="AA332" s="228">
        <v>0</v>
      </c>
      <c r="AB332" s="228">
        <v>0</v>
      </c>
      <c r="AC332" s="228">
        <v>0</v>
      </c>
      <c r="AD332" s="228">
        <v>0</v>
      </c>
      <c r="AE332" s="228">
        <v>0</v>
      </c>
      <c r="AF332" s="228">
        <v>0</v>
      </c>
      <c r="AG332" s="228">
        <v>0</v>
      </c>
      <c r="AH332" s="228">
        <v>0</v>
      </c>
      <c r="AI332" s="228">
        <v>0</v>
      </c>
      <c r="AJ332" s="228">
        <v>0</v>
      </c>
      <c r="AK332" s="228">
        <v>0</v>
      </c>
      <c r="AL332" s="228">
        <v>0</v>
      </c>
      <c r="AM332" s="228">
        <v>0</v>
      </c>
      <c r="AN332" s="228">
        <v>0</v>
      </c>
      <c r="AO332" s="228">
        <v>0</v>
      </c>
    </row>
    <row r="333" spans="1:41" ht="12.75" customHeight="1" x14ac:dyDescent="0.25">
      <c r="C333" s="774"/>
      <c r="D333" s="772"/>
      <c r="E333" s="227" t="s">
        <v>73</v>
      </c>
      <c r="F333" s="228">
        <v>0</v>
      </c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</row>
    <row r="334" spans="1:41" ht="12.75" customHeight="1" x14ac:dyDescent="0.25">
      <c r="A334" s="89"/>
      <c r="C334" s="97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1" ht="12.75" customHeight="1" x14ac:dyDescent="0.25">
      <c r="C335" s="774" t="s">
        <v>155</v>
      </c>
      <c r="D335" s="772" t="s">
        <v>132</v>
      </c>
      <c r="E335" s="221" t="s">
        <v>70</v>
      </c>
      <c r="F335" s="222">
        <f>F255+F240+F231-L231-L240</f>
        <v>15104590625.32</v>
      </c>
      <c r="G335" s="222">
        <f>G240+G231</f>
        <v>977178527.63</v>
      </c>
      <c r="H335" s="222">
        <f t="shared" ref="H335:AO335" si="15">H240+H231</f>
        <v>551056280.5</v>
      </c>
      <c r="I335" s="222">
        <f t="shared" si="15"/>
        <v>289431584.65999997</v>
      </c>
      <c r="J335" s="222">
        <f t="shared" si="15"/>
        <v>4499851534.6700001</v>
      </c>
      <c r="K335" s="222">
        <f t="shared" si="15"/>
        <v>125648191.51000001</v>
      </c>
      <c r="L335" s="222">
        <f t="shared" si="15"/>
        <v>20303160.68</v>
      </c>
      <c r="M335" s="222">
        <f t="shared" si="15"/>
        <v>1101857554.4399998</v>
      </c>
      <c r="N335" s="222">
        <f t="shared" si="15"/>
        <v>1069638594.86</v>
      </c>
      <c r="O335" s="222">
        <f t="shared" si="15"/>
        <v>5058233706.5500002</v>
      </c>
      <c r="P335" s="222">
        <f t="shared" si="15"/>
        <v>2314522158.6800003</v>
      </c>
      <c r="Q335" s="222">
        <f t="shared" si="15"/>
        <v>205051305.75999999</v>
      </c>
      <c r="R335" s="222">
        <f t="shared" si="15"/>
        <v>117628.53</v>
      </c>
      <c r="S335" s="222">
        <f t="shared" si="15"/>
        <v>0</v>
      </c>
      <c r="T335" s="222">
        <f t="shared" si="15"/>
        <v>0.62</v>
      </c>
      <c r="U335" s="222">
        <f t="shared" si="15"/>
        <v>0</v>
      </c>
      <c r="V335" s="222">
        <f t="shared" si="15"/>
        <v>0</v>
      </c>
      <c r="W335" s="222">
        <f t="shared" si="15"/>
        <v>0</v>
      </c>
      <c r="X335" s="222">
        <f t="shared" si="15"/>
        <v>0</v>
      </c>
      <c r="Y335" s="222">
        <f t="shared" si="15"/>
        <v>0</v>
      </c>
      <c r="Z335" s="222">
        <f t="shared" si="15"/>
        <v>0</v>
      </c>
      <c r="AA335" s="222">
        <f t="shared" si="15"/>
        <v>0</v>
      </c>
      <c r="AB335" s="222">
        <f t="shared" si="15"/>
        <v>0</v>
      </c>
      <c r="AC335" s="222">
        <f t="shared" si="15"/>
        <v>0</v>
      </c>
      <c r="AD335" s="222">
        <f t="shared" si="15"/>
        <v>0</v>
      </c>
      <c r="AE335" s="222">
        <f t="shared" si="15"/>
        <v>0</v>
      </c>
      <c r="AF335" s="222">
        <f t="shared" si="15"/>
        <v>0</v>
      </c>
      <c r="AG335" s="222">
        <f t="shared" si="15"/>
        <v>0</v>
      </c>
      <c r="AH335" s="222">
        <f t="shared" si="15"/>
        <v>0</v>
      </c>
      <c r="AI335" s="222">
        <f t="shared" si="15"/>
        <v>0</v>
      </c>
      <c r="AJ335" s="222">
        <f t="shared" si="15"/>
        <v>0</v>
      </c>
      <c r="AK335" s="222">
        <f t="shared" si="15"/>
        <v>0</v>
      </c>
      <c r="AL335" s="222">
        <f t="shared" si="15"/>
        <v>0</v>
      </c>
      <c r="AM335" s="222">
        <f t="shared" si="15"/>
        <v>0</v>
      </c>
      <c r="AN335" s="222">
        <f t="shared" si="15"/>
        <v>0</v>
      </c>
      <c r="AO335" s="222">
        <f t="shared" si="15"/>
        <v>0</v>
      </c>
    </row>
    <row r="336" spans="1:41" ht="12.75" customHeight="1" x14ac:dyDescent="0.25">
      <c r="C336" s="774"/>
      <c r="D336" s="772"/>
      <c r="E336" s="221" t="s">
        <v>73</v>
      </c>
      <c r="F336" s="222">
        <f>F255</f>
        <v>-1087996443.0899999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</row>
    <row r="337" spans="1:41" ht="12.75" customHeight="1" x14ac:dyDescent="0.25">
      <c r="C337" s="774"/>
      <c r="D337" s="772" t="s">
        <v>133</v>
      </c>
      <c r="E337" s="229" t="s">
        <v>70</v>
      </c>
      <c r="F337" s="230">
        <v>0</v>
      </c>
      <c r="G337" s="230">
        <v>0</v>
      </c>
      <c r="H337" s="230">
        <v>0</v>
      </c>
      <c r="I337" s="230">
        <v>0</v>
      </c>
      <c r="J337" s="230">
        <v>0</v>
      </c>
      <c r="K337" s="230">
        <v>0</v>
      </c>
      <c r="L337" s="230">
        <v>0</v>
      </c>
      <c r="M337" s="230">
        <v>0</v>
      </c>
      <c r="N337" s="230">
        <v>0</v>
      </c>
      <c r="O337" s="230">
        <v>0</v>
      </c>
      <c r="P337" s="230">
        <v>0</v>
      </c>
      <c r="Q337" s="230">
        <v>0</v>
      </c>
      <c r="R337" s="230">
        <v>0</v>
      </c>
      <c r="S337" s="230">
        <v>0</v>
      </c>
      <c r="T337" s="230">
        <v>0</v>
      </c>
      <c r="U337" s="230">
        <v>0</v>
      </c>
      <c r="V337" s="230">
        <v>0</v>
      </c>
      <c r="W337" s="230">
        <v>0</v>
      </c>
      <c r="X337" s="230">
        <v>0</v>
      </c>
      <c r="Y337" s="230">
        <v>0</v>
      </c>
      <c r="Z337" s="230">
        <v>0</v>
      </c>
      <c r="AA337" s="230">
        <v>0</v>
      </c>
      <c r="AB337" s="230">
        <v>0</v>
      </c>
      <c r="AC337" s="230">
        <v>0</v>
      </c>
      <c r="AD337" s="230">
        <v>0</v>
      </c>
      <c r="AE337" s="230">
        <v>0</v>
      </c>
      <c r="AF337" s="230">
        <v>0</v>
      </c>
      <c r="AG337" s="230">
        <v>0</v>
      </c>
      <c r="AH337" s="230">
        <v>0</v>
      </c>
      <c r="AI337" s="230">
        <v>0</v>
      </c>
      <c r="AJ337" s="230">
        <v>0</v>
      </c>
      <c r="AK337" s="230">
        <v>0</v>
      </c>
      <c r="AL337" s="230">
        <v>0</v>
      </c>
      <c r="AM337" s="230">
        <v>0</v>
      </c>
      <c r="AN337" s="230">
        <v>0</v>
      </c>
      <c r="AO337" s="230">
        <v>0</v>
      </c>
    </row>
    <row r="338" spans="1:41" ht="12.75" customHeight="1" x14ac:dyDescent="0.25">
      <c r="C338" s="774"/>
      <c r="D338" s="772"/>
      <c r="E338" s="229" t="s">
        <v>73</v>
      </c>
      <c r="F338" s="230">
        <v>0</v>
      </c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</row>
    <row r="339" spans="1:41" ht="12.75" customHeight="1" x14ac:dyDescent="0.25">
      <c r="A339" s="89"/>
      <c r="C339" s="97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1" ht="12.75" customHeight="1" x14ac:dyDescent="0.25">
      <c r="C340" s="775" t="s">
        <v>327</v>
      </c>
      <c r="D340" s="772" t="s">
        <v>132</v>
      </c>
      <c r="E340" s="373" t="s">
        <v>70</v>
      </c>
      <c r="F340" s="374">
        <v>0</v>
      </c>
      <c r="G340" s="374">
        <v>0</v>
      </c>
      <c r="H340" s="374">
        <v>0</v>
      </c>
      <c r="I340" s="374">
        <v>0</v>
      </c>
      <c r="J340" s="374">
        <v>0</v>
      </c>
      <c r="K340" s="374">
        <v>0</v>
      </c>
      <c r="L340" s="374">
        <v>0</v>
      </c>
      <c r="M340" s="374">
        <v>0</v>
      </c>
      <c r="N340" s="374">
        <v>0</v>
      </c>
      <c r="O340" s="374">
        <v>0</v>
      </c>
      <c r="P340" s="374">
        <v>0</v>
      </c>
      <c r="Q340" s="374">
        <v>0</v>
      </c>
      <c r="R340" s="374">
        <v>0</v>
      </c>
      <c r="S340" s="374">
        <v>0</v>
      </c>
      <c r="T340" s="374">
        <v>0</v>
      </c>
      <c r="U340" s="374">
        <v>0</v>
      </c>
      <c r="V340" s="374">
        <v>0</v>
      </c>
      <c r="W340" s="374">
        <v>0</v>
      </c>
      <c r="X340" s="374">
        <v>0</v>
      </c>
      <c r="Y340" s="374">
        <v>0</v>
      </c>
      <c r="Z340" s="374">
        <v>0</v>
      </c>
      <c r="AA340" s="374">
        <v>0</v>
      </c>
      <c r="AB340" s="374">
        <v>0</v>
      </c>
      <c r="AC340" s="374">
        <v>0</v>
      </c>
      <c r="AD340" s="374">
        <v>0</v>
      </c>
      <c r="AE340" s="374">
        <v>0</v>
      </c>
      <c r="AF340" s="374">
        <v>0</v>
      </c>
      <c r="AG340" s="374">
        <v>0</v>
      </c>
      <c r="AH340" s="374">
        <v>0</v>
      </c>
      <c r="AI340" s="374">
        <v>0</v>
      </c>
      <c r="AJ340" s="374">
        <v>0</v>
      </c>
      <c r="AK340" s="374">
        <v>0</v>
      </c>
      <c r="AL340" s="374">
        <v>0</v>
      </c>
      <c r="AM340" s="374">
        <v>0</v>
      </c>
      <c r="AN340" s="374">
        <v>0</v>
      </c>
      <c r="AO340" s="374">
        <v>0</v>
      </c>
    </row>
    <row r="341" spans="1:41" ht="12.75" customHeight="1" x14ac:dyDescent="0.25">
      <c r="C341" s="775"/>
      <c r="D341" s="772"/>
      <c r="E341" s="373" t="s">
        <v>73</v>
      </c>
      <c r="F341" s="374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</row>
    <row r="342" spans="1:41" ht="12.75" customHeight="1" x14ac:dyDescent="0.25">
      <c r="C342" s="775"/>
      <c r="D342" s="772" t="s">
        <v>133</v>
      </c>
      <c r="E342" s="242" t="s">
        <v>70</v>
      </c>
      <c r="F342" s="243">
        <v>0</v>
      </c>
      <c r="G342" s="243">
        <v>0</v>
      </c>
      <c r="H342" s="243">
        <v>0</v>
      </c>
      <c r="I342" s="243">
        <v>0</v>
      </c>
      <c r="J342" s="243">
        <v>0</v>
      </c>
      <c r="K342" s="243">
        <v>0</v>
      </c>
      <c r="L342" s="243">
        <v>0</v>
      </c>
      <c r="M342" s="243">
        <v>0</v>
      </c>
      <c r="N342" s="243">
        <v>0</v>
      </c>
      <c r="O342" s="243">
        <v>0</v>
      </c>
      <c r="P342" s="243">
        <v>0</v>
      </c>
      <c r="Q342" s="243">
        <v>0</v>
      </c>
      <c r="R342" s="243">
        <v>0</v>
      </c>
      <c r="S342" s="243">
        <v>0</v>
      </c>
      <c r="T342" s="243">
        <v>0</v>
      </c>
      <c r="U342" s="243">
        <v>0</v>
      </c>
      <c r="V342" s="243">
        <v>0</v>
      </c>
      <c r="W342" s="243">
        <v>0</v>
      </c>
      <c r="X342" s="243">
        <v>0</v>
      </c>
      <c r="Y342" s="243">
        <v>0</v>
      </c>
      <c r="Z342" s="243">
        <v>0</v>
      </c>
      <c r="AA342" s="243">
        <v>0</v>
      </c>
      <c r="AB342" s="243">
        <v>0</v>
      </c>
      <c r="AC342" s="243">
        <v>0</v>
      </c>
      <c r="AD342" s="243">
        <v>0</v>
      </c>
      <c r="AE342" s="243">
        <v>0</v>
      </c>
      <c r="AF342" s="243">
        <v>0</v>
      </c>
      <c r="AG342" s="243">
        <v>0</v>
      </c>
      <c r="AH342" s="243">
        <v>0</v>
      </c>
      <c r="AI342" s="243">
        <v>0</v>
      </c>
      <c r="AJ342" s="243">
        <v>0</v>
      </c>
      <c r="AK342" s="243">
        <v>0</v>
      </c>
      <c r="AL342" s="243">
        <v>0</v>
      </c>
      <c r="AM342" s="243">
        <v>0</v>
      </c>
      <c r="AN342" s="243">
        <v>0</v>
      </c>
      <c r="AO342" s="243">
        <v>0</v>
      </c>
    </row>
    <row r="343" spans="1:41" ht="12.75" customHeight="1" x14ac:dyDescent="0.25">
      <c r="C343" s="775"/>
      <c r="D343" s="772"/>
      <c r="E343" s="242" t="s">
        <v>73</v>
      </c>
      <c r="F343" s="243">
        <v>0</v>
      </c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</row>
    <row r="344" spans="1:41" ht="12.75" customHeight="1" x14ac:dyDescent="0.25">
      <c r="A344" s="89"/>
      <c r="C344" s="97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1" ht="12.75" customHeight="1" x14ac:dyDescent="0.25">
      <c r="C345" s="774" t="s">
        <v>119</v>
      </c>
      <c r="D345" s="772" t="s">
        <v>132</v>
      </c>
      <c r="E345" s="101" t="s">
        <v>70</v>
      </c>
      <c r="F345" s="93">
        <f>F262+F250+F234-L234-L250</f>
        <v>1241160884.5400002</v>
      </c>
      <c r="G345" s="93">
        <f t="shared" ref="G345:AO345" si="16">G250+G234</f>
        <v>166838506.75999999</v>
      </c>
      <c r="H345" s="93">
        <f t="shared" si="16"/>
        <v>94009698.510000005</v>
      </c>
      <c r="I345" s="93">
        <f t="shared" si="16"/>
        <v>49336354.700000003</v>
      </c>
      <c r="J345" s="93">
        <f t="shared" si="16"/>
        <v>58019924.780000001</v>
      </c>
      <c r="K345" s="93">
        <f t="shared" si="16"/>
        <v>1581474.04</v>
      </c>
      <c r="L345" s="93">
        <f t="shared" si="16"/>
        <v>17038188.23</v>
      </c>
      <c r="M345" s="93">
        <f t="shared" si="16"/>
        <v>13846333.25</v>
      </c>
      <c r="N345" s="93">
        <f t="shared" si="16"/>
        <v>18858548.899999999</v>
      </c>
      <c r="O345" s="93">
        <f t="shared" si="16"/>
        <v>87696979.13000001</v>
      </c>
      <c r="P345" s="93">
        <f t="shared" si="16"/>
        <v>391882780.99000001</v>
      </c>
      <c r="Q345" s="93">
        <f t="shared" si="16"/>
        <v>2576244.02</v>
      </c>
      <c r="R345" s="93">
        <f t="shared" si="16"/>
        <v>-952</v>
      </c>
      <c r="S345" s="93">
        <f t="shared" si="16"/>
        <v>-3973599.86</v>
      </c>
      <c r="T345" s="93">
        <f t="shared" si="16"/>
        <v>0.09</v>
      </c>
      <c r="U345" s="93">
        <f t="shared" si="16"/>
        <v>0</v>
      </c>
      <c r="V345" s="93">
        <f t="shared" si="16"/>
        <v>0</v>
      </c>
      <c r="W345" s="93">
        <f t="shared" si="16"/>
        <v>0</v>
      </c>
      <c r="X345" s="93">
        <f t="shared" si="16"/>
        <v>0</v>
      </c>
      <c r="Y345" s="93">
        <f t="shared" si="16"/>
        <v>0</v>
      </c>
      <c r="Z345" s="93">
        <f t="shared" si="16"/>
        <v>0</v>
      </c>
      <c r="AA345" s="93">
        <f t="shared" si="16"/>
        <v>0</v>
      </c>
      <c r="AB345" s="93">
        <f t="shared" si="16"/>
        <v>0</v>
      </c>
      <c r="AC345" s="93">
        <f t="shared" si="16"/>
        <v>0</v>
      </c>
      <c r="AD345" s="93">
        <f t="shared" si="16"/>
        <v>0</v>
      </c>
      <c r="AE345" s="93">
        <f t="shared" si="16"/>
        <v>0</v>
      </c>
      <c r="AF345" s="93">
        <f t="shared" si="16"/>
        <v>0</v>
      </c>
      <c r="AG345" s="93">
        <f t="shared" si="16"/>
        <v>0</v>
      </c>
      <c r="AH345" s="93">
        <f t="shared" si="16"/>
        <v>0</v>
      </c>
      <c r="AI345" s="93">
        <f t="shared" si="16"/>
        <v>0</v>
      </c>
      <c r="AJ345" s="93">
        <f t="shared" si="16"/>
        <v>0</v>
      </c>
      <c r="AK345" s="93">
        <f t="shared" si="16"/>
        <v>0</v>
      </c>
      <c r="AL345" s="93">
        <f t="shared" si="16"/>
        <v>0</v>
      </c>
      <c r="AM345" s="93">
        <f t="shared" si="16"/>
        <v>0</v>
      </c>
      <c r="AN345" s="93">
        <f t="shared" si="16"/>
        <v>0</v>
      </c>
      <c r="AO345" s="93">
        <f t="shared" si="16"/>
        <v>0</v>
      </c>
    </row>
    <row r="346" spans="1:41" ht="12.75" customHeight="1" x14ac:dyDescent="0.25">
      <c r="C346" s="774"/>
      <c r="D346" s="772"/>
      <c r="E346" s="101" t="s">
        <v>73</v>
      </c>
      <c r="F346" s="93">
        <f>F262</f>
        <v>360488591.23000002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</row>
    <row r="347" spans="1:41" ht="12.75" customHeight="1" x14ac:dyDescent="0.25">
      <c r="C347" s="774"/>
      <c r="D347" s="772" t="s">
        <v>133</v>
      </c>
      <c r="E347" s="235" t="s">
        <v>70</v>
      </c>
      <c r="F347" s="236">
        <v>0</v>
      </c>
      <c r="G347" s="236">
        <v>0</v>
      </c>
      <c r="H347" s="236">
        <v>0</v>
      </c>
      <c r="I347" s="236">
        <v>0</v>
      </c>
      <c r="J347" s="236">
        <v>0</v>
      </c>
      <c r="K347" s="236">
        <v>0</v>
      </c>
      <c r="L347" s="236">
        <v>0</v>
      </c>
      <c r="M347" s="236">
        <v>0</v>
      </c>
      <c r="N347" s="236">
        <v>0</v>
      </c>
      <c r="O347" s="236">
        <v>0</v>
      </c>
      <c r="P347" s="236">
        <v>0</v>
      </c>
      <c r="Q347" s="236">
        <v>0</v>
      </c>
      <c r="R347" s="236">
        <v>0</v>
      </c>
      <c r="S347" s="236">
        <v>0</v>
      </c>
      <c r="T347" s="236">
        <v>0</v>
      </c>
      <c r="U347" s="236">
        <v>0</v>
      </c>
      <c r="V347" s="236">
        <v>0</v>
      </c>
      <c r="W347" s="236">
        <v>0</v>
      </c>
      <c r="X347" s="236">
        <v>0</v>
      </c>
      <c r="Y347" s="236">
        <v>0</v>
      </c>
      <c r="Z347" s="236">
        <v>0</v>
      </c>
      <c r="AA347" s="236">
        <v>0</v>
      </c>
      <c r="AB347" s="236">
        <v>0</v>
      </c>
      <c r="AC347" s="236">
        <v>0</v>
      </c>
      <c r="AD347" s="236">
        <v>0</v>
      </c>
      <c r="AE347" s="236">
        <v>0</v>
      </c>
      <c r="AF347" s="236">
        <v>0</v>
      </c>
      <c r="AG347" s="236">
        <v>0</v>
      </c>
      <c r="AH347" s="236">
        <v>0</v>
      </c>
      <c r="AI347" s="236">
        <v>0</v>
      </c>
      <c r="AJ347" s="236">
        <v>0</v>
      </c>
      <c r="AK347" s="236">
        <v>0</v>
      </c>
      <c r="AL347" s="236">
        <v>0</v>
      </c>
      <c r="AM347" s="236">
        <v>0</v>
      </c>
      <c r="AN347" s="236">
        <v>0</v>
      </c>
      <c r="AO347" s="236">
        <v>0</v>
      </c>
    </row>
    <row r="348" spans="1:41" ht="12.75" customHeight="1" x14ac:dyDescent="0.25">
      <c r="C348" s="774"/>
      <c r="D348" s="772"/>
      <c r="E348" s="235" t="s">
        <v>73</v>
      </c>
      <c r="F348" s="236">
        <v>0</v>
      </c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spans="1:41" ht="12.75" customHeight="1" x14ac:dyDescent="0.25">
      <c r="A349" s="89"/>
      <c r="C349" s="97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1" ht="12.75" customHeight="1" x14ac:dyDescent="0.25">
      <c r="C350" s="773" t="s">
        <v>161</v>
      </c>
      <c r="D350" s="772" t="s">
        <v>132</v>
      </c>
      <c r="E350" s="231" t="s">
        <v>70</v>
      </c>
      <c r="F350" s="232">
        <v>0</v>
      </c>
      <c r="G350" s="232">
        <v>0</v>
      </c>
      <c r="H350" s="232">
        <v>0</v>
      </c>
      <c r="I350" s="232">
        <v>0</v>
      </c>
      <c r="J350" s="232">
        <v>0</v>
      </c>
      <c r="K350" s="232">
        <v>0</v>
      </c>
      <c r="L350" s="232">
        <v>0</v>
      </c>
      <c r="M350" s="232">
        <v>0</v>
      </c>
      <c r="N350" s="232">
        <v>0</v>
      </c>
      <c r="O350" s="232">
        <v>0</v>
      </c>
      <c r="P350" s="232">
        <v>0</v>
      </c>
      <c r="Q350" s="232">
        <v>0</v>
      </c>
      <c r="R350" s="232">
        <v>0</v>
      </c>
      <c r="S350" s="232">
        <v>0</v>
      </c>
      <c r="T350" s="232">
        <v>0</v>
      </c>
      <c r="U350" s="232"/>
      <c r="V350" s="232"/>
      <c r="W350" s="232"/>
      <c r="X350" s="232">
        <v>0</v>
      </c>
      <c r="Y350" s="232">
        <v>0</v>
      </c>
      <c r="Z350" s="232">
        <v>0</v>
      </c>
      <c r="AA350" s="232">
        <v>0</v>
      </c>
      <c r="AB350" s="232">
        <v>0</v>
      </c>
      <c r="AC350" s="232">
        <v>0</v>
      </c>
      <c r="AD350" s="232">
        <v>0</v>
      </c>
      <c r="AE350" s="232">
        <v>0</v>
      </c>
      <c r="AF350" s="232">
        <v>0</v>
      </c>
      <c r="AG350" s="232">
        <v>0</v>
      </c>
      <c r="AH350" s="232">
        <v>0</v>
      </c>
      <c r="AI350" s="232">
        <v>0</v>
      </c>
      <c r="AJ350" s="232">
        <v>0</v>
      </c>
      <c r="AK350" s="232">
        <v>0</v>
      </c>
      <c r="AL350" s="232">
        <v>0</v>
      </c>
      <c r="AM350" s="232">
        <v>0</v>
      </c>
      <c r="AN350" s="232">
        <v>0</v>
      </c>
      <c r="AO350" s="232">
        <v>0</v>
      </c>
    </row>
    <row r="351" spans="1:41" ht="12.75" customHeight="1" x14ac:dyDescent="0.25">
      <c r="C351" s="773"/>
      <c r="D351" s="772"/>
      <c r="E351" s="231" t="s">
        <v>73</v>
      </c>
      <c r="F351" s="232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</row>
    <row r="352" spans="1:41" ht="12.75" customHeight="1" x14ac:dyDescent="0.25">
      <c r="C352" s="773"/>
      <c r="D352" s="772" t="s">
        <v>133</v>
      </c>
      <c r="E352" s="148" t="s">
        <v>70</v>
      </c>
      <c r="F352" s="149">
        <v>0</v>
      </c>
      <c r="G352" s="149">
        <v>0</v>
      </c>
      <c r="H352" s="149">
        <v>0</v>
      </c>
      <c r="I352" s="149">
        <v>0</v>
      </c>
      <c r="J352" s="149">
        <v>0</v>
      </c>
      <c r="K352" s="149">
        <v>0</v>
      </c>
      <c r="L352" s="149">
        <v>0</v>
      </c>
      <c r="M352" s="149">
        <v>0</v>
      </c>
      <c r="N352" s="149">
        <v>0</v>
      </c>
      <c r="O352" s="149">
        <v>0</v>
      </c>
      <c r="P352" s="149">
        <v>0</v>
      </c>
      <c r="Q352" s="149">
        <v>0</v>
      </c>
      <c r="R352" s="149">
        <v>0</v>
      </c>
      <c r="S352" s="149">
        <v>0</v>
      </c>
      <c r="T352" s="149">
        <v>0</v>
      </c>
      <c r="U352" s="149"/>
      <c r="V352" s="149"/>
      <c r="W352" s="149"/>
      <c r="X352" s="149">
        <v>0</v>
      </c>
      <c r="Y352" s="149">
        <v>0</v>
      </c>
      <c r="Z352" s="149">
        <v>0</v>
      </c>
      <c r="AA352" s="149">
        <v>0</v>
      </c>
      <c r="AB352" s="149">
        <v>0</v>
      </c>
      <c r="AC352" s="149">
        <v>0</v>
      </c>
      <c r="AD352" s="149">
        <v>0</v>
      </c>
      <c r="AE352" s="149">
        <v>0</v>
      </c>
      <c r="AF352" s="149">
        <v>0</v>
      </c>
      <c r="AG352" s="149">
        <v>0</v>
      </c>
      <c r="AH352" s="149">
        <v>0</v>
      </c>
      <c r="AI352" s="149">
        <v>0</v>
      </c>
      <c r="AJ352" s="149">
        <v>0</v>
      </c>
      <c r="AK352" s="149">
        <v>0</v>
      </c>
      <c r="AL352" s="149">
        <v>0</v>
      </c>
      <c r="AM352" s="149">
        <v>0</v>
      </c>
      <c r="AN352" s="149">
        <v>0</v>
      </c>
      <c r="AO352" s="149">
        <v>0</v>
      </c>
    </row>
    <row r="353" spans="1:26" ht="12.75" customHeight="1" x14ac:dyDescent="0.25">
      <c r="C353" s="773"/>
      <c r="D353" s="772"/>
      <c r="E353" s="148" t="s">
        <v>73</v>
      </c>
      <c r="F353" s="149">
        <v>0</v>
      </c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</row>
    <row r="354" spans="1:26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6" ht="12.75" customHeight="1" x14ac:dyDescent="0.25">
      <c r="D355" s="458" t="s">
        <v>186</v>
      </c>
      <c r="E355" s="459" t="s">
        <v>70</v>
      </c>
      <c r="F355" s="460">
        <f t="shared" ref="F355:Z355" si="17">F235</f>
        <v>-4456.1099999999997</v>
      </c>
      <c r="G355" s="460">
        <f t="shared" si="17"/>
        <v>-384.61</v>
      </c>
      <c r="H355" s="460">
        <f t="shared" si="17"/>
        <v>-163.4</v>
      </c>
      <c r="I355" s="460">
        <f t="shared" si="17"/>
        <v>-71.36</v>
      </c>
      <c r="J355" s="460">
        <f t="shared" si="17"/>
        <v>-870.46</v>
      </c>
      <c r="K355" s="460">
        <f t="shared" si="17"/>
        <v>-35.94</v>
      </c>
      <c r="L355" s="460">
        <f t="shared" si="17"/>
        <v>0</v>
      </c>
      <c r="M355" s="460">
        <f t="shared" si="17"/>
        <v>-315.20999999999998</v>
      </c>
      <c r="N355" s="460">
        <f t="shared" si="17"/>
        <v>-395.2</v>
      </c>
      <c r="O355" s="460">
        <f t="shared" si="17"/>
        <v>-1327.09</v>
      </c>
      <c r="P355" s="460">
        <f t="shared" si="17"/>
        <v>-834.22</v>
      </c>
      <c r="Q355" s="460">
        <f t="shared" si="17"/>
        <v>-58.62</v>
      </c>
      <c r="R355" s="460">
        <f t="shared" si="17"/>
        <v>0</v>
      </c>
      <c r="S355" s="460">
        <f t="shared" si="17"/>
        <v>0</v>
      </c>
      <c r="T355" s="460">
        <f t="shared" si="17"/>
        <v>0</v>
      </c>
      <c r="U355" s="460">
        <f t="shared" si="17"/>
        <v>0</v>
      </c>
      <c r="V355" s="460">
        <f t="shared" si="17"/>
        <v>0</v>
      </c>
      <c r="W355" s="460">
        <f t="shared" si="17"/>
        <v>0</v>
      </c>
      <c r="X355" s="460">
        <f t="shared" si="17"/>
        <v>0</v>
      </c>
      <c r="Y355" s="460">
        <f t="shared" si="17"/>
        <v>0</v>
      </c>
      <c r="Z355" s="460">
        <f t="shared" si="17"/>
        <v>0</v>
      </c>
    </row>
    <row r="356" spans="1:26" ht="12.75" customHeight="1" x14ac:dyDescent="0.25">
      <c r="C356" s="388"/>
      <c r="D356" s="220"/>
      <c r="E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26" s="238" customFormat="1" ht="12.75" customHeight="1" x14ac:dyDescent="0.25">
      <c r="D357" s="239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</row>
    <row r="358" spans="1:26" ht="12.75" customHeight="1" x14ac:dyDescent="0.25">
      <c r="A358" s="89"/>
      <c r="B358" s="97" t="s">
        <v>88</v>
      </c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26" ht="12.75" customHeight="1" x14ac:dyDescent="0.25">
      <c r="A359" s="142"/>
      <c r="F359" s="89" t="s">
        <v>70</v>
      </c>
      <c r="G359" s="89" t="s">
        <v>64</v>
      </c>
      <c r="H359" s="89" t="s">
        <v>65</v>
      </c>
      <c r="I359" s="218" t="s">
        <v>164</v>
      </c>
      <c r="J359" s="89" t="s">
        <v>69</v>
      </c>
      <c r="K359" s="89" t="s">
        <v>68</v>
      </c>
      <c r="L359" s="89" t="s">
        <v>71</v>
      </c>
      <c r="M359" s="89" t="s">
        <v>66</v>
      </c>
      <c r="N359" s="89" t="s">
        <v>63</v>
      </c>
      <c r="O359" s="89" t="s">
        <v>61</v>
      </c>
      <c r="P359" s="89" t="s">
        <v>62</v>
      </c>
      <c r="Q359" s="89" t="s">
        <v>67</v>
      </c>
      <c r="R359" s="89" t="s">
        <v>77</v>
      </c>
      <c r="S359" s="89" t="s">
        <v>80</v>
      </c>
      <c r="T359" t="s">
        <v>135</v>
      </c>
      <c r="U359" t="s">
        <v>222</v>
      </c>
      <c r="V359" t="s">
        <v>223</v>
      </c>
      <c r="W359" t="s">
        <v>173</v>
      </c>
      <c r="X359" t="s">
        <v>167</v>
      </c>
      <c r="Y359" s="89" t="s">
        <v>135</v>
      </c>
      <c r="Z359" t="s">
        <v>167</v>
      </c>
    </row>
    <row r="360" spans="1:26" ht="12.75" customHeight="1" x14ac:dyDescent="0.25">
      <c r="E360" s="89" t="s">
        <v>72</v>
      </c>
      <c r="F360" s="371">
        <v>-18514.21</v>
      </c>
      <c r="G360" s="90">
        <v>-1465.26</v>
      </c>
      <c r="H360" s="90">
        <v>-622.47</v>
      </c>
      <c r="I360" s="90">
        <v>-271.83</v>
      </c>
      <c r="J360" s="90">
        <v>-3463.24</v>
      </c>
      <c r="K360" s="90">
        <v>-141.03</v>
      </c>
      <c r="L360" s="90">
        <v>0</v>
      </c>
      <c r="M360" s="90">
        <v>-1237.1199999999999</v>
      </c>
      <c r="N360" s="90">
        <v>-1573.13</v>
      </c>
      <c r="O360" s="90">
        <v>-5776.35</v>
      </c>
      <c r="P360" s="90">
        <v>-3733.65</v>
      </c>
      <c r="Q360" s="90">
        <v>-230.13</v>
      </c>
      <c r="R360" s="90">
        <v>0</v>
      </c>
      <c r="S360" s="9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90">
        <v>0</v>
      </c>
      <c r="Z360">
        <v>0</v>
      </c>
    </row>
    <row r="361" spans="1:26" ht="12.75" customHeight="1" x14ac:dyDescent="0.25">
      <c r="D361" t="s">
        <v>156</v>
      </c>
      <c r="E361" s="89" t="s">
        <v>70</v>
      </c>
      <c r="F361" s="371">
        <v>-18514.21</v>
      </c>
      <c r="G361" s="90">
        <v>-1465.26</v>
      </c>
      <c r="H361" s="90">
        <v>-622.47</v>
      </c>
      <c r="I361" s="90">
        <v>-271.83</v>
      </c>
      <c r="J361" s="90">
        <v>-3463.24</v>
      </c>
      <c r="K361" s="90">
        <v>-141.03</v>
      </c>
      <c r="L361" s="90">
        <v>0</v>
      </c>
      <c r="M361" s="90">
        <v>-1237.1199999999999</v>
      </c>
      <c r="N361" s="90">
        <v>-1573.13</v>
      </c>
      <c r="O361" s="90">
        <v>-5776.35</v>
      </c>
      <c r="P361" s="90">
        <v>-3733.65</v>
      </c>
      <c r="Q361" s="90">
        <v>-230.13</v>
      </c>
      <c r="R361" s="90">
        <v>0</v>
      </c>
      <c r="S361" s="90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90">
        <v>0</v>
      </c>
      <c r="Z361">
        <v>0</v>
      </c>
    </row>
    <row r="362" spans="1:26" s="656" customFormat="1" ht="12.75" customHeight="1" x14ac:dyDescent="0.25">
      <c r="C362" s="656" t="s">
        <v>155</v>
      </c>
      <c r="D362" s="657" t="s">
        <v>70</v>
      </c>
      <c r="E362" s="657"/>
      <c r="F362" s="658">
        <v>-18514.21</v>
      </c>
      <c r="G362" s="658">
        <v>-1465.26</v>
      </c>
      <c r="H362" s="658">
        <v>-622.47</v>
      </c>
      <c r="I362" s="658">
        <v>-271.83</v>
      </c>
      <c r="J362" s="658">
        <v>-3463.24</v>
      </c>
      <c r="K362" s="658">
        <v>-141.03</v>
      </c>
      <c r="L362" s="658">
        <v>0</v>
      </c>
      <c r="M362" s="658">
        <v>-1237.1199999999999</v>
      </c>
      <c r="N362" s="658">
        <v>-1573.13</v>
      </c>
      <c r="O362" s="658">
        <v>-5776.35</v>
      </c>
      <c r="P362" s="658">
        <v>-3733.65</v>
      </c>
      <c r="Q362" s="658">
        <v>-230.13</v>
      </c>
      <c r="R362" s="658">
        <v>0</v>
      </c>
      <c r="S362" s="658">
        <v>0</v>
      </c>
      <c r="T362" s="656">
        <v>0</v>
      </c>
      <c r="U362" s="656">
        <v>0</v>
      </c>
      <c r="V362" s="656">
        <v>0</v>
      </c>
      <c r="W362" s="656">
        <v>0</v>
      </c>
      <c r="X362" s="656">
        <v>0</v>
      </c>
      <c r="Y362" s="658">
        <v>0</v>
      </c>
      <c r="Z362" s="656">
        <v>0</v>
      </c>
    </row>
    <row r="363" spans="1:26" ht="12.75" customHeight="1" x14ac:dyDescent="0.25">
      <c r="E363" s="89" t="s">
        <v>72</v>
      </c>
      <c r="F363" s="371">
        <v>-33199.730000000003</v>
      </c>
      <c r="G363" s="90">
        <v>-2759.81</v>
      </c>
      <c r="H363" s="90">
        <v>-1172.47</v>
      </c>
      <c r="I363" s="90">
        <v>-512.02</v>
      </c>
      <c r="J363" s="90">
        <v>-6060.09</v>
      </c>
      <c r="K363" s="90">
        <v>-246.57</v>
      </c>
      <c r="L363" s="90">
        <v>0</v>
      </c>
      <c r="M363" s="90">
        <v>-2162.63</v>
      </c>
      <c r="N363" s="90">
        <v>-2753.76</v>
      </c>
      <c r="O363" s="90">
        <v>-10097.709999999999</v>
      </c>
      <c r="P363" s="90">
        <v>-7032.34</v>
      </c>
      <c r="Q363" s="90">
        <v>-402.33</v>
      </c>
      <c r="R363" s="90">
        <v>0</v>
      </c>
      <c r="S363" s="90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90">
        <v>0</v>
      </c>
      <c r="Z363">
        <v>0</v>
      </c>
    </row>
    <row r="364" spans="1:26" ht="12.75" customHeight="1" x14ac:dyDescent="0.25">
      <c r="D364" t="s">
        <v>86</v>
      </c>
      <c r="E364" s="89" t="s">
        <v>70</v>
      </c>
      <c r="F364" s="371">
        <v>-33199.730000000003</v>
      </c>
      <c r="G364" s="90">
        <v>-2759.81</v>
      </c>
      <c r="H364" s="90">
        <v>-1172.47</v>
      </c>
      <c r="I364" s="90">
        <v>-512.02</v>
      </c>
      <c r="J364" s="90">
        <v>-6060.09</v>
      </c>
      <c r="K364" s="90">
        <v>-246.57</v>
      </c>
      <c r="L364" s="90">
        <v>0</v>
      </c>
      <c r="M364" s="90">
        <v>-2162.63</v>
      </c>
      <c r="N364" s="90">
        <v>-2753.76</v>
      </c>
      <c r="O364" s="90">
        <v>-10097.709999999999</v>
      </c>
      <c r="P364" s="90">
        <v>-7032.34</v>
      </c>
      <c r="Q364" s="90">
        <v>-402.33</v>
      </c>
      <c r="R364" s="90">
        <v>0</v>
      </c>
      <c r="S364" s="90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90">
        <v>0</v>
      </c>
      <c r="Z364">
        <v>0</v>
      </c>
    </row>
    <row r="365" spans="1:26" s="94" customFormat="1" ht="12.75" customHeight="1" x14ac:dyDescent="0.25">
      <c r="C365" s="101" t="s">
        <v>119</v>
      </c>
      <c r="D365" s="101" t="s">
        <v>70</v>
      </c>
      <c r="F365" s="93">
        <v>-33199.730000000003</v>
      </c>
      <c r="G365" s="93">
        <v>-2759.81</v>
      </c>
      <c r="H365" s="93">
        <v>-1172.47</v>
      </c>
      <c r="I365" s="93">
        <v>-512.02</v>
      </c>
      <c r="J365" s="93">
        <v>-6060.09</v>
      </c>
      <c r="K365" s="93">
        <v>-246.57</v>
      </c>
      <c r="L365" s="93">
        <v>0</v>
      </c>
      <c r="M365" s="93">
        <v>-2162.63</v>
      </c>
      <c r="N365" s="93">
        <v>-2753.76</v>
      </c>
      <c r="O365" s="93">
        <v>-10097.709999999999</v>
      </c>
      <c r="P365" s="93">
        <v>-7032.34</v>
      </c>
      <c r="Q365" s="93">
        <v>-402.33</v>
      </c>
      <c r="R365" s="93">
        <v>0</v>
      </c>
      <c r="S365" s="93">
        <v>0</v>
      </c>
      <c r="T365" s="94">
        <v>0</v>
      </c>
      <c r="U365" s="94">
        <v>0</v>
      </c>
      <c r="V365" s="94">
        <v>0</v>
      </c>
      <c r="W365" s="94">
        <v>0</v>
      </c>
      <c r="X365" s="94">
        <v>0</v>
      </c>
      <c r="Y365" s="93">
        <v>0</v>
      </c>
      <c r="Z365" s="94">
        <v>0</v>
      </c>
    </row>
    <row r="366" spans="1:26" ht="12.75" customHeight="1" x14ac:dyDescent="0.25">
      <c r="B366" t="s">
        <v>112</v>
      </c>
      <c r="C366" t="s">
        <v>70</v>
      </c>
      <c r="E366" s="89"/>
      <c r="F366" s="371">
        <v>-51713.94</v>
      </c>
      <c r="G366" s="90">
        <v>-4225.07</v>
      </c>
      <c r="H366" s="90">
        <v>-1794.94</v>
      </c>
      <c r="I366" s="90">
        <v>-783.85</v>
      </c>
      <c r="J366" s="90">
        <v>-9523.33</v>
      </c>
      <c r="K366" s="90">
        <v>-387.6</v>
      </c>
      <c r="L366" s="90">
        <v>0</v>
      </c>
      <c r="M366" s="90">
        <v>-3399.75</v>
      </c>
      <c r="N366" s="90">
        <v>-4326.8900000000003</v>
      </c>
      <c r="O366" s="90">
        <v>-15874.06</v>
      </c>
      <c r="P366" s="90">
        <v>-10765.99</v>
      </c>
      <c r="Q366" s="90">
        <v>-632.46</v>
      </c>
      <c r="R366" s="90">
        <v>0</v>
      </c>
      <c r="S366" s="90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90">
        <v>0</v>
      </c>
      <c r="Z366">
        <v>0</v>
      </c>
    </row>
    <row r="367" spans="1:26" s="458" customFormat="1" x14ac:dyDescent="0.25">
      <c r="A367" s="458" t="s">
        <v>186</v>
      </c>
      <c r="B367" s="459" t="s">
        <v>70</v>
      </c>
      <c r="C367" s="459"/>
      <c r="F367" s="460">
        <v>-51713.94</v>
      </c>
      <c r="G367" s="460">
        <v>-4225.07</v>
      </c>
      <c r="H367" s="460">
        <v>-1794.94</v>
      </c>
      <c r="I367" s="460">
        <v>-783.85</v>
      </c>
      <c r="J367" s="460">
        <v>-9523.33</v>
      </c>
      <c r="K367" s="460">
        <v>-387.6</v>
      </c>
      <c r="L367" s="460">
        <v>0</v>
      </c>
      <c r="M367" s="460">
        <v>-3399.75</v>
      </c>
      <c r="N367" s="460">
        <v>-4326.8900000000003</v>
      </c>
      <c r="O367" s="460">
        <v>-15874.06</v>
      </c>
      <c r="P367" s="460">
        <v>-10765.99</v>
      </c>
      <c r="Q367" s="460">
        <v>-632.46</v>
      </c>
      <c r="R367" s="460">
        <v>0</v>
      </c>
      <c r="S367" s="460">
        <v>0</v>
      </c>
      <c r="T367" s="460">
        <v>0</v>
      </c>
      <c r="U367" s="460">
        <v>0</v>
      </c>
      <c r="V367" s="460">
        <v>0</v>
      </c>
      <c r="W367" s="460">
        <v>0</v>
      </c>
      <c r="X367" s="460">
        <v>0</v>
      </c>
      <c r="Y367" s="460">
        <v>0</v>
      </c>
      <c r="Z367" s="460">
        <v>0</v>
      </c>
    </row>
    <row r="368" spans="1:26" ht="12.75" customHeight="1" x14ac:dyDescent="0.25">
      <c r="E368" s="89" t="s">
        <v>72</v>
      </c>
      <c r="F368" s="90">
        <v>3709879.72</v>
      </c>
      <c r="G368" s="90">
        <v>196377.36</v>
      </c>
      <c r="H368" s="90">
        <v>114434.12</v>
      </c>
      <c r="I368" s="90">
        <v>58698.11</v>
      </c>
      <c r="J368" s="90">
        <v>857547.27</v>
      </c>
      <c r="K368" s="90">
        <v>28413.919999999998</v>
      </c>
      <c r="L368" s="90">
        <v>0</v>
      </c>
      <c r="M368" s="90">
        <v>249245.18</v>
      </c>
      <c r="N368" s="90">
        <v>269177.44</v>
      </c>
      <c r="O368" s="90">
        <v>1367703.75</v>
      </c>
      <c r="P368" s="90">
        <v>521918.88</v>
      </c>
      <c r="Q368" s="90">
        <v>46359.48</v>
      </c>
      <c r="R368" s="90">
        <v>4.21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90">
        <v>0</v>
      </c>
      <c r="Z368">
        <v>0</v>
      </c>
    </row>
    <row r="369" spans="2:26" ht="12.75" customHeight="1" x14ac:dyDescent="0.25">
      <c r="E369" s="89" t="s">
        <v>81</v>
      </c>
      <c r="F369" s="90">
        <v>8714.85</v>
      </c>
      <c r="G369" s="90">
        <v>3104.05</v>
      </c>
      <c r="H369" s="90">
        <v>1800</v>
      </c>
      <c r="I369" s="90">
        <v>929.08</v>
      </c>
      <c r="J369" s="90">
        <v>1812.55</v>
      </c>
      <c r="K369" s="90">
        <v>63.48</v>
      </c>
      <c r="L369" s="90">
        <v>0</v>
      </c>
      <c r="M369" s="90">
        <v>556.55999999999995</v>
      </c>
      <c r="N369" s="90">
        <v>563.08000000000004</v>
      </c>
      <c r="O369" s="90">
        <v>-8499.69</v>
      </c>
      <c r="P369" s="90">
        <v>8282.25</v>
      </c>
      <c r="Q369" s="90">
        <v>103.47</v>
      </c>
      <c r="R369" s="90">
        <v>0.02</v>
      </c>
      <c r="S369" s="90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90">
        <v>0</v>
      </c>
      <c r="Z369">
        <v>0</v>
      </c>
    </row>
    <row r="370" spans="2:26" ht="12.75" customHeight="1" x14ac:dyDescent="0.25">
      <c r="D370" t="s">
        <v>156</v>
      </c>
      <c r="E370" s="89" t="s">
        <v>70</v>
      </c>
      <c r="F370" s="90">
        <v>3718594.57</v>
      </c>
      <c r="G370" s="90">
        <v>199481.41</v>
      </c>
      <c r="H370" s="90">
        <v>116234.12</v>
      </c>
      <c r="I370" s="90">
        <v>59627.19</v>
      </c>
      <c r="J370" s="90">
        <v>859359.82</v>
      </c>
      <c r="K370" s="90">
        <v>28477.4</v>
      </c>
      <c r="L370" s="90">
        <v>0</v>
      </c>
      <c r="M370" s="90">
        <v>249801.74</v>
      </c>
      <c r="N370" s="90">
        <v>269740.52</v>
      </c>
      <c r="O370" s="90">
        <v>1359204.06</v>
      </c>
      <c r="P370" s="90">
        <v>530201.13</v>
      </c>
      <c r="Q370" s="90">
        <v>46462.95</v>
      </c>
      <c r="R370" s="90">
        <v>4.2300000000000004</v>
      </c>
      <c r="S370" s="9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90">
        <v>0</v>
      </c>
      <c r="Z370">
        <v>0</v>
      </c>
    </row>
    <row r="371" spans="2:26" s="656" customFormat="1" ht="12.75" customHeight="1" x14ac:dyDescent="0.25">
      <c r="C371" s="656" t="s">
        <v>155</v>
      </c>
      <c r="D371" s="657" t="s">
        <v>70</v>
      </c>
      <c r="E371" s="657"/>
      <c r="F371" s="658">
        <v>3718594.57</v>
      </c>
      <c r="G371" s="658">
        <v>199481.41</v>
      </c>
      <c r="H371" s="658">
        <v>116234.12</v>
      </c>
      <c r="I371" s="658">
        <v>59627.19</v>
      </c>
      <c r="J371" s="658">
        <v>859359.82</v>
      </c>
      <c r="K371" s="658">
        <v>28477.4</v>
      </c>
      <c r="L371" s="658">
        <v>0</v>
      </c>
      <c r="M371" s="658">
        <v>249801.74</v>
      </c>
      <c r="N371" s="658">
        <v>269740.52</v>
      </c>
      <c r="O371" s="658">
        <v>1359204.06</v>
      </c>
      <c r="P371" s="658">
        <v>530201.13</v>
      </c>
      <c r="Q371" s="658">
        <v>46462.95</v>
      </c>
      <c r="R371" s="658">
        <v>4.2300000000000004</v>
      </c>
      <c r="S371" s="658">
        <v>0</v>
      </c>
      <c r="T371" s="656">
        <v>0</v>
      </c>
      <c r="U371" s="656">
        <v>0</v>
      </c>
      <c r="V371" s="656">
        <v>0</v>
      </c>
      <c r="W371" s="656">
        <v>0</v>
      </c>
      <c r="X371" s="656">
        <v>0</v>
      </c>
      <c r="Y371" s="658">
        <v>0</v>
      </c>
      <c r="Z371" s="656">
        <v>0</v>
      </c>
    </row>
    <row r="372" spans="2:26" ht="12.75" customHeight="1" x14ac:dyDescent="0.25">
      <c r="E372" s="89" t="s">
        <v>72</v>
      </c>
      <c r="F372" s="90">
        <v>182248.69</v>
      </c>
      <c r="G372" s="90">
        <v>21062.98</v>
      </c>
      <c r="H372" s="90">
        <v>11904.98</v>
      </c>
      <c r="I372" s="90">
        <v>6299.15</v>
      </c>
      <c r="J372" s="90">
        <v>27092.54</v>
      </c>
      <c r="K372" s="90">
        <v>814.1</v>
      </c>
      <c r="L372" s="90">
        <v>0</v>
      </c>
      <c r="M372" s="90">
        <v>7141.31</v>
      </c>
      <c r="N372" s="90">
        <v>8330.1200000000008</v>
      </c>
      <c r="O372" s="90">
        <v>42011.47</v>
      </c>
      <c r="P372" s="90">
        <v>56267.63</v>
      </c>
      <c r="Q372" s="90">
        <v>1328.28</v>
      </c>
      <c r="R372" s="90">
        <v>-3.87</v>
      </c>
      <c r="S372" s="90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90">
        <v>0</v>
      </c>
      <c r="Z372">
        <v>0</v>
      </c>
    </row>
    <row r="373" spans="2:26" ht="12.75" customHeight="1" x14ac:dyDescent="0.25">
      <c r="E373" s="89" t="s">
        <v>81</v>
      </c>
      <c r="F373" s="371">
        <v>-457.82</v>
      </c>
      <c r="G373" s="90">
        <v>0.04</v>
      </c>
      <c r="H373" s="90">
        <v>0.02</v>
      </c>
      <c r="I373" s="90">
        <v>0.01</v>
      </c>
      <c r="J373" s="90">
        <v>0.19</v>
      </c>
      <c r="K373" s="90">
        <v>0.01</v>
      </c>
      <c r="L373" s="90">
        <v>0</v>
      </c>
      <c r="M373" s="90">
        <v>0.06</v>
      </c>
      <c r="N373" s="90">
        <v>0.06</v>
      </c>
      <c r="O373" s="90">
        <v>-458.32</v>
      </c>
      <c r="P373" s="90">
        <v>0.1</v>
      </c>
      <c r="Q373" s="90">
        <v>0.01</v>
      </c>
      <c r="R373" s="90">
        <v>0</v>
      </c>
      <c r="S373" s="90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90">
        <v>0</v>
      </c>
      <c r="Z373">
        <v>0</v>
      </c>
    </row>
    <row r="374" spans="2:26" ht="12.75" customHeight="1" x14ac:dyDescent="0.25">
      <c r="D374" t="s">
        <v>115</v>
      </c>
      <c r="E374" s="89" t="s">
        <v>70</v>
      </c>
      <c r="F374" s="371">
        <v>181790.87</v>
      </c>
      <c r="G374" s="90">
        <v>21063.02</v>
      </c>
      <c r="H374" s="90">
        <v>11905</v>
      </c>
      <c r="I374" s="90">
        <v>6299.16</v>
      </c>
      <c r="J374" s="90">
        <v>27092.73</v>
      </c>
      <c r="K374" s="90">
        <v>814.11</v>
      </c>
      <c r="L374" s="90">
        <v>0</v>
      </c>
      <c r="M374" s="90">
        <v>7141.37</v>
      </c>
      <c r="N374" s="90">
        <v>8330.18</v>
      </c>
      <c r="O374" s="90">
        <v>41553.15</v>
      </c>
      <c r="P374" s="90">
        <v>56267.73</v>
      </c>
      <c r="Q374" s="90">
        <v>1328.29</v>
      </c>
      <c r="R374" s="90">
        <v>-3.87</v>
      </c>
      <c r="S374" s="90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90">
        <v>0</v>
      </c>
      <c r="Z374">
        <v>0</v>
      </c>
    </row>
    <row r="375" spans="2:26" ht="12.75" customHeight="1" x14ac:dyDescent="0.25">
      <c r="E375" s="89" t="s">
        <v>72</v>
      </c>
      <c r="F375" s="371">
        <v>28490</v>
      </c>
      <c r="G375" s="90">
        <v>1238.03</v>
      </c>
      <c r="H375" s="90">
        <v>698.99</v>
      </c>
      <c r="I375" s="90">
        <v>366.88</v>
      </c>
      <c r="J375" s="90">
        <v>7103.83</v>
      </c>
      <c r="K375" s="90">
        <v>179.43</v>
      </c>
      <c r="L375" s="90">
        <v>0</v>
      </c>
      <c r="M375" s="90">
        <v>1573.94</v>
      </c>
      <c r="N375" s="90">
        <v>2313.65</v>
      </c>
      <c r="O375" s="90">
        <v>11445.44</v>
      </c>
      <c r="P375" s="90">
        <v>3277.05</v>
      </c>
      <c r="Q375" s="90">
        <v>292.76</v>
      </c>
      <c r="R375" s="90">
        <v>0</v>
      </c>
      <c r="S375" s="90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90">
        <v>0</v>
      </c>
      <c r="Z375">
        <v>0</v>
      </c>
    </row>
    <row r="376" spans="2:26" ht="12.75" customHeight="1" x14ac:dyDescent="0.25">
      <c r="D376" t="s">
        <v>118</v>
      </c>
      <c r="E376" s="89" t="s">
        <v>70</v>
      </c>
      <c r="F376" s="90">
        <v>28490</v>
      </c>
      <c r="G376" s="90">
        <v>1238.03</v>
      </c>
      <c r="H376" s="90">
        <v>698.99</v>
      </c>
      <c r="I376" s="90">
        <v>366.88</v>
      </c>
      <c r="J376" s="90">
        <v>7103.83</v>
      </c>
      <c r="K376" s="90">
        <v>179.43</v>
      </c>
      <c r="L376" s="90">
        <v>0</v>
      </c>
      <c r="M376" s="90">
        <v>1573.94</v>
      </c>
      <c r="N376" s="90">
        <v>2313.65</v>
      </c>
      <c r="O376" s="90">
        <v>11445.44</v>
      </c>
      <c r="P376" s="90">
        <v>3277.05</v>
      </c>
      <c r="Q376" s="90">
        <v>292.76</v>
      </c>
      <c r="R376" s="90">
        <v>0</v>
      </c>
      <c r="S376" s="90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90">
        <v>0</v>
      </c>
      <c r="Z376">
        <v>0</v>
      </c>
    </row>
    <row r="377" spans="2:26" s="224" customFormat="1" ht="12.75" customHeight="1" x14ac:dyDescent="0.25">
      <c r="C377" s="223" t="s">
        <v>120</v>
      </c>
      <c r="D377" s="223" t="s">
        <v>70</v>
      </c>
      <c r="F377" s="225">
        <v>210280.87</v>
      </c>
      <c r="G377" s="225">
        <v>22301.05</v>
      </c>
      <c r="H377" s="225">
        <v>12603.99</v>
      </c>
      <c r="I377" s="225">
        <v>6666.04</v>
      </c>
      <c r="J377" s="225">
        <v>34196.559999999998</v>
      </c>
      <c r="K377" s="225">
        <v>993.54</v>
      </c>
      <c r="L377" s="225">
        <v>0</v>
      </c>
      <c r="M377" s="225">
        <v>8715.31</v>
      </c>
      <c r="N377" s="225">
        <v>10643.83</v>
      </c>
      <c r="O377" s="225">
        <v>52998.59</v>
      </c>
      <c r="P377" s="225">
        <v>59544.78</v>
      </c>
      <c r="Q377" s="225">
        <v>1621.05</v>
      </c>
      <c r="R377" s="225">
        <v>-3.87</v>
      </c>
      <c r="S377" s="225">
        <v>0</v>
      </c>
      <c r="T377" s="224">
        <v>0</v>
      </c>
      <c r="U377" s="224">
        <v>0</v>
      </c>
      <c r="V377" s="224">
        <v>0</v>
      </c>
      <c r="W377" s="224">
        <v>0</v>
      </c>
      <c r="X377" s="224">
        <v>0</v>
      </c>
      <c r="Y377" s="225">
        <v>0</v>
      </c>
      <c r="Z377" s="224">
        <v>0</v>
      </c>
    </row>
    <row r="378" spans="2:26" ht="12.75" customHeight="1" x14ac:dyDescent="0.25">
      <c r="E378" s="89" t="s">
        <v>72</v>
      </c>
      <c r="F378" s="90">
        <v>225667.06</v>
      </c>
      <c r="G378" s="90">
        <v>12477.11</v>
      </c>
      <c r="H378" s="90">
        <v>7049.52</v>
      </c>
      <c r="I378" s="90">
        <v>3719.42</v>
      </c>
      <c r="J378" s="90">
        <v>47751.59</v>
      </c>
      <c r="K378" s="90">
        <v>1809.28</v>
      </c>
      <c r="L378" s="90">
        <v>0</v>
      </c>
      <c r="M378" s="90">
        <v>15870.89</v>
      </c>
      <c r="N378" s="90">
        <v>16621.71</v>
      </c>
      <c r="O378" s="90">
        <v>84191.47</v>
      </c>
      <c r="P378" s="90">
        <v>33222.43</v>
      </c>
      <c r="Q378" s="90">
        <v>2951.97</v>
      </c>
      <c r="R378" s="90">
        <v>1.67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2:26" ht="12.75" customHeight="1" x14ac:dyDescent="0.25">
      <c r="E379" s="89" t="s">
        <v>81</v>
      </c>
      <c r="F379" s="90">
        <v>-291.68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-291.68</v>
      </c>
      <c r="P379" s="90">
        <v>0</v>
      </c>
      <c r="Q379" s="90">
        <v>0</v>
      </c>
      <c r="R379" s="90">
        <v>0</v>
      </c>
      <c r="S379" s="90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90">
        <v>0</v>
      </c>
      <c r="Z379">
        <v>0</v>
      </c>
    </row>
    <row r="380" spans="2:26" ht="12.75" customHeight="1" x14ac:dyDescent="0.25">
      <c r="D380" t="s">
        <v>86</v>
      </c>
      <c r="E380" s="89" t="s">
        <v>70</v>
      </c>
      <c r="F380" s="90">
        <v>225375.38</v>
      </c>
      <c r="G380" s="90">
        <v>12477.11</v>
      </c>
      <c r="H380" s="90">
        <v>7049.52</v>
      </c>
      <c r="I380" s="90">
        <v>3719.42</v>
      </c>
      <c r="J380" s="90">
        <v>47751.59</v>
      </c>
      <c r="K380" s="90">
        <v>1809.28</v>
      </c>
      <c r="L380" s="90">
        <v>0</v>
      </c>
      <c r="M380" s="90">
        <v>15870.89</v>
      </c>
      <c r="N380" s="90">
        <v>16621.71</v>
      </c>
      <c r="O380" s="90">
        <v>83899.79</v>
      </c>
      <c r="P380" s="90">
        <v>33222.43</v>
      </c>
      <c r="Q380" s="90">
        <v>2951.97</v>
      </c>
      <c r="R380" s="90">
        <v>1.67</v>
      </c>
      <c r="S380" s="9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s="90">
        <v>0</v>
      </c>
      <c r="Z380">
        <v>0</v>
      </c>
    </row>
    <row r="381" spans="2:26" s="94" customFormat="1" ht="12.75" customHeight="1" x14ac:dyDescent="0.25">
      <c r="C381" s="101" t="s">
        <v>119</v>
      </c>
      <c r="D381" s="101" t="s">
        <v>70</v>
      </c>
      <c r="F381" s="93">
        <v>225375.38</v>
      </c>
      <c r="G381" s="93">
        <v>12477.11</v>
      </c>
      <c r="H381" s="93">
        <v>7049.52</v>
      </c>
      <c r="I381" s="93">
        <v>3719.42</v>
      </c>
      <c r="J381" s="93">
        <v>47751.59</v>
      </c>
      <c r="K381" s="93">
        <v>1809.28</v>
      </c>
      <c r="L381" s="93">
        <v>0</v>
      </c>
      <c r="M381" s="93">
        <v>15870.89</v>
      </c>
      <c r="N381" s="93">
        <v>16621.71</v>
      </c>
      <c r="O381" s="93">
        <v>83899.79</v>
      </c>
      <c r="P381" s="93">
        <v>33222.43</v>
      </c>
      <c r="Q381" s="93">
        <v>2951.97</v>
      </c>
      <c r="R381" s="93">
        <v>1.67</v>
      </c>
      <c r="S381" s="93">
        <v>0</v>
      </c>
      <c r="T381" s="94">
        <v>0</v>
      </c>
      <c r="U381" s="94">
        <v>0</v>
      </c>
      <c r="V381" s="94">
        <v>0</v>
      </c>
      <c r="W381" s="94">
        <v>0</v>
      </c>
      <c r="X381" s="94">
        <v>0</v>
      </c>
      <c r="Y381" s="93">
        <v>0</v>
      </c>
      <c r="Z381" s="94">
        <v>0</v>
      </c>
    </row>
    <row r="382" spans="2:26" s="378" customFormat="1" ht="12.75" customHeight="1" x14ac:dyDescent="0.25">
      <c r="B382" s="378" t="s">
        <v>122</v>
      </c>
      <c r="C382" s="378" t="s">
        <v>70</v>
      </c>
      <c r="E382" s="376"/>
      <c r="F382" s="377">
        <v>4154250.82</v>
      </c>
      <c r="G382" s="377">
        <v>234259.57</v>
      </c>
      <c r="H382" s="377">
        <v>135887.63</v>
      </c>
      <c r="I382" s="377">
        <v>70012.649999999994</v>
      </c>
      <c r="J382" s="377">
        <v>941307.97</v>
      </c>
      <c r="K382" s="377">
        <v>31280.22</v>
      </c>
      <c r="L382" s="377">
        <v>0</v>
      </c>
      <c r="M382" s="377">
        <v>274387.94</v>
      </c>
      <c r="N382" s="377">
        <v>297006.06</v>
      </c>
      <c r="O382" s="377">
        <v>1496102.44</v>
      </c>
      <c r="P382" s="377">
        <v>622968.34</v>
      </c>
      <c r="Q382" s="377">
        <v>51035.97</v>
      </c>
      <c r="R382" s="377">
        <v>2.0299999999999998</v>
      </c>
      <c r="S382" s="377">
        <v>0</v>
      </c>
      <c r="T382" s="378">
        <v>0</v>
      </c>
      <c r="U382" s="378">
        <v>0</v>
      </c>
      <c r="V382" s="378">
        <v>0</v>
      </c>
      <c r="W382" s="378">
        <v>0</v>
      </c>
      <c r="X382" s="378">
        <v>0</v>
      </c>
      <c r="Y382" s="377">
        <v>0</v>
      </c>
      <c r="Z382" s="378">
        <v>0</v>
      </c>
    </row>
    <row r="383" spans="2:26" ht="12.75" customHeight="1" x14ac:dyDescent="0.25">
      <c r="E383" s="89" t="s">
        <v>72</v>
      </c>
      <c r="F383" s="90">
        <v>8246938884.8500004</v>
      </c>
      <c r="G383" s="90">
        <v>418385103.00999999</v>
      </c>
      <c r="H383" s="90">
        <v>234855572.90000001</v>
      </c>
      <c r="I383" s="90">
        <v>123687427.84</v>
      </c>
      <c r="J383" s="90">
        <v>1962584951.27</v>
      </c>
      <c r="K383" s="90">
        <v>68869194.480000004</v>
      </c>
      <c r="L383" s="90">
        <v>7745996.0800000001</v>
      </c>
      <c r="M383" s="90">
        <v>603491495.66999996</v>
      </c>
      <c r="N383" s="90">
        <v>585976188.19000006</v>
      </c>
      <c r="O383" s="90">
        <v>3021520121.1799998</v>
      </c>
      <c r="P383" s="90">
        <v>1107450420.26</v>
      </c>
      <c r="Q383" s="90">
        <v>112386007.66</v>
      </c>
      <c r="R383" s="90">
        <v>-13593.69</v>
      </c>
      <c r="S383" s="90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90">
        <v>0</v>
      </c>
      <c r="Z383">
        <v>0</v>
      </c>
    </row>
    <row r="384" spans="2:26" ht="12.75" customHeight="1" x14ac:dyDescent="0.25">
      <c r="E384" s="89" t="s">
        <v>81</v>
      </c>
      <c r="F384" s="371">
        <v>-30791040.699999999</v>
      </c>
      <c r="G384" s="90">
        <v>1755835.77</v>
      </c>
      <c r="H384" s="90">
        <v>780658.97</v>
      </c>
      <c r="I384" s="90">
        <v>311045.96000000002</v>
      </c>
      <c r="J384" s="90">
        <v>2389867.39</v>
      </c>
      <c r="K384" s="90">
        <v>91402.69</v>
      </c>
      <c r="L384" s="90">
        <v>2279.9699999999998</v>
      </c>
      <c r="M384" s="90">
        <v>794061.7</v>
      </c>
      <c r="N384" s="90">
        <v>942791.52</v>
      </c>
      <c r="O384" s="90">
        <v>-42652009.549999997</v>
      </c>
      <c r="P384" s="90">
        <v>4643734.8</v>
      </c>
      <c r="Q384" s="90">
        <v>149163.01</v>
      </c>
      <c r="R384" s="90">
        <v>-22.34</v>
      </c>
      <c r="S384" s="90">
        <v>0</v>
      </c>
      <c r="T384">
        <v>150.12</v>
      </c>
      <c r="U384">
        <v>0</v>
      </c>
      <c r="V384">
        <v>0</v>
      </c>
      <c r="W384">
        <v>0</v>
      </c>
      <c r="X384">
        <v>0</v>
      </c>
      <c r="Y384" s="90">
        <v>0</v>
      </c>
      <c r="Z384">
        <v>-0.71</v>
      </c>
    </row>
    <row r="385" spans="3:26" ht="12.75" customHeight="1" x14ac:dyDescent="0.25">
      <c r="D385" t="s">
        <v>156</v>
      </c>
      <c r="E385" s="89" t="s">
        <v>70</v>
      </c>
      <c r="F385" s="90">
        <v>8216147844.1499996</v>
      </c>
      <c r="G385" s="90">
        <v>420140938.77999997</v>
      </c>
      <c r="H385" s="90">
        <v>235636231.87</v>
      </c>
      <c r="I385" s="90">
        <v>123998473.8</v>
      </c>
      <c r="J385" s="90">
        <v>1964974818.6600001</v>
      </c>
      <c r="K385" s="90">
        <v>68960597.170000002</v>
      </c>
      <c r="L385" s="90">
        <v>7748276.0499999998</v>
      </c>
      <c r="M385" s="90">
        <v>604285557.37</v>
      </c>
      <c r="N385" s="90">
        <v>586918979.71000004</v>
      </c>
      <c r="O385" s="90">
        <v>2978868111.6300001</v>
      </c>
      <c r="P385" s="90">
        <v>1112094155.0599999</v>
      </c>
      <c r="Q385" s="90">
        <v>112535170.67</v>
      </c>
      <c r="R385" s="90">
        <v>-13616.03</v>
      </c>
      <c r="S385" s="90">
        <v>0</v>
      </c>
      <c r="T385">
        <v>150.12</v>
      </c>
      <c r="U385">
        <v>0</v>
      </c>
      <c r="V385">
        <v>0</v>
      </c>
      <c r="W385">
        <v>0</v>
      </c>
      <c r="X385">
        <v>0</v>
      </c>
      <c r="Y385" s="90">
        <v>0</v>
      </c>
      <c r="Z385">
        <v>-0.71</v>
      </c>
    </row>
    <row r="386" spans="3:26" s="656" customFormat="1" ht="12.75" customHeight="1" x14ac:dyDescent="0.25">
      <c r="C386" s="656" t="s">
        <v>155</v>
      </c>
      <c r="D386" s="657" t="s">
        <v>70</v>
      </c>
      <c r="E386" s="657"/>
      <c r="F386" s="658">
        <v>8216147844.1499996</v>
      </c>
      <c r="G386" s="658">
        <v>420140938.77999997</v>
      </c>
      <c r="H386" s="658">
        <v>235636231.87</v>
      </c>
      <c r="I386" s="658">
        <v>123998473.8</v>
      </c>
      <c r="J386" s="658">
        <v>1964974818.6600001</v>
      </c>
      <c r="K386" s="658">
        <v>68960597.170000002</v>
      </c>
      <c r="L386" s="658">
        <v>7748276.0499999998</v>
      </c>
      <c r="M386" s="658">
        <v>604285557.37</v>
      </c>
      <c r="N386" s="658">
        <v>586918979.71000004</v>
      </c>
      <c r="O386" s="658">
        <v>2978868111.6300001</v>
      </c>
      <c r="P386" s="658">
        <v>1112094155.0599999</v>
      </c>
      <c r="Q386" s="658">
        <v>112535170.67</v>
      </c>
      <c r="R386" s="658">
        <v>-13616.03</v>
      </c>
      <c r="S386" s="658">
        <v>0</v>
      </c>
      <c r="T386" s="656">
        <v>150.12</v>
      </c>
      <c r="U386" s="656">
        <v>0</v>
      </c>
      <c r="V386" s="656">
        <v>0</v>
      </c>
      <c r="W386" s="656">
        <v>0</v>
      </c>
      <c r="X386" s="656">
        <v>0</v>
      </c>
      <c r="Y386" s="658">
        <v>0</v>
      </c>
      <c r="Z386" s="656">
        <v>-0.71</v>
      </c>
    </row>
    <row r="387" spans="3:26" ht="12.75" customHeight="1" x14ac:dyDescent="0.25">
      <c r="D387" s="89"/>
      <c r="E387" s="89" t="s">
        <v>72</v>
      </c>
      <c r="F387" s="371">
        <v>1254003.5900000001</v>
      </c>
      <c r="G387" s="90">
        <v>80806.820000000007</v>
      </c>
      <c r="H387" s="90">
        <v>41946.19</v>
      </c>
      <c r="I387" s="90">
        <v>23065.34</v>
      </c>
      <c r="J387" s="90">
        <v>196721.82</v>
      </c>
      <c r="K387" s="90">
        <v>9802.4599999999991</v>
      </c>
      <c r="L387" s="90">
        <v>0</v>
      </c>
      <c r="M387" s="90">
        <v>86037.19</v>
      </c>
      <c r="N387" s="90">
        <v>96463.74</v>
      </c>
      <c r="O387" s="90">
        <v>487406.76</v>
      </c>
      <c r="P387" s="90">
        <v>215750.89</v>
      </c>
      <c r="Q387" s="90">
        <v>16008.65</v>
      </c>
      <c r="R387" s="90">
        <v>-6.27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0</v>
      </c>
    </row>
    <row r="388" spans="3:26" ht="12.75" customHeight="1" x14ac:dyDescent="0.25">
      <c r="D388" s="89"/>
      <c r="E388" s="89" t="s">
        <v>81</v>
      </c>
      <c r="F388" s="371">
        <v>23450.18</v>
      </c>
      <c r="G388" s="90">
        <v>1237.93</v>
      </c>
      <c r="H388" s="90">
        <v>604.21</v>
      </c>
      <c r="I388" s="90">
        <v>330.22</v>
      </c>
      <c r="J388" s="90">
        <v>2250.5</v>
      </c>
      <c r="K388" s="90">
        <v>209.66</v>
      </c>
      <c r="L388" s="90">
        <v>0</v>
      </c>
      <c r="M388" s="90">
        <v>1840.76</v>
      </c>
      <c r="N388" s="90">
        <v>2234.7800000000002</v>
      </c>
      <c r="O388" s="90">
        <v>11104.93</v>
      </c>
      <c r="P388" s="90">
        <v>3295.12</v>
      </c>
      <c r="Q388" s="90">
        <v>342.77</v>
      </c>
      <c r="R388" s="90">
        <v>-0.7</v>
      </c>
      <c r="S388" s="90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0</v>
      </c>
    </row>
    <row r="389" spans="3:26" ht="12.75" customHeight="1" x14ac:dyDescent="0.25">
      <c r="D389" s="89" t="s">
        <v>115</v>
      </c>
      <c r="E389" s="89" t="s">
        <v>70</v>
      </c>
      <c r="F389" s="371">
        <v>1277453.77</v>
      </c>
      <c r="G389" s="90">
        <v>82044.75</v>
      </c>
      <c r="H389" s="90">
        <v>42550.400000000001</v>
      </c>
      <c r="I389" s="90">
        <v>23395.56</v>
      </c>
      <c r="J389" s="90">
        <v>198972.32</v>
      </c>
      <c r="K389" s="90">
        <v>10012.120000000001</v>
      </c>
      <c r="L389" s="90">
        <v>0</v>
      </c>
      <c r="M389" s="90">
        <v>87877.95</v>
      </c>
      <c r="N389" s="90">
        <v>98698.52</v>
      </c>
      <c r="O389" s="90">
        <v>498511.69</v>
      </c>
      <c r="P389" s="90">
        <v>219046.01</v>
      </c>
      <c r="Q389" s="90">
        <v>16351.42</v>
      </c>
      <c r="R389" s="90">
        <v>-6.97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90">
        <v>0</v>
      </c>
      <c r="Z389">
        <v>0</v>
      </c>
    </row>
    <row r="390" spans="3:26" ht="12.75" customHeight="1" x14ac:dyDescent="0.25">
      <c r="D390" s="89"/>
      <c r="E390" s="89" t="s">
        <v>72</v>
      </c>
      <c r="F390" s="371">
        <v>276088.81</v>
      </c>
      <c r="G390" s="90">
        <v>26444.74</v>
      </c>
      <c r="H390" s="90">
        <v>13622.29</v>
      </c>
      <c r="I390" s="90">
        <v>7750.53</v>
      </c>
      <c r="J390" s="90">
        <v>50845.440000000002</v>
      </c>
      <c r="K390" s="90">
        <v>1478.68</v>
      </c>
      <c r="L390" s="90">
        <v>0</v>
      </c>
      <c r="M390" s="90">
        <v>12971.02</v>
      </c>
      <c r="N390" s="90">
        <v>14865.36</v>
      </c>
      <c r="O390" s="90">
        <v>75370.83</v>
      </c>
      <c r="P390" s="90">
        <v>70322.63</v>
      </c>
      <c r="Q390" s="90">
        <v>2412.6</v>
      </c>
      <c r="R390" s="90">
        <v>4.6900000000000004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90">
        <v>0</v>
      </c>
      <c r="Z390">
        <v>0</v>
      </c>
    </row>
    <row r="391" spans="3:26" ht="12.75" customHeight="1" x14ac:dyDescent="0.25">
      <c r="D391" s="89"/>
      <c r="E391" s="89" t="s">
        <v>81</v>
      </c>
      <c r="F391" s="371">
        <v>1763.36</v>
      </c>
      <c r="G391" s="90">
        <v>163.44</v>
      </c>
      <c r="H391" s="90">
        <v>79.78</v>
      </c>
      <c r="I391" s="90">
        <v>44.61</v>
      </c>
      <c r="J391" s="90">
        <v>581.24</v>
      </c>
      <c r="K391" s="90">
        <v>14.67</v>
      </c>
      <c r="L391" s="90">
        <v>0</v>
      </c>
      <c r="M391" s="90">
        <v>117.58</v>
      </c>
      <c r="N391" s="90">
        <v>155.69999999999999</v>
      </c>
      <c r="O391" s="90">
        <v>210.6</v>
      </c>
      <c r="P391" s="90">
        <v>371.89</v>
      </c>
      <c r="Q391" s="90">
        <v>23.92</v>
      </c>
      <c r="R391" s="90">
        <v>-7.0000000000000007E-2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90">
        <v>0</v>
      </c>
      <c r="Z391">
        <v>0</v>
      </c>
    </row>
    <row r="392" spans="3:26" ht="12.75" customHeight="1" x14ac:dyDescent="0.25">
      <c r="D392" s="89" t="s">
        <v>116</v>
      </c>
      <c r="E392" s="89" t="s">
        <v>70</v>
      </c>
      <c r="F392" s="371">
        <v>277852.17</v>
      </c>
      <c r="G392" s="90">
        <v>26608.18</v>
      </c>
      <c r="H392" s="90">
        <v>13702.07</v>
      </c>
      <c r="I392" s="90">
        <v>7795.14</v>
      </c>
      <c r="J392" s="90">
        <v>51426.68</v>
      </c>
      <c r="K392" s="90">
        <v>1493.35</v>
      </c>
      <c r="L392" s="90">
        <v>0</v>
      </c>
      <c r="M392" s="90">
        <v>13088.6</v>
      </c>
      <c r="N392" s="90">
        <v>15021.06</v>
      </c>
      <c r="O392" s="90">
        <v>75581.429999999993</v>
      </c>
      <c r="P392" s="90">
        <v>70694.52</v>
      </c>
      <c r="Q392" s="90">
        <v>2436.52</v>
      </c>
      <c r="R392" s="90">
        <v>4.62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90">
        <v>0</v>
      </c>
      <c r="Z392">
        <v>0</v>
      </c>
    </row>
    <row r="393" spans="3:26" ht="12.75" customHeight="1" x14ac:dyDescent="0.25">
      <c r="C393" s="89"/>
      <c r="D393" s="89"/>
      <c r="E393" t="s">
        <v>72</v>
      </c>
      <c r="F393" s="90">
        <v>2520325.29</v>
      </c>
      <c r="G393" s="90">
        <v>121957.19</v>
      </c>
      <c r="H393" s="90">
        <v>67910.850000000006</v>
      </c>
      <c r="I393" s="90">
        <v>36000.71</v>
      </c>
      <c r="J393" s="90">
        <v>615618.21</v>
      </c>
      <c r="K393" s="90">
        <v>20743.349999999999</v>
      </c>
      <c r="L393" s="90">
        <v>0</v>
      </c>
      <c r="M393" s="90">
        <v>183015.86</v>
      </c>
      <c r="N393" s="90">
        <v>182611.23</v>
      </c>
      <c r="O393" s="90">
        <v>932935.39</v>
      </c>
      <c r="P393" s="90">
        <v>325684.34000000003</v>
      </c>
      <c r="Q393" s="90">
        <v>33844.33</v>
      </c>
      <c r="R393" s="90">
        <v>3.83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3:26" ht="12.75" customHeight="1" x14ac:dyDescent="0.25">
      <c r="E394" s="89" t="s">
        <v>81</v>
      </c>
      <c r="F394" s="90">
        <v>-6849.08</v>
      </c>
      <c r="G394" s="90">
        <v>231.53</v>
      </c>
      <c r="H394" s="90">
        <v>122.31</v>
      </c>
      <c r="I394" s="90">
        <v>66.900000000000006</v>
      </c>
      <c r="J394" s="90">
        <v>1041.73</v>
      </c>
      <c r="K394" s="90">
        <v>28.29</v>
      </c>
      <c r="L394" s="90">
        <v>0</v>
      </c>
      <c r="M394" s="90">
        <v>248.59</v>
      </c>
      <c r="N394" s="90">
        <v>318.93</v>
      </c>
      <c r="O394" s="90">
        <v>-9573.24</v>
      </c>
      <c r="P394" s="90">
        <v>619.87</v>
      </c>
      <c r="Q394" s="90">
        <v>46.07</v>
      </c>
      <c r="R394" s="90">
        <v>-0.06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90">
        <v>0</v>
      </c>
      <c r="Z394">
        <v>0</v>
      </c>
    </row>
    <row r="395" spans="3:26" ht="12.75" customHeight="1" x14ac:dyDescent="0.25">
      <c r="D395" t="s">
        <v>118</v>
      </c>
      <c r="E395" s="89" t="s">
        <v>70</v>
      </c>
      <c r="F395" s="90">
        <v>2513476.21</v>
      </c>
      <c r="G395" s="90">
        <v>122188.72</v>
      </c>
      <c r="H395" s="90">
        <v>68033.16</v>
      </c>
      <c r="I395" s="90">
        <v>36067.61</v>
      </c>
      <c r="J395" s="90">
        <v>616659.93999999994</v>
      </c>
      <c r="K395" s="90">
        <v>20771.64</v>
      </c>
      <c r="L395" s="90">
        <v>0</v>
      </c>
      <c r="M395" s="90">
        <v>183264.45</v>
      </c>
      <c r="N395" s="90">
        <v>182930.16</v>
      </c>
      <c r="O395" s="90">
        <v>923362.15</v>
      </c>
      <c r="P395" s="90">
        <v>326304.21000000002</v>
      </c>
      <c r="Q395" s="90">
        <v>33890.400000000001</v>
      </c>
      <c r="R395" s="90">
        <v>3.77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90">
        <v>0</v>
      </c>
      <c r="Z395">
        <v>0</v>
      </c>
    </row>
    <row r="396" spans="3:26" s="224" customFormat="1" ht="12.75" customHeight="1" x14ac:dyDescent="0.25">
      <c r="C396" s="223" t="s">
        <v>120</v>
      </c>
      <c r="D396" s="223" t="s">
        <v>70</v>
      </c>
      <c r="F396" s="225">
        <v>4068782.15</v>
      </c>
      <c r="G396" s="225">
        <v>230841.65</v>
      </c>
      <c r="H396" s="225">
        <v>124285.63</v>
      </c>
      <c r="I396" s="225">
        <v>67258.31</v>
      </c>
      <c r="J396" s="225">
        <v>867058.94</v>
      </c>
      <c r="K396" s="225">
        <v>32277.11</v>
      </c>
      <c r="L396" s="225">
        <v>0</v>
      </c>
      <c r="M396" s="225">
        <v>284231</v>
      </c>
      <c r="N396" s="225">
        <v>296649.74</v>
      </c>
      <c r="O396" s="225">
        <v>1497455.27</v>
      </c>
      <c r="P396" s="225">
        <v>616044.74</v>
      </c>
      <c r="Q396" s="225">
        <v>52678.34</v>
      </c>
      <c r="R396" s="225">
        <v>1.42</v>
      </c>
      <c r="S396" s="225">
        <v>0</v>
      </c>
      <c r="T396" s="224">
        <v>0</v>
      </c>
      <c r="U396" s="224">
        <v>0</v>
      </c>
      <c r="V396" s="224">
        <v>0</v>
      </c>
      <c r="W396" s="224">
        <v>0</v>
      </c>
      <c r="X396" s="224">
        <v>0</v>
      </c>
      <c r="Y396" s="225">
        <v>0</v>
      </c>
      <c r="Z396" s="224">
        <v>0</v>
      </c>
    </row>
    <row r="397" spans="3:26" ht="12.75" customHeight="1" x14ac:dyDescent="0.25">
      <c r="E397" s="89" t="s">
        <v>72</v>
      </c>
      <c r="F397" s="90">
        <v>236487797.15000001</v>
      </c>
      <c r="G397" s="90">
        <v>13918818.07</v>
      </c>
      <c r="H397" s="90">
        <v>7898835.5599999996</v>
      </c>
      <c r="I397" s="90">
        <v>4195469.62</v>
      </c>
      <c r="J397" s="90">
        <v>53584722.259999998</v>
      </c>
      <c r="K397" s="90">
        <v>1358543.91</v>
      </c>
      <c r="L397" s="90">
        <v>1016480.32</v>
      </c>
      <c r="M397" s="90">
        <v>11908266.17</v>
      </c>
      <c r="N397" s="90">
        <v>17185993.23</v>
      </c>
      <c r="O397" s="90">
        <v>85883176.319999993</v>
      </c>
      <c r="P397" s="90">
        <v>37317675.789999999</v>
      </c>
      <c r="Q397" s="90">
        <v>2219113.11</v>
      </c>
      <c r="R397" s="90">
        <v>702.79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90">
        <v>0</v>
      </c>
      <c r="Z397">
        <v>0</v>
      </c>
    </row>
    <row r="398" spans="3:26" ht="12.75" customHeight="1" x14ac:dyDescent="0.25">
      <c r="D398" s="89"/>
      <c r="E398" s="89" t="s">
        <v>81</v>
      </c>
      <c r="F398" s="90">
        <v>-66055.509999999995</v>
      </c>
      <c r="G398" s="90">
        <v>42875.360000000001</v>
      </c>
      <c r="H398" s="90">
        <v>22349.119999999999</v>
      </c>
      <c r="I398" s="90">
        <v>10965.42</v>
      </c>
      <c r="J398" s="90">
        <v>130899.72</v>
      </c>
      <c r="K398" s="90">
        <v>3940.94</v>
      </c>
      <c r="L398" s="90">
        <v>0</v>
      </c>
      <c r="M398" s="90">
        <v>34479.269999999997</v>
      </c>
      <c r="N398" s="90">
        <v>46233.09</v>
      </c>
      <c r="O398" s="90">
        <v>-477074.43</v>
      </c>
      <c r="P398" s="90">
        <v>112811.27</v>
      </c>
      <c r="Q398" s="90">
        <v>6438.25</v>
      </c>
      <c r="R398" s="90">
        <v>26.46</v>
      </c>
      <c r="S398" s="90">
        <v>0</v>
      </c>
      <c r="T398">
        <v>0.02</v>
      </c>
      <c r="U398">
        <v>0</v>
      </c>
      <c r="V398">
        <v>0</v>
      </c>
      <c r="W398">
        <v>0</v>
      </c>
      <c r="X398">
        <v>0</v>
      </c>
      <c r="Y398" s="90">
        <v>0</v>
      </c>
      <c r="Z398">
        <v>0</v>
      </c>
    </row>
    <row r="399" spans="3:26" ht="12.75" customHeight="1" x14ac:dyDescent="0.25">
      <c r="D399" t="s">
        <v>82</v>
      </c>
      <c r="E399" s="89" t="s">
        <v>70</v>
      </c>
      <c r="F399" s="90">
        <v>236421741.63999999</v>
      </c>
      <c r="G399" s="90">
        <v>13961693.43</v>
      </c>
      <c r="H399" s="90">
        <v>7921184.6799999997</v>
      </c>
      <c r="I399" s="90">
        <v>4206435.04</v>
      </c>
      <c r="J399" s="90">
        <v>53715621.979999997</v>
      </c>
      <c r="K399" s="90">
        <v>1362484.85</v>
      </c>
      <c r="L399" s="90">
        <v>1016480.32</v>
      </c>
      <c r="M399" s="90">
        <v>11942745.439999999</v>
      </c>
      <c r="N399" s="90">
        <v>17232226.32</v>
      </c>
      <c r="O399" s="90">
        <v>85406101.890000001</v>
      </c>
      <c r="P399" s="90">
        <v>37430487.060000002</v>
      </c>
      <c r="Q399" s="90">
        <v>2225551.3599999999</v>
      </c>
      <c r="R399" s="90">
        <v>729.25</v>
      </c>
      <c r="S399" s="90">
        <v>0</v>
      </c>
      <c r="T399">
        <v>0.02</v>
      </c>
      <c r="U399">
        <v>0</v>
      </c>
      <c r="V399">
        <v>0</v>
      </c>
      <c r="W399">
        <v>0</v>
      </c>
      <c r="X399">
        <v>0</v>
      </c>
      <c r="Y399" s="90">
        <v>0</v>
      </c>
      <c r="Z399">
        <v>0</v>
      </c>
    </row>
    <row r="400" spans="3:26" ht="12.75" customHeight="1" x14ac:dyDescent="0.25">
      <c r="E400" s="89" t="s">
        <v>72</v>
      </c>
      <c r="F400" s="90">
        <v>119612851.98</v>
      </c>
      <c r="G400" s="90">
        <v>8292390.0300000003</v>
      </c>
      <c r="H400" s="90">
        <v>4384853.3600000003</v>
      </c>
      <c r="I400" s="90">
        <v>2254693.04</v>
      </c>
      <c r="J400" s="90">
        <v>23302372.989999998</v>
      </c>
      <c r="K400" s="90">
        <v>786498.33</v>
      </c>
      <c r="L400" s="90">
        <v>0</v>
      </c>
      <c r="M400" s="90">
        <v>6976666.04</v>
      </c>
      <c r="N400" s="90">
        <v>8374828.4400000004</v>
      </c>
      <c r="O400" s="90">
        <v>41727065.310000002</v>
      </c>
      <c r="P400" s="90">
        <v>22226422.920000002</v>
      </c>
      <c r="Q400" s="90">
        <v>1287271.4099999999</v>
      </c>
      <c r="R400" s="90">
        <v>-209.89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90">
        <v>0</v>
      </c>
      <c r="Z400">
        <v>0</v>
      </c>
    </row>
    <row r="401" spans="1:26" ht="12.75" customHeight="1" x14ac:dyDescent="0.25">
      <c r="D401" s="89"/>
      <c r="E401" s="89" t="s">
        <v>81</v>
      </c>
      <c r="F401" s="90">
        <v>15411450.939999999</v>
      </c>
      <c r="G401" s="90">
        <v>1726182.39</v>
      </c>
      <c r="H401" s="90">
        <v>769860.72</v>
      </c>
      <c r="I401" s="90">
        <v>305841.89</v>
      </c>
      <c r="J401" s="90">
        <v>2602464.39</v>
      </c>
      <c r="K401" s="90">
        <v>100531.14</v>
      </c>
      <c r="L401" s="90">
        <v>7106.45</v>
      </c>
      <c r="M401" s="90">
        <v>880027.17</v>
      </c>
      <c r="N401" s="90">
        <v>1051372.76</v>
      </c>
      <c r="O401" s="90">
        <v>3263318.58</v>
      </c>
      <c r="P401" s="90">
        <v>4540696.83</v>
      </c>
      <c r="Q401" s="90">
        <v>164080.44</v>
      </c>
      <c r="R401" s="90">
        <v>153.19</v>
      </c>
      <c r="S401" s="90">
        <v>-7.76</v>
      </c>
      <c r="T401">
        <v>0.89</v>
      </c>
      <c r="U401">
        <v>0</v>
      </c>
      <c r="V401">
        <v>0</v>
      </c>
      <c r="W401">
        <v>0</v>
      </c>
      <c r="X401">
        <v>0</v>
      </c>
      <c r="Y401" s="90">
        <v>0</v>
      </c>
      <c r="Z401">
        <v>-178.14</v>
      </c>
    </row>
    <row r="402" spans="1:26" ht="12.75" customHeight="1" x14ac:dyDescent="0.25">
      <c r="C402" s="89"/>
      <c r="D402" s="89" t="s">
        <v>86</v>
      </c>
      <c r="E402" t="s">
        <v>70</v>
      </c>
      <c r="F402" s="90">
        <v>135024302.91999999</v>
      </c>
      <c r="G402" s="90">
        <v>10018572.42</v>
      </c>
      <c r="H402" s="90">
        <v>5154714.08</v>
      </c>
      <c r="I402" s="90">
        <v>2560534.9300000002</v>
      </c>
      <c r="J402" s="90">
        <v>25904837.379999999</v>
      </c>
      <c r="K402" s="90">
        <v>887029.47</v>
      </c>
      <c r="L402" s="90">
        <v>7106.45</v>
      </c>
      <c r="M402" s="90">
        <v>7856693.21</v>
      </c>
      <c r="N402" s="90">
        <v>9426201.1999999993</v>
      </c>
      <c r="O402" s="90">
        <v>44990383.890000001</v>
      </c>
      <c r="P402" s="90">
        <v>26767119.75</v>
      </c>
      <c r="Q402" s="90">
        <v>1451351.85</v>
      </c>
      <c r="R402" s="90">
        <v>-56.7</v>
      </c>
      <c r="S402" s="90">
        <v>-7.76</v>
      </c>
      <c r="T402">
        <v>0.89</v>
      </c>
      <c r="U402">
        <v>0</v>
      </c>
      <c r="V402">
        <v>0</v>
      </c>
      <c r="W402">
        <v>0</v>
      </c>
      <c r="X402">
        <v>0</v>
      </c>
      <c r="Y402" s="90">
        <v>0</v>
      </c>
      <c r="Z402">
        <v>-178.14</v>
      </c>
    </row>
    <row r="403" spans="1:26" ht="12.75" customHeight="1" x14ac:dyDescent="0.25">
      <c r="B403" s="89"/>
      <c r="C403" s="89"/>
      <c r="E403" t="s">
        <v>72</v>
      </c>
      <c r="F403" s="90">
        <v>446543960.27999997</v>
      </c>
      <c r="G403" s="90">
        <v>66854304.450000003</v>
      </c>
      <c r="H403" s="90">
        <v>37816769.840000004</v>
      </c>
      <c r="I403" s="90">
        <v>20303817.34</v>
      </c>
      <c r="J403" s="90">
        <v>43780605.030000001</v>
      </c>
      <c r="K403" s="90">
        <v>1135251.9099999999</v>
      </c>
      <c r="L403" s="90">
        <v>2445230</v>
      </c>
      <c r="M403" s="90">
        <v>9919745.5099999998</v>
      </c>
      <c r="N403" s="90">
        <v>14017427.35</v>
      </c>
      <c r="O403" s="90">
        <v>70719234.170000002</v>
      </c>
      <c r="P403" s="90">
        <v>177697375.5</v>
      </c>
      <c r="Q403" s="90">
        <v>1853373.37</v>
      </c>
      <c r="R403" s="90">
        <v>825.81</v>
      </c>
      <c r="S403" s="90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90">
        <v>0</v>
      </c>
      <c r="Z403">
        <v>0</v>
      </c>
    </row>
    <row r="404" spans="1:26" ht="12.75" customHeight="1" x14ac:dyDescent="0.25">
      <c r="A404" s="89"/>
      <c r="B404" s="89"/>
      <c r="E404" t="s">
        <v>81</v>
      </c>
      <c r="F404" s="90">
        <v>894038.45</v>
      </c>
      <c r="G404" s="90">
        <v>112344.75</v>
      </c>
      <c r="H404" s="90">
        <v>61002.58</v>
      </c>
      <c r="I404" s="90">
        <v>32461.38</v>
      </c>
      <c r="J404" s="90">
        <v>277351.73</v>
      </c>
      <c r="K404" s="90">
        <v>7905.64</v>
      </c>
      <c r="L404" s="90">
        <v>384.17</v>
      </c>
      <c r="M404" s="90">
        <v>69273.59</v>
      </c>
      <c r="N404" s="90">
        <v>92469.56</v>
      </c>
      <c r="O404" s="90">
        <v>-74928.42</v>
      </c>
      <c r="P404" s="90">
        <v>302876.88</v>
      </c>
      <c r="Q404" s="90">
        <v>12896.23</v>
      </c>
      <c r="R404" s="90">
        <v>0.35</v>
      </c>
      <c r="S404" s="90">
        <v>0.01</v>
      </c>
      <c r="T404">
        <v>0</v>
      </c>
      <c r="U404">
        <v>0</v>
      </c>
      <c r="V404">
        <v>0</v>
      </c>
      <c r="W404">
        <v>0</v>
      </c>
      <c r="X404">
        <v>0</v>
      </c>
      <c r="Y404" s="90">
        <v>0</v>
      </c>
      <c r="Z404">
        <v>0</v>
      </c>
    </row>
    <row r="405" spans="1:26" ht="12.75" customHeight="1" x14ac:dyDescent="0.25">
      <c r="A405" s="89"/>
      <c r="B405" s="89"/>
      <c r="D405" t="s">
        <v>87</v>
      </c>
      <c r="E405" t="s">
        <v>70</v>
      </c>
      <c r="F405" s="371">
        <v>447437998.73000002</v>
      </c>
      <c r="G405" s="90">
        <v>66966649.200000003</v>
      </c>
      <c r="H405" s="90">
        <v>37877772.420000002</v>
      </c>
      <c r="I405" s="90">
        <v>20336278.719999999</v>
      </c>
      <c r="J405" s="90">
        <v>44057956.759999998</v>
      </c>
      <c r="K405" s="90">
        <v>1143157.55</v>
      </c>
      <c r="L405" s="90">
        <v>2445614.17</v>
      </c>
      <c r="M405" s="90">
        <v>9989019.0999999996</v>
      </c>
      <c r="N405" s="90">
        <v>14109896.91</v>
      </c>
      <c r="O405" s="90">
        <v>70644305.75</v>
      </c>
      <c r="P405" s="90">
        <v>178000252.38</v>
      </c>
      <c r="Q405" s="90">
        <v>1866269.6</v>
      </c>
      <c r="R405" s="90">
        <v>826.16</v>
      </c>
      <c r="S405" s="90">
        <v>0.01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1:26" s="94" customFormat="1" ht="12.75" customHeight="1" x14ac:dyDescent="0.25">
      <c r="C406" s="101" t="s">
        <v>119</v>
      </c>
      <c r="D406" s="101" t="s">
        <v>70</v>
      </c>
      <c r="F406" s="93">
        <v>818884043.28999996</v>
      </c>
      <c r="G406" s="93">
        <v>90946915.049999997</v>
      </c>
      <c r="H406" s="93">
        <v>50953671.18</v>
      </c>
      <c r="I406" s="93">
        <v>27103248.690000001</v>
      </c>
      <c r="J406" s="93">
        <v>123678416.12</v>
      </c>
      <c r="K406" s="93">
        <v>3392671.87</v>
      </c>
      <c r="L406" s="93">
        <v>3469200.94</v>
      </c>
      <c r="M406" s="93">
        <v>29788457.75</v>
      </c>
      <c r="N406" s="93">
        <v>40768324.43</v>
      </c>
      <c r="O406" s="93">
        <v>201040791.53</v>
      </c>
      <c r="P406" s="93">
        <v>242197859.19</v>
      </c>
      <c r="Q406" s="93">
        <v>5543172.8099999996</v>
      </c>
      <c r="R406" s="93">
        <v>1498.71</v>
      </c>
      <c r="S406" s="93">
        <v>-7.75</v>
      </c>
      <c r="T406" s="94">
        <v>0.91</v>
      </c>
      <c r="U406" s="94">
        <v>0</v>
      </c>
      <c r="V406" s="94">
        <v>0</v>
      </c>
      <c r="W406" s="94">
        <v>0</v>
      </c>
      <c r="X406" s="94">
        <v>0</v>
      </c>
      <c r="Y406" s="93">
        <v>0</v>
      </c>
      <c r="Z406" s="94">
        <v>-178.14</v>
      </c>
    </row>
    <row r="407" spans="1:26" s="226" customFormat="1" ht="12.75" customHeight="1" x14ac:dyDescent="0.25">
      <c r="B407" s="98" t="s">
        <v>112</v>
      </c>
      <c r="C407" s="98" t="s">
        <v>70</v>
      </c>
      <c r="F407" s="100">
        <v>9039100669.5900002</v>
      </c>
      <c r="G407" s="100">
        <v>511318695.48000002</v>
      </c>
      <c r="H407" s="100">
        <v>286714188.68000001</v>
      </c>
      <c r="I407" s="100">
        <v>151168980.80000001</v>
      </c>
      <c r="J407" s="100">
        <v>2089520293.72</v>
      </c>
      <c r="K407" s="100">
        <v>72385546.150000006</v>
      </c>
      <c r="L407" s="100">
        <v>11217476.99</v>
      </c>
      <c r="M407" s="100">
        <v>634358246.12</v>
      </c>
      <c r="N407" s="100">
        <v>627983953.88</v>
      </c>
      <c r="O407" s="100">
        <v>3181406358.4299998</v>
      </c>
      <c r="P407" s="100">
        <v>1354908058.99</v>
      </c>
      <c r="Q407" s="100">
        <v>118131021.81999999</v>
      </c>
      <c r="R407" s="100">
        <v>-12115.9</v>
      </c>
      <c r="S407" s="100">
        <v>-7.75</v>
      </c>
      <c r="T407" s="226">
        <v>151.03</v>
      </c>
      <c r="U407" s="226">
        <v>0</v>
      </c>
      <c r="V407" s="226">
        <v>0</v>
      </c>
      <c r="W407" s="226">
        <v>0</v>
      </c>
      <c r="X407" s="226">
        <v>0</v>
      </c>
      <c r="Y407" s="100">
        <v>0</v>
      </c>
      <c r="Z407" s="226">
        <v>-178.85</v>
      </c>
    </row>
    <row r="408" spans="1:26" ht="12" customHeight="1" x14ac:dyDescent="0.25">
      <c r="A408" s="89" t="s">
        <v>78</v>
      </c>
      <c r="B408" s="89" t="s">
        <v>70</v>
      </c>
      <c r="F408" s="371">
        <v>9043254920.4099998</v>
      </c>
      <c r="G408" s="90">
        <v>511552955.05000001</v>
      </c>
      <c r="H408" s="90">
        <v>286850076.31</v>
      </c>
      <c r="I408" s="90">
        <v>151238993.44999999</v>
      </c>
      <c r="J408" s="90">
        <v>2090461601.6900001</v>
      </c>
      <c r="K408" s="90">
        <v>72416826.370000005</v>
      </c>
      <c r="L408" s="90">
        <v>11217476.99</v>
      </c>
      <c r="M408" s="90">
        <v>634632634.05999994</v>
      </c>
      <c r="N408" s="90">
        <v>628280959.94000006</v>
      </c>
      <c r="O408" s="90">
        <v>3182902460.8699999</v>
      </c>
      <c r="P408" s="90">
        <v>1355531027.3299999</v>
      </c>
      <c r="Q408" s="90">
        <v>118182057.79000001</v>
      </c>
      <c r="R408" s="90">
        <v>-12113.87</v>
      </c>
      <c r="S408" s="90">
        <v>-7.75</v>
      </c>
      <c r="T408">
        <v>151.03</v>
      </c>
      <c r="U408">
        <v>0</v>
      </c>
      <c r="V408">
        <v>0</v>
      </c>
      <c r="W408">
        <v>0</v>
      </c>
      <c r="X408">
        <v>0</v>
      </c>
      <c r="Y408" s="90">
        <v>0</v>
      </c>
      <c r="Z408">
        <v>-178.85</v>
      </c>
    </row>
    <row r="409" spans="1:26" ht="12.75" customHeight="1" x14ac:dyDescent="0.25">
      <c r="E409" s="89" t="s">
        <v>73</v>
      </c>
      <c r="F409" s="90">
        <v>-75886.570000000007</v>
      </c>
      <c r="G409" s="90">
        <v>21412.400000000001</v>
      </c>
      <c r="H409" s="90">
        <v>12149.5</v>
      </c>
      <c r="I409" s="90">
        <v>6596.89</v>
      </c>
      <c r="J409" s="90">
        <v>-52501</v>
      </c>
      <c r="K409" s="90">
        <v>-1820.39</v>
      </c>
      <c r="L409" s="90">
        <v>0</v>
      </c>
      <c r="M409" s="90">
        <v>-15969.4</v>
      </c>
      <c r="N409" s="90">
        <v>-16468.37</v>
      </c>
      <c r="O409" s="90">
        <v>-85136.83</v>
      </c>
      <c r="P409" s="90">
        <v>58820.91</v>
      </c>
      <c r="Q409" s="90">
        <v>-2970.28</v>
      </c>
      <c r="R409" s="90">
        <v>0</v>
      </c>
      <c r="S409" s="90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90">
        <v>0</v>
      </c>
      <c r="Z409">
        <v>0</v>
      </c>
    </row>
    <row r="410" spans="1:26" ht="12.75" customHeight="1" x14ac:dyDescent="0.25">
      <c r="D410" t="s">
        <v>156</v>
      </c>
      <c r="E410" s="89" t="s">
        <v>70</v>
      </c>
      <c r="F410" s="90">
        <v>-75886.570000000007</v>
      </c>
      <c r="G410" s="90">
        <v>21412.400000000001</v>
      </c>
      <c r="H410" s="90">
        <v>12149.5</v>
      </c>
      <c r="I410" s="90">
        <v>6596.89</v>
      </c>
      <c r="J410" s="90">
        <v>-52501</v>
      </c>
      <c r="K410" s="90">
        <v>-1820.39</v>
      </c>
      <c r="L410" s="90">
        <v>0</v>
      </c>
      <c r="M410" s="90">
        <v>-15969.4</v>
      </c>
      <c r="N410" s="90">
        <v>-16468.37</v>
      </c>
      <c r="O410" s="90">
        <v>-85136.83</v>
      </c>
      <c r="P410" s="90">
        <v>58820.91</v>
      </c>
      <c r="Q410" s="90">
        <v>-2970.28</v>
      </c>
      <c r="R410" s="90">
        <v>0</v>
      </c>
      <c r="S410" s="9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90">
        <v>0</v>
      </c>
      <c r="Z410">
        <v>0</v>
      </c>
    </row>
    <row r="411" spans="1:26" s="656" customFormat="1" ht="12.75" customHeight="1" x14ac:dyDescent="0.25">
      <c r="C411" s="656" t="s">
        <v>155</v>
      </c>
      <c r="D411" s="657" t="s">
        <v>70</v>
      </c>
      <c r="E411" s="657"/>
      <c r="F411" s="738">
        <v>-75886.570000000007</v>
      </c>
      <c r="G411" s="658">
        <v>21412.400000000001</v>
      </c>
      <c r="H411" s="658">
        <v>12149.5</v>
      </c>
      <c r="I411" s="658">
        <v>6596.89</v>
      </c>
      <c r="J411" s="658">
        <v>-52501</v>
      </c>
      <c r="K411" s="658">
        <v>-1820.39</v>
      </c>
      <c r="L411" s="658">
        <v>0</v>
      </c>
      <c r="M411" s="658">
        <v>-15969.4</v>
      </c>
      <c r="N411" s="658">
        <v>-16468.37</v>
      </c>
      <c r="O411" s="658">
        <v>-85136.83</v>
      </c>
      <c r="P411" s="658">
        <v>58820.91</v>
      </c>
      <c r="Q411" s="658">
        <v>-2970.28</v>
      </c>
      <c r="R411" s="658">
        <v>0</v>
      </c>
      <c r="S411" s="658">
        <v>0</v>
      </c>
      <c r="T411" s="656">
        <v>0</v>
      </c>
      <c r="U411" s="656">
        <v>0</v>
      </c>
      <c r="V411" s="656">
        <v>0</v>
      </c>
      <c r="W411" s="656">
        <v>0</v>
      </c>
      <c r="X411" s="656">
        <v>0</v>
      </c>
      <c r="Y411" s="658">
        <v>0</v>
      </c>
      <c r="Z411" s="656">
        <v>0</v>
      </c>
    </row>
    <row r="412" spans="1:26" ht="12.75" customHeight="1" x14ac:dyDescent="0.25">
      <c r="E412" s="89" t="s">
        <v>73</v>
      </c>
      <c r="F412" s="90">
        <v>22589.13</v>
      </c>
      <c r="G412" s="90">
        <v>1124.45</v>
      </c>
      <c r="H412" s="90">
        <v>636.15</v>
      </c>
      <c r="I412" s="90">
        <v>338.95</v>
      </c>
      <c r="J412" s="90">
        <v>5266.33</v>
      </c>
      <c r="K412" s="90">
        <v>223.93</v>
      </c>
      <c r="L412" s="90">
        <v>0</v>
      </c>
      <c r="M412" s="90">
        <v>1964.49</v>
      </c>
      <c r="N412" s="90">
        <v>1620.27</v>
      </c>
      <c r="O412" s="90">
        <v>8022.02</v>
      </c>
      <c r="P412" s="90">
        <v>3027.13</v>
      </c>
      <c r="Q412" s="90">
        <v>365.41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1:26" ht="12.75" customHeight="1" x14ac:dyDescent="0.25">
      <c r="D413" t="s">
        <v>115</v>
      </c>
      <c r="E413" s="89" t="s">
        <v>70</v>
      </c>
      <c r="F413" s="371">
        <v>22589.13</v>
      </c>
      <c r="G413" s="90">
        <v>1124.45</v>
      </c>
      <c r="H413" s="90">
        <v>636.15</v>
      </c>
      <c r="I413" s="90">
        <v>338.95</v>
      </c>
      <c r="J413" s="90">
        <v>5266.33</v>
      </c>
      <c r="K413" s="90">
        <v>223.93</v>
      </c>
      <c r="L413" s="90">
        <v>0</v>
      </c>
      <c r="M413" s="90">
        <v>1964.49</v>
      </c>
      <c r="N413" s="90">
        <v>1620.27</v>
      </c>
      <c r="O413" s="90">
        <v>8022.02</v>
      </c>
      <c r="P413" s="90">
        <v>3027.13</v>
      </c>
      <c r="Q413" s="90">
        <v>365.41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1:26" s="224" customFormat="1" ht="12.75" customHeight="1" x14ac:dyDescent="0.25">
      <c r="C414" s="223" t="s">
        <v>120</v>
      </c>
      <c r="D414" s="223" t="s">
        <v>70</v>
      </c>
      <c r="F414" s="225">
        <v>22589.13</v>
      </c>
      <c r="G414" s="225">
        <v>1124.45</v>
      </c>
      <c r="H414" s="225">
        <v>636.15</v>
      </c>
      <c r="I414" s="225">
        <v>338.95</v>
      </c>
      <c r="J414" s="225">
        <v>5266.33</v>
      </c>
      <c r="K414" s="225">
        <v>223.93</v>
      </c>
      <c r="L414" s="225">
        <v>0</v>
      </c>
      <c r="M414" s="225">
        <v>1964.49</v>
      </c>
      <c r="N414" s="225">
        <v>1620.27</v>
      </c>
      <c r="O414" s="225">
        <v>8022.02</v>
      </c>
      <c r="P414" s="225">
        <v>3027.13</v>
      </c>
      <c r="Q414" s="225">
        <v>365.41</v>
      </c>
      <c r="R414" s="225">
        <v>0</v>
      </c>
      <c r="S414" s="225">
        <v>0</v>
      </c>
      <c r="T414" s="224">
        <v>0</v>
      </c>
      <c r="U414" s="224">
        <v>0</v>
      </c>
      <c r="V414" s="224">
        <v>0</v>
      </c>
      <c r="W414" s="224">
        <v>0</v>
      </c>
      <c r="X414" s="224">
        <v>0</v>
      </c>
      <c r="Y414" s="225">
        <v>0</v>
      </c>
      <c r="Z414" s="224">
        <v>0</v>
      </c>
    </row>
    <row r="415" spans="1:26" ht="12.75" customHeight="1" x14ac:dyDescent="0.25">
      <c r="E415" s="89" t="s">
        <v>73</v>
      </c>
      <c r="F415" s="371">
        <v>-70543.38</v>
      </c>
      <c r="G415" s="90">
        <v>-3069.48</v>
      </c>
      <c r="H415" s="90">
        <v>-1734.99</v>
      </c>
      <c r="I415" s="90">
        <v>-918.37</v>
      </c>
      <c r="J415" s="90">
        <v>-15369.17</v>
      </c>
      <c r="K415" s="90">
        <v>-578.75</v>
      </c>
      <c r="L415" s="90">
        <v>0</v>
      </c>
      <c r="M415" s="90">
        <v>-5076.82</v>
      </c>
      <c r="N415" s="90">
        <v>-5702.76</v>
      </c>
      <c r="O415" s="90">
        <v>-28945.65</v>
      </c>
      <c r="P415" s="90">
        <v>-8203.09</v>
      </c>
      <c r="Q415" s="90">
        <v>-944.3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1:26" ht="12.75" customHeight="1" x14ac:dyDescent="0.25">
      <c r="D416" t="s">
        <v>86</v>
      </c>
      <c r="E416" s="89" t="s">
        <v>70</v>
      </c>
      <c r="F416" s="90">
        <v>-70543.38</v>
      </c>
      <c r="G416" s="90">
        <v>-3069.48</v>
      </c>
      <c r="H416" s="90">
        <v>-1734.99</v>
      </c>
      <c r="I416" s="90">
        <v>-918.37</v>
      </c>
      <c r="J416" s="90">
        <v>-15369.17</v>
      </c>
      <c r="K416" s="90">
        <v>-578.75</v>
      </c>
      <c r="L416" s="90">
        <v>0</v>
      </c>
      <c r="M416" s="90">
        <v>-5076.82</v>
      </c>
      <c r="N416" s="90">
        <v>-5702.76</v>
      </c>
      <c r="O416" s="90">
        <v>-28945.65</v>
      </c>
      <c r="P416" s="90">
        <v>-8203.09</v>
      </c>
      <c r="Q416" s="90">
        <v>-944.3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90">
        <v>0</v>
      </c>
      <c r="Z416">
        <v>0</v>
      </c>
    </row>
    <row r="417" spans="2:26" s="94" customFormat="1" ht="12.75" customHeight="1" x14ac:dyDescent="0.25">
      <c r="C417" s="101" t="s">
        <v>119</v>
      </c>
      <c r="D417" s="101" t="s">
        <v>70</v>
      </c>
      <c r="F417" s="93">
        <v>-70543.38</v>
      </c>
      <c r="G417" s="93">
        <v>-3069.48</v>
      </c>
      <c r="H417" s="93">
        <v>-1734.99</v>
      </c>
      <c r="I417" s="93">
        <v>-918.37</v>
      </c>
      <c r="J417" s="93">
        <v>-15369.17</v>
      </c>
      <c r="K417" s="93">
        <v>-578.75</v>
      </c>
      <c r="L417" s="93">
        <v>0</v>
      </c>
      <c r="M417" s="93">
        <v>-5076.82</v>
      </c>
      <c r="N417" s="93">
        <v>-5702.76</v>
      </c>
      <c r="O417" s="93">
        <v>-28945.65</v>
      </c>
      <c r="P417" s="93">
        <v>-8203.09</v>
      </c>
      <c r="Q417" s="93">
        <v>-944.3</v>
      </c>
      <c r="R417" s="93">
        <v>0</v>
      </c>
      <c r="S417" s="93">
        <v>0</v>
      </c>
      <c r="T417" s="94">
        <v>0</v>
      </c>
      <c r="U417" s="94">
        <v>0</v>
      </c>
      <c r="V417" s="94">
        <v>0</v>
      </c>
      <c r="W417" s="94">
        <v>0</v>
      </c>
      <c r="X417" s="94">
        <v>0</v>
      </c>
      <c r="Y417" s="93">
        <v>0</v>
      </c>
      <c r="Z417" s="94">
        <v>0</v>
      </c>
    </row>
    <row r="418" spans="2:26" s="378" customFormat="1" ht="12.75" customHeight="1" x14ac:dyDescent="0.25">
      <c r="B418" s="378" t="s">
        <v>122</v>
      </c>
      <c r="C418" s="378" t="s">
        <v>70</v>
      </c>
      <c r="E418" s="376"/>
      <c r="F418" s="377">
        <v>-123840.82</v>
      </c>
      <c r="G418" s="377">
        <v>19467.37</v>
      </c>
      <c r="H418" s="377">
        <v>11050.66</v>
      </c>
      <c r="I418" s="377">
        <v>6017.47</v>
      </c>
      <c r="J418" s="377">
        <v>-62603.839999999997</v>
      </c>
      <c r="K418" s="377">
        <v>-2175.21</v>
      </c>
      <c r="L418" s="377">
        <v>0</v>
      </c>
      <c r="M418" s="377">
        <v>-19081.73</v>
      </c>
      <c r="N418" s="377">
        <v>-20550.86</v>
      </c>
      <c r="O418" s="377">
        <v>-106060.46</v>
      </c>
      <c r="P418" s="377">
        <v>53644.95</v>
      </c>
      <c r="Q418" s="377">
        <v>-3549.17</v>
      </c>
      <c r="R418" s="377">
        <v>0</v>
      </c>
      <c r="S418" s="377">
        <v>0</v>
      </c>
      <c r="T418" s="378">
        <v>0</v>
      </c>
      <c r="U418" s="378">
        <v>0</v>
      </c>
      <c r="V418" s="378">
        <v>0</v>
      </c>
      <c r="W418" s="378">
        <v>0</v>
      </c>
      <c r="X418" s="378">
        <v>0</v>
      </c>
      <c r="Y418" s="377">
        <v>0</v>
      </c>
      <c r="Z418" s="378">
        <v>0</v>
      </c>
    </row>
    <row r="419" spans="2:26" ht="12.75" customHeight="1" x14ac:dyDescent="0.25">
      <c r="E419" s="89" t="s">
        <v>73</v>
      </c>
      <c r="F419" s="90">
        <v>-857738903.94000006</v>
      </c>
      <c r="G419" s="90">
        <v>4405231.8600000003</v>
      </c>
      <c r="H419" s="90">
        <v>2242892.02</v>
      </c>
      <c r="I419" s="90">
        <v>1177898.82</v>
      </c>
      <c r="J419" s="90">
        <v>-272438951.13</v>
      </c>
      <c r="K419" s="90">
        <v>-9479808.4600000009</v>
      </c>
      <c r="L419" s="90">
        <v>0</v>
      </c>
      <c r="M419" s="90">
        <v>-83169863.269999996</v>
      </c>
      <c r="N419" s="90">
        <v>-80173858.319999993</v>
      </c>
      <c r="O419" s="90">
        <v>-416001153.35000002</v>
      </c>
      <c r="P419" s="90">
        <v>11163339.609999999</v>
      </c>
      <c r="Q419" s="90">
        <v>-15464631.720000001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90">
        <v>0</v>
      </c>
      <c r="Z419">
        <v>0</v>
      </c>
    </row>
    <row r="420" spans="2:26" ht="12.75" customHeight="1" x14ac:dyDescent="0.25">
      <c r="D420" s="89" t="s">
        <v>156</v>
      </c>
      <c r="E420" s="89" t="s">
        <v>70</v>
      </c>
      <c r="F420" s="90">
        <v>-857738903.94000006</v>
      </c>
      <c r="G420" s="90">
        <v>4405231.8600000003</v>
      </c>
      <c r="H420" s="90">
        <v>2242892.02</v>
      </c>
      <c r="I420" s="90">
        <v>1177898.82</v>
      </c>
      <c r="J420" s="90">
        <v>-272438951.13</v>
      </c>
      <c r="K420" s="90">
        <v>-9479808.4600000009</v>
      </c>
      <c r="L420" s="90">
        <v>0</v>
      </c>
      <c r="M420" s="90">
        <v>-83169863.269999996</v>
      </c>
      <c r="N420" s="90">
        <v>-80173858.319999993</v>
      </c>
      <c r="O420" s="90">
        <v>-416001153.35000002</v>
      </c>
      <c r="P420" s="90">
        <v>11163339.609999999</v>
      </c>
      <c r="Q420" s="90">
        <v>-15464631.720000001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90">
        <v>0</v>
      </c>
      <c r="Z420">
        <v>0</v>
      </c>
    </row>
    <row r="421" spans="2:26" s="656" customFormat="1" ht="12.75" customHeight="1" x14ac:dyDescent="0.25">
      <c r="C421" s="656" t="s">
        <v>155</v>
      </c>
      <c r="D421" s="657" t="s">
        <v>70</v>
      </c>
      <c r="E421" s="657"/>
      <c r="F421" s="738">
        <v>-857738903.94000006</v>
      </c>
      <c r="G421" s="658">
        <v>4405231.8600000003</v>
      </c>
      <c r="H421" s="658">
        <v>2242892.02</v>
      </c>
      <c r="I421" s="658">
        <v>1177898.82</v>
      </c>
      <c r="J421" s="658">
        <v>-272438951.13</v>
      </c>
      <c r="K421" s="658">
        <v>-9479808.4600000009</v>
      </c>
      <c r="L421" s="658">
        <v>0</v>
      </c>
      <c r="M421" s="658">
        <v>-83169863.269999996</v>
      </c>
      <c r="N421" s="658">
        <v>-80173858.319999993</v>
      </c>
      <c r="O421" s="658">
        <v>-416001153.35000002</v>
      </c>
      <c r="P421" s="658">
        <v>11163339.609999999</v>
      </c>
      <c r="Q421" s="658">
        <v>-15464631.720000001</v>
      </c>
      <c r="R421" s="658">
        <v>0</v>
      </c>
      <c r="S421" s="658">
        <v>0</v>
      </c>
      <c r="T421" s="656">
        <v>0</v>
      </c>
      <c r="U421" s="656">
        <v>0</v>
      </c>
      <c r="V421" s="656">
        <v>0</v>
      </c>
      <c r="W421" s="656">
        <v>0</v>
      </c>
      <c r="X421" s="656">
        <v>0</v>
      </c>
      <c r="Y421" s="658">
        <v>0</v>
      </c>
      <c r="Z421" s="656">
        <v>0</v>
      </c>
    </row>
    <row r="422" spans="2:26" ht="12.75" customHeight="1" x14ac:dyDescent="0.25">
      <c r="D422" s="89"/>
      <c r="E422" s="89" t="s">
        <v>73</v>
      </c>
      <c r="F422" s="371">
        <v>473206.23</v>
      </c>
      <c r="G422" s="90">
        <v>34977.86</v>
      </c>
      <c r="H422" s="90">
        <v>17976.93</v>
      </c>
      <c r="I422" s="90">
        <v>9832.34</v>
      </c>
      <c r="J422" s="90">
        <v>58508.14</v>
      </c>
      <c r="K422" s="90">
        <v>3549.24</v>
      </c>
      <c r="L422" s="90">
        <v>0</v>
      </c>
      <c r="M422" s="90">
        <v>31158.51</v>
      </c>
      <c r="N422" s="90">
        <v>36200.94</v>
      </c>
      <c r="O422" s="90">
        <v>181413.76000000001</v>
      </c>
      <c r="P422" s="90">
        <v>93790.05</v>
      </c>
      <c r="Q422" s="90">
        <v>5798.46</v>
      </c>
      <c r="R422" s="90">
        <v>0</v>
      </c>
      <c r="S422" s="90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s="90">
        <v>0</v>
      </c>
      <c r="Z422">
        <v>0</v>
      </c>
    </row>
    <row r="423" spans="2:26" ht="12.6" customHeight="1" x14ac:dyDescent="0.25">
      <c r="D423" s="89" t="s">
        <v>115</v>
      </c>
      <c r="E423" s="89" t="s">
        <v>70</v>
      </c>
      <c r="F423" s="371">
        <v>473206.23</v>
      </c>
      <c r="G423" s="90">
        <v>34977.86</v>
      </c>
      <c r="H423" s="90">
        <v>17976.93</v>
      </c>
      <c r="I423" s="90">
        <v>9832.34</v>
      </c>
      <c r="J423" s="90">
        <v>58508.14</v>
      </c>
      <c r="K423" s="90">
        <v>3549.24</v>
      </c>
      <c r="L423" s="90">
        <v>0</v>
      </c>
      <c r="M423" s="90">
        <v>31158.51</v>
      </c>
      <c r="N423" s="90">
        <v>36200.94</v>
      </c>
      <c r="O423" s="90">
        <v>181413.76000000001</v>
      </c>
      <c r="P423" s="90">
        <v>93790.05</v>
      </c>
      <c r="Q423" s="90">
        <v>5798.46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90">
        <v>0</v>
      </c>
      <c r="Z423">
        <v>0</v>
      </c>
    </row>
    <row r="424" spans="2:26" ht="12.6" customHeight="1" x14ac:dyDescent="0.25">
      <c r="D424" s="89"/>
      <c r="E424" s="89" t="s">
        <v>73</v>
      </c>
      <c r="F424" s="371">
        <v>124967.83</v>
      </c>
      <c r="G424" s="90">
        <v>14186.21</v>
      </c>
      <c r="H424" s="90">
        <v>7180.58</v>
      </c>
      <c r="I424" s="90">
        <v>3849.33</v>
      </c>
      <c r="J424" s="90">
        <v>20435.75</v>
      </c>
      <c r="K424" s="90">
        <v>604.46</v>
      </c>
      <c r="L424" s="90">
        <v>0</v>
      </c>
      <c r="M424" s="90">
        <v>5302.21</v>
      </c>
      <c r="N424" s="90">
        <v>5679.27</v>
      </c>
      <c r="O424" s="90">
        <v>28713.3</v>
      </c>
      <c r="P424" s="90">
        <v>38030.49</v>
      </c>
      <c r="Q424" s="90">
        <v>986.23</v>
      </c>
      <c r="R424" s="90">
        <v>0</v>
      </c>
      <c r="S424" s="90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90">
        <v>0</v>
      </c>
      <c r="Z424">
        <v>0</v>
      </c>
    </row>
    <row r="425" spans="2:26" ht="12.6" customHeight="1" x14ac:dyDescent="0.25">
      <c r="D425" s="89" t="s">
        <v>116</v>
      </c>
      <c r="E425" s="89" t="s">
        <v>70</v>
      </c>
      <c r="F425" s="371">
        <v>124967.83</v>
      </c>
      <c r="G425" s="90">
        <v>14186.21</v>
      </c>
      <c r="H425" s="90">
        <v>7180.58</v>
      </c>
      <c r="I425" s="90">
        <v>3849.33</v>
      </c>
      <c r="J425" s="90">
        <v>20435.75</v>
      </c>
      <c r="K425" s="90">
        <v>604.46</v>
      </c>
      <c r="L425" s="90">
        <v>0</v>
      </c>
      <c r="M425" s="90">
        <v>5302.21</v>
      </c>
      <c r="N425" s="90">
        <v>5679.27</v>
      </c>
      <c r="O425" s="90">
        <v>28713.3</v>
      </c>
      <c r="P425" s="90">
        <v>38030.49</v>
      </c>
      <c r="Q425" s="90">
        <v>986.23</v>
      </c>
      <c r="R425" s="90">
        <v>0</v>
      </c>
      <c r="S425" s="90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90">
        <v>0</v>
      </c>
      <c r="Z425">
        <v>0</v>
      </c>
    </row>
    <row r="426" spans="2:26" ht="12.75" customHeight="1" x14ac:dyDescent="0.25">
      <c r="E426" s="89" t="s">
        <v>73</v>
      </c>
      <c r="F426" s="90">
        <v>-303906.21000000002</v>
      </c>
      <c r="G426" s="90">
        <v>-7553.23</v>
      </c>
      <c r="H426" s="90">
        <v>-4110.88</v>
      </c>
      <c r="I426" s="90">
        <v>-2196.59</v>
      </c>
      <c r="J426" s="90">
        <v>-83778.22</v>
      </c>
      <c r="K426" s="90">
        <v>-2844.69</v>
      </c>
      <c r="L426" s="90">
        <v>0</v>
      </c>
      <c r="M426" s="90">
        <v>-24953.45</v>
      </c>
      <c r="N426" s="90">
        <v>-25182.18</v>
      </c>
      <c r="O426" s="90">
        <v>-128393.14</v>
      </c>
      <c r="P426" s="90">
        <v>-20252.509999999998</v>
      </c>
      <c r="Q426" s="90">
        <v>-4641.32</v>
      </c>
      <c r="R426" s="90">
        <v>0</v>
      </c>
      <c r="S426" s="90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90">
        <v>0</v>
      </c>
      <c r="Z426">
        <v>0</v>
      </c>
    </row>
    <row r="427" spans="2:26" ht="12.75" customHeight="1" x14ac:dyDescent="0.25">
      <c r="D427" s="89" t="s">
        <v>118</v>
      </c>
      <c r="E427" s="89" t="s">
        <v>70</v>
      </c>
      <c r="F427" s="90">
        <v>-303906.21000000002</v>
      </c>
      <c r="G427" s="90">
        <v>-7553.23</v>
      </c>
      <c r="H427" s="90">
        <v>-4110.88</v>
      </c>
      <c r="I427" s="90">
        <v>-2196.59</v>
      </c>
      <c r="J427" s="90">
        <v>-83778.22</v>
      </c>
      <c r="K427" s="90">
        <v>-2844.69</v>
      </c>
      <c r="L427" s="90">
        <v>0</v>
      </c>
      <c r="M427" s="90">
        <v>-24953.45</v>
      </c>
      <c r="N427" s="90">
        <v>-25182.18</v>
      </c>
      <c r="O427" s="90">
        <v>-128393.14</v>
      </c>
      <c r="P427" s="90">
        <v>-20252.509999999998</v>
      </c>
      <c r="Q427" s="90">
        <v>-4641.32</v>
      </c>
      <c r="R427" s="90">
        <v>0</v>
      </c>
      <c r="S427" s="90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90">
        <v>0</v>
      </c>
      <c r="Z427">
        <v>0</v>
      </c>
    </row>
    <row r="428" spans="2:26" s="224" customFormat="1" ht="12.75" customHeight="1" x14ac:dyDescent="0.25">
      <c r="C428" s="223" t="s">
        <v>120</v>
      </c>
      <c r="D428" s="223" t="s">
        <v>70</v>
      </c>
      <c r="F428" s="225">
        <v>294267.84999999998</v>
      </c>
      <c r="G428" s="225">
        <v>41610.839999999997</v>
      </c>
      <c r="H428" s="225">
        <v>21046.63</v>
      </c>
      <c r="I428" s="225">
        <v>11485.08</v>
      </c>
      <c r="J428" s="225">
        <v>-4834.33</v>
      </c>
      <c r="K428" s="225">
        <v>1309.01</v>
      </c>
      <c r="L428" s="225">
        <v>0</v>
      </c>
      <c r="M428" s="225">
        <v>11507.27</v>
      </c>
      <c r="N428" s="225">
        <v>16698.03</v>
      </c>
      <c r="O428" s="225">
        <v>81733.919999999998</v>
      </c>
      <c r="P428" s="225">
        <v>111568.03</v>
      </c>
      <c r="Q428" s="225">
        <v>2143.37</v>
      </c>
      <c r="R428" s="225">
        <v>0</v>
      </c>
      <c r="S428" s="225">
        <v>0</v>
      </c>
      <c r="T428" s="224">
        <v>0</v>
      </c>
      <c r="U428" s="224">
        <v>0</v>
      </c>
      <c r="V428" s="224">
        <v>0</v>
      </c>
      <c r="W428" s="224">
        <v>0</v>
      </c>
      <c r="X428" s="224">
        <v>0</v>
      </c>
      <c r="Y428" s="225">
        <v>0</v>
      </c>
      <c r="Z428" s="224">
        <v>0</v>
      </c>
    </row>
    <row r="429" spans="2:26" ht="12.75" customHeight="1" x14ac:dyDescent="0.25">
      <c r="E429" s="89" t="s">
        <v>73</v>
      </c>
      <c r="F429" s="90">
        <v>3529314.36</v>
      </c>
      <c r="G429" s="90">
        <v>1791108.79</v>
      </c>
      <c r="H429" s="90">
        <v>1022958.89</v>
      </c>
      <c r="I429" s="90">
        <v>541364.61</v>
      </c>
      <c r="J429" s="90">
        <v>-1432168.43</v>
      </c>
      <c r="K429" s="90">
        <v>-35468.949999999997</v>
      </c>
      <c r="L429" s="90">
        <v>0</v>
      </c>
      <c r="M429" s="90">
        <v>-314697.46999999997</v>
      </c>
      <c r="N429" s="90">
        <v>-476294.61</v>
      </c>
      <c r="O429" s="90">
        <v>-2294667.21</v>
      </c>
      <c r="P429" s="90">
        <v>4785048.26</v>
      </c>
      <c r="Q429" s="90">
        <v>-57869.52</v>
      </c>
      <c r="R429" s="90">
        <v>0</v>
      </c>
      <c r="S429" s="90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90">
        <v>0</v>
      </c>
      <c r="Z429">
        <v>0</v>
      </c>
    </row>
    <row r="430" spans="2:26" ht="12.75" customHeight="1" x14ac:dyDescent="0.25">
      <c r="D430" s="89" t="s">
        <v>82</v>
      </c>
      <c r="E430" s="89" t="s">
        <v>70</v>
      </c>
      <c r="F430" s="90">
        <v>3529314.36</v>
      </c>
      <c r="G430" s="90">
        <v>1791108.79</v>
      </c>
      <c r="H430" s="90">
        <v>1022958.89</v>
      </c>
      <c r="I430" s="90">
        <v>541364.61</v>
      </c>
      <c r="J430" s="90">
        <v>-1432168.43</v>
      </c>
      <c r="K430" s="90">
        <v>-35468.949999999997</v>
      </c>
      <c r="L430" s="90">
        <v>0</v>
      </c>
      <c r="M430" s="90">
        <v>-314697.46999999997</v>
      </c>
      <c r="N430" s="90">
        <v>-476294.61</v>
      </c>
      <c r="O430" s="90">
        <v>-2294667.21</v>
      </c>
      <c r="P430" s="90">
        <v>4785048.26</v>
      </c>
      <c r="Q430" s="90">
        <v>-57869.52</v>
      </c>
      <c r="R430" s="90">
        <v>0</v>
      </c>
      <c r="S430" s="9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90">
        <v>0</v>
      </c>
      <c r="Z430">
        <v>0</v>
      </c>
    </row>
    <row r="431" spans="2:26" ht="12.75" customHeight="1" x14ac:dyDescent="0.25">
      <c r="E431" s="89" t="s">
        <v>73</v>
      </c>
      <c r="F431" s="90">
        <v>5555762.3499999996</v>
      </c>
      <c r="G431" s="90">
        <v>1608362.89</v>
      </c>
      <c r="H431" s="90">
        <v>920093.85</v>
      </c>
      <c r="I431" s="90">
        <v>489714.31</v>
      </c>
      <c r="J431" s="90">
        <v>-644331.18000000005</v>
      </c>
      <c r="K431" s="90">
        <v>-24655.96</v>
      </c>
      <c r="L431" s="90">
        <v>0</v>
      </c>
      <c r="M431" s="90">
        <v>-216215.06</v>
      </c>
      <c r="N431" s="90">
        <v>-183607.56</v>
      </c>
      <c r="O431" s="90">
        <v>-612812.9</v>
      </c>
      <c r="P431" s="90">
        <v>4259381.79</v>
      </c>
      <c r="Q431" s="90">
        <v>-40167.83</v>
      </c>
      <c r="R431" s="90">
        <v>0</v>
      </c>
      <c r="S431" s="90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90">
        <v>0</v>
      </c>
      <c r="Z431">
        <v>0</v>
      </c>
    </row>
    <row r="432" spans="2:26" ht="12.75" customHeight="1" x14ac:dyDescent="0.25">
      <c r="D432" s="89" t="s">
        <v>86</v>
      </c>
      <c r="E432" s="89" t="s">
        <v>70</v>
      </c>
      <c r="F432" s="90">
        <v>5555762.3499999996</v>
      </c>
      <c r="G432" s="90">
        <v>1608362.89</v>
      </c>
      <c r="H432" s="90">
        <v>920093.85</v>
      </c>
      <c r="I432" s="90">
        <v>489714.31</v>
      </c>
      <c r="J432" s="90">
        <v>-644331.18000000005</v>
      </c>
      <c r="K432" s="90">
        <v>-24655.96</v>
      </c>
      <c r="L432" s="90">
        <v>0</v>
      </c>
      <c r="M432" s="90">
        <v>-216215.06</v>
      </c>
      <c r="N432" s="90">
        <v>-183607.56</v>
      </c>
      <c r="O432" s="90">
        <v>-612812.9</v>
      </c>
      <c r="P432" s="90">
        <v>4259381.79</v>
      </c>
      <c r="Q432" s="90">
        <v>-40167.83</v>
      </c>
      <c r="R432" s="90">
        <v>0</v>
      </c>
      <c r="S432" s="90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90">
        <v>0</v>
      </c>
      <c r="Z432">
        <v>0</v>
      </c>
    </row>
    <row r="433" spans="1:26" ht="12.75" customHeight="1" x14ac:dyDescent="0.25">
      <c r="E433" s="89" t="s">
        <v>73</v>
      </c>
      <c r="F433" s="90">
        <v>92816863.269999996</v>
      </c>
      <c r="G433" s="90">
        <v>19214046.530000001</v>
      </c>
      <c r="H433" s="90">
        <v>10879874.35</v>
      </c>
      <c r="I433" s="90">
        <v>5768324.8899999997</v>
      </c>
      <c r="J433" s="90">
        <v>1735938.17</v>
      </c>
      <c r="K433" s="90">
        <v>43100.4</v>
      </c>
      <c r="L433" s="90">
        <v>0</v>
      </c>
      <c r="M433" s="90">
        <v>377107.8</v>
      </c>
      <c r="N433" s="90">
        <v>532255.15</v>
      </c>
      <c r="O433" s="90">
        <v>2745336.55</v>
      </c>
      <c r="P433" s="90">
        <v>51449770.57</v>
      </c>
      <c r="Q433" s="90">
        <v>71108.86</v>
      </c>
      <c r="R433" s="90">
        <v>0</v>
      </c>
      <c r="S433" s="90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90">
        <v>0</v>
      </c>
      <c r="Z433">
        <v>0</v>
      </c>
    </row>
    <row r="434" spans="1:26" ht="12.75" customHeight="1" x14ac:dyDescent="0.25">
      <c r="D434" s="89" t="s">
        <v>87</v>
      </c>
      <c r="E434" s="89" t="s">
        <v>70</v>
      </c>
      <c r="F434" s="90">
        <v>92816863.269999996</v>
      </c>
      <c r="G434" s="90">
        <v>19214046.530000001</v>
      </c>
      <c r="H434" s="90">
        <v>10879874.35</v>
      </c>
      <c r="I434" s="90">
        <v>5768324.8899999997</v>
      </c>
      <c r="J434" s="90">
        <v>1735938.17</v>
      </c>
      <c r="K434" s="90">
        <v>43100.4</v>
      </c>
      <c r="L434" s="90">
        <v>0</v>
      </c>
      <c r="M434" s="90">
        <v>377107.8</v>
      </c>
      <c r="N434" s="90">
        <v>532255.15</v>
      </c>
      <c r="O434" s="90">
        <v>2745336.55</v>
      </c>
      <c r="P434" s="90">
        <v>51449770.57</v>
      </c>
      <c r="Q434" s="90">
        <v>71108.86</v>
      </c>
      <c r="R434" s="90">
        <v>0</v>
      </c>
      <c r="S434" s="90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90">
        <v>0</v>
      </c>
      <c r="Z434">
        <v>0</v>
      </c>
    </row>
    <row r="435" spans="1:26" s="94" customFormat="1" ht="12.75" customHeight="1" x14ac:dyDescent="0.25">
      <c r="C435" s="101" t="s">
        <v>119</v>
      </c>
      <c r="D435" s="101" t="s">
        <v>70</v>
      </c>
      <c r="F435" s="93">
        <v>101901939.98</v>
      </c>
      <c r="G435" s="93">
        <v>22613518.210000001</v>
      </c>
      <c r="H435" s="93">
        <v>12822927.09</v>
      </c>
      <c r="I435" s="93">
        <v>6799403.8099999996</v>
      </c>
      <c r="J435" s="93">
        <v>-340561.44</v>
      </c>
      <c r="K435" s="93">
        <v>-17024.509999999998</v>
      </c>
      <c r="L435" s="93">
        <v>0</v>
      </c>
      <c r="M435" s="93">
        <v>-153804.73000000001</v>
      </c>
      <c r="N435" s="93">
        <v>-127647.02</v>
      </c>
      <c r="O435" s="93">
        <v>-162143.56</v>
      </c>
      <c r="P435" s="93">
        <v>60494200.619999997</v>
      </c>
      <c r="Q435" s="93">
        <v>-26928.49</v>
      </c>
      <c r="R435" s="93">
        <v>0</v>
      </c>
      <c r="S435" s="93">
        <v>0</v>
      </c>
      <c r="T435" s="94">
        <v>0</v>
      </c>
      <c r="U435" s="94">
        <v>0</v>
      </c>
      <c r="V435" s="94">
        <v>0</v>
      </c>
      <c r="W435" s="94">
        <v>0</v>
      </c>
      <c r="X435" s="94">
        <v>0</v>
      </c>
      <c r="Y435" s="93">
        <v>0</v>
      </c>
      <c r="Z435" s="94">
        <v>0</v>
      </c>
    </row>
    <row r="436" spans="1:26" s="226" customFormat="1" ht="12.75" customHeight="1" x14ac:dyDescent="0.25">
      <c r="B436" s="98" t="s">
        <v>112</v>
      </c>
      <c r="C436" s="98" t="s">
        <v>70</v>
      </c>
      <c r="F436" s="100">
        <v>-755542696.11000001</v>
      </c>
      <c r="G436" s="100">
        <v>27060360.91</v>
      </c>
      <c r="H436" s="100">
        <v>15086865.74</v>
      </c>
      <c r="I436" s="100">
        <v>7988787.71</v>
      </c>
      <c r="J436" s="100">
        <v>-272784346.89999998</v>
      </c>
      <c r="K436" s="100">
        <v>-9495523.9600000009</v>
      </c>
      <c r="L436" s="100">
        <v>0</v>
      </c>
      <c r="M436" s="100">
        <v>-83312160.730000004</v>
      </c>
      <c r="N436" s="100">
        <v>-80284807.310000002</v>
      </c>
      <c r="O436" s="100">
        <v>-416081562.99000001</v>
      </c>
      <c r="P436" s="100">
        <v>71769108.260000005</v>
      </c>
      <c r="Q436" s="100">
        <v>-15489416.84</v>
      </c>
      <c r="R436" s="100">
        <v>0</v>
      </c>
      <c r="S436" s="100">
        <v>0</v>
      </c>
      <c r="T436" s="226">
        <v>0</v>
      </c>
      <c r="U436" s="226">
        <v>0</v>
      </c>
      <c r="V436" s="226">
        <v>0</v>
      </c>
      <c r="W436" s="226">
        <v>0</v>
      </c>
      <c r="X436" s="226">
        <v>0</v>
      </c>
      <c r="Y436" s="100">
        <v>0</v>
      </c>
      <c r="Z436" s="226">
        <v>0</v>
      </c>
    </row>
    <row r="437" spans="1:26" ht="12.75" customHeight="1" x14ac:dyDescent="0.25">
      <c r="A437" s="89" t="s">
        <v>79</v>
      </c>
      <c r="B437" s="89" t="s">
        <v>70</v>
      </c>
      <c r="F437" s="90">
        <v>-755666536.92999995</v>
      </c>
      <c r="G437" s="90">
        <v>27079828.280000001</v>
      </c>
      <c r="H437" s="90">
        <v>15097916.4</v>
      </c>
      <c r="I437" s="90">
        <v>7994805.1799999997</v>
      </c>
      <c r="J437" s="90">
        <v>-272846950.74000001</v>
      </c>
      <c r="K437" s="90">
        <v>-9497699.1699999999</v>
      </c>
      <c r="L437" s="90">
        <v>0</v>
      </c>
      <c r="M437" s="90">
        <v>-83331242.459999993</v>
      </c>
      <c r="N437" s="90">
        <v>-80305358.170000002</v>
      </c>
      <c r="O437" s="90">
        <v>-416187623.44999999</v>
      </c>
      <c r="P437" s="90">
        <v>71822753.209999993</v>
      </c>
      <c r="Q437" s="90">
        <v>-15492966.01</v>
      </c>
      <c r="R437" s="90">
        <v>0</v>
      </c>
      <c r="S437" s="90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90">
        <v>0</v>
      </c>
      <c r="Z437">
        <v>0</v>
      </c>
    </row>
    <row r="438" spans="1:26" ht="12.75" customHeight="1" x14ac:dyDescent="0.25">
      <c r="A438" s="89" t="s">
        <v>70</v>
      </c>
      <c r="F438" s="90">
        <v>8287536669.54</v>
      </c>
      <c r="G438" s="90">
        <v>538628558.25999999</v>
      </c>
      <c r="H438" s="90">
        <v>301946197.76999998</v>
      </c>
      <c r="I438" s="90">
        <v>159233014.78</v>
      </c>
      <c r="J438" s="90">
        <v>1817605127.6199999</v>
      </c>
      <c r="K438" s="90">
        <v>62918739.600000001</v>
      </c>
      <c r="L438" s="90">
        <v>11217476.99</v>
      </c>
      <c r="M438" s="90">
        <v>551297991.85000002</v>
      </c>
      <c r="N438" s="90">
        <v>547971274.88</v>
      </c>
      <c r="O438" s="90">
        <v>2766698963.3600001</v>
      </c>
      <c r="P438" s="90">
        <v>1427343014.55</v>
      </c>
      <c r="Q438" s="90">
        <v>102688459.31999999</v>
      </c>
      <c r="R438" s="90">
        <v>-12113.87</v>
      </c>
      <c r="S438" s="90">
        <v>-7.75</v>
      </c>
      <c r="T438">
        <v>151.03</v>
      </c>
      <c r="U438">
        <v>0</v>
      </c>
      <c r="V438">
        <v>0</v>
      </c>
      <c r="W438">
        <v>0</v>
      </c>
      <c r="X438">
        <v>0</v>
      </c>
      <c r="Y438" s="90">
        <v>0</v>
      </c>
      <c r="Z438">
        <v>-178.85</v>
      </c>
    </row>
    <row r="439" spans="1:26" ht="12.75" customHeight="1" x14ac:dyDescent="0.25">
      <c r="A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</row>
    <row r="440" spans="1:26" ht="12.75" hidden="1" customHeight="1" x14ac:dyDescent="0.25">
      <c r="A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6" ht="12.75" hidden="1" customHeight="1" x14ac:dyDescent="0.25">
      <c r="A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6" ht="12.75" hidden="1" customHeight="1" x14ac:dyDescent="0.25">
      <c r="A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6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6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6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6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6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6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 spans="1:41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</row>
    <row r="450" spans="1:41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</row>
    <row r="451" spans="1:41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</row>
    <row r="452" spans="1:41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</row>
    <row r="453" spans="1:41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spans="1:41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</row>
    <row r="455" spans="1:41" ht="12.75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spans="1:41" ht="12.75" customHeight="1" x14ac:dyDescent="0.25">
      <c r="C456" s="774" t="s">
        <v>2</v>
      </c>
      <c r="D456" s="772" t="s">
        <v>132</v>
      </c>
      <c r="E456" s="98" t="s">
        <v>70</v>
      </c>
      <c r="F456" s="100">
        <f>F407+F436+F366-L366-L407</f>
        <v>8272288782.5500011</v>
      </c>
      <c r="G456" s="100">
        <f>G407+G366</f>
        <v>511314470.41000003</v>
      </c>
      <c r="H456" s="100">
        <f t="shared" ref="H456:AO456" si="18">H407+H366</f>
        <v>286712393.74000001</v>
      </c>
      <c r="I456" s="100">
        <f t="shared" si="18"/>
        <v>151168196.95000002</v>
      </c>
      <c r="J456" s="100">
        <f t="shared" si="18"/>
        <v>2089510770.3900001</v>
      </c>
      <c r="K456" s="100">
        <f t="shared" si="18"/>
        <v>72385158.550000012</v>
      </c>
      <c r="L456" s="100">
        <f t="shared" si="18"/>
        <v>11217476.99</v>
      </c>
      <c r="M456" s="100">
        <f t="shared" si="18"/>
        <v>634354846.37</v>
      </c>
      <c r="N456" s="100">
        <f t="shared" si="18"/>
        <v>627979626.99000001</v>
      </c>
      <c r="O456" s="100">
        <f t="shared" si="18"/>
        <v>3181390484.3699999</v>
      </c>
      <c r="P456" s="100">
        <f t="shared" si="18"/>
        <v>1354897293</v>
      </c>
      <c r="Q456" s="100">
        <f t="shared" si="18"/>
        <v>118130389.36</v>
      </c>
      <c r="R456" s="100">
        <f t="shared" si="18"/>
        <v>-12115.9</v>
      </c>
      <c r="S456" s="100">
        <f t="shared" si="18"/>
        <v>-7.75</v>
      </c>
      <c r="T456" s="100">
        <f t="shared" si="18"/>
        <v>151.03</v>
      </c>
      <c r="U456" s="100">
        <f t="shared" si="18"/>
        <v>0</v>
      </c>
      <c r="V456" s="100">
        <f t="shared" si="18"/>
        <v>0</v>
      </c>
      <c r="W456" s="100">
        <f t="shared" si="18"/>
        <v>0</v>
      </c>
      <c r="X456" s="100">
        <f t="shared" si="18"/>
        <v>0</v>
      </c>
      <c r="Y456" s="100">
        <f t="shared" si="18"/>
        <v>0</v>
      </c>
      <c r="Z456" s="100">
        <f t="shared" si="18"/>
        <v>-178.85</v>
      </c>
      <c r="AA456" s="100">
        <f t="shared" si="18"/>
        <v>0</v>
      </c>
      <c r="AB456" s="100">
        <f t="shared" si="18"/>
        <v>0</v>
      </c>
      <c r="AC456" s="100">
        <f t="shared" si="18"/>
        <v>0</v>
      </c>
      <c r="AD456" s="100">
        <f t="shared" si="18"/>
        <v>0</v>
      </c>
      <c r="AE456" s="100">
        <f t="shared" si="18"/>
        <v>0</v>
      </c>
      <c r="AF456" s="100">
        <f t="shared" si="18"/>
        <v>0</v>
      </c>
      <c r="AG456" s="100">
        <f t="shared" si="18"/>
        <v>0</v>
      </c>
      <c r="AH456" s="100">
        <f t="shared" si="18"/>
        <v>0</v>
      </c>
      <c r="AI456" s="100">
        <f t="shared" si="18"/>
        <v>0</v>
      </c>
      <c r="AJ456" s="100">
        <f t="shared" si="18"/>
        <v>0</v>
      </c>
      <c r="AK456" s="100">
        <f t="shared" si="18"/>
        <v>0</v>
      </c>
      <c r="AL456" s="100">
        <f t="shared" si="18"/>
        <v>0</v>
      </c>
      <c r="AM456" s="100">
        <f t="shared" si="18"/>
        <v>0</v>
      </c>
      <c r="AN456" s="100">
        <f t="shared" si="18"/>
        <v>0</v>
      </c>
      <c r="AO456" s="100">
        <f t="shared" si="18"/>
        <v>0</v>
      </c>
    </row>
    <row r="457" spans="1:41" ht="12.75" customHeight="1" x14ac:dyDescent="0.25">
      <c r="C457" s="774"/>
      <c r="D457" s="772"/>
      <c r="E457" s="98" t="s">
        <v>73</v>
      </c>
      <c r="F457" s="100">
        <f>F436</f>
        <v>-755542696.11000001</v>
      </c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spans="1:41" ht="12.75" customHeight="1" x14ac:dyDescent="0.25">
      <c r="C458" s="774"/>
      <c r="D458" s="772" t="s">
        <v>133</v>
      </c>
      <c r="E458" s="233" t="s">
        <v>70</v>
      </c>
      <c r="F458" s="234">
        <f>F418+F382-L382</f>
        <v>4030410</v>
      </c>
      <c r="G458" s="234">
        <f>G382</f>
        <v>234259.57</v>
      </c>
      <c r="H458" s="234">
        <f t="shared" ref="H458:AA458" si="19">H382</f>
        <v>135887.63</v>
      </c>
      <c r="I458" s="234">
        <f t="shared" si="19"/>
        <v>70012.649999999994</v>
      </c>
      <c r="J458" s="234">
        <f t="shared" si="19"/>
        <v>941307.97</v>
      </c>
      <c r="K458" s="234">
        <f t="shared" si="19"/>
        <v>31280.22</v>
      </c>
      <c r="L458" s="234">
        <f t="shared" si="19"/>
        <v>0</v>
      </c>
      <c r="M458" s="234">
        <f t="shared" si="19"/>
        <v>274387.94</v>
      </c>
      <c r="N458" s="234">
        <f t="shared" si="19"/>
        <v>297006.06</v>
      </c>
      <c r="O458" s="234">
        <f t="shared" si="19"/>
        <v>1496102.44</v>
      </c>
      <c r="P458" s="234">
        <f t="shared" si="19"/>
        <v>622968.34</v>
      </c>
      <c r="Q458" s="234">
        <f t="shared" si="19"/>
        <v>51035.97</v>
      </c>
      <c r="R458" s="234">
        <f t="shared" si="19"/>
        <v>2.0299999999999998</v>
      </c>
      <c r="S458" s="234">
        <f t="shared" si="19"/>
        <v>0</v>
      </c>
      <c r="T458" s="234">
        <f t="shared" si="19"/>
        <v>0</v>
      </c>
      <c r="U458" s="234">
        <f t="shared" si="19"/>
        <v>0</v>
      </c>
      <c r="V458" s="234">
        <f t="shared" si="19"/>
        <v>0</v>
      </c>
      <c r="W458" s="234">
        <f t="shared" si="19"/>
        <v>0</v>
      </c>
      <c r="X458" s="234">
        <f t="shared" si="19"/>
        <v>0</v>
      </c>
      <c r="Y458" s="234">
        <f t="shared" si="19"/>
        <v>0</v>
      </c>
      <c r="Z458" s="234">
        <f t="shared" si="19"/>
        <v>0</v>
      </c>
      <c r="AA458" s="234">
        <f t="shared" si="19"/>
        <v>0</v>
      </c>
    </row>
    <row r="459" spans="1:41" ht="12.75" customHeight="1" x14ac:dyDescent="0.25">
      <c r="C459" s="774"/>
      <c r="D459" s="772"/>
      <c r="E459" s="233" t="s">
        <v>73</v>
      </c>
      <c r="F459" s="234">
        <f>F418</f>
        <v>-123840.82</v>
      </c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41" ht="12.75" customHeight="1" x14ac:dyDescent="0.25">
      <c r="A460" s="89"/>
      <c r="C460" s="97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 spans="1:41" ht="12.75" customHeight="1" x14ac:dyDescent="0.25">
      <c r="C461" s="774" t="s">
        <v>160</v>
      </c>
      <c r="D461" s="772" t="s">
        <v>132</v>
      </c>
      <c r="E461" s="223" t="s">
        <v>70</v>
      </c>
      <c r="F461" s="225">
        <f>F428+F396-L396</f>
        <v>4363050</v>
      </c>
      <c r="G461" s="225">
        <f>G396</f>
        <v>230841.65</v>
      </c>
      <c r="H461" s="225">
        <f t="shared" ref="H461:AO461" si="20">H396</f>
        <v>124285.63</v>
      </c>
      <c r="I461" s="225">
        <f t="shared" si="20"/>
        <v>67258.31</v>
      </c>
      <c r="J461" s="225">
        <f t="shared" si="20"/>
        <v>867058.94</v>
      </c>
      <c r="K461" s="225">
        <f t="shared" si="20"/>
        <v>32277.11</v>
      </c>
      <c r="L461" s="225">
        <f t="shared" si="20"/>
        <v>0</v>
      </c>
      <c r="M461" s="225">
        <f t="shared" si="20"/>
        <v>284231</v>
      </c>
      <c r="N461" s="225">
        <f t="shared" si="20"/>
        <v>296649.74</v>
      </c>
      <c r="O461" s="225">
        <f t="shared" si="20"/>
        <v>1497455.27</v>
      </c>
      <c r="P461" s="225">
        <f t="shared" si="20"/>
        <v>616044.74</v>
      </c>
      <c r="Q461" s="225">
        <f t="shared" si="20"/>
        <v>52678.34</v>
      </c>
      <c r="R461" s="225">
        <f t="shared" si="20"/>
        <v>1.42</v>
      </c>
      <c r="S461" s="225">
        <f t="shared" si="20"/>
        <v>0</v>
      </c>
      <c r="T461" s="225">
        <f t="shared" si="20"/>
        <v>0</v>
      </c>
      <c r="U461" s="225">
        <f t="shared" si="20"/>
        <v>0</v>
      </c>
      <c r="V461" s="225">
        <f t="shared" si="20"/>
        <v>0</v>
      </c>
      <c r="W461" s="225">
        <f t="shared" si="20"/>
        <v>0</v>
      </c>
      <c r="X461" s="225">
        <f t="shared" si="20"/>
        <v>0</v>
      </c>
      <c r="Y461" s="225">
        <f t="shared" si="20"/>
        <v>0</v>
      </c>
      <c r="Z461" s="225">
        <f t="shared" si="20"/>
        <v>0</v>
      </c>
      <c r="AA461" s="225">
        <f t="shared" si="20"/>
        <v>0</v>
      </c>
      <c r="AB461" s="225">
        <f t="shared" si="20"/>
        <v>0</v>
      </c>
      <c r="AC461" s="225">
        <f t="shared" si="20"/>
        <v>0</v>
      </c>
      <c r="AD461" s="225">
        <f t="shared" si="20"/>
        <v>0</v>
      </c>
      <c r="AE461" s="225">
        <f t="shared" si="20"/>
        <v>0</v>
      </c>
      <c r="AF461" s="225">
        <f t="shared" si="20"/>
        <v>0</v>
      </c>
      <c r="AG461" s="225">
        <f t="shared" si="20"/>
        <v>0</v>
      </c>
      <c r="AH461" s="225">
        <f t="shared" si="20"/>
        <v>0</v>
      </c>
      <c r="AI461" s="225">
        <f t="shared" si="20"/>
        <v>0</v>
      </c>
      <c r="AJ461" s="225">
        <f t="shared" si="20"/>
        <v>0</v>
      </c>
      <c r="AK461" s="225">
        <f t="shared" si="20"/>
        <v>0</v>
      </c>
      <c r="AL461" s="225">
        <f t="shared" si="20"/>
        <v>0</v>
      </c>
      <c r="AM461" s="225">
        <f t="shared" si="20"/>
        <v>0</v>
      </c>
      <c r="AN461" s="225">
        <f t="shared" si="20"/>
        <v>0</v>
      </c>
      <c r="AO461" s="225">
        <f t="shared" si="20"/>
        <v>0</v>
      </c>
    </row>
    <row r="462" spans="1:41" ht="12.75" customHeight="1" x14ac:dyDescent="0.25">
      <c r="C462" s="774"/>
      <c r="D462" s="772"/>
      <c r="E462" s="223" t="s">
        <v>73</v>
      </c>
      <c r="F462" s="225">
        <f>F428</f>
        <v>294267.84999999998</v>
      </c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spans="1:41" ht="12.75" customHeight="1" x14ac:dyDescent="0.25">
      <c r="C463" s="774"/>
      <c r="D463" s="772" t="s">
        <v>133</v>
      </c>
      <c r="E463" s="227" t="s">
        <v>70</v>
      </c>
      <c r="F463" s="228">
        <f>F414+F377-L377</f>
        <v>232870</v>
      </c>
      <c r="G463" s="228">
        <f>G377</f>
        <v>22301.05</v>
      </c>
      <c r="H463" s="228">
        <f t="shared" ref="H463:Z463" si="21">H377</f>
        <v>12603.99</v>
      </c>
      <c r="I463" s="228">
        <f t="shared" si="21"/>
        <v>6666.04</v>
      </c>
      <c r="J463" s="228">
        <f t="shared" si="21"/>
        <v>34196.559999999998</v>
      </c>
      <c r="K463" s="228">
        <f t="shared" si="21"/>
        <v>993.54</v>
      </c>
      <c r="L463" s="228">
        <f t="shared" si="21"/>
        <v>0</v>
      </c>
      <c r="M463" s="228">
        <f t="shared" si="21"/>
        <v>8715.31</v>
      </c>
      <c r="N463" s="228">
        <f t="shared" si="21"/>
        <v>10643.83</v>
      </c>
      <c r="O463" s="228">
        <f t="shared" si="21"/>
        <v>52998.59</v>
      </c>
      <c r="P463" s="228">
        <f t="shared" si="21"/>
        <v>59544.78</v>
      </c>
      <c r="Q463" s="228">
        <f t="shared" si="21"/>
        <v>1621.05</v>
      </c>
      <c r="R463" s="228">
        <f t="shared" si="21"/>
        <v>-3.87</v>
      </c>
      <c r="S463" s="228">
        <f t="shared" si="21"/>
        <v>0</v>
      </c>
      <c r="T463" s="228">
        <f t="shared" si="21"/>
        <v>0</v>
      </c>
      <c r="U463" s="228">
        <f t="shared" si="21"/>
        <v>0</v>
      </c>
      <c r="V463" s="228">
        <f t="shared" si="21"/>
        <v>0</v>
      </c>
      <c r="W463" s="228">
        <f t="shared" si="21"/>
        <v>0</v>
      </c>
      <c r="X463" s="228">
        <f t="shared" si="21"/>
        <v>0</v>
      </c>
      <c r="Y463" s="228">
        <f t="shared" si="21"/>
        <v>0</v>
      </c>
      <c r="Z463" s="228">
        <f t="shared" si="21"/>
        <v>0</v>
      </c>
    </row>
    <row r="464" spans="1:41" ht="12.75" customHeight="1" x14ac:dyDescent="0.25">
      <c r="C464" s="774"/>
      <c r="D464" s="772"/>
      <c r="E464" s="227" t="s">
        <v>73</v>
      </c>
      <c r="F464" s="228">
        <f>F414</f>
        <v>22589.13</v>
      </c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</row>
    <row r="465" spans="1:41" ht="12.75" customHeight="1" x14ac:dyDescent="0.25">
      <c r="A465" s="89"/>
      <c r="C465" s="97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 spans="1:41" ht="12.75" customHeight="1" x14ac:dyDescent="0.25">
      <c r="C466" s="774" t="s">
        <v>155</v>
      </c>
      <c r="D466" s="772" t="s">
        <v>132</v>
      </c>
      <c r="E466" s="221" t="s">
        <v>70</v>
      </c>
      <c r="F466" s="222">
        <f>F421+F386+F362-L362-L386</f>
        <v>7350642149.9499989</v>
      </c>
      <c r="G466" s="222">
        <f>G386+G362</f>
        <v>420139473.51999998</v>
      </c>
      <c r="H466" s="222">
        <f t="shared" ref="H466:Z466" si="22">H386+H362</f>
        <v>235635609.40000001</v>
      </c>
      <c r="I466" s="222">
        <f t="shared" si="22"/>
        <v>123998201.97</v>
      </c>
      <c r="J466" s="222">
        <f t="shared" si="22"/>
        <v>1964971355.4200001</v>
      </c>
      <c r="K466" s="222">
        <f t="shared" si="22"/>
        <v>68960456.140000001</v>
      </c>
      <c r="L466" s="222">
        <f t="shared" si="22"/>
        <v>7748276.0499999998</v>
      </c>
      <c r="M466" s="222">
        <f t="shared" si="22"/>
        <v>604284320.25</v>
      </c>
      <c r="N466" s="222">
        <f t="shared" si="22"/>
        <v>586917406.58000004</v>
      </c>
      <c r="O466" s="222">
        <f t="shared" si="22"/>
        <v>2978862335.2800002</v>
      </c>
      <c r="P466" s="222">
        <f t="shared" si="22"/>
        <v>1112090421.4099998</v>
      </c>
      <c r="Q466" s="222">
        <f t="shared" si="22"/>
        <v>112534940.54000001</v>
      </c>
      <c r="R466" s="222">
        <f t="shared" si="22"/>
        <v>-13616.03</v>
      </c>
      <c r="S466" s="222">
        <f t="shared" si="22"/>
        <v>0</v>
      </c>
      <c r="T466" s="222">
        <f t="shared" si="22"/>
        <v>150.12</v>
      </c>
      <c r="U466" s="222">
        <f t="shared" si="22"/>
        <v>0</v>
      </c>
      <c r="V466" s="222">
        <f t="shared" si="22"/>
        <v>0</v>
      </c>
      <c r="W466" s="222">
        <f t="shared" si="22"/>
        <v>0</v>
      </c>
      <c r="X466" s="222">
        <f t="shared" si="22"/>
        <v>0</v>
      </c>
      <c r="Y466" s="222">
        <f t="shared" si="22"/>
        <v>0</v>
      </c>
      <c r="Z466" s="222">
        <f t="shared" si="22"/>
        <v>-0.71</v>
      </c>
    </row>
    <row r="467" spans="1:41" ht="12.75" customHeight="1" x14ac:dyDescent="0.25">
      <c r="C467" s="774"/>
      <c r="D467" s="772"/>
      <c r="E467" s="221" t="s">
        <v>73</v>
      </c>
      <c r="F467" s="222">
        <f>F421</f>
        <v>-857738903.94000006</v>
      </c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 spans="1:41" ht="12.75" customHeight="1" x14ac:dyDescent="0.25">
      <c r="C468" s="774"/>
      <c r="D468" s="772" t="s">
        <v>133</v>
      </c>
      <c r="E468" s="229" t="s">
        <v>70</v>
      </c>
      <c r="F468" s="230">
        <f>F411+F371-L371</f>
        <v>3642708</v>
      </c>
      <c r="G468" s="230">
        <f>G371</f>
        <v>199481.41</v>
      </c>
      <c r="H468" s="230">
        <f t="shared" ref="H468:Z468" si="23">H371</f>
        <v>116234.12</v>
      </c>
      <c r="I468" s="230">
        <f t="shared" si="23"/>
        <v>59627.19</v>
      </c>
      <c r="J468" s="230">
        <f t="shared" si="23"/>
        <v>859359.82</v>
      </c>
      <c r="K468" s="230">
        <f t="shared" si="23"/>
        <v>28477.4</v>
      </c>
      <c r="L468" s="230">
        <f t="shared" si="23"/>
        <v>0</v>
      </c>
      <c r="M468" s="230">
        <f t="shared" si="23"/>
        <v>249801.74</v>
      </c>
      <c r="N468" s="230">
        <f t="shared" si="23"/>
        <v>269740.52</v>
      </c>
      <c r="O468" s="230">
        <f t="shared" si="23"/>
        <v>1359204.06</v>
      </c>
      <c r="P468" s="230">
        <f t="shared" si="23"/>
        <v>530201.13</v>
      </c>
      <c r="Q468" s="230">
        <f t="shared" si="23"/>
        <v>46462.95</v>
      </c>
      <c r="R468" s="230">
        <f t="shared" si="23"/>
        <v>4.2300000000000004</v>
      </c>
      <c r="S468" s="230">
        <f t="shared" si="23"/>
        <v>0</v>
      </c>
      <c r="T468" s="230">
        <f t="shared" si="23"/>
        <v>0</v>
      </c>
      <c r="U468" s="230">
        <f t="shared" si="23"/>
        <v>0</v>
      </c>
      <c r="V468" s="230">
        <f t="shared" si="23"/>
        <v>0</v>
      </c>
      <c r="W468" s="230">
        <f t="shared" si="23"/>
        <v>0</v>
      </c>
      <c r="X468" s="230">
        <f t="shared" si="23"/>
        <v>0</v>
      </c>
      <c r="Y468" s="230">
        <f t="shared" si="23"/>
        <v>0</v>
      </c>
      <c r="Z468" s="230">
        <f t="shared" si="23"/>
        <v>0</v>
      </c>
    </row>
    <row r="469" spans="1:41" ht="12.75" customHeight="1" x14ac:dyDescent="0.25">
      <c r="C469" s="774"/>
      <c r="D469" s="772"/>
      <c r="E469" s="229" t="s">
        <v>73</v>
      </c>
      <c r="F469" s="230">
        <f>F411</f>
        <v>-75886.570000000007</v>
      </c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</row>
    <row r="470" spans="1:41" ht="12.75" customHeight="1" x14ac:dyDescent="0.25">
      <c r="A470" s="89"/>
      <c r="C470" s="97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</row>
    <row r="471" spans="1:41" ht="12.75" customHeight="1" x14ac:dyDescent="0.25">
      <c r="C471" s="775" t="s">
        <v>327</v>
      </c>
      <c r="D471" s="772" t="s">
        <v>132</v>
      </c>
      <c r="E471" s="373" t="s">
        <v>70</v>
      </c>
      <c r="F471" s="374">
        <v>0</v>
      </c>
      <c r="G471" s="374">
        <v>0</v>
      </c>
      <c r="H471" s="374">
        <v>0</v>
      </c>
      <c r="I471" s="374">
        <v>0</v>
      </c>
      <c r="J471" s="374">
        <v>0</v>
      </c>
      <c r="K471" s="374">
        <v>0</v>
      </c>
      <c r="L471" s="374">
        <v>0</v>
      </c>
      <c r="M471" s="374">
        <v>0</v>
      </c>
      <c r="N471" s="374">
        <v>0</v>
      </c>
      <c r="O471" s="374">
        <v>0</v>
      </c>
      <c r="P471" s="374">
        <v>0</v>
      </c>
      <c r="Q471" s="374">
        <v>0</v>
      </c>
      <c r="R471" s="374">
        <v>0</v>
      </c>
      <c r="S471" s="374">
        <v>0</v>
      </c>
      <c r="T471" s="374">
        <v>0</v>
      </c>
      <c r="U471" s="374">
        <v>0</v>
      </c>
      <c r="V471" s="374">
        <v>0</v>
      </c>
      <c r="W471" s="374">
        <v>0</v>
      </c>
      <c r="X471" s="374">
        <v>0</v>
      </c>
      <c r="Y471" s="374">
        <v>0</v>
      </c>
      <c r="Z471" s="374">
        <v>0</v>
      </c>
      <c r="AA471" s="374">
        <v>0</v>
      </c>
      <c r="AB471" s="374">
        <v>0</v>
      </c>
      <c r="AC471" s="374">
        <v>0</v>
      </c>
      <c r="AD471" s="374">
        <v>0</v>
      </c>
      <c r="AE471" s="374">
        <v>0</v>
      </c>
      <c r="AF471" s="374">
        <v>0</v>
      </c>
      <c r="AG471" s="374">
        <v>0</v>
      </c>
      <c r="AH471" s="374">
        <v>0</v>
      </c>
      <c r="AI471" s="374">
        <v>0</v>
      </c>
      <c r="AJ471" s="374">
        <v>0</v>
      </c>
      <c r="AK471" s="374">
        <v>0</v>
      </c>
      <c r="AL471" s="374">
        <v>0</v>
      </c>
      <c r="AM471" s="374">
        <v>0</v>
      </c>
      <c r="AN471" s="374">
        <v>0</v>
      </c>
      <c r="AO471" s="374">
        <v>0</v>
      </c>
    </row>
    <row r="472" spans="1:41" ht="12.75" customHeight="1" x14ac:dyDescent="0.25">
      <c r="C472" s="775"/>
      <c r="D472" s="772"/>
      <c r="E472" s="373" t="s">
        <v>73</v>
      </c>
      <c r="F472" s="374">
        <v>0</v>
      </c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</row>
    <row r="473" spans="1:41" ht="12.75" customHeight="1" x14ac:dyDescent="0.25">
      <c r="C473" s="775"/>
      <c r="D473" s="772" t="s">
        <v>133</v>
      </c>
      <c r="E473" s="242" t="s">
        <v>70</v>
      </c>
      <c r="F473" s="243">
        <v>0</v>
      </c>
      <c r="G473" s="243">
        <v>0</v>
      </c>
      <c r="H473" s="243">
        <v>0</v>
      </c>
      <c r="I473" s="243">
        <v>0</v>
      </c>
      <c r="J473" s="243">
        <v>0</v>
      </c>
      <c r="K473" s="243">
        <v>0</v>
      </c>
      <c r="L473" s="243">
        <v>0</v>
      </c>
      <c r="M473" s="243">
        <v>0</v>
      </c>
      <c r="N473" s="243">
        <v>0</v>
      </c>
      <c r="O473" s="243">
        <v>0</v>
      </c>
      <c r="P473" s="243">
        <v>0</v>
      </c>
      <c r="Q473" s="243">
        <v>0</v>
      </c>
      <c r="R473" s="243">
        <v>0</v>
      </c>
      <c r="S473" s="243">
        <v>0</v>
      </c>
      <c r="T473" s="243">
        <v>0</v>
      </c>
      <c r="U473" s="243">
        <v>0</v>
      </c>
      <c r="V473" s="243">
        <v>0</v>
      </c>
      <c r="W473" s="243">
        <v>0</v>
      </c>
      <c r="X473" s="243">
        <v>0</v>
      </c>
      <c r="Y473" s="243">
        <v>0</v>
      </c>
      <c r="Z473" s="243">
        <v>0</v>
      </c>
      <c r="AA473" s="243">
        <v>0</v>
      </c>
      <c r="AB473" s="243">
        <v>0</v>
      </c>
      <c r="AC473" s="243">
        <v>0</v>
      </c>
      <c r="AD473" s="243">
        <v>0</v>
      </c>
      <c r="AE473" s="243">
        <v>0</v>
      </c>
      <c r="AF473" s="243">
        <v>0</v>
      </c>
      <c r="AG473" s="243">
        <v>0</v>
      </c>
      <c r="AH473" s="243">
        <v>0</v>
      </c>
      <c r="AI473" s="243">
        <v>0</v>
      </c>
      <c r="AJ473" s="243">
        <v>0</v>
      </c>
      <c r="AK473" s="243">
        <v>0</v>
      </c>
      <c r="AL473" s="243">
        <v>0</v>
      </c>
      <c r="AM473" s="243">
        <v>0</v>
      </c>
      <c r="AN473" s="243">
        <v>0</v>
      </c>
      <c r="AO473" s="243">
        <v>0</v>
      </c>
    </row>
    <row r="474" spans="1:41" ht="12.75" customHeight="1" x14ac:dyDescent="0.25">
      <c r="C474" s="775"/>
      <c r="D474" s="772"/>
      <c r="E474" s="242" t="s">
        <v>73</v>
      </c>
      <c r="F474" s="243">
        <v>0</v>
      </c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</row>
    <row r="475" spans="1:41" ht="12.75" customHeight="1" x14ac:dyDescent="0.25">
      <c r="A475" s="89"/>
      <c r="C475" s="97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</row>
    <row r="476" spans="1:41" ht="12.75" customHeight="1" x14ac:dyDescent="0.25">
      <c r="C476" s="774" t="s">
        <v>119</v>
      </c>
      <c r="D476" s="772" t="s">
        <v>132</v>
      </c>
      <c r="E476" s="101" t="s">
        <v>70</v>
      </c>
      <c r="F476" s="93">
        <f>F435+F406+F365-L365-L406</f>
        <v>917283582.5999999</v>
      </c>
      <c r="G476" s="93">
        <f>G406+G365</f>
        <v>90944155.239999995</v>
      </c>
      <c r="H476" s="93">
        <f t="shared" ref="H476:AO476" si="24">H406+H365</f>
        <v>50952498.710000001</v>
      </c>
      <c r="I476" s="93">
        <f t="shared" si="24"/>
        <v>27102736.670000002</v>
      </c>
      <c r="J476" s="93">
        <f t="shared" si="24"/>
        <v>123672356.03</v>
      </c>
      <c r="K476" s="93">
        <f t="shared" si="24"/>
        <v>3392425.3000000003</v>
      </c>
      <c r="L476" s="93">
        <f t="shared" si="24"/>
        <v>3469200.94</v>
      </c>
      <c r="M476" s="93">
        <f t="shared" si="24"/>
        <v>29786295.120000001</v>
      </c>
      <c r="N476" s="93">
        <f t="shared" si="24"/>
        <v>40765570.670000002</v>
      </c>
      <c r="O476" s="93">
        <f t="shared" si="24"/>
        <v>201030693.81999999</v>
      </c>
      <c r="P476" s="93">
        <f t="shared" si="24"/>
        <v>242190826.84999999</v>
      </c>
      <c r="Q476" s="93">
        <f t="shared" si="24"/>
        <v>5542770.4799999995</v>
      </c>
      <c r="R476" s="93">
        <f t="shared" si="24"/>
        <v>1498.71</v>
      </c>
      <c r="S476" s="93">
        <f t="shared" si="24"/>
        <v>-7.75</v>
      </c>
      <c r="T476" s="93">
        <f t="shared" si="24"/>
        <v>0.91</v>
      </c>
      <c r="U476" s="93">
        <f t="shared" si="24"/>
        <v>0</v>
      </c>
      <c r="V476" s="93">
        <f t="shared" si="24"/>
        <v>0</v>
      </c>
      <c r="W476" s="93">
        <f t="shared" si="24"/>
        <v>0</v>
      </c>
      <c r="X476" s="93">
        <f t="shared" si="24"/>
        <v>0</v>
      </c>
      <c r="Y476" s="93">
        <f t="shared" si="24"/>
        <v>0</v>
      </c>
      <c r="Z476" s="93">
        <f t="shared" si="24"/>
        <v>-178.14</v>
      </c>
      <c r="AA476" s="93">
        <f t="shared" si="24"/>
        <v>0</v>
      </c>
      <c r="AB476" s="93">
        <f t="shared" si="24"/>
        <v>0</v>
      </c>
      <c r="AC476" s="93">
        <f t="shared" si="24"/>
        <v>0</v>
      </c>
      <c r="AD476" s="93">
        <f t="shared" si="24"/>
        <v>0</v>
      </c>
      <c r="AE476" s="93">
        <f t="shared" si="24"/>
        <v>0</v>
      </c>
      <c r="AF476" s="93">
        <f t="shared" si="24"/>
        <v>0</v>
      </c>
      <c r="AG476" s="93">
        <f t="shared" si="24"/>
        <v>0</v>
      </c>
      <c r="AH476" s="93">
        <f t="shared" si="24"/>
        <v>0</v>
      </c>
      <c r="AI476" s="93">
        <f t="shared" si="24"/>
        <v>0</v>
      </c>
      <c r="AJ476" s="93">
        <f t="shared" si="24"/>
        <v>0</v>
      </c>
      <c r="AK476" s="93">
        <f t="shared" si="24"/>
        <v>0</v>
      </c>
      <c r="AL476" s="93">
        <f t="shared" si="24"/>
        <v>0</v>
      </c>
      <c r="AM476" s="93">
        <f t="shared" si="24"/>
        <v>0</v>
      </c>
      <c r="AN476" s="93">
        <f t="shared" si="24"/>
        <v>0</v>
      </c>
      <c r="AO476" s="93">
        <f t="shared" si="24"/>
        <v>0</v>
      </c>
    </row>
    <row r="477" spans="1:41" ht="12.75" customHeight="1" x14ac:dyDescent="0.25">
      <c r="C477" s="774"/>
      <c r="D477" s="772"/>
      <c r="E477" s="101" t="s">
        <v>73</v>
      </c>
      <c r="F477" s="93">
        <f>F435</f>
        <v>101901939.98</v>
      </c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</row>
    <row r="478" spans="1:41" ht="12.75" customHeight="1" x14ac:dyDescent="0.25">
      <c r="C478" s="774"/>
      <c r="D478" s="772" t="s">
        <v>133</v>
      </c>
      <c r="E478" s="235" t="s">
        <v>70</v>
      </c>
      <c r="F478" s="236">
        <f>F417+F381-L381</f>
        <v>154832</v>
      </c>
      <c r="G478" s="236">
        <f>G381</f>
        <v>12477.11</v>
      </c>
      <c r="H478" s="236">
        <f t="shared" ref="H478:Z478" si="25">H381</f>
        <v>7049.52</v>
      </c>
      <c r="I478" s="236">
        <f t="shared" si="25"/>
        <v>3719.42</v>
      </c>
      <c r="J478" s="236">
        <f t="shared" si="25"/>
        <v>47751.59</v>
      </c>
      <c r="K478" s="236">
        <f t="shared" si="25"/>
        <v>1809.28</v>
      </c>
      <c r="L478" s="236">
        <f t="shared" si="25"/>
        <v>0</v>
      </c>
      <c r="M478" s="236">
        <f t="shared" si="25"/>
        <v>15870.89</v>
      </c>
      <c r="N478" s="236">
        <f t="shared" si="25"/>
        <v>16621.71</v>
      </c>
      <c r="O478" s="236">
        <f t="shared" si="25"/>
        <v>83899.79</v>
      </c>
      <c r="P478" s="236">
        <f t="shared" si="25"/>
        <v>33222.43</v>
      </c>
      <c r="Q478" s="236">
        <f t="shared" si="25"/>
        <v>2951.97</v>
      </c>
      <c r="R478" s="236">
        <f t="shared" si="25"/>
        <v>1.67</v>
      </c>
      <c r="S478" s="236">
        <f t="shared" si="25"/>
        <v>0</v>
      </c>
      <c r="T478" s="236">
        <f t="shared" si="25"/>
        <v>0</v>
      </c>
      <c r="U478" s="236">
        <f t="shared" si="25"/>
        <v>0</v>
      </c>
      <c r="V478" s="236">
        <f t="shared" si="25"/>
        <v>0</v>
      </c>
      <c r="W478" s="236">
        <f t="shared" si="25"/>
        <v>0</v>
      </c>
      <c r="X478" s="236">
        <f t="shared" si="25"/>
        <v>0</v>
      </c>
      <c r="Y478" s="236">
        <f t="shared" si="25"/>
        <v>0</v>
      </c>
      <c r="Z478" s="236">
        <f t="shared" si="25"/>
        <v>0</v>
      </c>
    </row>
    <row r="479" spans="1:41" ht="12.75" customHeight="1" x14ac:dyDescent="0.25">
      <c r="C479" s="774"/>
      <c r="D479" s="772"/>
      <c r="E479" s="235" t="s">
        <v>73</v>
      </c>
      <c r="F479" s="236">
        <f>F417</f>
        <v>-70543.38</v>
      </c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</row>
    <row r="480" spans="1:41" ht="12.75" customHeight="1" x14ac:dyDescent="0.25">
      <c r="A480" s="89"/>
      <c r="C480" s="97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</row>
    <row r="481" spans="1:41" ht="12.75" customHeight="1" x14ac:dyDescent="0.25">
      <c r="C481" s="773" t="s">
        <v>161</v>
      </c>
      <c r="D481" s="772" t="s">
        <v>132</v>
      </c>
      <c r="E481" s="231" t="s">
        <v>70</v>
      </c>
      <c r="F481" s="232">
        <v>0</v>
      </c>
      <c r="G481" s="232">
        <v>0</v>
      </c>
      <c r="H481" s="232">
        <v>0</v>
      </c>
      <c r="I481" s="232">
        <v>0</v>
      </c>
      <c r="J481" s="232">
        <v>0</v>
      </c>
      <c r="K481" s="232">
        <v>0</v>
      </c>
      <c r="L481" s="232">
        <v>0</v>
      </c>
      <c r="M481" s="232">
        <v>0</v>
      </c>
      <c r="N481" s="232">
        <v>0</v>
      </c>
      <c r="O481" s="232">
        <v>0</v>
      </c>
      <c r="P481" s="232">
        <v>0</v>
      </c>
      <c r="Q481" s="232">
        <v>0</v>
      </c>
      <c r="R481" s="232">
        <v>0</v>
      </c>
      <c r="S481" s="232">
        <v>0</v>
      </c>
      <c r="T481" s="232">
        <v>0</v>
      </c>
      <c r="U481" s="232">
        <v>0</v>
      </c>
      <c r="V481" s="232">
        <v>0</v>
      </c>
      <c r="W481" s="232">
        <v>0</v>
      </c>
      <c r="X481" s="232">
        <v>0</v>
      </c>
      <c r="Y481" s="232">
        <v>0</v>
      </c>
      <c r="Z481" s="232">
        <v>0</v>
      </c>
      <c r="AA481" s="232">
        <v>0</v>
      </c>
      <c r="AB481" s="232">
        <v>0</v>
      </c>
      <c r="AC481" s="232">
        <v>0</v>
      </c>
      <c r="AD481" s="232">
        <v>0</v>
      </c>
      <c r="AE481" s="232">
        <v>0</v>
      </c>
      <c r="AF481" s="232">
        <v>0</v>
      </c>
      <c r="AG481" s="232">
        <v>0</v>
      </c>
      <c r="AH481" s="232">
        <v>0</v>
      </c>
      <c r="AI481" s="232">
        <v>0</v>
      </c>
      <c r="AJ481" s="232">
        <v>0</v>
      </c>
      <c r="AK481" s="232">
        <v>0</v>
      </c>
      <c r="AL481" s="232">
        <v>0</v>
      </c>
      <c r="AM481" s="232">
        <v>0</v>
      </c>
      <c r="AN481" s="232">
        <v>0</v>
      </c>
      <c r="AO481" s="232">
        <v>0</v>
      </c>
    </row>
    <row r="482" spans="1:41" ht="12.75" customHeight="1" x14ac:dyDescent="0.25">
      <c r="C482" s="773"/>
      <c r="D482" s="772"/>
      <c r="E482" s="231" t="s">
        <v>73</v>
      </c>
      <c r="F482" s="232">
        <v>0</v>
      </c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</row>
    <row r="483" spans="1:41" ht="12.75" customHeight="1" x14ac:dyDescent="0.25">
      <c r="C483" s="773"/>
      <c r="E483" s="148" t="s">
        <v>70</v>
      </c>
      <c r="F483" s="149">
        <v>0</v>
      </c>
      <c r="G483" s="149">
        <v>0</v>
      </c>
      <c r="H483" s="149">
        <v>0</v>
      </c>
      <c r="I483" s="149">
        <v>0</v>
      </c>
      <c r="J483" s="149">
        <v>0</v>
      </c>
      <c r="K483" s="149">
        <v>0</v>
      </c>
      <c r="L483" s="149">
        <v>0</v>
      </c>
      <c r="M483" s="149">
        <v>0</v>
      </c>
      <c r="N483" s="149">
        <v>0</v>
      </c>
      <c r="O483" s="149">
        <v>0</v>
      </c>
      <c r="P483" s="149">
        <v>0</v>
      </c>
      <c r="Q483" s="149">
        <v>0</v>
      </c>
      <c r="R483" s="149">
        <v>0</v>
      </c>
      <c r="S483" s="149">
        <v>0</v>
      </c>
      <c r="T483" s="149">
        <v>0</v>
      </c>
      <c r="U483" s="149">
        <v>0</v>
      </c>
      <c r="V483" s="149">
        <v>0</v>
      </c>
      <c r="W483" s="149">
        <v>0</v>
      </c>
      <c r="X483" s="149">
        <v>0</v>
      </c>
      <c r="Y483" s="149">
        <v>0</v>
      </c>
      <c r="Z483" s="149">
        <v>0</v>
      </c>
    </row>
    <row r="484" spans="1:41" ht="12.75" customHeight="1" x14ac:dyDescent="0.25">
      <c r="C484" s="773"/>
      <c r="D484" s="220" t="s">
        <v>132</v>
      </c>
      <c r="E484" s="148" t="s">
        <v>73</v>
      </c>
      <c r="F484" s="149">
        <v>0</v>
      </c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41" ht="12.75" customHeight="1" x14ac:dyDescent="0.25">
      <c r="C485" s="388"/>
      <c r="D485" s="220"/>
      <c r="E485" s="89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41" ht="12.75" customHeight="1" x14ac:dyDescent="0.25">
      <c r="D486" s="458" t="s">
        <v>186</v>
      </c>
      <c r="E486" s="459" t="s">
        <v>70</v>
      </c>
      <c r="F486" s="460">
        <f t="shared" ref="F486:Z486" si="26">F367</f>
        <v>-51713.94</v>
      </c>
      <c r="G486" s="460">
        <f t="shared" si="26"/>
        <v>-4225.07</v>
      </c>
      <c r="H486" s="460">
        <f t="shared" si="26"/>
        <v>-1794.94</v>
      </c>
      <c r="I486" s="460">
        <f t="shared" si="26"/>
        <v>-783.85</v>
      </c>
      <c r="J486" s="460">
        <f t="shared" si="26"/>
        <v>-9523.33</v>
      </c>
      <c r="K486" s="460">
        <f t="shared" si="26"/>
        <v>-387.6</v>
      </c>
      <c r="L486" s="460">
        <f t="shared" si="26"/>
        <v>0</v>
      </c>
      <c r="M486" s="460">
        <f t="shared" si="26"/>
        <v>-3399.75</v>
      </c>
      <c r="N486" s="460">
        <f t="shared" si="26"/>
        <v>-4326.8900000000003</v>
      </c>
      <c r="O486" s="460">
        <f t="shared" si="26"/>
        <v>-15874.06</v>
      </c>
      <c r="P486" s="460">
        <f t="shared" si="26"/>
        <v>-10765.99</v>
      </c>
      <c r="Q486" s="460">
        <f t="shared" si="26"/>
        <v>-632.46</v>
      </c>
      <c r="R486" s="460">
        <f t="shared" si="26"/>
        <v>0</v>
      </c>
      <c r="S486" s="460">
        <f t="shared" si="26"/>
        <v>0</v>
      </c>
      <c r="T486" s="460">
        <f t="shared" si="26"/>
        <v>0</v>
      </c>
      <c r="U486" s="460">
        <f t="shared" si="26"/>
        <v>0</v>
      </c>
      <c r="V486" s="460">
        <f t="shared" si="26"/>
        <v>0</v>
      </c>
      <c r="W486" s="460">
        <f t="shared" si="26"/>
        <v>0</v>
      </c>
      <c r="X486" s="460">
        <f t="shared" si="26"/>
        <v>0</v>
      </c>
      <c r="Y486" s="460">
        <f t="shared" si="26"/>
        <v>0</v>
      </c>
      <c r="Z486" s="460">
        <f t="shared" si="26"/>
        <v>0</v>
      </c>
    </row>
    <row r="487" spans="1:41" ht="12.75" customHeight="1" x14ac:dyDescent="0.25">
      <c r="C487" s="388"/>
      <c r="D487" s="220"/>
      <c r="E487" s="89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s="238" customFormat="1" ht="12.75" customHeight="1" x14ac:dyDescent="0.25">
      <c r="D488" s="239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</row>
    <row r="489" spans="1:41" ht="12.6" customHeight="1" x14ac:dyDescent="0.25">
      <c r="A489" s="89"/>
      <c r="B489" s="97" t="s">
        <v>93</v>
      </c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</row>
    <row r="490" spans="1:41" ht="12.75" customHeight="1" x14ac:dyDescent="0.25">
      <c r="F490" s="89" t="s">
        <v>70</v>
      </c>
      <c r="G490" s="89" t="s">
        <v>64</v>
      </c>
      <c r="H490" s="89" t="s">
        <v>65</v>
      </c>
      <c r="I490" s="218" t="s">
        <v>164</v>
      </c>
      <c r="J490" s="89" t="s">
        <v>69</v>
      </c>
      <c r="K490" s="89" t="s">
        <v>68</v>
      </c>
      <c r="L490" s="89" t="s">
        <v>71</v>
      </c>
      <c r="M490" s="89" t="s">
        <v>66</v>
      </c>
      <c r="N490" s="89" t="s">
        <v>63</v>
      </c>
      <c r="O490" s="89" t="s">
        <v>61</v>
      </c>
      <c r="P490" s="89" t="s">
        <v>62</v>
      </c>
      <c r="Q490" s="89" t="s">
        <v>67</v>
      </c>
      <c r="R490" s="89" t="s">
        <v>77</v>
      </c>
      <c r="S490" s="89" t="s">
        <v>80</v>
      </c>
      <c r="T490" s="89" t="s">
        <v>135</v>
      </c>
      <c r="U490" s="89" t="s">
        <v>223</v>
      </c>
      <c r="V490" s="89" t="s">
        <v>223</v>
      </c>
      <c r="W490" s="89" t="s">
        <v>173</v>
      </c>
      <c r="X490" t="s">
        <v>222</v>
      </c>
      <c r="Y490" s="89" t="s">
        <v>135</v>
      </c>
      <c r="Z490" t="s">
        <v>167</v>
      </c>
    </row>
    <row r="491" spans="1:41" ht="12.75" customHeight="1" x14ac:dyDescent="0.25">
      <c r="A491" s="89"/>
      <c r="B491" s="89"/>
      <c r="E491" t="s">
        <v>72</v>
      </c>
      <c r="F491" s="371">
        <v>-4485.01</v>
      </c>
      <c r="G491" s="90">
        <v>-355.56</v>
      </c>
      <c r="H491" s="90">
        <v>-151.05000000000001</v>
      </c>
      <c r="I491" s="90">
        <v>-65.98</v>
      </c>
      <c r="J491" s="90">
        <v>-769.61</v>
      </c>
      <c r="K491" s="90">
        <v>-47.44</v>
      </c>
      <c r="L491" s="90">
        <v>0</v>
      </c>
      <c r="M491" s="90">
        <v>-415.95</v>
      </c>
      <c r="N491" s="90">
        <v>-348.63</v>
      </c>
      <c r="O491" s="90">
        <v>-1274.28</v>
      </c>
      <c r="P491" s="90">
        <v>-979.14</v>
      </c>
      <c r="Q491" s="90">
        <v>-77.37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41" ht="12.75" customHeight="1" x14ac:dyDescent="0.25">
      <c r="A492" s="89"/>
      <c r="B492" s="89"/>
      <c r="D492" t="s">
        <v>86</v>
      </c>
      <c r="E492" t="s">
        <v>70</v>
      </c>
      <c r="F492" s="371">
        <v>-4485.01</v>
      </c>
      <c r="G492" s="90">
        <v>-355.56</v>
      </c>
      <c r="H492" s="90">
        <v>-151.05000000000001</v>
      </c>
      <c r="I492" s="90">
        <v>-65.98</v>
      </c>
      <c r="J492" s="90">
        <v>-769.61</v>
      </c>
      <c r="K492" s="90">
        <v>-47.44</v>
      </c>
      <c r="L492" s="90">
        <v>0</v>
      </c>
      <c r="M492" s="90">
        <v>-415.95</v>
      </c>
      <c r="N492" s="90">
        <v>-348.63</v>
      </c>
      <c r="O492" s="90">
        <v>-1274.28</v>
      </c>
      <c r="P492" s="90">
        <v>-979.14</v>
      </c>
      <c r="Q492" s="90">
        <v>-77.37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41" s="94" customFormat="1" ht="12.75" customHeight="1" x14ac:dyDescent="0.25">
      <c r="A493" s="101"/>
      <c r="B493" s="101"/>
      <c r="C493" s="94" t="s">
        <v>119</v>
      </c>
      <c r="D493" s="94" t="s">
        <v>70</v>
      </c>
      <c r="F493" s="769">
        <v>-4485.01</v>
      </c>
      <c r="G493" s="93">
        <v>-355.56</v>
      </c>
      <c r="H493" s="93">
        <v>-151.05000000000001</v>
      </c>
      <c r="I493" s="93">
        <v>-65.98</v>
      </c>
      <c r="J493" s="93">
        <v>-769.61</v>
      </c>
      <c r="K493" s="93">
        <v>-47.44</v>
      </c>
      <c r="L493" s="93">
        <v>0</v>
      </c>
      <c r="M493" s="93">
        <v>-415.95</v>
      </c>
      <c r="N493" s="93">
        <v>-348.63</v>
      </c>
      <c r="O493" s="93">
        <v>-1274.28</v>
      </c>
      <c r="P493" s="93">
        <v>-979.14</v>
      </c>
      <c r="Q493" s="93">
        <v>-77.37</v>
      </c>
      <c r="R493" s="93">
        <v>0</v>
      </c>
      <c r="S493" s="93">
        <v>0</v>
      </c>
      <c r="T493" s="94">
        <v>0</v>
      </c>
      <c r="U493" s="94">
        <v>0</v>
      </c>
      <c r="V493" s="94">
        <v>0</v>
      </c>
      <c r="W493" s="94">
        <v>0</v>
      </c>
      <c r="X493" s="94">
        <v>0</v>
      </c>
      <c r="Y493" s="94">
        <v>0</v>
      </c>
      <c r="Z493" s="94">
        <v>0</v>
      </c>
    </row>
    <row r="494" spans="1:41" ht="12.75" customHeight="1" x14ac:dyDescent="0.25">
      <c r="A494" s="89"/>
      <c r="B494" s="89" t="s">
        <v>112</v>
      </c>
      <c r="C494" t="s">
        <v>70</v>
      </c>
      <c r="F494" s="371">
        <v>-4485.01</v>
      </c>
      <c r="G494" s="90">
        <v>-355.56</v>
      </c>
      <c r="H494" s="90">
        <v>-151.05000000000001</v>
      </c>
      <c r="I494" s="90">
        <v>-65.98</v>
      </c>
      <c r="J494" s="90">
        <v>-769.61</v>
      </c>
      <c r="K494" s="90">
        <v>-47.44</v>
      </c>
      <c r="L494" s="90">
        <v>0</v>
      </c>
      <c r="M494" s="90">
        <v>-415.95</v>
      </c>
      <c r="N494" s="90">
        <v>-348.63</v>
      </c>
      <c r="O494" s="90">
        <v>-1274.28</v>
      </c>
      <c r="P494" s="90">
        <v>-979.14</v>
      </c>
      <c r="Q494" s="90">
        <v>-77.37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41" s="458" customFormat="1" ht="12.75" customHeight="1" x14ac:dyDescent="0.25">
      <c r="A495" s="458" t="s">
        <v>186</v>
      </c>
      <c r="B495" s="458" t="s">
        <v>70</v>
      </c>
      <c r="F495" s="458">
        <v>-4485.01</v>
      </c>
      <c r="G495" s="458">
        <v>-355.56</v>
      </c>
      <c r="H495" s="458">
        <v>-151.05000000000001</v>
      </c>
      <c r="I495" s="458">
        <v>-65.98</v>
      </c>
      <c r="J495" s="458">
        <v>-769.61</v>
      </c>
      <c r="K495" s="458">
        <v>-47.44</v>
      </c>
      <c r="L495" s="458">
        <v>0</v>
      </c>
      <c r="M495" s="458">
        <v>-415.95</v>
      </c>
      <c r="N495" s="458">
        <v>-348.63</v>
      </c>
      <c r="O495" s="458">
        <v>-1274.28</v>
      </c>
      <c r="P495" s="458">
        <v>-979.14</v>
      </c>
      <c r="Q495" s="458">
        <v>-77.37</v>
      </c>
      <c r="R495" s="458">
        <v>0</v>
      </c>
      <c r="S495" s="458">
        <v>0</v>
      </c>
      <c r="T495" s="458">
        <v>0</v>
      </c>
      <c r="U495" s="458">
        <v>0</v>
      </c>
      <c r="V495" s="458">
        <v>0</v>
      </c>
      <c r="W495" s="458">
        <v>0</v>
      </c>
      <c r="X495" s="458">
        <v>0</v>
      </c>
      <c r="Y495" s="458">
        <v>0</v>
      </c>
      <c r="Z495" s="458">
        <v>0</v>
      </c>
    </row>
    <row r="496" spans="1:41" ht="12.75" customHeight="1" x14ac:dyDescent="0.25">
      <c r="A496" s="89"/>
      <c r="B496" s="89"/>
      <c r="E496" t="s">
        <v>72</v>
      </c>
      <c r="F496" s="371">
        <v>666981.74</v>
      </c>
      <c r="G496" s="90">
        <v>34824.03</v>
      </c>
      <c r="H496" s="90">
        <v>19524.64</v>
      </c>
      <c r="I496" s="90">
        <v>10319.91</v>
      </c>
      <c r="J496" s="90">
        <v>150714.18</v>
      </c>
      <c r="K496" s="90">
        <v>5437.4</v>
      </c>
      <c r="L496" s="90">
        <v>0</v>
      </c>
      <c r="M496" s="90">
        <v>47696.14</v>
      </c>
      <c r="N496" s="90">
        <v>46468.7</v>
      </c>
      <c r="O496" s="90">
        <v>238316.38</v>
      </c>
      <c r="P496" s="90">
        <v>104782.64</v>
      </c>
      <c r="Q496" s="90">
        <v>8871.52</v>
      </c>
      <c r="R496" s="90">
        <v>26.2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ht="12.75" customHeight="1" x14ac:dyDescent="0.25">
      <c r="A497" s="89"/>
      <c r="B497" s="89"/>
      <c r="E497" t="s">
        <v>81</v>
      </c>
      <c r="F497" s="371">
        <v>173.2</v>
      </c>
      <c r="G497" s="90">
        <v>10.63</v>
      </c>
      <c r="H497" s="90">
        <v>5.25</v>
      </c>
      <c r="I497" s="90">
        <v>3.13</v>
      </c>
      <c r="J497" s="90">
        <v>24.19</v>
      </c>
      <c r="K497" s="90">
        <v>0.77</v>
      </c>
      <c r="L497" s="90">
        <v>0</v>
      </c>
      <c r="M497" s="90">
        <v>12.55</v>
      </c>
      <c r="N497" s="90">
        <v>13.44</v>
      </c>
      <c r="O497" s="90">
        <v>69.209999999999994</v>
      </c>
      <c r="P497" s="90">
        <v>31.69</v>
      </c>
      <c r="Q497" s="90">
        <v>2.34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ht="12.75" customHeight="1" x14ac:dyDescent="0.25">
      <c r="A498" s="89"/>
      <c r="B498" s="89"/>
      <c r="D498" t="s">
        <v>82</v>
      </c>
      <c r="E498" t="s">
        <v>70</v>
      </c>
      <c r="F498" s="371">
        <v>667154.93999999994</v>
      </c>
      <c r="G498" s="90">
        <v>34834.660000000003</v>
      </c>
      <c r="H498" s="90">
        <v>19529.89</v>
      </c>
      <c r="I498" s="90">
        <v>10323.040000000001</v>
      </c>
      <c r="J498" s="90">
        <v>150738.37</v>
      </c>
      <c r="K498" s="90">
        <v>5438.17</v>
      </c>
      <c r="L498" s="90">
        <v>0</v>
      </c>
      <c r="M498" s="90">
        <v>47708.69</v>
      </c>
      <c r="N498" s="90">
        <v>46482.14</v>
      </c>
      <c r="O498" s="90">
        <v>238385.59</v>
      </c>
      <c r="P498" s="90">
        <v>104814.33</v>
      </c>
      <c r="Q498" s="90">
        <v>8873.86</v>
      </c>
      <c r="R498" s="90">
        <v>26.2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ht="12.75" customHeight="1" x14ac:dyDescent="0.25">
      <c r="A499" s="89"/>
      <c r="B499" s="89"/>
      <c r="E499" t="s">
        <v>72</v>
      </c>
      <c r="F499" s="371">
        <v>138628.06</v>
      </c>
      <c r="G499" s="90">
        <v>7328.08</v>
      </c>
      <c r="H499" s="90">
        <v>4105.92</v>
      </c>
      <c r="I499" s="90">
        <v>2171.64</v>
      </c>
      <c r="J499" s="90">
        <v>31211.82</v>
      </c>
      <c r="K499" s="90">
        <v>1125.9000000000001</v>
      </c>
      <c r="L499" s="90">
        <v>0</v>
      </c>
      <c r="M499" s="90">
        <v>9876.24</v>
      </c>
      <c r="N499" s="90">
        <v>9626.1299999999992</v>
      </c>
      <c r="O499" s="90">
        <v>49317.06</v>
      </c>
      <c r="P499" s="90">
        <v>22027.54</v>
      </c>
      <c r="Q499" s="90">
        <v>1836.99</v>
      </c>
      <c r="R499" s="90">
        <v>0.74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ht="12.75" customHeight="1" x14ac:dyDescent="0.25">
      <c r="A500" s="89"/>
      <c r="B500" s="89"/>
      <c r="E500" t="s">
        <v>81</v>
      </c>
      <c r="F500" s="371">
        <v>24.87</v>
      </c>
      <c r="G500" s="90">
        <v>1.4</v>
      </c>
      <c r="H500" s="90">
        <v>0.79</v>
      </c>
      <c r="I500" s="90">
        <v>0.41</v>
      </c>
      <c r="J500" s="90">
        <v>5.32</v>
      </c>
      <c r="K500" s="90">
        <v>0.2</v>
      </c>
      <c r="L500" s="90">
        <v>0</v>
      </c>
      <c r="M500" s="90">
        <v>1.76</v>
      </c>
      <c r="N500" s="90">
        <v>1.72</v>
      </c>
      <c r="O500" s="90">
        <v>8.83</v>
      </c>
      <c r="P500" s="90">
        <v>4.1100000000000003</v>
      </c>
      <c r="Q500" s="90">
        <v>0.33</v>
      </c>
      <c r="R500" s="90">
        <v>0</v>
      </c>
      <c r="S500" s="9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ht="12.75" customHeight="1" x14ac:dyDescent="0.25">
      <c r="A501" s="89"/>
      <c r="B501" s="89"/>
      <c r="D501" t="s">
        <v>86</v>
      </c>
      <c r="E501" t="s">
        <v>70</v>
      </c>
      <c r="F501" s="371">
        <v>138652.93</v>
      </c>
      <c r="G501" s="90">
        <v>7329.48</v>
      </c>
      <c r="H501" s="90">
        <v>4106.71</v>
      </c>
      <c r="I501" s="90">
        <v>2172.0500000000002</v>
      </c>
      <c r="J501" s="90">
        <v>31217.14</v>
      </c>
      <c r="K501" s="90">
        <v>1126.0999999999999</v>
      </c>
      <c r="L501" s="90">
        <v>0</v>
      </c>
      <c r="M501" s="90">
        <v>9878</v>
      </c>
      <c r="N501" s="90">
        <v>9627.85</v>
      </c>
      <c r="O501" s="90">
        <v>49325.89</v>
      </c>
      <c r="P501" s="90">
        <v>22031.65</v>
      </c>
      <c r="Q501" s="90">
        <v>1837.32</v>
      </c>
      <c r="R501" s="90">
        <v>0.74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ht="12.75" customHeight="1" x14ac:dyDescent="0.25">
      <c r="A502" s="89"/>
      <c r="B502" s="89"/>
      <c r="E502" t="s">
        <v>72</v>
      </c>
      <c r="F502" s="371">
        <v>859724.64</v>
      </c>
      <c r="G502" s="90">
        <v>47230.86</v>
      </c>
      <c r="H502" s="90">
        <v>26534.93</v>
      </c>
      <c r="I502" s="90">
        <v>13952.62</v>
      </c>
      <c r="J502" s="90">
        <v>189819.67</v>
      </c>
      <c r="K502" s="90">
        <v>6799.21</v>
      </c>
      <c r="L502" s="90">
        <v>0</v>
      </c>
      <c r="M502" s="90">
        <v>59641.8</v>
      </c>
      <c r="N502" s="90">
        <v>59100.35</v>
      </c>
      <c r="O502" s="90">
        <v>303870.78999999998</v>
      </c>
      <c r="P502" s="90">
        <v>141650.81</v>
      </c>
      <c r="Q502" s="90">
        <v>11093.44</v>
      </c>
      <c r="R502" s="90">
        <v>30.16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ht="12.75" customHeight="1" x14ac:dyDescent="0.25">
      <c r="A503" s="89"/>
      <c r="B503" s="89"/>
      <c r="E503" t="s">
        <v>81</v>
      </c>
      <c r="F503" s="371">
        <v>974.03</v>
      </c>
      <c r="G503" s="90">
        <v>56.49</v>
      </c>
      <c r="H503" s="90">
        <v>31.83</v>
      </c>
      <c r="I503" s="90">
        <v>16.489999999999998</v>
      </c>
      <c r="J503" s="90">
        <v>206.55</v>
      </c>
      <c r="K503" s="90">
        <v>7.3</v>
      </c>
      <c r="L503" s="90">
        <v>0</v>
      </c>
      <c r="M503" s="90">
        <v>63.81</v>
      </c>
      <c r="N503" s="90">
        <v>67.2</v>
      </c>
      <c r="O503" s="90">
        <v>346.33</v>
      </c>
      <c r="P503" s="90">
        <v>166.25</v>
      </c>
      <c r="Q503" s="90">
        <v>11.86</v>
      </c>
      <c r="R503" s="90">
        <v>-0.08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t="12.6" customHeight="1" x14ac:dyDescent="0.25">
      <c r="A504" s="89"/>
      <c r="B504" s="89"/>
      <c r="D504" t="s">
        <v>87</v>
      </c>
      <c r="E504" t="s">
        <v>70</v>
      </c>
      <c r="F504" s="371">
        <v>860698.67</v>
      </c>
      <c r="G504" s="90">
        <v>47287.35</v>
      </c>
      <c r="H504" s="90">
        <v>26566.76</v>
      </c>
      <c r="I504" s="90">
        <v>13969.11</v>
      </c>
      <c r="J504" s="90">
        <v>190026.22</v>
      </c>
      <c r="K504" s="90">
        <v>6806.51</v>
      </c>
      <c r="L504" s="90">
        <v>0</v>
      </c>
      <c r="M504" s="90">
        <v>59705.61</v>
      </c>
      <c r="N504" s="90">
        <v>59167.55</v>
      </c>
      <c r="O504" s="90">
        <v>304217.12</v>
      </c>
      <c r="P504" s="90">
        <v>141817.06</v>
      </c>
      <c r="Q504" s="90">
        <v>11105.3</v>
      </c>
      <c r="R504" s="90">
        <v>30.08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s="94" customFormat="1" ht="12.75" customHeight="1" x14ac:dyDescent="0.25">
      <c r="A505" s="101"/>
      <c r="B505" s="101"/>
      <c r="C505" s="94" t="s">
        <v>119</v>
      </c>
      <c r="D505" s="94" t="s">
        <v>70</v>
      </c>
      <c r="F505" s="93">
        <v>1666506.54</v>
      </c>
      <c r="G505" s="93">
        <v>89451.49</v>
      </c>
      <c r="H505" s="93">
        <v>50203.360000000001</v>
      </c>
      <c r="I505" s="93">
        <v>26464.2</v>
      </c>
      <c r="J505" s="93">
        <v>371981.73</v>
      </c>
      <c r="K505" s="93">
        <v>13370.78</v>
      </c>
      <c r="L505" s="93">
        <v>0</v>
      </c>
      <c r="M505" s="93">
        <v>117292.3</v>
      </c>
      <c r="N505" s="93">
        <v>115277.54</v>
      </c>
      <c r="O505" s="93">
        <v>591928.6</v>
      </c>
      <c r="P505" s="93">
        <v>268663.03999999998</v>
      </c>
      <c r="Q505" s="93">
        <v>21816.48</v>
      </c>
      <c r="R505" s="93">
        <v>57.02</v>
      </c>
      <c r="S505" s="93">
        <v>0</v>
      </c>
      <c r="T505" s="94">
        <v>0</v>
      </c>
      <c r="U505" s="94">
        <v>0</v>
      </c>
      <c r="V505" s="94">
        <v>0</v>
      </c>
      <c r="W505" s="94">
        <v>0</v>
      </c>
      <c r="X505" s="94">
        <v>0</v>
      </c>
      <c r="Y505" s="94">
        <v>0</v>
      </c>
      <c r="Z505" s="94">
        <v>0</v>
      </c>
    </row>
    <row r="506" spans="1:26" s="378" customFormat="1" ht="12.75" customHeight="1" x14ac:dyDescent="0.25">
      <c r="A506" s="376"/>
      <c r="B506" s="376" t="s">
        <v>122</v>
      </c>
      <c r="C506" s="378" t="s">
        <v>70</v>
      </c>
      <c r="F506" s="710">
        <v>1666506.54</v>
      </c>
      <c r="G506" s="378">
        <v>89451.49</v>
      </c>
      <c r="H506" s="377">
        <v>50203.360000000001</v>
      </c>
      <c r="I506" s="377">
        <v>26464.2</v>
      </c>
      <c r="J506" s="377">
        <v>371981.73</v>
      </c>
      <c r="K506" s="377">
        <v>13370.78</v>
      </c>
      <c r="L506" s="377">
        <v>0</v>
      </c>
      <c r="M506" s="377">
        <v>117292.3</v>
      </c>
      <c r="N506" s="377">
        <v>115277.54</v>
      </c>
      <c r="O506" s="377">
        <v>591928.6</v>
      </c>
      <c r="P506" s="377">
        <v>268663.03999999998</v>
      </c>
      <c r="Q506" s="377">
        <v>21816.48</v>
      </c>
      <c r="R506" s="377">
        <v>57.02</v>
      </c>
      <c r="S506" s="377">
        <v>0</v>
      </c>
      <c r="T506" s="378">
        <v>0</v>
      </c>
      <c r="U506" s="378">
        <v>0</v>
      </c>
      <c r="V506" s="378">
        <v>0</v>
      </c>
      <c r="W506" s="378">
        <v>0</v>
      </c>
      <c r="X506" s="378">
        <v>0</v>
      </c>
      <c r="Y506" s="378">
        <v>0</v>
      </c>
      <c r="Z506" s="378">
        <v>0</v>
      </c>
    </row>
    <row r="507" spans="1:26" ht="12.75" customHeight="1" x14ac:dyDescent="0.25">
      <c r="C507" s="89"/>
      <c r="D507" s="89"/>
      <c r="E507" t="s">
        <v>72</v>
      </c>
      <c r="F507" s="371">
        <v>13255784141.629999</v>
      </c>
      <c r="G507" s="90">
        <v>687927857.95000005</v>
      </c>
      <c r="H507" s="90">
        <v>387836233.23000002</v>
      </c>
      <c r="I507" s="90">
        <v>203896299.5</v>
      </c>
      <c r="J507" s="90">
        <v>2973816389.3200002</v>
      </c>
      <c r="K507" s="90">
        <v>108079618.06999999</v>
      </c>
      <c r="L507" s="90">
        <v>8929700</v>
      </c>
      <c r="M507" s="90">
        <v>947751146.82000005</v>
      </c>
      <c r="N507" s="90">
        <v>918454732.63</v>
      </c>
      <c r="O507" s="90">
        <v>4762546642.1199999</v>
      </c>
      <c r="P507" s="90">
        <v>2080265361.7</v>
      </c>
      <c r="Q507" s="90">
        <v>176383169.25</v>
      </c>
      <c r="R507" s="90">
        <v>-103008.96000000001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t="12.75" customHeight="1" x14ac:dyDescent="0.25">
      <c r="C508" s="89"/>
      <c r="D508" s="89"/>
      <c r="E508" t="s">
        <v>81</v>
      </c>
      <c r="F508" s="90">
        <v>4558820.76</v>
      </c>
      <c r="G508" s="90">
        <v>305210.49</v>
      </c>
      <c r="H508" s="90">
        <v>163400.69</v>
      </c>
      <c r="I508" s="90">
        <v>86289.08</v>
      </c>
      <c r="J508" s="90">
        <v>912263.18</v>
      </c>
      <c r="K508" s="90">
        <v>35740.44</v>
      </c>
      <c r="L508" s="90">
        <v>9085.51</v>
      </c>
      <c r="M508" s="90">
        <v>312822.94</v>
      </c>
      <c r="N508" s="90">
        <v>293680.57</v>
      </c>
      <c r="O508" s="90">
        <v>1478560.93</v>
      </c>
      <c r="P508" s="90">
        <v>903501.58</v>
      </c>
      <c r="Q508" s="90">
        <v>58264.46</v>
      </c>
      <c r="R508" s="90">
        <v>-5.04</v>
      </c>
      <c r="S508" s="90">
        <v>0.55000000000000004</v>
      </c>
      <c r="T508">
        <v>5.38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ht="12.75" customHeight="1" x14ac:dyDescent="0.25">
      <c r="D509" t="s">
        <v>156</v>
      </c>
      <c r="E509" s="89" t="s">
        <v>70</v>
      </c>
      <c r="F509" s="90">
        <v>13260342962.389999</v>
      </c>
      <c r="G509" s="90">
        <v>688233068.44000006</v>
      </c>
      <c r="H509" s="90">
        <v>387999633.92000002</v>
      </c>
      <c r="I509" s="90">
        <v>203982588.58000001</v>
      </c>
      <c r="J509" s="90">
        <v>2974728652.5</v>
      </c>
      <c r="K509" s="90">
        <v>108115358.51000001</v>
      </c>
      <c r="L509" s="90">
        <v>8938785.5099999998</v>
      </c>
      <c r="M509" s="90">
        <v>948063969.75999999</v>
      </c>
      <c r="N509" s="90">
        <v>918748413.20000005</v>
      </c>
      <c r="O509" s="90">
        <v>4764025203.0500002</v>
      </c>
      <c r="P509" s="90">
        <v>2081168863.28</v>
      </c>
      <c r="Q509" s="90">
        <v>176441433.71000001</v>
      </c>
      <c r="R509" s="90">
        <v>-103014</v>
      </c>
      <c r="S509" s="90">
        <v>0.55000000000000004</v>
      </c>
      <c r="T509">
        <v>5.38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s="656" customFormat="1" ht="12.75" customHeight="1" x14ac:dyDescent="0.25">
      <c r="A510" s="657"/>
      <c r="B510" s="657"/>
      <c r="C510" s="656" t="s">
        <v>155</v>
      </c>
      <c r="D510" s="656" t="s">
        <v>70</v>
      </c>
      <c r="F510" s="658">
        <v>13260342962.389999</v>
      </c>
      <c r="G510" s="658">
        <v>688233068.44000006</v>
      </c>
      <c r="H510" s="658">
        <v>387999633.92000002</v>
      </c>
      <c r="I510" s="658">
        <v>203982588.58000001</v>
      </c>
      <c r="J510" s="658">
        <v>2974728652.5</v>
      </c>
      <c r="K510" s="658">
        <v>108115358.51000001</v>
      </c>
      <c r="L510" s="658">
        <v>8938785.5099999998</v>
      </c>
      <c r="M510" s="658">
        <v>948063969.75999999</v>
      </c>
      <c r="N510" s="658">
        <v>918748413.20000005</v>
      </c>
      <c r="O510" s="658">
        <v>4764025203.0500002</v>
      </c>
      <c r="P510" s="658">
        <v>2081168863.28</v>
      </c>
      <c r="Q510" s="658">
        <v>176441433.71000001</v>
      </c>
      <c r="R510" s="658">
        <v>-103014</v>
      </c>
      <c r="S510" s="658">
        <v>0.55000000000000004</v>
      </c>
      <c r="T510" s="656">
        <v>5.38</v>
      </c>
      <c r="U510" s="656">
        <v>0</v>
      </c>
      <c r="V510" s="656">
        <v>0</v>
      </c>
      <c r="W510" s="656">
        <v>0</v>
      </c>
      <c r="X510" s="656">
        <v>0</v>
      </c>
      <c r="Y510" s="656">
        <v>0</v>
      </c>
      <c r="Z510" s="656">
        <v>0</v>
      </c>
    </row>
    <row r="511" spans="1:26" ht="12.75" customHeight="1" x14ac:dyDescent="0.25">
      <c r="E511" s="89" t="s">
        <v>72</v>
      </c>
      <c r="F511" s="90">
        <v>33381761.620000001</v>
      </c>
      <c r="G511" s="90">
        <v>1900600.5</v>
      </c>
      <c r="H511" s="90">
        <v>1060075.3999999999</v>
      </c>
      <c r="I511" s="90">
        <v>571106.43000000005</v>
      </c>
      <c r="J511" s="90">
        <v>7482062.7300000004</v>
      </c>
      <c r="K511" s="90">
        <v>261091.53</v>
      </c>
      <c r="L511" s="90">
        <v>0</v>
      </c>
      <c r="M511" s="90">
        <v>2236718.6800000002</v>
      </c>
      <c r="N511" s="90">
        <v>2240261.92</v>
      </c>
      <c r="O511" s="90">
        <v>11562961.560000001</v>
      </c>
      <c r="P511" s="90">
        <v>5641999.7199999997</v>
      </c>
      <c r="Q511" s="90">
        <v>424763.54</v>
      </c>
      <c r="R511" s="90">
        <v>119.61</v>
      </c>
      <c r="S511" s="90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ht="12.75" customHeight="1" x14ac:dyDescent="0.25">
      <c r="E512" s="89" t="s">
        <v>81</v>
      </c>
      <c r="F512" s="371">
        <v>84123.48</v>
      </c>
      <c r="G512" s="90">
        <v>5035.05</v>
      </c>
      <c r="H512" s="90">
        <v>2705.49</v>
      </c>
      <c r="I512" s="90">
        <v>1487.08</v>
      </c>
      <c r="J512" s="90">
        <v>18901.43</v>
      </c>
      <c r="K512" s="90">
        <v>611.41</v>
      </c>
      <c r="L512" s="90">
        <v>0</v>
      </c>
      <c r="M512" s="90">
        <v>5314.35</v>
      </c>
      <c r="N512" s="90">
        <v>5615.28</v>
      </c>
      <c r="O512" s="90">
        <v>28670.6</v>
      </c>
      <c r="P512" s="90">
        <v>14780.46</v>
      </c>
      <c r="Q512" s="90">
        <v>1002.93</v>
      </c>
      <c r="R512" s="90">
        <v>-0.6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ht="12.75" customHeight="1" x14ac:dyDescent="0.25">
      <c r="D513" t="s">
        <v>156</v>
      </c>
      <c r="E513" s="89" t="s">
        <v>70</v>
      </c>
      <c r="F513" s="371">
        <v>33465885.100000001</v>
      </c>
      <c r="G513" s="90">
        <v>1905635.55</v>
      </c>
      <c r="H513" s="90">
        <v>1062780.8899999999</v>
      </c>
      <c r="I513" s="90">
        <v>572593.51</v>
      </c>
      <c r="J513" s="90">
        <v>7500964.1600000001</v>
      </c>
      <c r="K513" s="90">
        <v>261702.94</v>
      </c>
      <c r="L513" s="90">
        <v>0</v>
      </c>
      <c r="M513" s="90">
        <v>2242033.0299999998</v>
      </c>
      <c r="N513" s="90">
        <v>2245877.2000000002</v>
      </c>
      <c r="O513" s="90">
        <v>11591632.16</v>
      </c>
      <c r="P513" s="90">
        <v>5656780.1799999997</v>
      </c>
      <c r="Q513" s="90">
        <v>425766.47</v>
      </c>
      <c r="R513" s="90">
        <v>119.01</v>
      </c>
      <c r="S513" s="90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s="739" customFormat="1" ht="12.75" customHeight="1" x14ac:dyDescent="0.25">
      <c r="C514" s="739" t="s">
        <v>327</v>
      </c>
      <c r="D514" s="739" t="s">
        <v>70</v>
      </c>
      <c r="E514" s="231"/>
      <c r="F514" s="740">
        <v>33465885.100000001</v>
      </c>
      <c r="G514" s="232">
        <v>1905635.55</v>
      </c>
      <c r="H514" s="232">
        <v>1062780.8899999999</v>
      </c>
      <c r="I514" s="232">
        <v>572593.51</v>
      </c>
      <c r="J514" s="232">
        <v>7500964.1600000001</v>
      </c>
      <c r="K514" s="232">
        <v>261702.94</v>
      </c>
      <c r="L514" s="232">
        <v>0</v>
      </c>
      <c r="M514" s="232">
        <v>2242033.0299999998</v>
      </c>
      <c r="N514" s="232">
        <v>2245877.2000000002</v>
      </c>
      <c r="O514" s="232">
        <v>11591632.16</v>
      </c>
      <c r="P514" s="232">
        <v>5656780.1799999997</v>
      </c>
      <c r="Q514" s="232">
        <v>425766.47</v>
      </c>
      <c r="R514" s="232">
        <v>119.01</v>
      </c>
      <c r="S514" s="232">
        <v>0</v>
      </c>
      <c r="T514" s="739">
        <v>0</v>
      </c>
      <c r="U514" s="739">
        <v>0</v>
      </c>
      <c r="V514" s="739">
        <v>0</v>
      </c>
      <c r="W514" s="739">
        <v>0</v>
      </c>
      <c r="X514" s="739">
        <v>0</v>
      </c>
      <c r="Y514" s="739">
        <v>0</v>
      </c>
      <c r="Z514" s="739">
        <v>0</v>
      </c>
    </row>
    <row r="515" spans="1:26" ht="12.75" customHeight="1" x14ac:dyDescent="0.25">
      <c r="E515" s="89" t="s">
        <v>72</v>
      </c>
      <c r="F515" s="371">
        <v>25096831.100000001</v>
      </c>
      <c r="G515" s="90">
        <v>1425248.87</v>
      </c>
      <c r="H515" s="90">
        <v>791821.31</v>
      </c>
      <c r="I515" s="90">
        <v>419726.03</v>
      </c>
      <c r="J515" s="90">
        <v>4022105.97</v>
      </c>
      <c r="K515" s="90">
        <v>162197.22</v>
      </c>
      <c r="L515" s="90">
        <v>0</v>
      </c>
      <c r="M515" s="90">
        <v>1423897.48</v>
      </c>
      <c r="N515" s="90">
        <v>1936716.04</v>
      </c>
      <c r="O515" s="90">
        <v>10379284.189999999</v>
      </c>
      <c r="P515" s="90">
        <v>4258650.7699999996</v>
      </c>
      <c r="Q515" s="90">
        <v>277635.52</v>
      </c>
      <c r="R515" s="90">
        <v>-452.3</v>
      </c>
      <c r="S515" s="90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ht="12.75" customHeight="1" x14ac:dyDescent="0.25">
      <c r="E516" s="89" t="s">
        <v>81</v>
      </c>
      <c r="F516" s="90">
        <v>811344.88</v>
      </c>
      <c r="G516" s="90">
        <v>54328.54</v>
      </c>
      <c r="H516" s="90">
        <v>25678.89</v>
      </c>
      <c r="I516" s="90">
        <v>12896.29</v>
      </c>
      <c r="J516" s="90">
        <v>154006.04</v>
      </c>
      <c r="K516" s="90">
        <v>6794.36</v>
      </c>
      <c r="L516" s="90">
        <v>0</v>
      </c>
      <c r="M516" s="90">
        <v>59546.720000000001</v>
      </c>
      <c r="N516" s="90">
        <v>60090.46</v>
      </c>
      <c r="O516" s="90">
        <v>267889.17</v>
      </c>
      <c r="P516" s="90">
        <v>158972.74</v>
      </c>
      <c r="Q516" s="90">
        <v>11144.65</v>
      </c>
      <c r="R516" s="90">
        <v>-3.93</v>
      </c>
      <c r="S516" s="90">
        <v>0.16</v>
      </c>
      <c r="T516">
        <v>0.79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ht="12.75" customHeight="1" x14ac:dyDescent="0.25">
      <c r="D517" s="89" t="s">
        <v>82</v>
      </c>
      <c r="E517" s="89" t="s">
        <v>70</v>
      </c>
      <c r="F517" s="90">
        <v>25908175.98</v>
      </c>
      <c r="G517" s="90">
        <v>1479577.41</v>
      </c>
      <c r="H517" s="90">
        <v>817500.2</v>
      </c>
      <c r="I517" s="90">
        <v>432622.32</v>
      </c>
      <c r="J517" s="90">
        <v>4176112.01</v>
      </c>
      <c r="K517" s="90">
        <v>168991.58</v>
      </c>
      <c r="L517" s="90">
        <v>0</v>
      </c>
      <c r="M517" s="90">
        <v>1483444.2</v>
      </c>
      <c r="N517" s="90">
        <v>1996806.5</v>
      </c>
      <c r="O517" s="90">
        <v>10647173.359999999</v>
      </c>
      <c r="P517" s="90">
        <v>4417623.51</v>
      </c>
      <c r="Q517" s="90">
        <v>288780.17</v>
      </c>
      <c r="R517" s="90">
        <v>-456.23</v>
      </c>
      <c r="S517" s="90">
        <v>0.16</v>
      </c>
      <c r="T517">
        <v>0.79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ht="12.75" customHeight="1" x14ac:dyDescent="0.25">
      <c r="C518" s="89"/>
      <c r="D518" s="89"/>
      <c r="E518" t="s">
        <v>72</v>
      </c>
      <c r="F518" s="90">
        <v>34365004.170000002</v>
      </c>
      <c r="G518" s="90">
        <v>2199925.02</v>
      </c>
      <c r="H518" s="90">
        <v>1144630.48</v>
      </c>
      <c r="I518" s="90">
        <v>603029.86</v>
      </c>
      <c r="J518" s="90">
        <v>4451124.3099999996</v>
      </c>
      <c r="K518" s="90">
        <v>298113.95</v>
      </c>
      <c r="L518" s="90">
        <v>0</v>
      </c>
      <c r="M518" s="90">
        <v>2608725.2999999998</v>
      </c>
      <c r="N518" s="90">
        <v>2656144.59</v>
      </c>
      <c r="O518" s="90">
        <v>13357778.01</v>
      </c>
      <c r="P518" s="90">
        <v>6558253.6100000003</v>
      </c>
      <c r="Q518" s="90">
        <v>487902.45</v>
      </c>
      <c r="R518" s="90">
        <v>-623.41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ht="12.75" customHeight="1" x14ac:dyDescent="0.25">
      <c r="B519" s="89"/>
      <c r="C519" s="89"/>
      <c r="E519" t="s">
        <v>81</v>
      </c>
      <c r="F519" s="90">
        <v>2891406.9</v>
      </c>
      <c r="G519" s="90">
        <v>222856.07</v>
      </c>
      <c r="H519" s="90">
        <v>104956.2</v>
      </c>
      <c r="I519" s="90">
        <v>53676.56</v>
      </c>
      <c r="J519" s="90">
        <v>529773.05000000005</v>
      </c>
      <c r="K519" s="90">
        <v>24791.47</v>
      </c>
      <c r="L519" s="90">
        <v>0</v>
      </c>
      <c r="M519" s="90">
        <v>216275.82</v>
      </c>
      <c r="N519" s="90">
        <v>193832.13</v>
      </c>
      <c r="O519" s="90">
        <v>850960.1</v>
      </c>
      <c r="P519" s="90">
        <v>653864.29</v>
      </c>
      <c r="Q519" s="90">
        <v>40458.46</v>
      </c>
      <c r="R519" s="90">
        <v>-1.29</v>
      </c>
      <c r="S519" s="90">
        <v>-0.01</v>
      </c>
      <c r="T519">
        <v>1.31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-37.26</v>
      </c>
    </row>
    <row r="520" spans="1:26" ht="12.75" customHeight="1" x14ac:dyDescent="0.25">
      <c r="A520" s="89"/>
      <c r="B520" s="89"/>
      <c r="D520" t="s">
        <v>86</v>
      </c>
      <c r="E520" t="s">
        <v>70</v>
      </c>
      <c r="F520" s="90">
        <v>37256411.07</v>
      </c>
      <c r="G520" s="90">
        <v>2422781.09</v>
      </c>
      <c r="H520" s="90">
        <v>1249586.68</v>
      </c>
      <c r="I520" s="90">
        <v>656706.42000000004</v>
      </c>
      <c r="J520" s="90">
        <v>4980897.3600000003</v>
      </c>
      <c r="K520" s="90">
        <v>322905.42</v>
      </c>
      <c r="L520" s="90">
        <v>0</v>
      </c>
      <c r="M520" s="90">
        <v>2825001.12</v>
      </c>
      <c r="N520" s="90">
        <v>2849976.72</v>
      </c>
      <c r="O520" s="90">
        <v>14208738.109999999</v>
      </c>
      <c r="P520" s="90">
        <v>7212117.9000000004</v>
      </c>
      <c r="Q520" s="90">
        <v>528360.91</v>
      </c>
      <c r="R520" s="90">
        <v>-624.70000000000005</v>
      </c>
      <c r="S520" s="90">
        <v>-0.01</v>
      </c>
      <c r="T520">
        <v>1.31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-37.26</v>
      </c>
    </row>
    <row r="521" spans="1:26" ht="12.75" customHeight="1" x14ac:dyDescent="0.25">
      <c r="E521" s="89" t="s">
        <v>72</v>
      </c>
      <c r="F521" s="90">
        <v>181087455.68000001</v>
      </c>
      <c r="G521" s="90">
        <v>27337307.190000001</v>
      </c>
      <c r="H521" s="90">
        <v>14979667.26</v>
      </c>
      <c r="I521" s="90">
        <v>7934140.2599999998</v>
      </c>
      <c r="J521" s="90">
        <v>12054153.65</v>
      </c>
      <c r="K521" s="90">
        <v>398857.18</v>
      </c>
      <c r="L521" s="90">
        <v>1379993.45</v>
      </c>
      <c r="M521" s="90">
        <v>3522375.6</v>
      </c>
      <c r="N521" s="90">
        <v>4801079.3</v>
      </c>
      <c r="O521" s="90">
        <v>25599878.550000001</v>
      </c>
      <c r="P521" s="90">
        <v>82408783.939999998</v>
      </c>
      <c r="Q521" s="90">
        <v>673031</v>
      </c>
      <c r="R521" s="90">
        <v>-1811.7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ht="12.75" customHeight="1" x14ac:dyDescent="0.25">
      <c r="A522" s="89"/>
      <c r="B522" s="89"/>
      <c r="E522" t="s">
        <v>81</v>
      </c>
      <c r="F522" s="90">
        <v>8730783.5600000005</v>
      </c>
      <c r="G522" s="90">
        <v>1669374.17</v>
      </c>
      <c r="H522" s="90">
        <v>770016.19</v>
      </c>
      <c r="I522" s="90">
        <v>421169.91</v>
      </c>
      <c r="J522" s="90">
        <v>273807.68</v>
      </c>
      <c r="K522" s="90">
        <v>8031.95</v>
      </c>
      <c r="L522" s="90">
        <v>0</v>
      </c>
      <c r="M522" s="90">
        <v>71780.37</v>
      </c>
      <c r="N522" s="90">
        <v>90025.35</v>
      </c>
      <c r="O522" s="90">
        <v>454389.02</v>
      </c>
      <c r="P522" s="90">
        <v>4958686.91</v>
      </c>
      <c r="Q522" s="90">
        <v>13500.5</v>
      </c>
      <c r="R522" s="90">
        <v>1.63</v>
      </c>
      <c r="S522" s="90">
        <v>-0.12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ht="12.75" customHeight="1" x14ac:dyDescent="0.25">
      <c r="D523" t="s">
        <v>87</v>
      </c>
      <c r="E523" s="89" t="s">
        <v>70</v>
      </c>
      <c r="F523" s="90">
        <v>189818239.24000001</v>
      </c>
      <c r="G523" s="90">
        <v>29006681.359999999</v>
      </c>
      <c r="H523" s="90">
        <v>15749683.449999999</v>
      </c>
      <c r="I523" s="90">
        <v>8355310.1699999999</v>
      </c>
      <c r="J523" s="90">
        <v>12327961.33</v>
      </c>
      <c r="K523" s="90">
        <v>406889.13</v>
      </c>
      <c r="L523" s="90">
        <v>1379993.45</v>
      </c>
      <c r="M523" s="90">
        <v>3594155.97</v>
      </c>
      <c r="N523" s="90">
        <v>4891104.6500000004</v>
      </c>
      <c r="O523" s="90">
        <v>26054267.57</v>
      </c>
      <c r="P523" s="90">
        <v>87367470.849999994</v>
      </c>
      <c r="Q523" s="90">
        <v>686531.5</v>
      </c>
      <c r="R523" s="90">
        <v>-1810.07</v>
      </c>
      <c r="S523" s="90">
        <v>-0.12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s="94" customFormat="1" ht="12.75" customHeight="1" x14ac:dyDescent="0.25">
      <c r="A524" s="101"/>
      <c r="B524" s="101"/>
      <c r="C524" s="94" t="s">
        <v>119</v>
      </c>
      <c r="D524" s="94" t="s">
        <v>70</v>
      </c>
      <c r="F524" s="93">
        <v>252982826.28999999</v>
      </c>
      <c r="G524" s="93">
        <v>32909039.859999999</v>
      </c>
      <c r="H524" s="93">
        <v>17816770.329999998</v>
      </c>
      <c r="I524" s="93">
        <v>9444638.9100000001</v>
      </c>
      <c r="J524" s="93">
        <v>21484970.699999999</v>
      </c>
      <c r="K524" s="93">
        <v>898786.13</v>
      </c>
      <c r="L524" s="93">
        <v>1379993.45</v>
      </c>
      <c r="M524" s="93">
        <v>7902601.29</v>
      </c>
      <c r="N524" s="93">
        <v>9737887.8699999992</v>
      </c>
      <c r="O524" s="93">
        <v>50910179.039999999</v>
      </c>
      <c r="P524" s="93">
        <v>98997212.260000005</v>
      </c>
      <c r="Q524" s="93">
        <v>1503672.58</v>
      </c>
      <c r="R524" s="93">
        <v>-2891</v>
      </c>
      <c r="S524" s="93">
        <v>0.03</v>
      </c>
      <c r="T524" s="94">
        <v>2.1</v>
      </c>
      <c r="U524" s="94">
        <v>0</v>
      </c>
      <c r="V524" s="94">
        <v>0</v>
      </c>
      <c r="W524" s="94">
        <v>0</v>
      </c>
      <c r="X524" s="94">
        <v>0</v>
      </c>
      <c r="Y524" s="94">
        <v>0</v>
      </c>
      <c r="Z524" s="94">
        <v>-37.26</v>
      </c>
    </row>
    <row r="525" spans="1:26" s="226" customFormat="1" ht="12.75" customHeight="1" x14ac:dyDescent="0.25">
      <c r="B525" s="226" t="s">
        <v>112</v>
      </c>
      <c r="C525" s="226" t="s">
        <v>70</v>
      </c>
      <c r="E525" s="98"/>
      <c r="F525" s="100">
        <v>13546791673.780001</v>
      </c>
      <c r="G525" s="100">
        <v>723047743.85000002</v>
      </c>
      <c r="H525" s="100">
        <v>406879185.13999999</v>
      </c>
      <c r="I525" s="100">
        <v>213999821</v>
      </c>
      <c r="J525" s="100">
        <v>3003714587.3600001</v>
      </c>
      <c r="K525" s="100">
        <v>109275847.58</v>
      </c>
      <c r="L525" s="100">
        <v>10318778.960000001</v>
      </c>
      <c r="M525" s="100">
        <v>958208604.08000004</v>
      </c>
      <c r="N525" s="100">
        <v>930732178.26999998</v>
      </c>
      <c r="O525" s="100">
        <v>4826527014.25</v>
      </c>
      <c r="P525" s="100">
        <v>2185822855.7199998</v>
      </c>
      <c r="Q525" s="100">
        <v>178370872.75999999</v>
      </c>
      <c r="R525" s="100">
        <v>-105785.99</v>
      </c>
      <c r="S525" s="100">
        <v>0.57999999999999996</v>
      </c>
      <c r="T525" s="226">
        <v>7.48</v>
      </c>
      <c r="U525" s="226">
        <v>0</v>
      </c>
      <c r="V525" s="226">
        <v>0</v>
      </c>
      <c r="W525" s="226">
        <v>0</v>
      </c>
      <c r="X525" s="226">
        <v>0</v>
      </c>
      <c r="Y525" s="226">
        <v>0</v>
      </c>
      <c r="Z525" s="226">
        <v>-37.26</v>
      </c>
    </row>
    <row r="526" spans="1:26" ht="13.5" customHeight="1" x14ac:dyDescent="0.25">
      <c r="A526" t="s">
        <v>78</v>
      </c>
      <c r="B526" t="s">
        <v>70</v>
      </c>
      <c r="E526" s="89"/>
      <c r="F526" s="90">
        <v>13548458180.32</v>
      </c>
      <c r="G526" s="90">
        <v>723137195.34000003</v>
      </c>
      <c r="H526" s="90">
        <v>406929388.5</v>
      </c>
      <c r="I526" s="90">
        <v>214026285.19999999</v>
      </c>
      <c r="J526" s="90">
        <v>3004086569.0900002</v>
      </c>
      <c r="K526" s="90">
        <v>109289218.36</v>
      </c>
      <c r="L526" s="90">
        <v>10318778.960000001</v>
      </c>
      <c r="M526" s="90">
        <v>958325896.38</v>
      </c>
      <c r="N526" s="90">
        <v>930847455.80999994</v>
      </c>
      <c r="O526" s="90">
        <v>4827118942.8500004</v>
      </c>
      <c r="P526" s="90">
        <v>2186091518.7600002</v>
      </c>
      <c r="Q526" s="90">
        <v>178392689.24000001</v>
      </c>
      <c r="R526" s="90">
        <v>-105728.97</v>
      </c>
      <c r="S526" s="90">
        <v>0.57999999999999996</v>
      </c>
      <c r="T526">
        <v>7.48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-37.26</v>
      </c>
    </row>
    <row r="527" spans="1:26" ht="13.5" customHeight="1" x14ac:dyDescent="0.25">
      <c r="E527" s="89" t="s">
        <v>73</v>
      </c>
      <c r="F527" s="90">
        <v>-211354.94</v>
      </c>
      <c r="G527" s="90">
        <v>-10982.4</v>
      </c>
      <c r="H527" s="90">
        <v>-6155.02</v>
      </c>
      <c r="I527" s="90">
        <v>-3254.64</v>
      </c>
      <c r="J527" s="90">
        <v>-47855.73</v>
      </c>
      <c r="K527" s="90">
        <v>-1726.4</v>
      </c>
      <c r="L527" s="90">
        <v>0</v>
      </c>
      <c r="M527" s="90">
        <v>-15143.54</v>
      </c>
      <c r="N527" s="90">
        <v>-14757.59</v>
      </c>
      <c r="O527" s="90">
        <v>-75637.5</v>
      </c>
      <c r="P527" s="90">
        <v>-33025.42</v>
      </c>
      <c r="Q527" s="90">
        <v>-2816.7</v>
      </c>
      <c r="R527" s="90">
        <v>0</v>
      </c>
      <c r="S527" s="90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t="13.5" customHeight="1" x14ac:dyDescent="0.25">
      <c r="D528" t="s">
        <v>82</v>
      </c>
      <c r="E528" s="89" t="s">
        <v>70</v>
      </c>
      <c r="F528" s="371">
        <v>-211354.94</v>
      </c>
      <c r="G528" s="90">
        <v>-10982.4</v>
      </c>
      <c r="H528" s="90">
        <v>-6155.02</v>
      </c>
      <c r="I528" s="90">
        <v>-3254.64</v>
      </c>
      <c r="J528" s="90">
        <v>-47855.73</v>
      </c>
      <c r="K528" s="90">
        <v>-1726.4</v>
      </c>
      <c r="L528" s="90">
        <v>0</v>
      </c>
      <c r="M528" s="90">
        <v>-15143.54</v>
      </c>
      <c r="N528" s="90">
        <v>-14757.59</v>
      </c>
      <c r="O528" s="90">
        <v>-75637.5</v>
      </c>
      <c r="P528" s="90">
        <v>-33025.42</v>
      </c>
      <c r="Q528" s="90">
        <v>-2816.7</v>
      </c>
      <c r="R528" s="90">
        <v>0</v>
      </c>
      <c r="S528" s="90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ht="13.5" customHeight="1" x14ac:dyDescent="0.25">
      <c r="E529" s="89" t="s">
        <v>73</v>
      </c>
      <c r="F529" s="371">
        <v>-32262.93</v>
      </c>
      <c r="G529" s="90">
        <v>-1692.72</v>
      </c>
      <c r="H529" s="90">
        <v>-948.43</v>
      </c>
      <c r="I529" s="90">
        <v>-501.64</v>
      </c>
      <c r="J529" s="90">
        <v>-7282.76</v>
      </c>
      <c r="K529" s="90">
        <v>-262.72000000000003</v>
      </c>
      <c r="L529" s="90">
        <v>0</v>
      </c>
      <c r="M529" s="90">
        <v>-2304.4499999999998</v>
      </c>
      <c r="N529" s="90">
        <v>-2246.08</v>
      </c>
      <c r="O529" s="90">
        <v>-11507.31</v>
      </c>
      <c r="P529" s="90">
        <v>-5088.1899999999996</v>
      </c>
      <c r="Q529" s="90">
        <v>-428.63</v>
      </c>
      <c r="R529" s="90">
        <v>0</v>
      </c>
      <c r="S529" s="90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ht="13.5" customHeight="1" x14ac:dyDescent="0.25">
      <c r="D530" t="s">
        <v>86</v>
      </c>
      <c r="E530" s="89" t="s">
        <v>70</v>
      </c>
      <c r="F530" s="90">
        <v>-32262.93</v>
      </c>
      <c r="G530" s="90">
        <v>-1692.72</v>
      </c>
      <c r="H530" s="90">
        <v>-948.43</v>
      </c>
      <c r="I530" s="90">
        <v>-501.64</v>
      </c>
      <c r="J530" s="90">
        <v>-7282.76</v>
      </c>
      <c r="K530" s="90">
        <v>-262.72000000000003</v>
      </c>
      <c r="L530" s="90">
        <v>0</v>
      </c>
      <c r="M530" s="90">
        <v>-2304.4499999999998</v>
      </c>
      <c r="N530" s="90">
        <v>-2246.08</v>
      </c>
      <c r="O530" s="90">
        <v>-11507.31</v>
      </c>
      <c r="P530" s="90">
        <v>-5088.1899999999996</v>
      </c>
      <c r="Q530" s="90">
        <v>-428.63</v>
      </c>
      <c r="R530" s="90">
        <v>0</v>
      </c>
      <c r="S530" s="9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ht="13.5" customHeight="1" x14ac:dyDescent="0.25">
      <c r="E531" s="89" t="s">
        <v>73</v>
      </c>
      <c r="F531" s="90">
        <v>-173078.67</v>
      </c>
      <c r="G531" s="90">
        <v>-8484.7800000000007</v>
      </c>
      <c r="H531" s="90">
        <v>-4752.3100000000004</v>
      </c>
      <c r="I531" s="90">
        <v>-2507.2800000000002</v>
      </c>
      <c r="J531" s="90">
        <v>-39622.800000000003</v>
      </c>
      <c r="K531" s="90">
        <v>-1450.79</v>
      </c>
      <c r="L531" s="90">
        <v>0</v>
      </c>
      <c r="M531" s="90">
        <v>-12725.8</v>
      </c>
      <c r="N531" s="90">
        <v>-12429.48</v>
      </c>
      <c r="O531" s="90">
        <v>-63451.18</v>
      </c>
      <c r="P531" s="90">
        <v>-25287.26</v>
      </c>
      <c r="Q531" s="90">
        <v>-2366.9899999999998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ht="13.5" customHeight="1" x14ac:dyDescent="0.25">
      <c r="D532" t="s">
        <v>87</v>
      </c>
      <c r="E532" s="89" t="s">
        <v>70</v>
      </c>
      <c r="F532" s="90">
        <v>-173078.67</v>
      </c>
      <c r="G532" s="90">
        <v>-8484.7800000000007</v>
      </c>
      <c r="H532" s="90">
        <v>-4752.3100000000004</v>
      </c>
      <c r="I532" s="90">
        <v>-2507.2800000000002</v>
      </c>
      <c r="J532" s="90">
        <v>-39622.800000000003</v>
      </c>
      <c r="K532" s="90">
        <v>-1450.79</v>
      </c>
      <c r="L532" s="90">
        <v>0</v>
      </c>
      <c r="M532" s="90">
        <v>-12725.8</v>
      </c>
      <c r="N532" s="90">
        <v>-12429.48</v>
      </c>
      <c r="O532" s="90">
        <v>-63451.18</v>
      </c>
      <c r="P532" s="90">
        <v>-25287.26</v>
      </c>
      <c r="Q532" s="90">
        <v>-2366.9899999999998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s="94" customFormat="1" ht="12.75" customHeight="1" x14ac:dyDescent="0.25">
      <c r="A533" s="101"/>
      <c r="B533" s="101"/>
      <c r="C533" s="94" t="s">
        <v>119</v>
      </c>
      <c r="D533" s="94" t="s">
        <v>70</v>
      </c>
      <c r="F533" s="93">
        <v>-416696.54</v>
      </c>
      <c r="G533" s="93">
        <v>-21159.9</v>
      </c>
      <c r="H533" s="93">
        <v>-11855.76</v>
      </c>
      <c r="I533" s="93">
        <v>-6263.56</v>
      </c>
      <c r="J533" s="93">
        <v>-94761.29</v>
      </c>
      <c r="K533" s="93">
        <v>-3439.91</v>
      </c>
      <c r="L533" s="93">
        <v>0</v>
      </c>
      <c r="M533" s="93">
        <v>-30173.79</v>
      </c>
      <c r="N533" s="93">
        <v>-29433.15</v>
      </c>
      <c r="O533" s="93">
        <v>-150595.99</v>
      </c>
      <c r="P533" s="93">
        <v>-63400.87</v>
      </c>
      <c r="Q533" s="93">
        <v>-5612.32</v>
      </c>
      <c r="R533" s="93">
        <v>0</v>
      </c>
      <c r="S533" s="93">
        <v>0</v>
      </c>
      <c r="T533" s="94">
        <v>0</v>
      </c>
      <c r="U533" s="94">
        <v>0</v>
      </c>
      <c r="V533" s="94">
        <v>0</v>
      </c>
      <c r="W533" s="94">
        <v>0</v>
      </c>
      <c r="X533" s="94">
        <v>0</v>
      </c>
      <c r="Y533" s="94">
        <v>0</v>
      </c>
      <c r="Z533" s="94">
        <v>0</v>
      </c>
    </row>
    <row r="534" spans="1:26" s="378" customFormat="1" ht="12.75" customHeight="1" x14ac:dyDescent="0.25">
      <c r="A534" s="376"/>
      <c r="B534" s="376" t="s">
        <v>122</v>
      </c>
      <c r="C534" s="378" t="s">
        <v>70</v>
      </c>
      <c r="F534" s="710">
        <v>-416696.54</v>
      </c>
      <c r="G534" s="378">
        <v>-21159.9</v>
      </c>
      <c r="H534" s="377">
        <v>-11855.76</v>
      </c>
      <c r="I534" s="377">
        <v>-6263.56</v>
      </c>
      <c r="J534" s="377">
        <v>-94761.29</v>
      </c>
      <c r="K534" s="377">
        <v>-3439.91</v>
      </c>
      <c r="L534" s="377">
        <v>0</v>
      </c>
      <c r="M534" s="377">
        <v>-30173.79</v>
      </c>
      <c r="N534" s="377">
        <v>-29433.15</v>
      </c>
      <c r="O534" s="377">
        <v>-150595.99</v>
      </c>
      <c r="P534" s="377">
        <v>-63400.87</v>
      </c>
      <c r="Q534" s="377">
        <v>-5612.32</v>
      </c>
      <c r="R534" s="377">
        <v>0</v>
      </c>
      <c r="S534" s="377">
        <v>0</v>
      </c>
      <c r="T534" s="378">
        <v>0</v>
      </c>
      <c r="U534" s="378">
        <v>0</v>
      </c>
      <c r="V534" s="378">
        <v>0</v>
      </c>
      <c r="W534" s="378">
        <v>0</v>
      </c>
      <c r="X534" s="378">
        <v>0</v>
      </c>
      <c r="Y534" s="378">
        <v>0</v>
      </c>
      <c r="Z534" s="378">
        <v>0</v>
      </c>
    </row>
    <row r="535" spans="1:26" ht="12.75" customHeight="1" x14ac:dyDescent="0.25">
      <c r="E535" s="89" t="s">
        <v>73</v>
      </c>
      <c r="F535" s="371">
        <v>-1503008743.3900001</v>
      </c>
      <c r="G535" s="90">
        <v>-51719362.509999998</v>
      </c>
      <c r="H535" s="90">
        <v>-29217746.399999999</v>
      </c>
      <c r="I535" s="90">
        <v>-15317788.73</v>
      </c>
      <c r="J535" s="90">
        <v>-377999871.64999998</v>
      </c>
      <c r="K535" s="90">
        <v>-13619861.1</v>
      </c>
      <c r="L535" s="90">
        <v>0</v>
      </c>
      <c r="M535" s="90">
        <v>-119487553.37</v>
      </c>
      <c r="N535" s="90">
        <v>-116529083.09999999</v>
      </c>
      <c r="O535" s="90">
        <v>-601164335.61000001</v>
      </c>
      <c r="P535" s="90">
        <v>-155731761.06</v>
      </c>
      <c r="Q535" s="90">
        <v>-22221379.859999999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ht="12.75" customHeight="1" x14ac:dyDescent="0.25">
      <c r="D536" t="s">
        <v>156</v>
      </c>
      <c r="E536" s="89" t="s">
        <v>70</v>
      </c>
      <c r="F536" s="371">
        <v>-1503008743.3900001</v>
      </c>
      <c r="G536" s="90">
        <v>-51719362.509999998</v>
      </c>
      <c r="H536" s="90">
        <v>-29217746.399999999</v>
      </c>
      <c r="I536" s="90">
        <v>-15317788.73</v>
      </c>
      <c r="J536" s="90">
        <v>-377999871.64999998</v>
      </c>
      <c r="K536" s="90">
        <v>-13619861.1</v>
      </c>
      <c r="L536" s="90">
        <v>0</v>
      </c>
      <c r="M536" s="90">
        <v>-119487553.37</v>
      </c>
      <c r="N536" s="90">
        <v>-116529083.09999999</v>
      </c>
      <c r="O536" s="90">
        <v>-601164335.61000001</v>
      </c>
      <c r="P536" s="90">
        <v>-155731761.06</v>
      </c>
      <c r="Q536" s="90">
        <v>-22221379.859999999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s="656" customFormat="1" ht="12.75" customHeight="1" x14ac:dyDescent="0.25">
      <c r="A537" s="657"/>
      <c r="B537" s="657"/>
      <c r="C537" s="656" t="s">
        <v>155</v>
      </c>
      <c r="D537" s="656" t="s">
        <v>70</v>
      </c>
      <c r="F537" s="658">
        <v>-1503008743.3900001</v>
      </c>
      <c r="G537" s="658">
        <v>-51719362.509999998</v>
      </c>
      <c r="H537" s="658">
        <v>-29217746.399999999</v>
      </c>
      <c r="I537" s="658">
        <v>-15317788.73</v>
      </c>
      <c r="J537" s="658">
        <v>-377999871.64999998</v>
      </c>
      <c r="K537" s="658">
        <v>-13619861.1</v>
      </c>
      <c r="L537" s="658">
        <v>0</v>
      </c>
      <c r="M537" s="658">
        <v>-119487553.37</v>
      </c>
      <c r="N537" s="658">
        <v>-116529083.09999999</v>
      </c>
      <c r="O537" s="658">
        <v>-601164335.61000001</v>
      </c>
      <c r="P537" s="658">
        <v>-155731761.06</v>
      </c>
      <c r="Q537" s="658">
        <v>-22221379.859999999</v>
      </c>
      <c r="R537" s="658">
        <v>0</v>
      </c>
      <c r="S537" s="658">
        <v>0</v>
      </c>
      <c r="T537" s="656">
        <v>0</v>
      </c>
      <c r="U537" s="656">
        <v>0</v>
      </c>
      <c r="V537" s="656">
        <v>0</v>
      </c>
      <c r="W537" s="656">
        <v>0</v>
      </c>
      <c r="X537" s="656">
        <v>0</v>
      </c>
      <c r="Y537" s="656">
        <v>0</v>
      </c>
      <c r="Z537" s="656">
        <v>0</v>
      </c>
    </row>
    <row r="538" spans="1:26" ht="12.75" customHeight="1" x14ac:dyDescent="0.25">
      <c r="E538" s="89" t="s">
        <v>73</v>
      </c>
      <c r="F538" s="371">
        <v>-4681675.0999999996</v>
      </c>
      <c r="G538" s="90">
        <v>-244127.96</v>
      </c>
      <c r="H538" s="90">
        <v>-137107.39000000001</v>
      </c>
      <c r="I538" s="90">
        <v>-72125.75</v>
      </c>
      <c r="J538" s="90">
        <v>-1045942.88</v>
      </c>
      <c r="K538" s="90">
        <v>-37750.81</v>
      </c>
      <c r="L538" s="90">
        <v>0</v>
      </c>
      <c r="M538" s="90">
        <v>-331142.81</v>
      </c>
      <c r="N538" s="90">
        <v>-328472.61</v>
      </c>
      <c r="O538" s="90">
        <v>-1689995.8</v>
      </c>
      <c r="P538" s="90">
        <v>-733416.54</v>
      </c>
      <c r="Q538" s="90">
        <v>-61592.55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ht="12.75" customHeight="1" x14ac:dyDescent="0.25">
      <c r="D539" t="s">
        <v>156</v>
      </c>
      <c r="E539" s="89" t="s">
        <v>70</v>
      </c>
      <c r="F539" s="371">
        <v>-4681675.0999999996</v>
      </c>
      <c r="G539" s="90">
        <v>-244127.96</v>
      </c>
      <c r="H539" s="90">
        <v>-137107.39000000001</v>
      </c>
      <c r="I539" s="90">
        <v>-72125.75</v>
      </c>
      <c r="J539" s="90">
        <v>-1045942.88</v>
      </c>
      <c r="K539" s="90">
        <v>-37750.81</v>
      </c>
      <c r="L539" s="90">
        <v>0</v>
      </c>
      <c r="M539" s="90">
        <v>-331142.81</v>
      </c>
      <c r="N539" s="90">
        <v>-328472.61</v>
      </c>
      <c r="O539" s="90">
        <v>-1689995.8</v>
      </c>
      <c r="P539" s="90">
        <v>-733416.54</v>
      </c>
      <c r="Q539" s="90">
        <v>-61592.55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s="739" customFormat="1" ht="12.75" customHeight="1" x14ac:dyDescent="0.25">
      <c r="C540" s="739" t="s">
        <v>327</v>
      </c>
      <c r="D540" s="739" t="s">
        <v>70</v>
      </c>
      <c r="E540" s="231"/>
      <c r="F540" s="740">
        <v>-4681675.0999999996</v>
      </c>
      <c r="G540" s="232">
        <v>-244127.96</v>
      </c>
      <c r="H540" s="232">
        <v>-137107.39000000001</v>
      </c>
      <c r="I540" s="232">
        <v>-72125.75</v>
      </c>
      <c r="J540" s="232">
        <v>-1045942.88</v>
      </c>
      <c r="K540" s="232">
        <v>-37750.81</v>
      </c>
      <c r="L540" s="232">
        <v>0</v>
      </c>
      <c r="M540" s="232">
        <v>-331142.81</v>
      </c>
      <c r="N540" s="232">
        <v>-328472.61</v>
      </c>
      <c r="O540" s="232">
        <v>-1689995.8</v>
      </c>
      <c r="P540" s="232">
        <v>-733416.54</v>
      </c>
      <c r="Q540" s="232">
        <v>-61592.55</v>
      </c>
      <c r="R540" s="232">
        <v>0</v>
      </c>
      <c r="S540" s="232">
        <v>0</v>
      </c>
      <c r="T540" s="739">
        <v>0</v>
      </c>
      <c r="U540" s="739">
        <v>0</v>
      </c>
      <c r="V540" s="739">
        <v>0</v>
      </c>
      <c r="W540" s="739">
        <v>0</v>
      </c>
      <c r="X540" s="739">
        <v>0</v>
      </c>
      <c r="Y540" s="739">
        <v>0</v>
      </c>
      <c r="Z540" s="739">
        <v>0</v>
      </c>
    </row>
    <row r="541" spans="1:26" ht="12.75" customHeight="1" x14ac:dyDescent="0.25">
      <c r="E541" s="89" t="s">
        <v>73</v>
      </c>
      <c r="F541" s="371">
        <v>976644.02</v>
      </c>
      <c r="G541" s="90">
        <v>269243.52000000002</v>
      </c>
      <c r="H541" s="90">
        <v>147949.37</v>
      </c>
      <c r="I541" s="90">
        <v>77924.34</v>
      </c>
      <c r="J541" s="90">
        <v>31290.400000000001</v>
      </c>
      <c r="K541" s="90">
        <v>-1352.25</v>
      </c>
      <c r="L541" s="90">
        <v>0</v>
      </c>
      <c r="M541" s="90">
        <v>-11868.83</v>
      </c>
      <c r="N541" s="90">
        <v>-44861.08</v>
      </c>
      <c r="O541" s="90">
        <v>-299524.12</v>
      </c>
      <c r="P541" s="90">
        <v>810050.72</v>
      </c>
      <c r="Q541" s="90">
        <v>-2208.0500000000002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ht="12.75" customHeight="1" x14ac:dyDescent="0.25">
      <c r="D542" s="89" t="s">
        <v>82</v>
      </c>
      <c r="E542" s="89" t="s">
        <v>70</v>
      </c>
      <c r="F542" s="90">
        <v>976644.02</v>
      </c>
      <c r="G542" s="90">
        <v>269243.52000000002</v>
      </c>
      <c r="H542" s="90">
        <v>147949.37</v>
      </c>
      <c r="I542" s="90">
        <v>77924.34</v>
      </c>
      <c r="J542" s="90">
        <v>31290.400000000001</v>
      </c>
      <c r="K542" s="90">
        <v>-1352.25</v>
      </c>
      <c r="L542" s="90">
        <v>0</v>
      </c>
      <c r="M542" s="90">
        <v>-11868.83</v>
      </c>
      <c r="N542" s="90">
        <v>-44861.08</v>
      </c>
      <c r="O542" s="90">
        <v>-299524.12</v>
      </c>
      <c r="P542" s="90">
        <v>810050.72</v>
      </c>
      <c r="Q542" s="90">
        <v>-2208.0500000000002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ht="12.75" customHeight="1" x14ac:dyDescent="0.25">
      <c r="E543" s="89" t="s">
        <v>73</v>
      </c>
      <c r="F543" s="90">
        <v>1494214.94</v>
      </c>
      <c r="G543" s="90">
        <v>565976.68999999994</v>
      </c>
      <c r="H543" s="90">
        <v>321267.03999999998</v>
      </c>
      <c r="I543" s="90">
        <v>171735.87</v>
      </c>
      <c r="J543" s="90">
        <v>-338709.32</v>
      </c>
      <c r="K543" s="90">
        <v>-16652.29</v>
      </c>
      <c r="L543" s="90">
        <v>0</v>
      </c>
      <c r="M543" s="90">
        <v>-146879.70000000001</v>
      </c>
      <c r="N543" s="90">
        <v>-135037.35</v>
      </c>
      <c r="O543" s="90">
        <v>-622145.94999999995</v>
      </c>
      <c r="P543" s="90">
        <v>1721854.1</v>
      </c>
      <c r="Q543" s="90">
        <v>-27194.15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ht="12.75" customHeight="1" x14ac:dyDescent="0.25">
      <c r="D544" s="89" t="s">
        <v>86</v>
      </c>
      <c r="E544" s="89" t="s">
        <v>70</v>
      </c>
      <c r="F544" s="90">
        <v>1494214.94</v>
      </c>
      <c r="G544" s="90">
        <v>565976.68999999994</v>
      </c>
      <c r="H544" s="90">
        <v>321267.03999999998</v>
      </c>
      <c r="I544" s="90">
        <v>171735.87</v>
      </c>
      <c r="J544" s="90">
        <v>-338709.32</v>
      </c>
      <c r="K544" s="90">
        <v>-16652.29</v>
      </c>
      <c r="L544" s="90">
        <v>0</v>
      </c>
      <c r="M544" s="90">
        <v>-146879.70000000001</v>
      </c>
      <c r="N544" s="90">
        <v>-135037.35</v>
      </c>
      <c r="O544" s="90">
        <v>-622145.94999999995</v>
      </c>
      <c r="P544" s="90">
        <v>1721854.1</v>
      </c>
      <c r="Q544" s="90">
        <v>-27194.15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41" ht="12.75" customHeight="1" x14ac:dyDescent="0.25">
      <c r="E545" s="89" t="s">
        <v>73</v>
      </c>
      <c r="F545" s="90">
        <v>74209735.760000005</v>
      </c>
      <c r="G545" s="90">
        <v>14852099.67</v>
      </c>
      <c r="H545" s="90">
        <v>8278176.8799999999</v>
      </c>
      <c r="I545" s="90">
        <v>4451003.3600000003</v>
      </c>
      <c r="J545" s="90">
        <v>930214.95</v>
      </c>
      <c r="K545" s="90">
        <v>10409.77</v>
      </c>
      <c r="L545" s="90">
        <v>0</v>
      </c>
      <c r="M545" s="90">
        <v>86587.63</v>
      </c>
      <c r="N545" s="90">
        <v>144950.07</v>
      </c>
      <c r="O545" s="90">
        <v>720135.72</v>
      </c>
      <c r="P545" s="90">
        <v>44719176.18</v>
      </c>
      <c r="Q545" s="90">
        <v>16981.53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41" ht="12.75" customHeight="1" x14ac:dyDescent="0.25">
      <c r="D546" s="89" t="s">
        <v>87</v>
      </c>
      <c r="E546" s="89" t="s">
        <v>70</v>
      </c>
      <c r="F546" s="90">
        <v>74209735.760000005</v>
      </c>
      <c r="G546" s="90">
        <v>14852099.67</v>
      </c>
      <c r="H546" s="90">
        <v>8278176.8799999999</v>
      </c>
      <c r="I546" s="90">
        <v>4451003.3600000003</v>
      </c>
      <c r="J546" s="90">
        <v>930214.95</v>
      </c>
      <c r="K546" s="90">
        <v>10409.77</v>
      </c>
      <c r="L546" s="90">
        <v>0</v>
      </c>
      <c r="M546" s="90">
        <v>86587.63</v>
      </c>
      <c r="N546" s="90">
        <v>144950.07</v>
      </c>
      <c r="O546" s="90">
        <v>720135.72</v>
      </c>
      <c r="P546" s="90">
        <v>44719176.18</v>
      </c>
      <c r="Q546" s="90">
        <v>16981.53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41" s="94" customFormat="1" ht="12.75" customHeight="1" x14ac:dyDescent="0.25">
      <c r="C547" s="94" t="s">
        <v>119</v>
      </c>
      <c r="D547" s="94" t="s">
        <v>70</v>
      </c>
      <c r="E547" s="101"/>
      <c r="F547" s="93">
        <v>76680594.719999999</v>
      </c>
      <c r="G547" s="93">
        <v>15687319.880000001</v>
      </c>
      <c r="H547" s="93">
        <v>8747393.2899999991</v>
      </c>
      <c r="I547" s="93">
        <v>4700663.57</v>
      </c>
      <c r="J547" s="93">
        <v>622796.03</v>
      </c>
      <c r="K547" s="93">
        <v>-7594.77</v>
      </c>
      <c r="L547" s="93">
        <v>0</v>
      </c>
      <c r="M547" s="93">
        <v>-72160.899999999994</v>
      </c>
      <c r="N547" s="93">
        <v>-34948.36</v>
      </c>
      <c r="O547" s="93">
        <v>-201534.35</v>
      </c>
      <c r="P547" s="93">
        <v>47251081</v>
      </c>
      <c r="Q547" s="93">
        <v>-12420.67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4">
        <v>0</v>
      </c>
      <c r="Z547" s="94">
        <v>0</v>
      </c>
    </row>
    <row r="548" spans="1:41" s="226" customFormat="1" ht="12.75" customHeight="1" x14ac:dyDescent="0.25">
      <c r="B548" s="98" t="s">
        <v>112</v>
      </c>
      <c r="C548" s="98" t="s">
        <v>70</v>
      </c>
      <c r="F548" s="100">
        <v>-1431009823.77</v>
      </c>
      <c r="G548" s="100">
        <v>-36276170.590000004</v>
      </c>
      <c r="H548" s="100">
        <v>-20607460.5</v>
      </c>
      <c r="I548" s="100">
        <v>-10689250.91</v>
      </c>
      <c r="J548" s="100">
        <v>-378423018.5</v>
      </c>
      <c r="K548" s="100">
        <v>-13665206.68</v>
      </c>
      <c r="L548" s="100">
        <v>0</v>
      </c>
      <c r="M548" s="100">
        <v>-119890857.08</v>
      </c>
      <c r="N548" s="100">
        <v>-116892504.06999999</v>
      </c>
      <c r="O548" s="100">
        <v>-603055865.75999999</v>
      </c>
      <c r="P548" s="100">
        <v>-109214096.59999999</v>
      </c>
      <c r="Q548" s="100">
        <v>-22295393.079999998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226">
        <v>0</v>
      </c>
      <c r="Z548" s="226">
        <v>0</v>
      </c>
    </row>
    <row r="549" spans="1:41" ht="12.75" customHeight="1" x14ac:dyDescent="0.25">
      <c r="A549" s="89" t="s">
        <v>79</v>
      </c>
      <c r="B549" s="89" t="s">
        <v>70</v>
      </c>
      <c r="F549" s="90">
        <v>-1431426520.3099999</v>
      </c>
      <c r="G549" s="90">
        <v>-36297330.490000002</v>
      </c>
      <c r="H549" s="90">
        <v>-20619316.260000002</v>
      </c>
      <c r="I549" s="90">
        <v>-10695514.470000001</v>
      </c>
      <c r="J549" s="90">
        <v>-378517779.79000002</v>
      </c>
      <c r="K549" s="90">
        <v>-13668646.59</v>
      </c>
      <c r="L549" s="90">
        <v>0</v>
      </c>
      <c r="M549" s="90">
        <v>-119921030.87</v>
      </c>
      <c r="N549" s="90">
        <v>-116921937.22</v>
      </c>
      <c r="O549" s="90">
        <v>-603206461.75</v>
      </c>
      <c r="P549" s="90">
        <v>-109277497.47</v>
      </c>
      <c r="Q549" s="90">
        <v>-22301005.399999999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41" ht="12.75" customHeight="1" x14ac:dyDescent="0.25">
      <c r="A550" s="89" t="s">
        <v>70</v>
      </c>
      <c r="F550" s="90">
        <v>12117027175</v>
      </c>
      <c r="G550" s="90">
        <v>686839509.28999996</v>
      </c>
      <c r="H550" s="90">
        <v>386309921.19</v>
      </c>
      <c r="I550" s="90">
        <v>203330704.75</v>
      </c>
      <c r="J550" s="90">
        <v>2625568019.6900001</v>
      </c>
      <c r="K550" s="90">
        <v>95620524.329999998</v>
      </c>
      <c r="L550" s="90">
        <v>10318778.960000001</v>
      </c>
      <c r="M550" s="90">
        <v>838404449.55999994</v>
      </c>
      <c r="N550" s="90">
        <v>813925169.96000004</v>
      </c>
      <c r="O550" s="90">
        <v>4223911206.8200002</v>
      </c>
      <c r="P550" s="90">
        <v>2076813042.1500001</v>
      </c>
      <c r="Q550" s="90">
        <v>156091606.47</v>
      </c>
      <c r="R550" s="90">
        <v>-105728.97</v>
      </c>
      <c r="S550" s="90">
        <v>0.57999999999999996</v>
      </c>
      <c r="T550">
        <v>7.48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-37.26</v>
      </c>
    </row>
    <row r="551" spans="1:41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150"/>
    </row>
    <row r="552" spans="1:41" ht="12.75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41" ht="12.75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41" ht="12.75" customHeight="1" x14ac:dyDescent="0.25">
      <c r="C554" s="774" t="s">
        <v>2</v>
      </c>
      <c r="D554" s="772" t="s">
        <v>132</v>
      </c>
      <c r="E554" s="98" t="s">
        <v>70</v>
      </c>
      <c r="F554" s="100">
        <f>F548+F525+F494-L494-L525</f>
        <v>12105458586.040001</v>
      </c>
      <c r="G554" s="100">
        <f>G525+G494</f>
        <v>723047388.29000008</v>
      </c>
      <c r="H554" s="100">
        <f t="shared" ref="H554:AO554" si="27">H525+H494</f>
        <v>406879034.08999997</v>
      </c>
      <c r="I554" s="100">
        <f t="shared" si="27"/>
        <v>213999755.02000001</v>
      </c>
      <c r="J554" s="100">
        <f t="shared" si="27"/>
        <v>3003713817.75</v>
      </c>
      <c r="K554" s="100">
        <f t="shared" si="27"/>
        <v>109275800.14</v>
      </c>
      <c r="L554" s="100">
        <f t="shared" si="27"/>
        <v>10318778.960000001</v>
      </c>
      <c r="M554" s="100">
        <f t="shared" si="27"/>
        <v>958208188.13</v>
      </c>
      <c r="N554" s="100">
        <f t="shared" si="27"/>
        <v>930731829.63999999</v>
      </c>
      <c r="O554" s="100">
        <f t="shared" si="27"/>
        <v>4826525739.9700003</v>
      </c>
      <c r="P554" s="100">
        <f t="shared" si="27"/>
        <v>2185821876.5799999</v>
      </c>
      <c r="Q554" s="100">
        <f t="shared" si="27"/>
        <v>178370795.38999999</v>
      </c>
      <c r="R554" s="100">
        <f t="shared" si="27"/>
        <v>-105785.99</v>
      </c>
      <c r="S554" s="100">
        <f t="shared" si="27"/>
        <v>0.57999999999999996</v>
      </c>
      <c r="T554" s="100">
        <f t="shared" si="27"/>
        <v>7.48</v>
      </c>
      <c r="U554" s="100">
        <f t="shared" si="27"/>
        <v>0</v>
      </c>
      <c r="V554" s="100">
        <f t="shared" si="27"/>
        <v>0</v>
      </c>
      <c r="W554" s="100">
        <f t="shared" si="27"/>
        <v>0</v>
      </c>
      <c r="X554" s="100">
        <f t="shared" si="27"/>
        <v>0</v>
      </c>
      <c r="Y554" s="100">
        <f t="shared" si="27"/>
        <v>0</v>
      </c>
      <c r="Z554" s="100">
        <f t="shared" si="27"/>
        <v>-37.26</v>
      </c>
      <c r="AA554" s="100">
        <f t="shared" si="27"/>
        <v>0</v>
      </c>
      <c r="AB554" s="100">
        <f t="shared" si="27"/>
        <v>0</v>
      </c>
      <c r="AC554" s="100">
        <f t="shared" si="27"/>
        <v>0</v>
      </c>
      <c r="AD554" s="100">
        <f t="shared" si="27"/>
        <v>0</v>
      </c>
      <c r="AE554" s="100">
        <f t="shared" si="27"/>
        <v>0</v>
      </c>
      <c r="AF554" s="100">
        <f t="shared" si="27"/>
        <v>0</v>
      </c>
      <c r="AG554" s="100">
        <f t="shared" si="27"/>
        <v>0</v>
      </c>
      <c r="AH554" s="100">
        <f t="shared" si="27"/>
        <v>0</v>
      </c>
      <c r="AI554" s="100">
        <f t="shared" si="27"/>
        <v>0</v>
      </c>
      <c r="AJ554" s="100">
        <f t="shared" si="27"/>
        <v>0</v>
      </c>
      <c r="AK554" s="100">
        <f t="shared" si="27"/>
        <v>0</v>
      </c>
      <c r="AL554" s="100">
        <f t="shared" si="27"/>
        <v>0</v>
      </c>
      <c r="AM554" s="100">
        <f t="shared" si="27"/>
        <v>0</v>
      </c>
      <c r="AN554" s="100">
        <f t="shared" si="27"/>
        <v>0</v>
      </c>
      <c r="AO554" s="100">
        <f t="shared" si="27"/>
        <v>0</v>
      </c>
    </row>
    <row r="555" spans="1:41" ht="12.75" customHeight="1" x14ac:dyDescent="0.25">
      <c r="C555" s="774"/>
      <c r="D555" s="772"/>
      <c r="E555" s="98" t="s">
        <v>73</v>
      </c>
      <c r="F555" s="100">
        <f>F548</f>
        <v>-1431009823.77</v>
      </c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41" ht="12.75" customHeight="1" x14ac:dyDescent="0.25">
      <c r="C556" s="774"/>
      <c r="D556" s="772" t="s">
        <v>133</v>
      </c>
      <c r="E556" s="233" t="s">
        <v>70</v>
      </c>
      <c r="F556" s="234">
        <f>F534+F506-L506</f>
        <v>1249810</v>
      </c>
      <c r="G556" s="234">
        <f>G506</f>
        <v>89451.49</v>
      </c>
      <c r="H556" s="234">
        <f t="shared" ref="H556:AO556" si="28">H506</f>
        <v>50203.360000000001</v>
      </c>
      <c r="I556" s="234">
        <f t="shared" si="28"/>
        <v>26464.2</v>
      </c>
      <c r="J556" s="234">
        <f t="shared" si="28"/>
        <v>371981.73</v>
      </c>
      <c r="K556" s="234">
        <f t="shared" si="28"/>
        <v>13370.78</v>
      </c>
      <c r="L556" s="234">
        <f t="shared" si="28"/>
        <v>0</v>
      </c>
      <c r="M556" s="234">
        <f t="shared" si="28"/>
        <v>117292.3</v>
      </c>
      <c r="N556" s="234">
        <f t="shared" si="28"/>
        <v>115277.54</v>
      </c>
      <c r="O556" s="234">
        <f t="shared" si="28"/>
        <v>591928.6</v>
      </c>
      <c r="P556" s="234">
        <f t="shared" si="28"/>
        <v>268663.03999999998</v>
      </c>
      <c r="Q556" s="234">
        <f t="shared" si="28"/>
        <v>21816.48</v>
      </c>
      <c r="R556" s="234">
        <f t="shared" si="28"/>
        <v>57.02</v>
      </c>
      <c r="S556" s="234">
        <f t="shared" si="28"/>
        <v>0</v>
      </c>
      <c r="T556" s="234">
        <f t="shared" si="28"/>
        <v>0</v>
      </c>
      <c r="U556" s="234">
        <f t="shared" si="28"/>
        <v>0</v>
      </c>
      <c r="V556" s="234">
        <f t="shared" si="28"/>
        <v>0</v>
      </c>
      <c r="W556" s="234">
        <f t="shared" si="28"/>
        <v>0</v>
      </c>
      <c r="X556" s="234">
        <f t="shared" si="28"/>
        <v>0</v>
      </c>
      <c r="Y556" s="234">
        <f t="shared" si="28"/>
        <v>0</v>
      </c>
      <c r="Z556" s="234">
        <f t="shared" si="28"/>
        <v>0</v>
      </c>
      <c r="AA556" s="234">
        <f t="shared" si="28"/>
        <v>0</v>
      </c>
      <c r="AB556" s="234">
        <f t="shared" si="28"/>
        <v>0</v>
      </c>
      <c r="AC556" s="234">
        <f t="shared" si="28"/>
        <v>0</v>
      </c>
      <c r="AD556" s="234">
        <f t="shared" si="28"/>
        <v>0</v>
      </c>
      <c r="AE556" s="234">
        <f t="shared" si="28"/>
        <v>0</v>
      </c>
      <c r="AF556" s="234">
        <f t="shared" si="28"/>
        <v>0</v>
      </c>
      <c r="AG556" s="234">
        <f t="shared" si="28"/>
        <v>0</v>
      </c>
      <c r="AH556" s="234">
        <f t="shared" si="28"/>
        <v>0</v>
      </c>
      <c r="AI556" s="234">
        <f t="shared" si="28"/>
        <v>0</v>
      </c>
      <c r="AJ556" s="234">
        <f t="shared" si="28"/>
        <v>0</v>
      </c>
      <c r="AK556" s="234">
        <f t="shared" si="28"/>
        <v>0</v>
      </c>
      <c r="AL556" s="234">
        <f t="shared" si="28"/>
        <v>0</v>
      </c>
      <c r="AM556" s="234">
        <f t="shared" si="28"/>
        <v>0</v>
      </c>
      <c r="AN556" s="234">
        <f t="shared" si="28"/>
        <v>0</v>
      </c>
      <c r="AO556" s="234">
        <f t="shared" si="28"/>
        <v>0</v>
      </c>
    </row>
    <row r="557" spans="1:41" ht="12.75" customHeight="1" x14ac:dyDescent="0.25">
      <c r="C557" s="774"/>
      <c r="D557" s="772"/>
      <c r="E557" s="233" t="s">
        <v>73</v>
      </c>
      <c r="F557" s="234">
        <f>F534</f>
        <v>-416696.54</v>
      </c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</row>
    <row r="558" spans="1:41" ht="12.75" customHeight="1" x14ac:dyDescent="0.25">
      <c r="A558" s="89"/>
      <c r="C558" s="97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41" ht="12.75" customHeight="1" x14ac:dyDescent="0.25">
      <c r="C559" s="774" t="s">
        <v>160</v>
      </c>
      <c r="D559" s="772" t="s">
        <v>132</v>
      </c>
      <c r="E559" s="223" t="s">
        <v>70</v>
      </c>
      <c r="F559" s="225">
        <v>0</v>
      </c>
      <c r="G559" s="225">
        <v>0</v>
      </c>
      <c r="H559" s="225">
        <v>0</v>
      </c>
      <c r="I559" s="225">
        <v>0</v>
      </c>
      <c r="J559" s="225">
        <v>0</v>
      </c>
      <c r="K559" s="225">
        <v>0</v>
      </c>
      <c r="L559" s="225">
        <v>0</v>
      </c>
      <c r="M559" s="225">
        <v>0</v>
      </c>
      <c r="N559" s="225">
        <v>0</v>
      </c>
      <c r="O559" s="225">
        <v>0</v>
      </c>
      <c r="P559" s="225">
        <v>0</v>
      </c>
      <c r="Q559" s="225">
        <v>0</v>
      </c>
      <c r="R559" s="225">
        <v>0</v>
      </c>
      <c r="S559" s="225">
        <v>0</v>
      </c>
      <c r="T559" s="225">
        <v>0</v>
      </c>
      <c r="U559" s="225"/>
      <c r="V559" s="225"/>
      <c r="W559" s="225"/>
      <c r="X559" s="225">
        <v>0</v>
      </c>
      <c r="Y559" s="225">
        <v>0</v>
      </c>
      <c r="Z559" s="225">
        <v>0</v>
      </c>
      <c r="AA559" s="225">
        <v>0</v>
      </c>
      <c r="AB559" s="225">
        <v>0</v>
      </c>
      <c r="AC559" s="225">
        <v>0</v>
      </c>
      <c r="AD559" s="225">
        <v>0</v>
      </c>
      <c r="AE559" s="225">
        <v>0</v>
      </c>
      <c r="AF559" s="225">
        <v>0</v>
      </c>
      <c r="AG559" s="225">
        <v>0</v>
      </c>
      <c r="AH559" s="225">
        <v>0</v>
      </c>
      <c r="AI559" s="225">
        <v>0</v>
      </c>
      <c r="AJ559" s="225">
        <v>0</v>
      </c>
      <c r="AK559" s="225">
        <v>0</v>
      </c>
      <c r="AL559" s="225">
        <v>0</v>
      </c>
      <c r="AM559" s="225">
        <v>0</v>
      </c>
      <c r="AN559" s="225">
        <v>0</v>
      </c>
      <c r="AO559" s="225">
        <v>0</v>
      </c>
    </row>
    <row r="560" spans="1:41" ht="12.75" customHeight="1" x14ac:dyDescent="0.25">
      <c r="C560" s="774"/>
      <c r="D560" s="772"/>
      <c r="E560" s="223" t="s">
        <v>73</v>
      </c>
      <c r="F560" s="225">
        <v>0</v>
      </c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customHeight="1" x14ac:dyDescent="0.25">
      <c r="C561" s="774"/>
      <c r="D561" s="772" t="s">
        <v>133</v>
      </c>
      <c r="E561" s="227" t="s">
        <v>70</v>
      </c>
      <c r="F561" s="228">
        <v>0</v>
      </c>
      <c r="G561" s="228">
        <v>0</v>
      </c>
      <c r="H561" s="228">
        <v>0</v>
      </c>
      <c r="I561" s="228">
        <v>0</v>
      </c>
      <c r="J561" s="228">
        <v>0</v>
      </c>
      <c r="K561" s="228">
        <v>0</v>
      </c>
      <c r="L561" s="228">
        <v>0</v>
      </c>
      <c r="M561" s="228">
        <v>0</v>
      </c>
      <c r="N561" s="228">
        <v>0</v>
      </c>
      <c r="O561" s="228">
        <v>0</v>
      </c>
      <c r="P561" s="228">
        <v>0</v>
      </c>
      <c r="Q561" s="228">
        <v>0</v>
      </c>
      <c r="R561" s="228">
        <v>0</v>
      </c>
      <c r="S561" s="228">
        <v>0</v>
      </c>
      <c r="T561" s="228">
        <v>0</v>
      </c>
      <c r="U561" s="228"/>
      <c r="V561" s="228"/>
      <c r="W561" s="228"/>
      <c r="X561" s="228">
        <v>0</v>
      </c>
      <c r="Y561" s="228">
        <v>0</v>
      </c>
      <c r="Z561" s="228">
        <v>0</v>
      </c>
      <c r="AA561" s="228">
        <v>0</v>
      </c>
      <c r="AB561" s="228">
        <v>0</v>
      </c>
      <c r="AC561" s="228">
        <v>0</v>
      </c>
      <c r="AD561" s="228">
        <v>0</v>
      </c>
      <c r="AE561" s="228">
        <v>0</v>
      </c>
      <c r="AF561" s="228">
        <v>0</v>
      </c>
      <c r="AG561" s="228">
        <v>0</v>
      </c>
      <c r="AH561" s="228">
        <v>0</v>
      </c>
      <c r="AI561" s="228">
        <v>0</v>
      </c>
      <c r="AJ561" s="228">
        <v>0</v>
      </c>
      <c r="AK561" s="228">
        <v>0</v>
      </c>
      <c r="AL561" s="228">
        <v>0</v>
      </c>
      <c r="AM561" s="228">
        <v>0</v>
      </c>
      <c r="AN561" s="228">
        <v>0</v>
      </c>
      <c r="AO561" s="228">
        <v>0</v>
      </c>
    </row>
    <row r="562" spans="1:41" ht="12.75" customHeight="1" x14ac:dyDescent="0.25">
      <c r="C562" s="774"/>
      <c r="D562" s="772"/>
      <c r="E562" s="227" t="s">
        <v>73</v>
      </c>
      <c r="F562" s="228">
        <v>0</v>
      </c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</row>
    <row r="563" spans="1:41" ht="12.75" customHeight="1" x14ac:dyDescent="0.25">
      <c r="A563" s="89"/>
      <c r="C563" s="97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customHeight="1" x14ac:dyDescent="0.25">
      <c r="C564" s="774" t="s">
        <v>155</v>
      </c>
      <c r="D564" s="772" t="s">
        <v>132</v>
      </c>
      <c r="E564" s="221" t="s">
        <v>70</v>
      </c>
      <c r="F564" s="222">
        <f>F537+F510-L510</f>
        <v>11748395433.49</v>
      </c>
      <c r="G564" s="222">
        <f>G510</f>
        <v>688233068.44000006</v>
      </c>
      <c r="H564" s="222">
        <f t="shared" ref="H564:AO564" si="29">H510</f>
        <v>387999633.92000002</v>
      </c>
      <c r="I564" s="222">
        <f t="shared" si="29"/>
        <v>203982588.58000001</v>
      </c>
      <c r="J564" s="222">
        <f t="shared" si="29"/>
        <v>2974728652.5</v>
      </c>
      <c r="K564" s="222">
        <f t="shared" si="29"/>
        <v>108115358.51000001</v>
      </c>
      <c r="L564" s="222">
        <f t="shared" si="29"/>
        <v>8938785.5099999998</v>
      </c>
      <c r="M564" s="222">
        <f t="shared" si="29"/>
        <v>948063969.75999999</v>
      </c>
      <c r="N564" s="222">
        <f t="shared" si="29"/>
        <v>918748413.20000005</v>
      </c>
      <c r="O564" s="222">
        <f t="shared" si="29"/>
        <v>4764025203.0500002</v>
      </c>
      <c r="P564" s="222">
        <f t="shared" si="29"/>
        <v>2081168863.28</v>
      </c>
      <c r="Q564" s="222">
        <f t="shared" si="29"/>
        <v>176441433.71000001</v>
      </c>
      <c r="R564" s="222">
        <f t="shared" si="29"/>
        <v>-103014</v>
      </c>
      <c r="S564" s="222">
        <f t="shared" si="29"/>
        <v>0.55000000000000004</v>
      </c>
      <c r="T564" s="222">
        <f t="shared" si="29"/>
        <v>5.38</v>
      </c>
      <c r="U564" s="222">
        <f t="shared" si="29"/>
        <v>0</v>
      </c>
      <c r="V564" s="222">
        <f t="shared" si="29"/>
        <v>0</v>
      </c>
      <c r="W564" s="222">
        <f t="shared" si="29"/>
        <v>0</v>
      </c>
      <c r="X564" s="222">
        <f t="shared" si="29"/>
        <v>0</v>
      </c>
      <c r="Y564" s="222">
        <f t="shared" si="29"/>
        <v>0</v>
      </c>
      <c r="Z564" s="222">
        <f t="shared" si="29"/>
        <v>0</v>
      </c>
      <c r="AA564" s="222">
        <f t="shared" si="29"/>
        <v>0</v>
      </c>
      <c r="AB564" s="222">
        <f t="shared" si="29"/>
        <v>0</v>
      </c>
      <c r="AC564" s="222">
        <f t="shared" si="29"/>
        <v>0</v>
      </c>
      <c r="AD564" s="222">
        <f t="shared" si="29"/>
        <v>0</v>
      </c>
      <c r="AE564" s="222">
        <f t="shared" si="29"/>
        <v>0</v>
      </c>
      <c r="AF564" s="222">
        <f t="shared" si="29"/>
        <v>0</v>
      </c>
      <c r="AG564" s="222">
        <f t="shared" si="29"/>
        <v>0</v>
      </c>
      <c r="AH564" s="222">
        <f t="shared" si="29"/>
        <v>0</v>
      </c>
      <c r="AI564" s="222">
        <f t="shared" si="29"/>
        <v>0</v>
      </c>
      <c r="AJ564" s="222">
        <f t="shared" si="29"/>
        <v>0</v>
      </c>
      <c r="AK564" s="222">
        <f t="shared" si="29"/>
        <v>0</v>
      </c>
      <c r="AL564" s="222">
        <f t="shared" si="29"/>
        <v>0</v>
      </c>
      <c r="AM564" s="222">
        <f t="shared" si="29"/>
        <v>0</v>
      </c>
      <c r="AN564" s="222">
        <f t="shared" si="29"/>
        <v>0</v>
      </c>
      <c r="AO564" s="222">
        <f t="shared" si="29"/>
        <v>0</v>
      </c>
    </row>
    <row r="565" spans="1:41" ht="12.75" customHeight="1" x14ac:dyDescent="0.25">
      <c r="C565" s="774"/>
      <c r="D565" s="772"/>
      <c r="E565" s="221" t="s">
        <v>73</v>
      </c>
      <c r="F565" s="222">
        <f>F537</f>
        <v>-1503008743.3900001</v>
      </c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customHeight="1" x14ac:dyDescent="0.25">
      <c r="C566" s="774"/>
      <c r="D566" s="772" t="s">
        <v>133</v>
      </c>
      <c r="E566" s="242" t="s">
        <v>70</v>
      </c>
      <c r="F566" s="243">
        <v>0</v>
      </c>
      <c r="G566" s="243">
        <v>0</v>
      </c>
      <c r="H566" s="243">
        <v>0</v>
      </c>
      <c r="I566" s="243">
        <v>0</v>
      </c>
      <c r="J566" s="243">
        <v>0</v>
      </c>
      <c r="K566" s="243">
        <v>0</v>
      </c>
      <c r="L566" s="243">
        <v>0</v>
      </c>
      <c r="M566" s="243">
        <v>0</v>
      </c>
      <c r="N566" s="243">
        <v>0</v>
      </c>
      <c r="O566" s="243">
        <v>0</v>
      </c>
      <c r="P566" s="243">
        <v>0</v>
      </c>
      <c r="Q566" s="243">
        <v>0</v>
      </c>
      <c r="R566" s="243">
        <v>0</v>
      </c>
      <c r="S566" s="243">
        <v>0</v>
      </c>
      <c r="T566" s="243">
        <v>0</v>
      </c>
      <c r="U566" s="243">
        <v>0</v>
      </c>
      <c r="V566" s="243">
        <v>0</v>
      </c>
      <c r="W566" s="243">
        <v>0</v>
      </c>
      <c r="X566" s="243">
        <v>0</v>
      </c>
      <c r="Y566" s="243">
        <v>0</v>
      </c>
      <c r="Z566" s="243">
        <v>0</v>
      </c>
      <c r="AA566" s="243">
        <v>0</v>
      </c>
      <c r="AB566" s="243">
        <v>0</v>
      </c>
      <c r="AC566" s="243">
        <v>0</v>
      </c>
      <c r="AD566" s="243">
        <v>0</v>
      </c>
      <c r="AE566" s="243">
        <v>0</v>
      </c>
      <c r="AF566" s="243">
        <v>0</v>
      </c>
      <c r="AG566" s="243">
        <v>0</v>
      </c>
      <c r="AH566" s="243">
        <v>0</v>
      </c>
      <c r="AI566" s="243">
        <v>0</v>
      </c>
      <c r="AJ566" s="243">
        <v>0</v>
      </c>
      <c r="AK566" s="243">
        <v>0</v>
      </c>
      <c r="AL566" s="243">
        <v>0</v>
      </c>
      <c r="AM566" s="243">
        <v>0</v>
      </c>
      <c r="AN566" s="243">
        <v>0</v>
      </c>
      <c r="AO566" s="243">
        <v>0</v>
      </c>
    </row>
    <row r="567" spans="1:41" ht="12.75" customHeight="1" x14ac:dyDescent="0.25">
      <c r="C567" s="774"/>
      <c r="D567" s="772"/>
      <c r="E567" s="242" t="s">
        <v>73</v>
      </c>
      <c r="F567" s="243">
        <v>0</v>
      </c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</row>
    <row r="568" spans="1:41" ht="12.75" customHeight="1" x14ac:dyDescent="0.25">
      <c r="A568" s="89"/>
      <c r="C568" s="97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</row>
    <row r="569" spans="1:41" ht="12.75" customHeight="1" x14ac:dyDescent="0.25">
      <c r="C569" s="775" t="s">
        <v>327</v>
      </c>
      <c r="D569" s="772" t="s">
        <v>132</v>
      </c>
      <c r="E569" s="373" t="s">
        <v>70</v>
      </c>
      <c r="F569" s="374">
        <f>F540+F514-L514</f>
        <v>28784210</v>
      </c>
      <c r="G569" s="374">
        <f>G514</f>
        <v>1905635.55</v>
      </c>
      <c r="H569" s="374">
        <f t="shared" ref="H569:AO569" si="30">H514</f>
        <v>1062780.8899999999</v>
      </c>
      <c r="I569" s="374">
        <f t="shared" si="30"/>
        <v>572593.51</v>
      </c>
      <c r="J569" s="374">
        <f t="shared" si="30"/>
        <v>7500964.1600000001</v>
      </c>
      <c r="K569" s="374">
        <f t="shared" si="30"/>
        <v>261702.94</v>
      </c>
      <c r="L569" s="374">
        <f>L514</f>
        <v>0</v>
      </c>
      <c r="M569" s="374">
        <f t="shared" si="30"/>
        <v>2242033.0299999998</v>
      </c>
      <c r="N569" s="374">
        <f t="shared" si="30"/>
        <v>2245877.2000000002</v>
      </c>
      <c r="O569" s="374">
        <f t="shared" si="30"/>
        <v>11591632.16</v>
      </c>
      <c r="P569" s="374">
        <f t="shared" si="30"/>
        <v>5656780.1799999997</v>
      </c>
      <c r="Q569" s="374">
        <f t="shared" si="30"/>
        <v>425766.47</v>
      </c>
      <c r="R569" s="374">
        <f t="shared" si="30"/>
        <v>119.01</v>
      </c>
      <c r="S569" s="374">
        <f t="shared" si="30"/>
        <v>0</v>
      </c>
      <c r="T569" s="374">
        <f t="shared" si="30"/>
        <v>0</v>
      </c>
      <c r="U569" s="374">
        <f t="shared" si="30"/>
        <v>0</v>
      </c>
      <c r="V569" s="374">
        <f t="shared" si="30"/>
        <v>0</v>
      </c>
      <c r="W569" s="374">
        <f t="shared" si="30"/>
        <v>0</v>
      </c>
      <c r="X569" s="374">
        <f t="shared" si="30"/>
        <v>0</v>
      </c>
      <c r="Y569" s="374">
        <f t="shared" si="30"/>
        <v>0</v>
      </c>
      <c r="Z569" s="374">
        <f t="shared" si="30"/>
        <v>0</v>
      </c>
      <c r="AA569" s="374">
        <f t="shared" si="30"/>
        <v>0</v>
      </c>
      <c r="AB569" s="374">
        <f t="shared" si="30"/>
        <v>0</v>
      </c>
      <c r="AC569" s="374">
        <f t="shared" si="30"/>
        <v>0</v>
      </c>
      <c r="AD569" s="374">
        <f t="shared" si="30"/>
        <v>0</v>
      </c>
      <c r="AE569" s="374">
        <f t="shared" si="30"/>
        <v>0</v>
      </c>
      <c r="AF569" s="374">
        <f t="shared" si="30"/>
        <v>0</v>
      </c>
      <c r="AG569" s="374">
        <f t="shared" si="30"/>
        <v>0</v>
      </c>
      <c r="AH569" s="374">
        <f t="shared" si="30"/>
        <v>0</v>
      </c>
      <c r="AI569" s="374">
        <f t="shared" si="30"/>
        <v>0</v>
      </c>
      <c r="AJ569" s="374">
        <f t="shared" si="30"/>
        <v>0</v>
      </c>
      <c r="AK569" s="374">
        <f t="shared" si="30"/>
        <v>0</v>
      </c>
      <c r="AL569" s="374">
        <f t="shared" si="30"/>
        <v>0</v>
      </c>
      <c r="AM569" s="374">
        <f t="shared" si="30"/>
        <v>0</v>
      </c>
      <c r="AN569" s="374">
        <f t="shared" si="30"/>
        <v>0</v>
      </c>
      <c r="AO569" s="374">
        <f t="shared" si="30"/>
        <v>0</v>
      </c>
    </row>
    <row r="570" spans="1:41" ht="12.75" customHeight="1" x14ac:dyDescent="0.25">
      <c r="C570" s="775"/>
      <c r="D570" s="772"/>
      <c r="E570" s="373" t="s">
        <v>73</v>
      </c>
      <c r="F570" s="374">
        <f>F540</f>
        <v>-4681675.0999999996</v>
      </c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</row>
    <row r="571" spans="1:41" ht="12.75" customHeight="1" x14ac:dyDescent="0.25">
      <c r="C571" s="775"/>
      <c r="D571" s="772" t="s">
        <v>133</v>
      </c>
      <c r="E571" s="242" t="s">
        <v>70</v>
      </c>
      <c r="F571" s="243">
        <v>0</v>
      </c>
      <c r="G571" s="243">
        <v>0</v>
      </c>
      <c r="H571" s="243">
        <v>0</v>
      </c>
      <c r="I571" s="243">
        <v>0</v>
      </c>
      <c r="J571" s="243">
        <v>0</v>
      </c>
      <c r="K571" s="243">
        <v>0</v>
      </c>
      <c r="L571" s="243">
        <v>0</v>
      </c>
      <c r="M571" s="243">
        <v>0</v>
      </c>
      <c r="N571" s="243">
        <v>0</v>
      </c>
      <c r="O571" s="243">
        <v>0</v>
      </c>
      <c r="P571" s="243">
        <v>0</v>
      </c>
      <c r="Q571" s="243">
        <v>0</v>
      </c>
      <c r="R571" s="243">
        <v>0</v>
      </c>
      <c r="S571" s="243">
        <v>0</v>
      </c>
      <c r="T571" s="243">
        <v>0</v>
      </c>
      <c r="U571" s="243">
        <v>0</v>
      </c>
      <c r="V571" s="243">
        <v>0</v>
      </c>
      <c r="W571" s="243">
        <v>0</v>
      </c>
      <c r="X571" s="243">
        <v>0</v>
      </c>
      <c r="Y571" s="243">
        <v>0</v>
      </c>
      <c r="Z571" s="243">
        <v>0</v>
      </c>
      <c r="AA571" s="243">
        <v>0</v>
      </c>
      <c r="AB571" s="243">
        <v>0</v>
      </c>
      <c r="AC571" s="243">
        <v>0</v>
      </c>
      <c r="AD571" s="243">
        <v>0</v>
      </c>
      <c r="AE571" s="243">
        <v>0</v>
      </c>
      <c r="AF571" s="243">
        <v>0</v>
      </c>
      <c r="AG571" s="243">
        <v>0</v>
      </c>
      <c r="AH571" s="243">
        <v>0</v>
      </c>
      <c r="AI571" s="243">
        <v>0</v>
      </c>
      <c r="AJ571" s="243">
        <v>0</v>
      </c>
      <c r="AK571" s="243">
        <v>0</v>
      </c>
      <c r="AL571" s="243">
        <v>0</v>
      </c>
      <c r="AM571" s="243">
        <v>0</v>
      </c>
      <c r="AN571" s="243">
        <v>0</v>
      </c>
      <c r="AO571" s="243">
        <v>0</v>
      </c>
    </row>
    <row r="572" spans="1:41" ht="12.75" customHeight="1" x14ac:dyDescent="0.25">
      <c r="C572" s="775"/>
      <c r="D572" s="772"/>
      <c r="E572" s="242" t="s">
        <v>73</v>
      </c>
      <c r="F572" s="243">
        <v>0</v>
      </c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</row>
    <row r="573" spans="1:41" ht="12.75" customHeight="1" x14ac:dyDescent="0.25">
      <c r="C573" s="719"/>
      <c r="D573" s="220"/>
      <c r="E573" s="89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</row>
    <row r="574" spans="1:41" ht="12.75" customHeight="1" x14ac:dyDescent="0.25">
      <c r="C574" s="774" t="s">
        <v>119</v>
      </c>
      <c r="D574" s="772" t="s">
        <v>132</v>
      </c>
      <c r="E574" s="101" t="s">
        <v>70</v>
      </c>
      <c r="F574" s="93">
        <f>F524+F547+F493-L493-L524</f>
        <v>328278942.55000001</v>
      </c>
      <c r="G574" s="93">
        <f>G524+G493</f>
        <v>32908684.300000001</v>
      </c>
      <c r="H574" s="93">
        <f t="shared" ref="H574:AO574" si="31">H524+H493</f>
        <v>17816619.279999997</v>
      </c>
      <c r="I574" s="93">
        <f t="shared" si="31"/>
        <v>9444572.9299999997</v>
      </c>
      <c r="J574" s="93">
        <f t="shared" si="31"/>
        <v>21484201.09</v>
      </c>
      <c r="K574" s="93">
        <f t="shared" si="31"/>
        <v>898738.69000000006</v>
      </c>
      <c r="L574" s="93">
        <f t="shared" si="31"/>
        <v>1379993.45</v>
      </c>
      <c r="M574" s="93">
        <f t="shared" si="31"/>
        <v>7902185.3399999999</v>
      </c>
      <c r="N574" s="93">
        <f t="shared" si="31"/>
        <v>9737539.2399999984</v>
      </c>
      <c r="O574" s="93">
        <f t="shared" si="31"/>
        <v>50908904.759999998</v>
      </c>
      <c r="P574" s="93">
        <f t="shared" si="31"/>
        <v>98996233.120000005</v>
      </c>
      <c r="Q574" s="93">
        <f t="shared" si="31"/>
        <v>1503595.21</v>
      </c>
      <c r="R574" s="93">
        <f t="shared" si="31"/>
        <v>-2891</v>
      </c>
      <c r="S574" s="93">
        <f t="shared" si="31"/>
        <v>0.03</v>
      </c>
      <c r="T574" s="93">
        <f t="shared" si="31"/>
        <v>2.1</v>
      </c>
      <c r="U574" s="93">
        <f t="shared" si="31"/>
        <v>0</v>
      </c>
      <c r="V574" s="93">
        <f t="shared" si="31"/>
        <v>0</v>
      </c>
      <c r="W574" s="93">
        <f t="shared" si="31"/>
        <v>0</v>
      </c>
      <c r="X574" s="93">
        <f t="shared" si="31"/>
        <v>0</v>
      </c>
      <c r="Y574" s="93">
        <f t="shared" si="31"/>
        <v>0</v>
      </c>
      <c r="Z574" s="93">
        <f t="shared" si="31"/>
        <v>-37.26</v>
      </c>
      <c r="AA574" s="93">
        <f t="shared" si="31"/>
        <v>0</v>
      </c>
      <c r="AB574" s="93">
        <f t="shared" si="31"/>
        <v>0</v>
      </c>
      <c r="AC574" s="93">
        <f t="shared" si="31"/>
        <v>0</v>
      </c>
      <c r="AD574" s="93">
        <f t="shared" si="31"/>
        <v>0</v>
      </c>
      <c r="AE574" s="93">
        <f t="shared" si="31"/>
        <v>0</v>
      </c>
      <c r="AF574" s="93">
        <f t="shared" si="31"/>
        <v>0</v>
      </c>
      <c r="AG574" s="93">
        <f t="shared" si="31"/>
        <v>0</v>
      </c>
      <c r="AH574" s="93">
        <f t="shared" si="31"/>
        <v>0</v>
      </c>
      <c r="AI574" s="93">
        <f t="shared" si="31"/>
        <v>0</v>
      </c>
      <c r="AJ574" s="93">
        <f t="shared" si="31"/>
        <v>0</v>
      </c>
      <c r="AK574" s="93">
        <f t="shared" si="31"/>
        <v>0</v>
      </c>
      <c r="AL574" s="93">
        <f t="shared" si="31"/>
        <v>0</v>
      </c>
      <c r="AM574" s="93">
        <f t="shared" si="31"/>
        <v>0</v>
      </c>
      <c r="AN574" s="93">
        <f t="shared" si="31"/>
        <v>0</v>
      </c>
      <c r="AO574" s="93">
        <f t="shared" si="31"/>
        <v>0</v>
      </c>
    </row>
    <row r="575" spans="1:41" ht="12.75" customHeight="1" x14ac:dyDescent="0.25">
      <c r="C575" s="774"/>
      <c r="D575" s="772"/>
      <c r="E575" s="101" t="s">
        <v>73</v>
      </c>
      <c r="F575" s="93">
        <f>F547</f>
        <v>76680594.719999999</v>
      </c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</row>
    <row r="576" spans="1:41" ht="12.75" customHeight="1" x14ac:dyDescent="0.25">
      <c r="C576" s="774"/>
      <c r="D576" s="772" t="s">
        <v>133</v>
      </c>
      <c r="E576" s="235" t="s">
        <v>70</v>
      </c>
      <c r="F576" s="236">
        <f>F533+F505-L505</f>
        <v>1249810</v>
      </c>
      <c r="G576" s="236">
        <f>G505</f>
        <v>89451.49</v>
      </c>
      <c r="H576" s="236">
        <f t="shared" ref="H576:AO576" si="32">H505</f>
        <v>50203.360000000001</v>
      </c>
      <c r="I576" s="236">
        <f t="shared" si="32"/>
        <v>26464.2</v>
      </c>
      <c r="J576" s="236">
        <f t="shared" si="32"/>
        <v>371981.73</v>
      </c>
      <c r="K576" s="236">
        <f t="shared" si="32"/>
        <v>13370.78</v>
      </c>
      <c r="L576" s="236">
        <f t="shared" si="32"/>
        <v>0</v>
      </c>
      <c r="M576" s="236">
        <f t="shared" si="32"/>
        <v>117292.3</v>
      </c>
      <c r="N576" s="236">
        <f t="shared" si="32"/>
        <v>115277.54</v>
      </c>
      <c r="O576" s="236">
        <f t="shared" si="32"/>
        <v>591928.6</v>
      </c>
      <c r="P576" s="236">
        <f t="shared" si="32"/>
        <v>268663.03999999998</v>
      </c>
      <c r="Q576" s="236">
        <f t="shared" si="32"/>
        <v>21816.48</v>
      </c>
      <c r="R576" s="236">
        <f t="shared" si="32"/>
        <v>57.02</v>
      </c>
      <c r="S576" s="236">
        <f t="shared" si="32"/>
        <v>0</v>
      </c>
      <c r="T576" s="236">
        <f t="shared" si="32"/>
        <v>0</v>
      </c>
      <c r="U576" s="236">
        <f t="shared" si="32"/>
        <v>0</v>
      </c>
      <c r="V576" s="236">
        <f t="shared" si="32"/>
        <v>0</v>
      </c>
      <c r="W576" s="236">
        <f t="shared" si="32"/>
        <v>0</v>
      </c>
      <c r="X576" s="236">
        <f t="shared" si="32"/>
        <v>0</v>
      </c>
      <c r="Y576" s="236">
        <f t="shared" si="32"/>
        <v>0</v>
      </c>
      <c r="Z576" s="236">
        <f t="shared" si="32"/>
        <v>0</v>
      </c>
      <c r="AA576" s="236">
        <f t="shared" si="32"/>
        <v>0</v>
      </c>
      <c r="AB576" s="236">
        <f t="shared" si="32"/>
        <v>0</v>
      </c>
      <c r="AC576" s="236">
        <f t="shared" si="32"/>
        <v>0</v>
      </c>
      <c r="AD576" s="236">
        <f t="shared" si="32"/>
        <v>0</v>
      </c>
      <c r="AE576" s="236">
        <f t="shared" si="32"/>
        <v>0</v>
      </c>
      <c r="AF576" s="236">
        <f t="shared" si="32"/>
        <v>0</v>
      </c>
      <c r="AG576" s="236">
        <f t="shared" si="32"/>
        <v>0</v>
      </c>
      <c r="AH576" s="236">
        <f t="shared" si="32"/>
        <v>0</v>
      </c>
      <c r="AI576" s="236">
        <f t="shared" si="32"/>
        <v>0</v>
      </c>
      <c r="AJ576" s="236">
        <f t="shared" si="32"/>
        <v>0</v>
      </c>
      <c r="AK576" s="236">
        <f t="shared" si="32"/>
        <v>0</v>
      </c>
      <c r="AL576" s="236">
        <f t="shared" si="32"/>
        <v>0</v>
      </c>
      <c r="AM576" s="236">
        <f t="shared" si="32"/>
        <v>0</v>
      </c>
      <c r="AN576" s="236">
        <f t="shared" si="32"/>
        <v>0</v>
      </c>
      <c r="AO576" s="236">
        <f t="shared" si="32"/>
        <v>0</v>
      </c>
    </row>
    <row r="577" spans="1:41" ht="12.75" customHeight="1" x14ac:dyDescent="0.25">
      <c r="C577" s="774"/>
      <c r="D577" s="772"/>
      <c r="E577" s="235" t="s">
        <v>73</v>
      </c>
      <c r="F577" s="236">
        <f>F533</f>
        <v>-416696.54</v>
      </c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</row>
    <row r="578" spans="1:41" ht="12.75" customHeight="1" x14ac:dyDescent="0.25">
      <c r="A578" s="89"/>
      <c r="C578" s="97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</row>
    <row r="579" spans="1:41" ht="12.75" customHeight="1" x14ac:dyDescent="0.25">
      <c r="C579" s="773" t="s">
        <v>161</v>
      </c>
      <c r="D579" s="772" t="s">
        <v>132</v>
      </c>
      <c r="E579" s="231" t="s">
        <v>70</v>
      </c>
      <c r="F579" s="232">
        <v>0</v>
      </c>
      <c r="G579" s="232">
        <v>0</v>
      </c>
      <c r="H579" s="232">
        <v>0</v>
      </c>
      <c r="I579" s="232">
        <v>0</v>
      </c>
      <c r="J579" s="232">
        <v>0</v>
      </c>
      <c r="K579" s="232">
        <v>0</v>
      </c>
      <c r="L579" s="232">
        <v>0</v>
      </c>
      <c r="M579" s="232">
        <v>0</v>
      </c>
      <c r="N579" s="232">
        <v>0</v>
      </c>
      <c r="O579" s="232">
        <v>0</v>
      </c>
      <c r="P579" s="232">
        <v>0</v>
      </c>
      <c r="Q579" s="232">
        <v>0</v>
      </c>
      <c r="R579" s="232">
        <v>0</v>
      </c>
      <c r="S579" s="232">
        <v>0</v>
      </c>
      <c r="T579" s="232">
        <v>0</v>
      </c>
      <c r="U579" s="232"/>
      <c r="V579" s="232"/>
      <c r="W579" s="232"/>
      <c r="X579" s="232">
        <v>0</v>
      </c>
      <c r="Y579" s="232">
        <v>0</v>
      </c>
      <c r="Z579" s="232">
        <v>0</v>
      </c>
      <c r="AA579" s="232">
        <v>0</v>
      </c>
      <c r="AB579" s="232">
        <v>0</v>
      </c>
      <c r="AC579" s="232">
        <v>0</v>
      </c>
      <c r="AD579" s="232">
        <v>0</v>
      </c>
      <c r="AE579" s="232">
        <v>0</v>
      </c>
      <c r="AF579" s="232">
        <v>0</v>
      </c>
      <c r="AG579" s="232">
        <v>0</v>
      </c>
      <c r="AH579" s="232">
        <v>0</v>
      </c>
      <c r="AI579" s="232">
        <v>0</v>
      </c>
      <c r="AJ579" s="232">
        <v>0</v>
      </c>
      <c r="AK579" s="232">
        <v>0</v>
      </c>
      <c r="AL579" s="232">
        <v>0</v>
      </c>
      <c r="AM579" s="232">
        <v>0</v>
      </c>
      <c r="AN579" s="232">
        <v>0</v>
      </c>
      <c r="AO579" s="232">
        <v>0</v>
      </c>
    </row>
    <row r="580" spans="1:41" ht="12.75" customHeight="1" x14ac:dyDescent="0.25">
      <c r="C580" s="773"/>
      <c r="D580" s="772"/>
      <c r="E580" s="231" t="s">
        <v>73</v>
      </c>
      <c r="F580" s="232">
        <v>0</v>
      </c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</row>
    <row r="581" spans="1:41" ht="12.75" customHeight="1" x14ac:dyDescent="0.25">
      <c r="C581" s="773"/>
      <c r="E581" s="148" t="s">
        <v>70</v>
      </c>
      <c r="F581" s="149">
        <v>0</v>
      </c>
      <c r="G581" s="149">
        <v>0</v>
      </c>
      <c r="H581" s="149">
        <v>0</v>
      </c>
      <c r="I581" s="149">
        <v>0</v>
      </c>
      <c r="J581" s="149">
        <v>0</v>
      </c>
      <c r="K581" s="149">
        <v>0</v>
      </c>
      <c r="L581" s="149">
        <v>0</v>
      </c>
      <c r="M581" s="149">
        <v>0</v>
      </c>
      <c r="N581" s="149">
        <v>0</v>
      </c>
      <c r="O581" s="149">
        <v>0</v>
      </c>
      <c r="P581" s="149">
        <v>0</v>
      </c>
      <c r="Q581" s="149">
        <v>0</v>
      </c>
      <c r="R581" s="149">
        <v>0</v>
      </c>
      <c r="S581" s="149">
        <v>0</v>
      </c>
      <c r="T581" s="149">
        <v>0</v>
      </c>
      <c r="U581" s="149"/>
      <c r="V581" s="149"/>
      <c r="W581" s="149"/>
      <c r="X581" s="149">
        <v>0</v>
      </c>
      <c r="Y581" s="149">
        <v>0</v>
      </c>
      <c r="Z581" s="149">
        <v>0</v>
      </c>
      <c r="AA581" s="149">
        <v>0</v>
      </c>
    </row>
    <row r="582" spans="1:41" ht="12.75" customHeight="1" x14ac:dyDescent="0.25">
      <c r="C582" s="773"/>
      <c r="D582" s="220" t="s">
        <v>132</v>
      </c>
      <c r="E582" s="148" t="s">
        <v>73</v>
      </c>
      <c r="F582" s="149">
        <v>0</v>
      </c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</row>
    <row r="583" spans="1:41" ht="12.75" customHeight="1" x14ac:dyDescent="0.25">
      <c r="C583" s="388"/>
      <c r="D583" s="220"/>
      <c r="E583" s="89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</row>
    <row r="584" spans="1:41" ht="12.75" customHeight="1" x14ac:dyDescent="0.25">
      <c r="D584" s="458" t="s">
        <v>186</v>
      </c>
      <c r="E584" s="459" t="s">
        <v>70</v>
      </c>
      <c r="F584" s="460">
        <f>F495</f>
        <v>-4485.01</v>
      </c>
      <c r="G584" s="460">
        <f t="shared" ref="G584:AA584" si="33">G495</f>
        <v>-355.56</v>
      </c>
      <c r="H584" s="460">
        <f t="shared" si="33"/>
        <v>-151.05000000000001</v>
      </c>
      <c r="I584" s="460">
        <f t="shared" si="33"/>
        <v>-65.98</v>
      </c>
      <c r="J584" s="460">
        <f t="shared" si="33"/>
        <v>-769.61</v>
      </c>
      <c r="K584" s="460">
        <f t="shared" si="33"/>
        <v>-47.44</v>
      </c>
      <c r="L584" s="460">
        <f t="shared" si="33"/>
        <v>0</v>
      </c>
      <c r="M584" s="460">
        <f t="shared" si="33"/>
        <v>-415.95</v>
      </c>
      <c r="N584" s="460">
        <f t="shared" si="33"/>
        <v>-348.63</v>
      </c>
      <c r="O584" s="460">
        <f t="shared" si="33"/>
        <v>-1274.28</v>
      </c>
      <c r="P584" s="460">
        <f t="shared" si="33"/>
        <v>-979.14</v>
      </c>
      <c r="Q584" s="460">
        <f t="shared" si="33"/>
        <v>-77.37</v>
      </c>
      <c r="R584" s="460">
        <f t="shared" si="33"/>
        <v>0</v>
      </c>
      <c r="S584" s="460">
        <f t="shared" si="33"/>
        <v>0</v>
      </c>
      <c r="T584" s="460">
        <f t="shared" si="33"/>
        <v>0</v>
      </c>
      <c r="U584" s="460">
        <f t="shared" si="33"/>
        <v>0</v>
      </c>
      <c r="V584" s="460">
        <f t="shared" si="33"/>
        <v>0</v>
      </c>
      <c r="W584" s="460">
        <f t="shared" si="33"/>
        <v>0</v>
      </c>
      <c r="X584" s="460">
        <f t="shared" si="33"/>
        <v>0</v>
      </c>
      <c r="Y584" s="460">
        <f t="shared" si="33"/>
        <v>0</v>
      </c>
      <c r="Z584" s="460">
        <f t="shared" si="33"/>
        <v>0</v>
      </c>
      <c r="AA584" s="460">
        <f t="shared" si="33"/>
        <v>0</v>
      </c>
    </row>
    <row r="585" spans="1:41" ht="12.75" customHeight="1" x14ac:dyDescent="0.25">
      <c r="C585" s="388"/>
      <c r="D585" s="220"/>
      <c r="E585" s="89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</row>
    <row r="586" spans="1:41" s="238" customFormat="1" ht="12.75" customHeight="1" x14ac:dyDescent="0.25">
      <c r="D586" s="239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</row>
  </sheetData>
  <mergeCells count="87">
    <mergeCell ref="D340:D341"/>
    <mergeCell ref="D342:D343"/>
    <mergeCell ref="C209:C212"/>
    <mergeCell ref="D209:D210"/>
    <mergeCell ref="D211:D212"/>
    <mergeCell ref="C219:C222"/>
    <mergeCell ref="D219:D220"/>
    <mergeCell ref="C325:C328"/>
    <mergeCell ref="D325:D326"/>
    <mergeCell ref="D327:D328"/>
    <mergeCell ref="C579:C582"/>
    <mergeCell ref="C554:C557"/>
    <mergeCell ref="D554:D555"/>
    <mergeCell ref="D556:D557"/>
    <mergeCell ref="C559:C562"/>
    <mergeCell ref="D559:D560"/>
    <mergeCell ref="D561:D562"/>
    <mergeCell ref="C564:C567"/>
    <mergeCell ref="D564:D565"/>
    <mergeCell ref="D566:D567"/>
    <mergeCell ref="C574:C577"/>
    <mergeCell ref="D574:D575"/>
    <mergeCell ref="D576:D577"/>
    <mergeCell ref="D579:D580"/>
    <mergeCell ref="C569:C572"/>
    <mergeCell ref="D569:D570"/>
    <mergeCell ref="D206:D207"/>
    <mergeCell ref="D216:D217"/>
    <mergeCell ref="C75:C78"/>
    <mergeCell ref="D75:D76"/>
    <mergeCell ref="D77:D78"/>
    <mergeCell ref="C194:C197"/>
    <mergeCell ref="D194:D195"/>
    <mergeCell ref="D196:D197"/>
    <mergeCell ref="C199:C202"/>
    <mergeCell ref="D199:D200"/>
    <mergeCell ref="D204:D205"/>
    <mergeCell ref="C204:C207"/>
    <mergeCell ref="C214:C217"/>
    <mergeCell ref="D214:D215"/>
    <mergeCell ref="D72:D73"/>
    <mergeCell ref="C55:C58"/>
    <mergeCell ref="C60:C63"/>
    <mergeCell ref="D201:D202"/>
    <mergeCell ref="C50:C53"/>
    <mergeCell ref="D50:D51"/>
    <mergeCell ref="D52:D53"/>
    <mergeCell ref="C70:C73"/>
    <mergeCell ref="D55:D56"/>
    <mergeCell ref="D57:D58"/>
    <mergeCell ref="D60:D61"/>
    <mergeCell ref="D62:D63"/>
    <mergeCell ref="D70:D71"/>
    <mergeCell ref="C65:C68"/>
    <mergeCell ref="D65:D66"/>
    <mergeCell ref="D67:D68"/>
    <mergeCell ref="C456:C459"/>
    <mergeCell ref="D456:D457"/>
    <mergeCell ref="D458:D459"/>
    <mergeCell ref="C330:C333"/>
    <mergeCell ref="D330:D331"/>
    <mergeCell ref="D332:D333"/>
    <mergeCell ref="C335:C338"/>
    <mergeCell ref="D335:D336"/>
    <mergeCell ref="D337:D338"/>
    <mergeCell ref="C345:C348"/>
    <mergeCell ref="D345:D346"/>
    <mergeCell ref="D347:D348"/>
    <mergeCell ref="C350:C353"/>
    <mergeCell ref="D350:D351"/>
    <mergeCell ref="D352:D353"/>
    <mergeCell ref="C340:C343"/>
    <mergeCell ref="D571:D572"/>
    <mergeCell ref="C481:C484"/>
    <mergeCell ref="C461:C464"/>
    <mergeCell ref="D461:D462"/>
    <mergeCell ref="D463:D464"/>
    <mergeCell ref="C466:C469"/>
    <mergeCell ref="D466:D467"/>
    <mergeCell ref="D468:D469"/>
    <mergeCell ref="C476:C479"/>
    <mergeCell ref="D476:D477"/>
    <mergeCell ref="D478:D479"/>
    <mergeCell ref="D481:D482"/>
    <mergeCell ref="C471:C474"/>
    <mergeCell ref="D471:D472"/>
    <mergeCell ref="D473:D47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7"/>
  <sheetViews>
    <sheetView topLeftCell="I1" zoomScaleNormal="100" workbookViewId="0">
      <pane ySplit="2" topLeftCell="A360" activePane="bottomLeft" state="frozen"/>
      <selection activeCell="A3" sqref="A3"/>
      <selection pane="bottomLeft" activeCell="P462" sqref="P462"/>
    </sheetView>
  </sheetViews>
  <sheetFormatPr baseColWidth="10" defaultRowHeight="13.2" x14ac:dyDescent="0.25"/>
  <cols>
    <col min="2" max="2" width="22.44140625" bestFit="1" customWidth="1"/>
    <col min="3" max="3" width="18.77734375" customWidth="1"/>
    <col min="4" max="4" width="23.21875" bestFit="1" customWidth="1"/>
    <col min="5" max="5" width="15.21875" bestFit="1" customWidth="1"/>
    <col min="6" max="6" width="15.44140625" bestFit="1" customWidth="1"/>
    <col min="7" max="8" width="16.21875" bestFit="1" customWidth="1"/>
    <col min="9" max="9" width="15.218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218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226</v>
      </c>
    </row>
    <row r="3" spans="2:18" ht="12.75" customHeight="1" x14ac:dyDescent="0.25">
      <c r="D3" t="s">
        <v>72</v>
      </c>
      <c r="E3" s="384">
        <v>68638686.239999995</v>
      </c>
      <c r="F3" s="89">
        <v>3508770.06</v>
      </c>
      <c r="G3" s="89">
        <v>1937288.95</v>
      </c>
      <c r="H3" s="384">
        <v>1197110.3999999999</v>
      </c>
      <c r="I3" s="89">
        <v>11380562.050000001</v>
      </c>
      <c r="J3" s="89">
        <v>443407.1</v>
      </c>
      <c r="K3" s="89">
        <v>144941.68</v>
      </c>
      <c r="L3" s="89">
        <v>5045467.66</v>
      </c>
      <c r="M3" s="89">
        <v>6828093.8700000001</v>
      </c>
      <c r="N3" s="89">
        <v>27654989.829999998</v>
      </c>
      <c r="O3" s="89">
        <v>9809312.2400000002</v>
      </c>
      <c r="P3" s="89">
        <v>689599.67</v>
      </c>
      <c r="Q3" s="89">
        <v>-857.27</v>
      </c>
      <c r="R3">
        <v>0</v>
      </c>
    </row>
    <row r="4" spans="2:18" ht="12.75" customHeight="1" x14ac:dyDescent="0.25">
      <c r="D4" t="s">
        <v>81</v>
      </c>
      <c r="E4">
        <v>3528.82</v>
      </c>
      <c r="F4">
        <v>170.02</v>
      </c>
      <c r="G4">
        <v>95.73</v>
      </c>
      <c r="H4">
        <v>50.84</v>
      </c>
      <c r="I4">
        <v>743.09</v>
      </c>
      <c r="J4">
        <v>33.549999999999997</v>
      </c>
      <c r="K4">
        <v>0</v>
      </c>
      <c r="L4">
        <v>294.89</v>
      </c>
      <c r="M4">
        <v>285.60000000000002</v>
      </c>
      <c r="N4">
        <v>1334.86</v>
      </c>
      <c r="O4">
        <v>465.51</v>
      </c>
      <c r="P4">
        <v>54.68</v>
      </c>
      <c r="Q4">
        <v>0.05</v>
      </c>
      <c r="R4">
        <v>0</v>
      </c>
    </row>
    <row r="5" spans="2:18" ht="12.75" customHeight="1" x14ac:dyDescent="0.25">
      <c r="C5" t="s">
        <v>156</v>
      </c>
      <c r="D5" t="s">
        <v>70</v>
      </c>
      <c r="E5">
        <v>68642215.060000002</v>
      </c>
      <c r="F5">
        <v>3508940.08</v>
      </c>
      <c r="G5">
        <v>1937384.68</v>
      </c>
      <c r="H5">
        <v>1197161.24</v>
      </c>
      <c r="I5">
        <v>11381305.140000001</v>
      </c>
      <c r="J5">
        <v>443440.65</v>
      </c>
      <c r="K5">
        <v>144941.68</v>
      </c>
      <c r="L5">
        <v>5045762.55</v>
      </c>
      <c r="M5">
        <v>6828379.4699999997</v>
      </c>
      <c r="N5">
        <v>27656324.690000001</v>
      </c>
      <c r="O5">
        <v>9809777.75</v>
      </c>
      <c r="P5">
        <v>689654.35</v>
      </c>
      <c r="Q5">
        <v>-857.22</v>
      </c>
      <c r="R5">
        <v>0</v>
      </c>
    </row>
    <row r="6" spans="2:18" s="286" customFormat="1" ht="12.75" customHeight="1" x14ac:dyDescent="0.25">
      <c r="B6" s="286" t="s">
        <v>155</v>
      </c>
      <c r="C6" s="286" t="s">
        <v>70</v>
      </c>
      <c r="E6" s="286">
        <v>68642215.060000002</v>
      </c>
      <c r="F6" s="286">
        <v>3508940.08</v>
      </c>
      <c r="G6" s="286">
        <v>1937384.68</v>
      </c>
      <c r="H6" s="286">
        <v>1197161.24</v>
      </c>
      <c r="I6" s="286">
        <v>11381305.140000001</v>
      </c>
      <c r="J6" s="286">
        <v>443440.65</v>
      </c>
      <c r="K6" s="286">
        <v>144941.68</v>
      </c>
      <c r="L6" s="286">
        <v>5045762.55</v>
      </c>
      <c r="M6" s="286">
        <v>6828379.4699999997</v>
      </c>
      <c r="N6" s="286">
        <v>27656324.690000001</v>
      </c>
      <c r="O6" s="286">
        <v>9809777.75</v>
      </c>
      <c r="P6" s="286">
        <v>689654.35</v>
      </c>
      <c r="Q6" s="286">
        <v>-857.22</v>
      </c>
      <c r="R6" s="286">
        <v>0</v>
      </c>
    </row>
    <row r="7" spans="2:18" ht="12.75" customHeight="1" x14ac:dyDescent="0.25">
      <c r="B7" s="142"/>
      <c r="D7" t="s">
        <v>72</v>
      </c>
      <c r="E7" s="142">
        <v>5479070.6699999999</v>
      </c>
      <c r="F7">
        <v>243932.99</v>
      </c>
      <c r="G7">
        <v>135534</v>
      </c>
      <c r="H7">
        <v>68532.320000000007</v>
      </c>
      <c r="I7">
        <v>1313846.94</v>
      </c>
      <c r="J7">
        <v>46576.22</v>
      </c>
      <c r="K7">
        <v>0</v>
      </c>
      <c r="L7">
        <v>417929.46</v>
      </c>
      <c r="M7">
        <v>436871.77</v>
      </c>
      <c r="N7">
        <v>2070547.96</v>
      </c>
      <c r="O7">
        <v>668883.46</v>
      </c>
      <c r="P7">
        <v>76726.720000000001</v>
      </c>
      <c r="Q7">
        <v>-311.17</v>
      </c>
      <c r="R7">
        <v>0</v>
      </c>
    </row>
    <row r="8" spans="2:18" ht="12.75" customHeight="1" x14ac:dyDescent="0.25">
      <c r="B8" s="142"/>
      <c r="D8" t="s">
        <v>81</v>
      </c>
      <c r="E8" s="142">
        <v>24.04</v>
      </c>
      <c r="F8">
        <v>1.51</v>
      </c>
      <c r="G8">
        <v>0.84</v>
      </c>
      <c r="H8">
        <v>0.45</v>
      </c>
      <c r="I8">
        <v>5.71</v>
      </c>
      <c r="J8">
        <v>0.14000000000000001</v>
      </c>
      <c r="K8">
        <v>0</v>
      </c>
      <c r="L8">
        <v>1.1200000000000001</v>
      </c>
      <c r="M8">
        <v>1.78</v>
      </c>
      <c r="N8">
        <v>8.4</v>
      </c>
      <c r="O8">
        <v>3.85</v>
      </c>
      <c r="P8">
        <v>0.24</v>
      </c>
      <c r="Q8">
        <v>0</v>
      </c>
      <c r="R8">
        <v>0</v>
      </c>
    </row>
    <row r="9" spans="2:18" ht="12.75" customHeight="1" x14ac:dyDescent="0.25">
      <c r="B9" s="142"/>
      <c r="C9" t="s">
        <v>82</v>
      </c>
      <c r="D9" t="s">
        <v>70</v>
      </c>
      <c r="E9" s="142">
        <v>5479094.71</v>
      </c>
      <c r="F9">
        <v>243934.5</v>
      </c>
      <c r="G9">
        <v>135534.84</v>
      </c>
      <c r="H9">
        <v>68532.77</v>
      </c>
      <c r="I9">
        <v>1313852.6499999999</v>
      </c>
      <c r="J9">
        <v>46576.36</v>
      </c>
      <c r="K9">
        <v>0</v>
      </c>
      <c r="L9">
        <v>417930.58</v>
      </c>
      <c r="M9">
        <v>436873.55</v>
      </c>
      <c r="N9">
        <v>2070556.36</v>
      </c>
      <c r="O9">
        <v>668887.31000000006</v>
      </c>
      <c r="P9">
        <v>76726.960000000006</v>
      </c>
      <c r="Q9">
        <v>-311.17</v>
      </c>
      <c r="R9">
        <v>0</v>
      </c>
    </row>
    <row r="10" spans="2:18" ht="12.75" customHeight="1" x14ac:dyDescent="0.25">
      <c r="B10" s="142"/>
      <c r="D10" t="s">
        <v>72</v>
      </c>
      <c r="E10">
        <v>2699596.44</v>
      </c>
      <c r="F10">
        <v>95549.78</v>
      </c>
      <c r="G10">
        <v>53478.14</v>
      </c>
      <c r="H10">
        <v>29682.43</v>
      </c>
      <c r="I10">
        <v>366661.73</v>
      </c>
      <c r="J10">
        <v>13313.03</v>
      </c>
      <c r="K10">
        <v>0</v>
      </c>
      <c r="L10">
        <v>130811.46</v>
      </c>
      <c r="M10">
        <v>240997.61</v>
      </c>
      <c r="N10">
        <v>1493886.79</v>
      </c>
      <c r="O10">
        <v>253812.51</v>
      </c>
      <c r="P10">
        <v>21392.67</v>
      </c>
      <c r="Q10">
        <v>10.29</v>
      </c>
      <c r="R10">
        <v>0</v>
      </c>
    </row>
    <row r="11" spans="2:18" ht="12.75" customHeight="1" x14ac:dyDescent="0.25">
      <c r="B11" s="142"/>
      <c r="D11" t="s">
        <v>81</v>
      </c>
      <c r="E11">
        <v>170.73</v>
      </c>
      <c r="F11">
        <v>2.1</v>
      </c>
      <c r="G11">
        <v>1.34</v>
      </c>
      <c r="H11">
        <v>0.69</v>
      </c>
      <c r="I11">
        <v>38.159999999999997</v>
      </c>
      <c r="J11">
        <v>1.84</v>
      </c>
      <c r="K11">
        <v>0</v>
      </c>
      <c r="L11">
        <v>16.16</v>
      </c>
      <c r="M11">
        <v>20.39</v>
      </c>
      <c r="N11">
        <v>80.989999999999995</v>
      </c>
      <c r="O11">
        <v>6.05</v>
      </c>
      <c r="P11">
        <v>3.01</v>
      </c>
      <c r="Q11">
        <v>0</v>
      </c>
      <c r="R11">
        <v>0</v>
      </c>
    </row>
    <row r="12" spans="2:18" ht="12.75" customHeight="1" x14ac:dyDescent="0.25">
      <c r="B12" s="142"/>
      <c r="C12" t="s">
        <v>86</v>
      </c>
      <c r="D12" t="s">
        <v>70</v>
      </c>
      <c r="E12" s="142">
        <v>2699767.17</v>
      </c>
      <c r="F12">
        <v>95551.88</v>
      </c>
      <c r="G12">
        <v>53479.48</v>
      </c>
      <c r="H12">
        <v>29683.119999999999</v>
      </c>
      <c r="I12">
        <v>366699.89</v>
      </c>
      <c r="J12">
        <v>13314.87</v>
      </c>
      <c r="K12">
        <v>0</v>
      </c>
      <c r="L12">
        <v>130827.62</v>
      </c>
      <c r="M12">
        <v>241018</v>
      </c>
      <c r="N12">
        <v>1493967.78</v>
      </c>
      <c r="O12">
        <v>253818.56</v>
      </c>
      <c r="P12">
        <v>21395.68</v>
      </c>
      <c r="Q12">
        <v>10.29</v>
      </c>
      <c r="R12">
        <v>0</v>
      </c>
    </row>
    <row r="13" spans="2:18" ht="12.75" customHeight="1" x14ac:dyDescent="0.25">
      <c r="B13" s="142"/>
      <c r="D13" t="s">
        <v>72</v>
      </c>
      <c r="E13" s="142">
        <v>16559735.16</v>
      </c>
      <c r="F13">
        <v>1740094.46</v>
      </c>
      <c r="G13">
        <v>958303.25</v>
      </c>
      <c r="H13">
        <v>447836.01</v>
      </c>
      <c r="I13">
        <v>2709661.22</v>
      </c>
      <c r="J13">
        <v>85664.82</v>
      </c>
      <c r="K13">
        <v>0</v>
      </c>
      <c r="L13">
        <v>781263.06</v>
      </c>
      <c r="M13">
        <v>852821.92</v>
      </c>
      <c r="N13">
        <v>4145411.85</v>
      </c>
      <c r="O13">
        <v>4699990.01</v>
      </c>
      <c r="P13">
        <v>138915.45000000001</v>
      </c>
      <c r="Q13">
        <v>-226.89</v>
      </c>
      <c r="R13">
        <v>0</v>
      </c>
    </row>
    <row r="14" spans="2:18" ht="12.75" customHeight="1" x14ac:dyDescent="0.25">
      <c r="B14" s="142"/>
      <c r="D14" t="s">
        <v>81</v>
      </c>
      <c r="E14" s="142">
        <v>97115.22</v>
      </c>
      <c r="F14">
        <v>1611.55</v>
      </c>
      <c r="G14">
        <v>741.57</v>
      </c>
      <c r="H14">
        <v>427.39</v>
      </c>
      <c r="I14">
        <v>6355.99</v>
      </c>
      <c r="J14">
        <v>233.02</v>
      </c>
      <c r="K14">
        <v>0</v>
      </c>
      <c r="L14">
        <v>2044.02</v>
      </c>
      <c r="M14">
        <v>1803.07</v>
      </c>
      <c r="N14">
        <v>8235.9500000000007</v>
      </c>
      <c r="O14">
        <v>4412.45</v>
      </c>
      <c r="P14">
        <v>380.2</v>
      </c>
      <c r="Q14">
        <v>70870.009999999995</v>
      </c>
      <c r="R14">
        <v>0</v>
      </c>
    </row>
    <row r="15" spans="2:18" ht="12.75" customHeight="1" x14ac:dyDescent="0.25">
      <c r="B15" s="142"/>
      <c r="C15" s="89" t="s">
        <v>87</v>
      </c>
      <c r="D15" s="89" t="s">
        <v>70</v>
      </c>
      <c r="E15" s="90">
        <v>16656850.380000001</v>
      </c>
      <c r="F15" s="90">
        <v>1741706.01</v>
      </c>
      <c r="G15" s="90">
        <v>959044.82</v>
      </c>
      <c r="H15" s="90">
        <v>448263.4</v>
      </c>
      <c r="I15" s="90">
        <v>2716017.21</v>
      </c>
      <c r="J15" s="90">
        <v>85897.84</v>
      </c>
      <c r="K15" s="90">
        <v>0</v>
      </c>
      <c r="L15" s="90">
        <v>783307.08</v>
      </c>
      <c r="M15" s="90">
        <v>854624.99</v>
      </c>
      <c r="N15" s="90">
        <v>4153647.8</v>
      </c>
      <c r="O15" s="90">
        <v>4704402.46</v>
      </c>
      <c r="P15" s="90">
        <v>139295.65</v>
      </c>
      <c r="Q15" s="90">
        <v>70643.12</v>
      </c>
      <c r="R15">
        <v>0</v>
      </c>
    </row>
    <row r="16" spans="2:18" s="94" customFormat="1" ht="12.75" customHeight="1" x14ac:dyDescent="0.25">
      <c r="B16" s="101" t="s">
        <v>119</v>
      </c>
      <c r="C16" s="101" t="s">
        <v>70</v>
      </c>
      <c r="E16" s="93">
        <v>24835712.260000002</v>
      </c>
      <c r="F16" s="93">
        <v>2081192.39</v>
      </c>
      <c r="G16" s="93">
        <v>1148059.1399999999</v>
      </c>
      <c r="H16" s="93">
        <v>546479.29</v>
      </c>
      <c r="I16" s="93">
        <v>4396569.75</v>
      </c>
      <c r="J16" s="93">
        <v>145789.07</v>
      </c>
      <c r="K16" s="93">
        <v>0</v>
      </c>
      <c r="L16" s="93">
        <v>1332065.28</v>
      </c>
      <c r="M16" s="93">
        <v>1532516.54</v>
      </c>
      <c r="N16" s="93">
        <v>7718171.9400000004</v>
      </c>
      <c r="O16" s="93">
        <v>5627108.3300000001</v>
      </c>
      <c r="P16" s="93">
        <v>237418.29</v>
      </c>
      <c r="Q16" s="93">
        <v>70342.240000000005</v>
      </c>
      <c r="R16" s="94">
        <v>0</v>
      </c>
    </row>
    <row r="17" spans="1:18" s="226" customFormat="1" ht="12.75" customHeight="1" x14ac:dyDescent="0.25">
      <c r="A17" s="98" t="s">
        <v>78</v>
      </c>
      <c r="B17" s="98" t="s">
        <v>70</v>
      </c>
      <c r="E17" s="100">
        <v>93477927.319999993</v>
      </c>
      <c r="F17" s="100">
        <v>5590132.4699999997</v>
      </c>
      <c r="G17" s="100">
        <v>3085443.82</v>
      </c>
      <c r="H17" s="100">
        <v>1743640.53</v>
      </c>
      <c r="I17" s="100">
        <v>15777874.890000001</v>
      </c>
      <c r="J17" s="100">
        <v>589229.72</v>
      </c>
      <c r="K17" s="100">
        <v>144941.68</v>
      </c>
      <c r="L17" s="100">
        <v>6377827.8300000001</v>
      </c>
      <c r="M17" s="100">
        <v>8360896.0099999998</v>
      </c>
      <c r="N17" s="100">
        <v>35374496.630000003</v>
      </c>
      <c r="O17" s="100">
        <v>15436886.08</v>
      </c>
      <c r="P17" s="100">
        <v>927072.64</v>
      </c>
      <c r="Q17" s="100">
        <v>69485.02</v>
      </c>
      <c r="R17" s="226">
        <v>0</v>
      </c>
    </row>
    <row r="18" spans="1:18" ht="12.75" customHeight="1" x14ac:dyDescent="0.25">
      <c r="D18" s="89" t="s">
        <v>73</v>
      </c>
      <c r="E18" s="371">
        <v>-16919807.52</v>
      </c>
      <c r="F18" s="90">
        <v>-6426.91</v>
      </c>
      <c r="G18" s="90">
        <v>-7107.75</v>
      </c>
      <c r="H18" s="90">
        <v>-34767.29</v>
      </c>
      <c r="I18" s="90">
        <v>-4744685.92</v>
      </c>
      <c r="J18" s="90">
        <v>-208801.3</v>
      </c>
      <c r="K18" s="90">
        <v>0</v>
      </c>
      <c r="L18" s="90">
        <v>-1830873.33</v>
      </c>
      <c r="M18" s="90">
        <v>-1718121.47</v>
      </c>
      <c r="N18" s="90">
        <v>-8045333.6799999997</v>
      </c>
      <c r="O18" s="90">
        <v>17277.310000000001</v>
      </c>
      <c r="P18" s="90">
        <v>-340967.18</v>
      </c>
      <c r="Q18" s="90">
        <v>0</v>
      </c>
      <c r="R18">
        <v>0</v>
      </c>
    </row>
    <row r="19" spans="1:18" ht="12.75" customHeight="1" x14ac:dyDescent="0.25">
      <c r="C19" s="89" t="s">
        <v>156</v>
      </c>
      <c r="D19" s="89" t="s">
        <v>70</v>
      </c>
      <c r="E19" s="90">
        <v>-16919807.52</v>
      </c>
      <c r="F19" s="90">
        <v>-6426.91</v>
      </c>
      <c r="G19" s="90">
        <v>-7107.75</v>
      </c>
      <c r="H19" s="90">
        <v>-34767.29</v>
      </c>
      <c r="I19" s="90">
        <v>-4744685.92</v>
      </c>
      <c r="J19" s="90">
        <v>-208801.3</v>
      </c>
      <c r="K19" s="90">
        <v>0</v>
      </c>
      <c r="L19" s="90">
        <v>-1830873.33</v>
      </c>
      <c r="M19" s="90">
        <v>-1718121.47</v>
      </c>
      <c r="N19" s="90">
        <v>-8045333.6799999997</v>
      </c>
      <c r="O19" s="90">
        <v>17277.310000000001</v>
      </c>
      <c r="P19" s="90">
        <v>-340967.18</v>
      </c>
      <c r="Q19" s="90">
        <v>0</v>
      </c>
      <c r="R19">
        <v>0</v>
      </c>
    </row>
    <row r="20" spans="1:18" s="286" customFormat="1" ht="12.75" customHeight="1" x14ac:dyDescent="0.25">
      <c r="B20" s="286" t="s">
        <v>155</v>
      </c>
      <c r="C20" s="286" t="s">
        <v>70</v>
      </c>
      <c r="E20" s="286">
        <v>-16919807.52</v>
      </c>
      <c r="F20" s="286">
        <v>-6426.91</v>
      </c>
      <c r="G20" s="286">
        <v>-7107.75</v>
      </c>
      <c r="H20" s="286">
        <v>-34767.29</v>
      </c>
      <c r="I20" s="286">
        <v>-4744685.92</v>
      </c>
      <c r="J20" s="286">
        <v>-208801.3</v>
      </c>
      <c r="K20" s="286">
        <v>0</v>
      </c>
      <c r="L20" s="286">
        <v>-1830873.33</v>
      </c>
      <c r="M20" s="286">
        <v>-1718121.47</v>
      </c>
      <c r="N20" s="286">
        <v>-8045333.6799999997</v>
      </c>
      <c r="O20" s="286">
        <v>17277.310000000001</v>
      </c>
      <c r="P20" s="286">
        <v>-340967.18</v>
      </c>
      <c r="Q20" s="286">
        <v>0</v>
      </c>
      <c r="R20" s="286">
        <v>0</v>
      </c>
    </row>
    <row r="21" spans="1:18" ht="12.75" customHeight="1" x14ac:dyDescent="0.25">
      <c r="D21" s="89" t="s">
        <v>73</v>
      </c>
      <c r="E21" s="371">
        <v>-1356390.25</v>
      </c>
      <c r="F21" s="90">
        <v>-51804.26</v>
      </c>
      <c r="G21" s="90">
        <v>-28844.43</v>
      </c>
      <c r="H21" s="90">
        <v>-17259.48</v>
      </c>
      <c r="I21" s="90">
        <v>-345570.32</v>
      </c>
      <c r="J21" s="90">
        <v>-14236.76</v>
      </c>
      <c r="K21" s="90">
        <v>0</v>
      </c>
      <c r="L21" s="90">
        <v>-122635.53</v>
      </c>
      <c r="M21" s="90">
        <v>-108695.22</v>
      </c>
      <c r="N21" s="90">
        <v>-510206.19</v>
      </c>
      <c r="O21" s="90">
        <v>-133910.1</v>
      </c>
      <c r="P21" s="90">
        <v>-23227.96</v>
      </c>
      <c r="Q21" s="90">
        <v>0</v>
      </c>
      <c r="R21">
        <v>0</v>
      </c>
    </row>
    <row r="22" spans="1:18" ht="12.75" customHeight="1" x14ac:dyDescent="0.25">
      <c r="C22" s="89" t="s">
        <v>82</v>
      </c>
      <c r="D22" s="89" t="s">
        <v>70</v>
      </c>
      <c r="E22" s="90">
        <v>-1356390.25</v>
      </c>
      <c r="F22" s="90">
        <v>-51804.26</v>
      </c>
      <c r="G22" s="90">
        <v>-28844.43</v>
      </c>
      <c r="H22" s="90">
        <v>-17259.48</v>
      </c>
      <c r="I22" s="90">
        <v>-345570.32</v>
      </c>
      <c r="J22" s="90">
        <v>-14236.76</v>
      </c>
      <c r="K22" s="90">
        <v>0</v>
      </c>
      <c r="L22" s="90">
        <v>-122635.53</v>
      </c>
      <c r="M22" s="90">
        <v>-108695.22</v>
      </c>
      <c r="N22" s="90">
        <v>-510206.19</v>
      </c>
      <c r="O22" s="90">
        <v>-133910.1</v>
      </c>
      <c r="P22" s="90">
        <v>-23227.96</v>
      </c>
      <c r="Q22" s="90">
        <v>0</v>
      </c>
      <c r="R22">
        <v>0</v>
      </c>
    </row>
    <row r="23" spans="1:18" ht="12.75" customHeight="1" x14ac:dyDescent="0.25">
      <c r="D23" s="89" t="s">
        <v>73</v>
      </c>
      <c r="E23" s="90">
        <v>61917.71</v>
      </c>
      <c r="F23" s="90">
        <v>13174.66</v>
      </c>
      <c r="G23" s="90">
        <v>7205.8</v>
      </c>
      <c r="H23" s="90">
        <v>3797.3</v>
      </c>
      <c r="I23" s="90">
        <v>-12047.96</v>
      </c>
      <c r="J23" s="90">
        <v>-622.88</v>
      </c>
      <c r="K23" s="90">
        <v>0</v>
      </c>
      <c r="L23" s="90">
        <v>-5223.01</v>
      </c>
      <c r="M23" s="90">
        <v>2354.17</v>
      </c>
      <c r="N23" s="90">
        <v>15672.26</v>
      </c>
      <c r="O23" s="90">
        <v>38623.800000000003</v>
      </c>
      <c r="P23" s="90">
        <v>-1016.43</v>
      </c>
      <c r="Q23" s="90">
        <v>0</v>
      </c>
      <c r="R23">
        <v>0</v>
      </c>
    </row>
    <row r="24" spans="1:18" ht="12.75" customHeight="1" x14ac:dyDescent="0.25">
      <c r="C24" s="89" t="s">
        <v>86</v>
      </c>
      <c r="D24" s="89" t="s">
        <v>70</v>
      </c>
      <c r="E24" s="90">
        <v>61917.71</v>
      </c>
      <c r="F24" s="90">
        <v>13174.66</v>
      </c>
      <c r="G24" s="90">
        <v>7205.8</v>
      </c>
      <c r="H24" s="90">
        <v>3797.3</v>
      </c>
      <c r="I24" s="90">
        <v>-12047.96</v>
      </c>
      <c r="J24" s="90">
        <v>-622.88</v>
      </c>
      <c r="K24" s="90">
        <v>0</v>
      </c>
      <c r="L24" s="90">
        <v>-5223.01</v>
      </c>
      <c r="M24" s="90">
        <v>2354.17</v>
      </c>
      <c r="N24" s="90">
        <v>15672.26</v>
      </c>
      <c r="O24" s="90">
        <v>38623.800000000003</v>
      </c>
      <c r="P24" s="90">
        <v>-1016.43</v>
      </c>
      <c r="Q24" s="90">
        <v>0</v>
      </c>
      <c r="R24">
        <v>0</v>
      </c>
    </row>
    <row r="25" spans="1:18" ht="12.75" customHeight="1" x14ac:dyDescent="0.25">
      <c r="D25" s="89" t="s">
        <v>73</v>
      </c>
      <c r="E25" s="90">
        <v>4242196.6100000003</v>
      </c>
      <c r="F25" s="90">
        <v>775349.09</v>
      </c>
      <c r="G25" s="90">
        <v>387936.56</v>
      </c>
      <c r="H25" s="90">
        <v>236215.92</v>
      </c>
      <c r="I25" s="90">
        <v>186954.68</v>
      </c>
      <c r="J25" s="90">
        <v>2849.95</v>
      </c>
      <c r="K25" s="90">
        <v>0</v>
      </c>
      <c r="L25" s="90">
        <v>32697.31</v>
      </c>
      <c r="M25" s="90">
        <v>67381.58</v>
      </c>
      <c r="N25" s="90">
        <v>316544.44</v>
      </c>
      <c r="O25" s="90">
        <v>2231313.2999999998</v>
      </c>
      <c r="P25" s="90">
        <v>4953.78</v>
      </c>
      <c r="Q25" s="90">
        <v>0</v>
      </c>
      <c r="R25">
        <v>0</v>
      </c>
    </row>
    <row r="26" spans="1:18" ht="12.75" customHeight="1" x14ac:dyDescent="0.25">
      <c r="C26" s="89" t="s">
        <v>87</v>
      </c>
      <c r="D26" s="89" t="s">
        <v>70</v>
      </c>
      <c r="E26" s="90">
        <v>4242196.6100000003</v>
      </c>
      <c r="F26" s="90">
        <v>775349.09</v>
      </c>
      <c r="G26" s="90">
        <v>387936.56</v>
      </c>
      <c r="H26" s="90">
        <v>236215.92</v>
      </c>
      <c r="I26" s="90">
        <v>186954.68</v>
      </c>
      <c r="J26" s="90">
        <v>2849.95</v>
      </c>
      <c r="K26" s="90">
        <v>0</v>
      </c>
      <c r="L26" s="90">
        <v>32697.31</v>
      </c>
      <c r="M26" s="90">
        <v>67381.58</v>
      </c>
      <c r="N26" s="90">
        <v>316544.44</v>
      </c>
      <c r="O26" s="90">
        <v>2231313.2999999998</v>
      </c>
      <c r="P26" s="90">
        <v>4953.78</v>
      </c>
      <c r="Q26" s="90">
        <v>0</v>
      </c>
      <c r="R26">
        <v>0</v>
      </c>
    </row>
    <row r="27" spans="1:18" s="94" customFormat="1" ht="12.75" customHeight="1" x14ac:dyDescent="0.25">
      <c r="B27" s="101" t="s">
        <v>119</v>
      </c>
      <c r="C27" s="101" t="s">
        <v>70</v>
      </c>
      <c r="E27" s="93">
        <v>2947724.07</v>
      </c>
      <c r="F27" s="93">
        <v>736719.49</v>
      </c>
      <c r="G27" s="93">
        <v>366297.93</v>
      </c>
      <c r="H27" s="93">
        <v>222753.74</v>
      </c>
      <c r="I27" s="93">
        <v>-170663.6</v>
      </c>
      <c r="J27" s="93">
        <v>-12009.69</v>
      </c>
      <c r="K27" s="93">
        <v>0</v>
      </c>
      <c r="L27" s="93">
        <v>-95161.23</v>
      </c>
      <c r="M27" s="93">
        <v>-38959.47</v>
      </c>
      <c r="N27" s="93">
        <v>-177989.49</v>
      </c>
      <c r="O27" s="93">
        <v>2136027</v>
      </c>
      <c r="P27" s="93">
        <v>-19290.61</v>
      </c>
      <c r="Q27" s="93">
        <v>0</v>
      </c>
      <c r="R27" s="94">
        <v>0</v>
      </c>
    </row>
    <row r="28" spans="1:18" s="226" customFormat="1" ht="12.75" customHeight="1" x14ac:dyDescent="0.25">
      <c r="A28" s="98" t="s">
        <v>79</v>
      </c>
      <c r="B28" s="98" t="s">
        <v>70</v>
      </c>
      <c r="E28" s="100">
        <v>-13972083.449999999</v>
      </c>
      <c r="F28" s="100">
        <v>730292.58</v>
      </c>
      <c r="G28" s="100">
        <v>359190.18</v>
      </c>
      <c r="H28" s="100">
        <v>187986.45</v>
      </c>
      <c r="I28" s="100">
        <v>-4915349.5199999996</v>
      </c>
      <c r="J28" s="100">
        <v>-220810.99</v>
      </c>
      <c r="K28" s="100">
        <v>0</v>
      </c>
      <c r="L28" s="100">
        <v>-1926034.56</v>
      </c>
      <c r="M28" s="100">
        <v>-1757080.94</v>
      </c>
      <c r="N28" s="100">
        <v>-8223323.1699999999</v>
      </c>
      <c r="O28" s="100">
        <v>2153304.31</v>
      </c>
      <c r="P28" s="100">
        <v>-360257.79</v>
      </c>
      <c r="Q28" s="100">
        <v>0</v>
      </c>
      <c r="R28" s="226">
        <v>0</v>
      </c>
    </row>
    <row r="29" spans="1:18" ht="12.75" customHeight="1" x14ac:dyDescent="0.25">
      <c r="A29" s="89" t="s">
        <v>70</v>
      </c>
      <c r="E29" s="90">
        <v>79505843.870000005</v>
      </c>
      <c r="F29" s="90">
        <v>6320425.0499999998</v>
      </c>
      <c r="G29" s="90">
        <v>3444634</v>
      </c>
      <c r="H29" s="90">
        <v>1931626.98</v>
      </c>
      <c r="I29" s="90">
        <v>10862525.369999999</v>
      </c>
      <c r="J29" s="90">
        <v>368418.73</v>
      </c>
      <c r="K29" s="90">
        <v>144941.68</v>
      </c>
      <c r="L29" s="90">
        <v>4451793.2699999996</v>
      </c>
      <c r="M29" s="90">
        <v>6603815.0700000003</v>
      </c>
      <c r="N29" s="90">
        <v>27151173.460000001</v>
      </c>
      <c r="O29" s="90">
        <v>17590190.390000001</v>
      </c>
      <c r="P29" s="90">
        <v>566814.85</v>
      </c>
      <c r="Q29" s="90">
        <v>69485.02</v>
      </c>
      <c r="R29" s="144">
        <v>0</v>
      </c>
    </row>
    <row r="30" spans="1:18" ht="12.75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customHeight="1" x14ac:dyDescent="0.25">
      <c r="B43" s="774" t="s">
        <v>2</v>
      </c>
      <c r="C43" s="772" t="s">
        <v>132</v>
      </c>
      <c r="D43" s="98" t="s">
        <v>70</v>
      </c>
      <c r="E43" s="100">
        <f>E17+E28-K17</f>
        <v>79360902.189999983</v>
      </c>
      <c r="F43" s="100">
        <f>F17</f>
        <v>5590132.4699999997</v>
      </c>
      <c r="G43" s="100">
        <f t="shared" ref="G43:S43" si="0">G17</f>
        <v>3085443.82</v>
      </c>
      <c r="H43" s="100">
        <f t="shared" si="0"/>
        <v>1743640.53</v>
      </c>
      <c r="I43" s="100">
        <f t="shared" si="0"/>
        <v>15777874.890000001</v>
      </c>
      <c r="J43" s="100">
        <f t="shared" si="0"/>
        <v>589229.72</v>
      </c>
      <c r="K43" s="100">
        <f t="shared" si="0"/>
        <v>144941.68</v>
      </c>
      <c r="L43" s="100">
        <f t="shared" si="0"/>
        <v>6377827.8300000001</v>
      </c>
      <c r="M43" s="100">
        <f t="shared" si="0"/>
        <v>8360896.0099999998</v>
      </c>
      <c r="N43" s="100">
        <f t="shared" si="0"/>
        <v>35374496.630000003</v>
      </c>
      <c r="O43" s="100">
        <f t="shared" si="0"/>
        <v>15436886.08</v>
      </c>
      <c r="P43" s="100">
        <f t="shared" si="0"/>
        <v>927072.64</v>
      </c>
      <c r="Q43" s="100">
        <f t="shared" si="0"/>
        <v>69485.02</v>
      </c>
      <c r="R43" s="100">
        <f t="shared" si="0"/>
        <v>0</v>
      </c>
      <c r="S43" s="100">
        <f t="shared" si="0"/>
        <v>0</v>
      </c>
    </row>
    <row r="44" spans="1:19" ht="12.75" customHeight="1" x14ac:dyDescent="0.25">
      <c r="B44" s="774"/>
      <c r="C44" s="772"/>
      <c r="D44" s="98" t="s">
        <v>73</v>
      </c>
      <c r="E44" s="100">
        <f>E28</f>
        <v>-13972083.449999999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spans="1:19" ht="12.75" customHeight="1" x14ac:dyDescent="0.25">
      <c r="A45" s="89"/>
      <c r="B45" s="97"/>
      <c r="E45" s="371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 ht="12.75" customHeight="1" x14ac:dyDescent="0.25">
      <c r="B46" s="774" t="s">
        <v>160</v>
      </c>
      <c r="C46" s="772" t="s">
        <v>132</v>
      </c>
      <c r="D46" s="223" t="s">
        <v>70</v>
      </c>
      <c r="E46" s="225">
        <v>0</v>
      </c>
      <c r="F46" s="225">
        <v>0</v>
      </c>
      <c r="G46" s="225">
        <v>0</v>
      </c>
      <c r="H46" s="225">
        <v>0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225">
        <v>0</v>
      </c>
      <c r="P46" s="225">
        <v>0</v>
      </c>
      <c r="Q46" s="225">
        <v>0</v>
      </c>
      <c r="R46" s="225">
        <v>0</v>
      </c>
      <c r="S46" s="225">
        <v>0</v>
      </c>
    </row>
    <row r="47" spans="1:19" ht="12.75" customHeight="1" x14ac:dyDescent="0.25">
      <c r="B47" s="774"/>
      <c r="C47" s="772"/>
      <c r="D47" s="223" t="s">
        <v>73</v>
      </c>
      <c r="E47" s="225">
        <v>0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ht="12.75" customHeight="1" x14ac:dyDescent="0.25">
      <c r="A48" s="89"/>
      <c r="B48" s="97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B49" s="774" t="s">
        <v>155</v>
      </c>
      <c r="C49" s="772" t="s">
        <v>132</v>
      </c>
      <c r="D49" s="221" t="s">
        <v>70</v>
      </c>
      <c r="E49" s="222">
        <f>E20+E6-K6</f>
        <v>51577465.860000007</v>
      </c>
      <c r="F49" s="222">
        <f>F6</f>
        <v>3508940.08</v>
      </c>
      <c r="G49" s="222">
        <f t="shared" ref="G49:S49" si="1">G6</f>
        <v>1937384.68</v>
      </c>
      <c r="H49" s="222">
        <f t="shared" si="1"/>
        <v>1197161.24</v>
      </c>
      <c r="I49" s="222">
        <f t="shared" si="1"/>
        <v>11381305.140000001</v>
      </c>
      <c r="J49" s="222">
        <f t="shared" si="1"/>
        <v>443440.65</v>
      </c>
      <c r="K49" s="222">
        <f t="shared" si="1"/>
        <v>144941.68</v>
      </c>
      <c r="L49" s="222">
        <f t="shared" si="1"/>
        <v>5045762.55</v>
      </c>
      <c r="M49" s="222">
        <f t="shared" si="1"/>
        <v>6828379.4699999997</v>
      </c>
      <c r="N49" s="222">
        <f t="shared" si="1"/>
        <v>27656324.690000001</v>
      </c>
      <c r="O49" s="222">
        <f t="shared" si="1"/>
        <v>9809777.75</v>
      </c>
      <c r="P49" s="222">
        <f t="shared" si="1"/>
        <v>689654.35</v>
      </c>
      <c r="Q49" s="222">
        <f t="shared" si="1"/>
        <v>-857.22</v>
      </c>
      <c r="R49" s="222">
        <f t="shared" si="1"/>
        <v>0</v>
      </c>
      <c r="S49" s="222">
        <f t="shared" si="1"/>
        <v>0</v>
      </c>
    </row>
    <row r="50" spans="1:19" ht="12.75" customHeight="1" x14ac:dyDescent="0.25">
      <c r="B50" s="774"/>
      <c r="C50" s="772"/>
      <c r="D50" s="221" t="s">
        <v>73</v>
      </c>
      <c r="E50" s="222">
        <f>E20</f>
        <v>-16919807.52</v>
      </c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19" ht="12.75" customHeight="1" x14ac:dyDescent="0.25">
      <c r="A51" s="89"/>
      <c r="B51" s="97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B52" s="775" t="s">
        <v>327</v>
      </c>
      <c r="C52" s="772" t="s">
        <v>132</v>
      </c>
      <c r="D52" s="373" t="s">
        <v>70</v>
      </c>
      <c r="E52" s="374">
        <v>0</v>
      </c>
      <c r="F52" s="374">
        <v>0</v>
      </c>
      <c r="G52" s="374">
        <v>0</v>
      </c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374">
        <v>0</v>
      </c>
      <c r="O52" s="374">
        <v>0</v>
      </c>
      <c r="P52" s="374">
        <v>0</v>
      </c>
      <c r="Q52" s="374">
        <v>0</v>
      </c>
      <c r="R52" s="374">
        <v>0</v>
      </c>
    </row>
    <row r="53" spans="1:19" ht="12.75" customHeight="1" x14ac:dyDescent="0.25">
      <c r="B53" s="775"/>
      <c r="C53" s="772"/>
      <c r="D53" s="373" t="s">
        <v>73</v>
      </c>
      <c r="E53" s="374">
        <v>0</v>
      </c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</row>
    <row r="54" spans="1:19" ht="12.75" customHeight="1" x14ac:dyDescent="0.25">
      <c r="A54" s="89"/>
      <c r="B54" s="97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B55" s="774" t="s">
        <v>119</v>
      </c>
      <c r="C55" s="772" t="s">
        <v>132</v>
      </c>
      <c r="D55" s="101" t="s">
        <v>70</v>
      </c>
      <c r="E55" s="93">
        <f>E16+E27-K16</f>
        <v>27783436.330000002</v>
      </c>
      <c r="F55" s="93">
        <f>F16</f>
        <v>2081192.39</v>
      </c>
      <c r="G55" s="93">
        <f t="shared" ref="G55:S55" si="2">G16</f>
        <v>1148059.1399999999</v>
      </c>
      <c r="H55" s="93">
        <f t="shared" si="2"/>
        <v>546479.29</v>
      </c>
      <c r="I55" s="93">
        <f t="shared" si="2"/>
        <v>4396569.75</v>
      </c>
      <c r="J55" s="93">
        <f t="shared" si="2"/>
        <v>145789.07</v>
      </c>
      <c r="K55" s="93">
        <f t="shared" si="2"/>
        <v>0</v>
      </c>
      <c r="L55" s="93">
        <f t="shared" si="2"/>
        <v>1332065.28</v>
      </c>
      <c r="M55" s="93">
        <f t="shared" si="2"/>
        <v>1532516.54</v>
      </c>
      <c r="N55" s="93">
        <f t="shared" si="2"/>
        <v>7718171.9400000004</v>
      </c>
      <c r="O55" s="93">
        <f t="shared" si="2"/>
        <v>5627108.3300000001</v>
      </c>
      <c r="P55" s="93">
        <f t="shared" si="2"/>
        <v>237418.29</v>
      </c>
      <c r="Q55" s="93">
        <f t="shared" si="2"/>
        <v>70342.240000000005</v>
      </c>
      <c r="R55" s="93">
        <f t="shared" si="2"/>
        <v>0</v>
      </c>
      <c r="S55" s="93">
        <f t="shared" si="2"/>
        <v>0</v>
      </c>
    </row>
    <row r="56" spans="1:19" ht="12.75" customHeight="1" x14ac:dyDescent="0.25">
      <c r="B56" s="774"/>
      <c r="C56" s="772"/>
      <c r="D56" s="101" t="s">
        <v>73</v>
      </c>
      <c r="E56" s="93">
        <f>E27</f>
        <v>2947724.07</v>
      </c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19" ht="12.75" customHeight="1" x14ac:dyDescent="0.25">
      <c r="A57" s="89"/>
      <c r="B57" s="97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19" ht="12.75" customHeight="1" x14ac:dyDescent="0.25">
      <c r="B58" s="773" t="s">
        <v>161</v>
      </c>
      <c r="C58" s="772" t="s">
        <v>132</v>
      </c>
      <c r="D58" s="231" t="s">
        <v>70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</row>
    <row r="59" spans="1:19" ht="12.75" customHeight="1" x14ac:dyDescent="0.25">
      <c r="B59" s="773"/>
      <c r="C59" s="772"/>
      <c r="D59" s="231" t="s">
        <v>73</v>
      </c>
      <c r="E59" s="232">
        <v>0</v>
      </c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19" s="238" customFormat="1" x14ac:dyDescent="0.25"/>
    <row r="61" spans="1:19" x14ac:dyDescent="0.25">
      <c r="B61" s="97" t="s">
        <v>75</v>
      </c>
    </row>
    <row r="62" spans="1:19" ht="12.75" customHeight="1" x14ac:dyDescent="0.25">
      <c r="E62" s="89" t="s">
        <v>70</v>
      </c>
      <c r="F62" s="89" t="s">
        <v>64</v>
      </c>
      <c r="G62" s="89" t="s">
        <v>65</v>
      </c>
      <c r="H62" s="219" t="s">
        <v>164</v>
      </c>
      <c r="I62" s="89" t="s">
        <v>69</v>
      </c>
      <c r="J62" s="89" t="s">
        <v>68</v>
      </c>
      <c r="K62" s="89" t="s">
        <v>83</v>
      </c>
      <c r="L62" s="89" t="s">
        <v>66</v>
      </c>
      <c r="M62" s="89" t="s">
        <v>63</v>
      </c>
      <c r="N62" s="89" t="s">
        <v>61</v>
      </c>
      <c r="O62" s="89" t="s">
        <v>62</v>
      </c>
      <c r="P62" s="89" t="s">
        <v>67</v>
      </c>
      <c r="Q62" s="89" t="s">
        <v>84</v>
      </c>
      <c r="R62" s="384" t="s">
        <v>226</v>
      </c>
    </row>
    <row r="63" spans="1:19" ht="12.75" customHeight="1" x14ac:dyDescent="0.25">
      <c r="B63" s="142"/>
      <c r="D63" s="89" t="s">
        <v>72</v>
      </c>
      <c r="E63" s="90">
        <v>51343920.240000002</v>
      </c>
      <c r="F63" s="90">
        <v>2602110</v>
      </c>
      <c r="G63" s="90">
        <v>1429988.76</v>
      </c>
      <c r="H63" s="90">
        <v>515936.95</v>
      </c>
      <c r="I63" s="90">
        <v>13400417.119999999</v>
      </c>
      <c r="J63" s="90">
        <v>521328</v>
      </c>
      <c r="K63" s="90">
        <v>28554.959999999999</v>
      </c>
      <c r="L63" s="90">
        <v>4092012.47</v>
      </c>
      <c r="M63" s="90">
        <v>4006644.8</v>
      </c>
      <c r="N63" s="90">
        <v>14502764.199999999</v>
      </c>
      <c r="O63" s="90">
        <v>9664419.1500000004</v>
      </c>
      <c r="P63" s="90">
        <v>579615.44999999995</v>
      </c>
      <c r="Q63" s="90">
        <v>128.38</v>
      </c>
      <c r="R63">
        <v>0</v>
      </c>
    </row>
    <row r="64" spans="1:19" ht="12.75" customHeight="1" x14ac:dyDescent="0.25">
      <c r="B64" s="142"/>
      <c r="D64" s="89" t="s">
        <v>81</v>
      </c>
      <c r="E64" s="90">
        <v>47786.6</v>
      </c>
      <c r="F64" s="90">
        <v>3922.53</v>
      </c>
      <c r="G64" s="90">
        <v>2121.0700000000002</v>
      </c>
      <c r="H64" s="90">
        <v>1145.18</v>
      </c>
      <c r="I64" s="90">
        <v>10319.58</v>
      </c>
      <c r="J64" s="90">
        <v>371.38</v>
      </c>
      <c r="K64" s="90">
        <v>0</v>
      </c>
      <c r="L64" s="90">
        <v>3208.8</v>
      </c>
      <c r="M64" s="90">
        <v>3232.38</v>
      </c>
      <c r="N64" s="90">
        <v>15260.76</v>
      </c>
      <c r="O64" s="90">
        <v>7598.97</v>
      </c>
      <c r="P64" s="90">
        <v>605.77</v>
      </c>
      <c r="Q64" s="90">
        <v>0.18</v>
      </c>
      <c r="R64">
        <v>0</v>
      </c>
    </row>
    <row r="65" spans="2:18" ht="12.75" customHeight="1" x14ac:dyDescent="0.25">
      <c r="B65" s="142"/>
      <c r="C65" t="s">
        <v>156</v>
      </c>
      <c r="D65" s="89" t="s">
        <v>70</v>
      </c>
      <c r="E65" s="371">
        <v>51391706.840000004</v>
      </c>
      <c r="F65" s="90">
        <v>2606032.5299999998</v>
      </c>
      <c r="G65" s="90">
        <v>1432109.83</v>
      </c>
      <c r="H65" s="90">
        <v>517082.13</v>
      </c>
      <c r="I65" s="90">
        <v>13410736.699999999</v>
      </c>
      <c r="J65" s="90">
        <v>521699.38</v>
      </c>
      <c r="K65" s="90">
        <v>28554.959999999999</v>
      </c>
      <c r="L65" s="90">
        <v>4095221.27</v>
      </c>
      <c r="M65" s="90">
        <v>4009877.18</v>
      </c>
      <c r="N65" s="90">
        <v>14518024.960000001</v>
      </c>
      <c r="O65" s="90">
        <v>9672018.1199999992</v>
      </c>
      <c r="P65" s="90">
        <v>580221.22</v>
      </c>
      <c r="Q65" s="90">
        <v>128.56</v>
      </c>
      <c r="R65">
        <v>0</v>
      </c>
    </row>
    <row r="66" spans="2:18" s="286" customFormat="1" ht="12.75" customHeight="1" x14ac:dyDescent="0.25">
      <c r="B66" s="751" t="s">
        <v>155</v>
      </c>
      <c r="C66" s="286" t="s">
        <v>70</v>
      </c>
      <c r="D66" s="229"/>
      <c r="E66" s="752">
        <v>51391706.840000004</v>
      </c>
      <c r="F66" s="230">
        <v>2606032.5299999998</v>
      </c>
      <c r="G66" s="230">
        <v>1432109.83</v>
      </c>
      <c r="H66" s="230">
        <v>517082.13</v>
      </c>
      <c r="I66" s="230">
        <v>13410736.699999999</v>
      </c>
      <c r="J66" s="230">
        <v>521699.38</v>
      </c>
      <c r="K66" s="230">
        <v>28554.959999999999</v>
      </c>
      <c r="L66" s="230">
        <v>4095221.27</v>
      </c>
      <c r="M66" s="230">
        <v>4009877.18</v>
      </c>
      <c r="N66" s="230">
        <v>14518024.960000001</v>
      </c>
      <c r="O66" s="230">
        <v>9672018.1199999992</v>
      </c>
      <c r="P66" s="230">
        <v>580221.22</v>
      </c>
      <c r="Q66" s="230">
        <v>128.56</v>
      </c>
      <c r="R66" s="286">
        <v>0</v>
      </c>
    </row>
    <row r="67" spans="2:18" ht="12.6" customHeight="1" x14ac:dyDescent="0.25">
      <c r="B67" s="142"/>
      <c r="D67" s="89" t="s">
        <v>72</v>
      </c>
      <c r="E67" s="371">
        <v>6840138.1200000001</v>
      </c>
      <c r="F67" s="90">
        <v>454112</v>
      </c>
      <c r="G67" s="90">
        <v>245161.57</v>
      </c>
      <c r="H67" s="90">
        <v>117090.1</v>
      </c>
      <c r="I67" s="90">
        <v>1872723.91</v>
      </c>
      <c r="J67" s="90">
        <v>60005.279999999999</v>
      </c>
      <c r="K67" s="90">
        <v>0</v>
      </c>
      <c r="L67" s="90">
        <v>508018.52</v>
      </c>
      <c r="M67" s="90">
        <v>552024.64</v>
      </c>
      <c r="N67" s="90">
        <v>2050457.28</v>
      </c>
      <c r="O67" s="90">
        <v>910258.22</v>
      </c>
      <c r="P67" s="90">
        <v>70256.97</v>
      </c>
      <c r="Q67" s="90">
        <v>29.63</v>
      </c>
      <c r="R67">
        <v>0</v>
      </c>
    </row>
    <row r="68" spans="2:18" ht="12.75" customHeight="1" x14ac:dyDescent="0.25">
      <c r="B68" s="142"/>
      <c r="D68" s="89" t="s">
        <v>81</v>
      </c>
      <c r="E68" s="371">
        <v>709.39</v>
      </c>
      <c r="F68" s="90">
        <v>68.599999999999994</v>
      </c>
      <c r="G68" s="90">
        <v>38.729999999999997</v>
      </c>
      <c r="H68" s="90">
        <v>20.329999999999998</v>
      </c>
      <c r="I68" s="90">
        <v>148.28</v>
      </c>
      <c r="J68" s="90">
        <v>4.93</v>
      </c>
      <c r="K68" s="90">
        <v>0</v>
      </c>
      <c r="L68" s="90">
        <v>43.25</v>
      </c>
      <c r="M68" s="90">
        <v>42.04</v>
      </c>
      <c r="N68" s="90">
        <v>199.02</v>
      </c>
      <c r="O68" s="90">
        <v>136.19999999999999</v>
      </c>
      <c r="P68" s="90">
        <v>8.0399999999999991</v>
      </c>
      <c r="Q68" s="90">
        <v>-0.03</v>
      </c>
      <c r="R68">
        <v>0</v>
      </c>
    </row>
    <row r="69" spans="2:18" ht="12.75" customHeight="1" x14ac:dyDescent="0.25">
      <c r="B69" s="142"/>
      <c r="C69" t="s">
        <v>115</v>
      </c>
      <c r="D69" s="89" t="s">
        <v>70</v>
      </c>
      <c r="E69" s="90">
        <v>6840847.5099999998</v>
      </c>
      <c r="F69" s="90">
        <v>454180.6</v>
      </c>
      <c r="G69" s="90">
        <v>245200.3</v>
      </c>
      <c r="H69" s="90">
        <v>117110.43</v>
      </c>
      <c r="I69" s="90">
        <v>1872872.19</v>
      </c>
      <c r="J69" s="90">
        <v>60010.21</v>
      </c>
      <c r="K69" s="90">
        <v>0</v>
      </c>
      <c r="L69" s="90">
        <v>508061.77</v>
      </c>
      <c r="M69" s="90">
        <v>552066.68000000005</v>
      </c>
      <c r="N69" s="90">
        <v>2050656.3</v>
      </c>
      <c r="O69" s="90">
        <v>910394.42</v>
      </c>
      <c r="P69" s="90">
        <v>70265.009999999995</v>
      </c>
      <c r="Q69" s="90">
        <v>29.6</v>
      </c>
      <c r="R69">
        <v>0</v>
      </c>
    </row>
    <row r="70" spans="2:18" ht="12.75" customHeight="1" x14ac:dyDescent="0.25">
      <c r="B70" s="142"/>
      <c r="C70" s="89"/>
      <c r="D70" s="89" t="s">
        <v>72</v>
      </c>
      <c r="E70" s="371">
        <v>673112.23</v>
      </c>
      <c r="F70" s="90">
        <v>32650.05</v>
      </c>
      <c r="G70" s="90">
        <v>17891.02</v>
      </c>
      <c r="H70" s="90">
        <v>9047.7199999999993</v>
      </c>
      <c r="I70" s="90">
        <v>167209.89000000001</v>
      </c>
      <c r="J70" s="90">
        <v>5398.62</v>
      </c>
      <c r="K70" s="90">
        <v>0</v>
      </c>
      <c r="L70" s="90">
        <v>55941.8</v>
      </c>
      <c r="M70" s="90">
        <v>60888.800000000003</v>
      </c>
      <c r="N70" s="90">
        <v>234687.16</v>
      </c>
      <c r="O70" s="90">
        <v>81377.990000000005</v>
      </c>
      <c r="P70" s="90">
        <v>8018.16</v>
      </c>
      <c r="Q70" s="90">
        <v>1.02</v>
      </c>
      <c r="R70">
        <v>0</v>
      </c>
    </row>
    <row r="71" spans="2:18" ht="12.75" customHeight="1" x14ac:dyDescent="0.25">
      <c r="B71" s="142"/>
      <c r="C71" s="89" t="s">
        <v>116</v>
      </c>
      <c r="D71" s="89" t="s">
        <v>70</v>
      </c>
      <c r="E71" s="371">
        <v>673112.23</v>
      </c>
      <c r="F71" s="90">
        <v>32650.05</v>
      </c>
      <c r="G71" s="90">
        <v>17891.02</v>
      </c>
      <c r="H71" s="90">
        <v>9047.7199999999993</v>
      </c>
      <c r="I71" s="90">
        <v>167209.89000000001</v>
      </c>
      <c r="J71" s="90">
        <v>5398.62</v>
      </c>
      <c r="K71" s="90">
        <v>0</v>
      </c>
      <c r="L71" s="90">
        <v>55941.8</v>
      </c>
      <c r="M71" s="90">
        <v>60888.800000000003</v>
      </c>
      <c r="N71" s="90">
        <v>234687.16</v>
      </c>
      <c r="O71" s="90">
        <v>81377.990000000005</v>
      </c>
      <c r="P71" s="90">
        <v>8018.16</v>
      </c>
      <c r="Q71" s="90">
        <v>1.02</v>
      </c>
      <c r="R71">
        <v>0</v>
      </c>
    </row>
    <row r="72" spans="2:18" ht="12.75" customHeight="1" x14ac:dyDescent="0.25">
      <c r="B72" s="142"/>
      <c r="C72" s="89"/>
      <c r="D72" s="89" t="s">
        <v>72</v>
      </c>
      <c r="E72" s="371">
        <v>20435056.809999999</v>
      </c>
      <c r="F72" s="90">
        <v>1240239.71</v>
      </c>
      <c r="G72" s="90">
        <v>689953.48</v>
      </c>
      <c r="H72" s="90">
        <v>216277.61</v>
      </c>
      <c r="I72" s="90">
        <v>5859087.4400000004</v>
      </c>
      <c r="J72" s="90">
        <v>195777.3</v>
      </c>
      <c r="K72" s="90">
        <v>0</v>
      </c>
      <c r="L72" s="90">
        <v>1695471.12</v>
      </c>
      <c r="M72" s="90">
        <v>1662718.69</v>
      </c>
      <c r="N72" s="90">
        <v>6214722.9800000004</v>
      </c>
      <c r="O72" s="90">
        <v>2429272.63</v>
      </c>
      <c r="P72" s="90">
        <v>231590.8</v>
      </c>
      <c r="Q72" s="90">
        <v>-54.95</v>
      </c>
      <c r="R72">
        <v>0</v>
      </c>
    </row>
    <row r="73" spans="2:18" ht="12.75" customHeight="1" x14ac:dyDescent="0.25">
      <c r="B73" s="142"/>
      <c r="C73" s="89"/>
      <c r="D73" s="89" t="s">
        <v>81</v>
      </c>
      <c r="E73" s="371">
        <v>702.71</v>
      </c>
      <c r="F73" s="90">
        <v>34.64</v>
      </c>
      <c r="G73" s="90">
        <v>19.29</v>
      </c>
      <c r="H73" s="90">
        <v>10.35</v>
      </c>
      <c r="I73" s="90">
        <v>188.6</v>
      </c>
      <c r="J73" s="90">
        <v>5.12</v>
      </c>
      <c r="K73" s="90">
        <v>0</v>
      </c>
      <c r="L73" s="90">
        <v>44.89</v>
      </c>
      <c r="M73" s="90">
        <v>57.5</v>
      </c>
      <c r="N73" s="90">
        <v>264.51</v>
      </c>
      <c r="O73" s="90">
        <v>69.3</v>
      </c>
      <c r="P73" s="90">
        <v>8.36</v>
      </c>
      <c r="Q73" s="90">
        <v>0.15</v>
      </c>
      <c r="R73">
        <v>0</v>
      </c>
    </row>
    <row r="74" spans="2:18" ht="12.75" customHeight="1" x14ac:dyDescent="0.25">
      <c r="B74" s="142"/>
      <c r="C74" s="89" t="s">
        <v>118</v>
      </c>
      <c r="D74" s="89" t="s">
        <v>70</v>
      </c>
      <c r="E74" s="371">
        <v>20435759.52</v>
      </c>
      <c r="F74" s="90">
        <v>1240274.3500000001</v>
      </c>
      <c r="G74" s="90">
        <v>689972.77</v>
      </c>
      <c r="H74" s="90">
        <v>216287.96</v>
      </c>
      <c r="I74" s="90">
        <v>5859276.04</v>
      </c>
      <c r="J74" s="90">
        <v>195782.42</v>
      </c>
      <c r="K74" s="90">
        <v>0</v>
      </c>
      <c r="L74" s="90">
        <v>1695516.01</v>
      </c>
      <c r="M74" s="90">
        <v>1662776.19</v>
      </c>
      <c r="N74" s="90">
        <v>6214987.4900000002</v>
      </c>
      <c r="O74" s="90">
        <v>2429341.9300000002</v>
      </c>
      <c r="P74" s="90">
        <v>231599.16</v>
      </c>
      <c r="Q74" s="90">
        <v>-54.8</v>
      </c>
      <c r="R74">
        <v>0</v>
      </c>
    </row>
    <row r="75" spans="2:18" ht="12.75" customHeight="1" x14ac:dyDescent="0.25">
      <c r="B75" s="142"/>
      <c r="C75" s="89"/>
      <c r="D75" s="89" t="s">
        <v>72</v>
      </c>
      <c r="E75" s="371">
        <v>81263.289999999994</v>
      </c>
      <c r="F75" s="90">
        <v>8070.53</v>
      </c>
      <c r="G75" s="90">
        <v>4576.92</v>
      </c>
      <c r="H75" s="90">
        <v>2482.0500000000002</v>
      </c>
      <c r="I75" s="90">
        <v>15776.58</v>
      </c>
      <c r="J75" s="90">
        <v>568.04</v>
      </c>
      <c r="K75" s="90">
        <v>0</v>
      </c>
      <c r="L75" s="90">
        <v>4982.79</v>
      </c>
      <c r="M75" s="90">
        <v>4911.41</v>
      </c>
      <c r="N75" s="90">
        <v>22701.82</v>
      </c>
      <c r="O75" s="90">
        <v>16262.61</v>
      </c>
      <c r="P75" s="90">
        <v>926.79</v>
      </c>
      <c r="Q75" s="90">
        <v>3.75</v>
      </c>
      <c r="R75">
        <v>0</v>
      </c>
    </row>
    <row r="76" spans="2:18" ht="12.75" customHeight="1" x14ac:dyDescent="0.25">
      <c r="B76" s="142"/>
      <c r="C76" s="89" t="s">
        <v>333</v>
      </c>
      <c r="D76" s="89" t="s">
        <v>70</v>
      </c>
      <c r="E76" s="371">
        <v>81263.289999999994</v>
      </c>
      <c r="F76" s="90">
        <v>8070.53</v>
      </c>
      <c r="G76" s="90">
        <v>4576.92</v>
      </c>
      <c r="H76" s="90">
        <v>2482.0500000000002</v>
      </c>
      <c r="I76" s="90">
        <v>15776.58</v>
      </c>
      <c r="J76" s="90">
        <v>568.04</v>
      </c>
      <c r="K76" s="90">
        <v>0</v>
      </c>
      <c r="L76" s="90">
        <v>4982.79</v>
      </c>
      <c r="M76" s="90">
        <v>4911.41</v>
      </c>
      <c r="N76" s="90">
        <v>22701.82</v>
      </c>
      <c r="O76" s="90">
        <v>16262.61</v>
      </c>
      <c r="P76" s="90">
        <v>926.79</v>
      </c>
      <c r="Q76" s="90">
        <v>3.75</v>
      </c>
      <c r="R76">
        <v>0</v>
      </c>
    </row>
    <row r="77" spans="2:18" s="224" customFormat="1" ht="12.75" customHeight="1" x14ac:dyDescent="0.25">
      <c r="B77" s="224" t="s">
        <v>120</v>
      </c>
      <c r="C77" s="224" t="s">
        <v>70</v>
      </c>
      <c r="E77" s="224">
        <v>28030982.550000001</v>
      </c>
      <c r="F77" s="224">
        <v>1735175.53</v>
      </c>
      <c r="G77" s="224">
        <v>957641.01</v>
      </c>
      <c r="H77" s="224">
        <v>344928.16</v>
      </c>
      <c r="I77" s="224">
        <v>7915134.7000000002</v>
      </c>
      <c r="J77" s="224">
        <v>261759.29</v>
      </c>
      <c r="K77" s="224">
        <v>0</v>
      </c>
      <c r="L77" s="224">
        <v>2264502.37</v>
      </c>
      <c r="M77" s="224">
        <v>2280643.08</v>
      </c>
      <c r="N77" s="224">
        <v>8523032.7699999996</v>
      </c>
      <c r="O77" s="224">
        <v>3437376.95</v>
      </c>
      <c r="P77" s="224">
        <v>310809.12</v>
      </c>
      <c r="Q77" s="224">
        <v>-20.43</v>
      </c>
      <c r="R77" s="224">
        <v>0</v>
      </c>
    </row>
    <row r="78" spans="2:18" ht="12.75" customHeight="1" x14ac:dyDescent="0.25">
      <c r="D78" t="s">
        <v>72</v>
      </c>
      <c r="E78" s="142">
        <v>17110679.039999999</v>
      </c>
      <c r="F78">
        <v>1114965.1100000001</v>
      </c>
      <c r="G78">
        <v>643217.02</v>
      </c>
      <c r="H78">
        <v>278759.27</v>
      </c>
      <c r="I78">
        <v>4743645.5199999996</v>
      </c>
      <c r="J78">
        <v>124686.84</v>
      </c>
      <c r="K78">
        <v>0</v>
      </c>
      <c r="L78">
        <v>1039349.21</v>
      </c>
      <c r="M78">
        <v>1361869.33</v>
      </c>
      <c r="N78">
        <v>5411757.25</v>
      </c>
      <c r="O78">
        <v>2250306.15</v>
      </c>
      <c r="P78">
        <v>142101.98000000001</v>
      </c>
      <c r="Q78">
        <v>21.36</v>
      </c>
      <c r="R78">
        <v>0</v>
      </c>
    </row>
    <row r="79" spans="2:18" ht="12.75" customHeight="1" x14ac:dyDescent="0.25">
      <c r="D79" t="s">
        <v>81</v>
      </c>
      <c r="E79" s="142">
        <v>5496.87</v>
      </c>
      <c r="F79">
        <v>560.72</v>
      </c>
      <c r="G79">
        <v>294.57</v>
      </c>
      <c r="H79">
        <v>160.58000000000001</v>
      </c>
      <c r="I79">
        <v>1113.8800000000001</v>
      </c>
      <c r="J79">
        <v>33.65</v>
      </c>
      <c r="K79">
        <v>0</v>
      </c>
      <c r="L79">
        <v>294.88</v>
      </c>
      <c r="M79">
        <v>330.22</v>
      </c>
      <c r="N79">
        <v>1524.41</v>
      </c>
      <c r="O79">
        <v>1129.1199999999999</v>
      </c>
      <c r="P79">
        <v>54.86</v>
      </c>
      <c r="Q79">
        <v>-0.02</v>
      </c>
      <c r="R79">
        <v>0</v>
      </c>
    </row>
    <row r="80" spans="2:18" ht="12.75" customHeight="1" x14ac:dyDescent="0.25">
      <c r="C80" t="s">
        <v>82</v>
      </c>
      <c r="D80" t="s">
        <v>70</v>
      </c>
      <c r="E80" s="142">
        <v>17116175.91</v>
      </c>
      <c r="F80">
        <v>1115525.83</v>
      </c>
      <c r="G80">
        <v>643511.59</v>
      </c>
      <c r="H80">
        <v>278919.84999999998</v>
      </c>
      <c r="I80">
        <v>4744759.4000000004</v>
      </c>
      <c r="J80">
        <v>124720.49</v>
      </c>
      <c r="K80">
        <v>0</v>
      </c>
      <c r="L80">
        <v>1039644.09</v>
      </c>
      <c r="M80">
        <v>1362199.55</v>
      </c>
      <c r="N80">
        <v>5413281.6600000001</v>
      </c>
      <c r="O80">
        <v>2251435.27</v>
      </c>
      <c r="P80">
        <v>142156.84</v>
      </c>
      <c r="Q80">
        <v>21.34</v>
      </c>
      <c r="R80">
        <v>0</v>
      </c>
    </row>
    <row r="81" spans="1:18" ht="12.75" customHeight="1" x14ac:dyDescent="0.25">
      <c r="D81" t="s">
        <v>72</v>
      </c>
      <c r="E81" s="142">
        <v>32351570.859999999</v>
      </c>
      <c r="F81">
        <v>2802163.53</v>
      </c>
      <c r="G81">
        <v>1486957.55</v>
      </c>
      <c r="H81">
        <v>716604.05</v>
      </c>
      <c r="I81">
        <v>7418941.5300000003</v>
      </c>
      <c r="J81">
        <v>232182.66</v>
      </c>
      <c r="K81">
        <v>0</v>
      </c>
      <c r="L81">
        <v>2029167.74</v>
      </c>
      <c r="M81">
        <v>2313955.29</v>
      </c>
      <c r="N81">
        <v>9378853.3000000007</v>
      </c>
      <c r="O81">
        <v>5650384.9699999997</v>
      </c>
      <c r="P81">
        <v>322358.31</v>
      </c>
      <c r="Q81">
        <v>1.93</v>
      </c>
      <c r="R81">
        <v>0</v>
      </c>
    </row>
    <row r="82" spans="1:18" ht="12.75" customHeight="1" x14ac:dyDescent="0.25">
      <c r="D82" t="s">
        <v>81</v>
      </c>
      <c r="E82" s="142">
        <v>565319.18999999994</v>
      </c>
      <c r="F82">
        <v>88502.96</v>
      </c>
      <c r="G82">
        <v>46189.73</v>
      </c>
      <c r="H82">
        <v>14629.19</v>
      </c>
      <c r="I82">
        <v>80560.75</v>
      </c>
      <c r="J82">
        <v>2874.33</v>
      </c>
      <c r="K82">
        <v>0</v>
      </c>
      <c r="L82">
        <v>25174.27</v>
      </c>
      <c r="M82">
        <v>31831.15</v>
      </c>
      <c r="N82">
        <v>106543.83</v>
      </c>
      <c r="O82">
        <v>164313.70000000001</v>
      </c>
      <c r="P82">
        <v>4695.18</v>
      </c>
      <c r="Q82">
        <v>4.0999999999999996</v>
      </c>
      <c r="R82">
        <v>0</v>
      </c>
    </row>
    <row r="83" spans="1:18" ht="12.75" customHeight="1" x14ac:dyDescent="0.25">
      <c r="C83" t="s">
        <v>86</v>
      </c>
      <c r="D83" t="s">
        <v>70</v>
      </c>
      <c r="E83">
        <v>32916890.050000001</v>
      </c>
      <c r="F83">
        <v>2890666.49</v>
      </c>
      <c r="G83">
        <v>1533147.28</v>
      </c>
      <c r="H83">
        <v>731233.24</v>
      </c>
      <c r="I83">
        <v>7499502.2800000003</v>
      </c>
      <c r="J83">
        <v>235056.99</v>
      </c>
      <c r="K83">
        <v>0</v>
      </c>
      <c r="L83">
        <v>2054342.01</v>
      </c>
      <c r="M83">
        <v>2345786.44</v>
      </c>
      <c r="N83">
        <v>9485397.1300000008</v>
      </c>
      <c r="O83">
        <v>5814698.6699999999</v>
      </c>
      <c r="P83">
        <v>327053.49</v>
      </c>
      <c r="Q83">
        <v>6.03</v>
      </c>
      <c r="R83">
        <v>0</v>
      </c>
    </row>
    <row r="84" spans="1:18" ht="12.75" customHeight="1" x14ac:dyDescent="0.25">
      <c r="D84" t="s">
        <v>72</v>
      </c>
      <c r="E84">
        <v>53826317.649999999</v>
      </c>
      <c r="F84">
        <v>9840743.7100000009</v>
      </c>
      <c r="G84">
        <v>5329739.66</v>
      </c>
      <c r="H84">
        <v>2938001.13</v>
      </c>
      <c r="I84">
        <v>4729695.1399999997</v>
      </c>
      <c r="J84">
        <v>121866.12</v>
      </c>
      <c r="K84">
        <v>0</v>
      </c>
      <c r="L84">
        <v>1109113.6399999999</v>
      </c>
      <c r="M84">
        <v>1550787.71</v>
      </c>
      <c r="N84">
        <v>6188221.0499999998</v>
      </c>
      <c r="O84">
        <v>21862537.890000001</v>
      </c>
      <c r="P84">
        <v>155603.12</v>
      </c>
      <c r="Q84">
        <v>8.48</v>
      </c>
      <c r="R84">
        <v>0</v>
      </c>
    </row>
    <row r="85" spans="1:18" ht="12.75" customHeight="1" x14ac:dyDescent="0.25">
      <c r="D85" t="s">
        <v>81</v>
      </c>
      <c r="E85" s="142">
        <v>40047.599999999999</v>
      </c>
      <c r="F85">
        <v>9707.52</v>
      </c>
      <c r="G85">
        <v>5489.99</v>
      </c>
      <c r="H85">
        <v>2917.7</v>
      </c>
      <c r="I85">
        <v>710.14</v>
      </c>
      <c r="J85">
        <v>28.8</v>
      </c>
      <c r="K85">
        <v>0</v>
      </c>
      <c r="L85">
        <v>249.94</v>
      </c>
      <c r="M85">
        <v>255.78</v>
      </c>
      <c r="N85">
        <v>1213.95</v>
      </c>
      <c r="O85">
        <v>19426.939999999999</v>
      </c>
      <c r="P85">
        <v>46.91</v>
      </c>
      <c r="Q85">
        <v>-7.0000000000000007E-2</v>
      </c>
      <c r="R85">
        <v>0</v>
      </c>
    </row>
    <row r="86" spans="1:18" ht="12.75" customHeight="1" x14ac:dyDescent="0.25">
      <c r="C86" s="89" t="s">
        <v>87</v>
      </c>
      <c r="D86" s="89" t="s">
        <v>70</v>
      </c>
      <c r="E86" s="90">
        <v>53866365.25</v>
      </c>
      <c r="F86" s="90">
        <v>9850451.2300000004</v>
      </c>
      <c r="G86" s="90">
        <v>5335229.6500000004</v>
      </c>
      <c r="H86" s="90">
        <v>2940918.83</v>
      </c>
      <c r="I86" s="90">
        <v>4730405.28</v>
      </c>
      <c r="J86" s="90">
        <v>121894.92</v>
      </c>
      <c r="K86" s="90">
        <v>0</v>
      </c>
      <c r="L86" s="90">
        <v>1109363.58</v>
      </c>
      <c r="M86" s="90">
        <v>1551043.49</v>
      </c>
      <c r="N86" s="90">
        <v>6189435</v>
      </c>
      <c r="O86" s="90">
        <v>21881964.829999998</v>
      </c>
      <c r="P86" s="90">
        <v>155650.03</v>
      </c>
      <c r="Q86" s="90">
        <v>8.41</v>
      </c>
      <c r="R86">
        <v>0</v>
      </c>
    </row>
    <row r="87" spans="1:18" s="94" customFormat="1" ht="12.75" customHeight="1" x14ac:dyDescent="0.25">
      <c r="B87" s="94" t="s">
        <v>119</v>
      </c>
      <c r="C87" s="101" t="s">
        <v>70</v>
      </c>
      <c r="D87" s="101"/>
      <c r="E87" s="93">
        <v>103899431.20999999</v>
      </c>
      <c r="F87" s="93">
        <v>13856643.550000001</v>
      </c>
      <c r="G87" s="93">
        <v>7511888.5199999996</v>
      </c>
      <c r="H87" s="93">
        <v>3951071.92</v>
      </c>
      <c r="I87" s="93">
        <v>16974666.960000001</v>
      </c>
      <c r="J87" s="93">
        <v>481672.4</v>
      </c>
      <c r="K87" s="93">
        <v>0</v>
      </c>
      <c r="L87" s="93">
        <v>4203349.68</v>
      </c>
      <c r="M87" s="93">
        <v>5259029.4800000004</v>
      </c>
      <c r="N87" s="93">
        <v>21088113.789999999</v>
      </c>
      <c r="O87" s="93">
        <v>29948098.77</v>
      </c>
      <c r="P87" s="93">
        <v>624860.36</v>
      </c>
      <c r="Q87" s="93">
        <v>35.78</v>
      </c>
      <c r="R87" s="94">
        <v>0</v>
      </c>
    </row>
    <row r="88" spans="1:18" s="226" customFormat="1" ht="12.75" customHeight="1" x14ac:dyDescent="0.25">
      <c r="A88" s="98" t="s">
        <v>78</v>
      </c>
      <c r="B88" s="98" t="s">
        <v>70</v>
      </c>
      <c r="E88" s="100">
        <v>183322120.59999999</v>
      </c>
      <c r="F88" s="100">
        <v>18197851.609999999</v>
      </c>
      <c r="G88" s="100">
        <v>9901639.3599999994</v>
      </c>
      <c r="H88" s="100">
        <v>4813082.21</v>
      </c>
      <c r="I88" s="100">
        <v>38300538.359999999</v>
      </c>
      <c r="J88" s="100">
        <v>1265131.07</v>
      </c>
      <c r="K88" s="100">
        <v>28554.959999999999</v>
      </c>
      <c r="L88" s="100">
        <v>10563073.32</v>
      </c>
      <c r="M88" s="100">
        <v>11549549.74</v>
      </c>
      <c r="N88" s="100">
        <v>44129171.520000003</v>
      </c>
      <c r="O88" s="100">
        <v>43057493.840000004</v>
      </c>
      <c r="P88" s="100">
        <v>1515890.7</v>
      </c>
      <c r="Q88" s="100">
        <v>143.91</v>
      </c>
      <c r="R88" s="226">
        <v>0</v>
      </c>
    </row>
    <row r="89" spans="1:18" ht="12.75" customHeight="1" x14ac:dyDescent="0.25">
      <c r="C89" s="89"/>
      <c r="D89" s="89" t="s">
        <v>73</v>
      </c>
      <c r="E89" s="90">
        <v>-18164297.27</v>
      </c>
      <c r="F89" s="90">
        <v>-693265.31</v>
      </c>
      <c r="G89" s="90">
        <v>-389013.13</v>
      </c>
      <c r="H89" s="90">
        <v>-209776.64000000001</v>
      </c>
      <c r="I89" s="90">
        <v>-4971553.04</v>
      </c>
      <c r="J89" s="90">
        <v>-176925.19</v>
      </c>
      <c r="K89" s="90">
        <v>0</v>
      </c>
      <c r="L89" s="90">
        <v>-1541962.2</v>
      </c>
      <c r="M89" s="90">
        <v>-1497870.49</v>
      </c>
      <c r="N89" s="90">
        <v>-7051526.5899999999</v>
      </c>
      <c r="O89" s="90">
        <v>-1344264.52</v>
      </c>
      <c r="P89" s="90">
        <v>-288140.15999999997</v>
      </c>
      <c r="Q89" s="90">
        <v>0</v>
      </c>
      <c r="R89">
        <v>0</v>
      </c>
    </row>
    <row r="90" spans="1:18" ht="12.75" customHeight="1" x14ac:dyDescent="0.25">
      <c r="C90" s="89" t="s">
        <v>156</v>
      </c>
      <c r="D90" s="89" t="s">
        <v>70</v>
      </c>
      <c r="E90" s="371">
        <v>-18164297.27</v>
      </c>
      <c r="F90" s="90">
        <v>-693265.31</v>
      </c>
      <c r="G90" s="90">
        <v>-389013.13</v>
      </c>
      <c r="H90" s="90">
        <v>-209776.64000000001</v>
      </c>
      <c r="I90" s="90">
        <v>-4971553.04</v>
      </c>
      <c r="J90" s="90">
        <v>-176925.19</v>
      </c>
      <c r="K90" s="90">
        <v>0</v>
      </c>
      <c r="L90" s="90">
        <v>-1541962.2</v>
      </c>
      <c r="M90" s="90">
        <v>-1497870.49</v>
      </c>
      <c r="N90" s="90">
        <v>-7051526.5899999999</v>
      </c>
      <c r="O90" s="90">
        <v>-1344264.52</v>
      </c>
      <c r="P90" s="90">
        <v>-288140.15999999997</v>
      </c>
      <c r="Q90" s="90">
        <v>0</v>
      </c>
      <c r="R90">
        <v>0</v>
      </c>
    </row>
    <row r="91" spans="1:18" s="286" customFormat="1" ht="12.75" customHeight="1" x14ac:dyDescent="0.25">
      <c r="B91" s="286" t="s">
        <v>155</v>
      </c>
      <c r="C91" s="229" t="s">
        <v>70</v>
      </c>
      <c r="D91" s="229"/>
      <c r="E91" s="752">
        <v>-18164297.27</v>
      </c>
      <c r="F91" s="230">
        <v>-693265.31</v>
      </c>
      <c r="G91" s="230">
        <v>-389013.13</v>
      </c>
      <c r="H91" s="230">
        <v>-209776.64000000001</v>
      </c>
      <c r="I91" s="230">
        <v>-4971553.04</v>
      </c>
      <c r="J91" s="230">
        <v>-176925.19</v>
      </c>
      <c r="K91" s="230">
        <v>0</v>
      </c>
      <c r="L91" s="230">
        <v>-1541962.2</v>
      </c>
      <c r="M91" s="230">
        <v>-1497870.49</v>
      </c>
      <c r="N91" s="230">
        <v>-7051526.5899999999</v>
      </c>
      <c r="O91" s="230">
        <v>-1344264.52</v>
      </c>
      <c r="P91" s="230">
        <v>-288140.15999999997</v>
      </c>
      <c r="Q91" s="230">
        <v>0</v>
      </c>
      <c r="R91" s="286">
        <v>0</v>
      </c>
    </row>
    <row r="92" spans="1:18" ht="12.75" customHeight="1" x14ac:dyDescent="0.25">
      <c r="C92" s="89"/>
      <c r="D92" s="89" t="s">
        <v>73</v>
      </c>
      <c r="E92" s="371">
        <v>-1980469.88</v>
      </c>
      <c r="F92" s="90">
        <v>-76573.37</v>
      </c>
      <c r="G92" s="90">
        <v>-43012.32</v>
      </c>
      <c r="H92" s="90">
        <v>-23132.33</v>
      </c>
      <c r="I92" s="90">
        <v>-578166.06000000006</v>
      </c>
      <c r="J92" s="90">
        <v>-15167.61</v>
      </c>
      <c r="K92" s="90">
        <v>0</v>
      </c>
      <c r="L92" s="90">
        <v>-150753.13</v>
      </c>
      <c r="M92" s="90">
        <v>-170817.35</v>
      </c>
      <c r="N92" s="90">
        <v>-748635.28</v>
      </c>
      <c r="O92" s="90">
        <v>-149465.37</v>
      </c>
      <c r="P92" s="90">
        <v>-24747.06</v>
      </c>
      <c r="Q92" s="90">
        <v>0</v>
      </c>
      <c r="R92">
        <v>0</v>
      </c>
    </row>
    <row r="93" spans="1:18" ht="12.75" customHeight="1" x14ac:dyDescent="0.25">
      <c r="C93" s="89" t="s">
        <v>115</v>
      </c>
      <c r="D93" s="89" t="s">
        <v>70</v>
      </c>
      <c r="E93" s="90">
        <v>-1980469.88</v>
      </c>
      <c r="F93" s="90">
        <v>-76573.37</v>
      </c>
      <c r="G93" s="90">
        <v>-43012.32</v>
      </c>
      <c r="H93" s="90">
        <v>-23132.33</v>
      </c>
      <c r="I93" s="90">
        <v>-578166.06000000006</v>
      </c>
      <c r="J93" s="90">
        <v>-15167.61</v>
      </c>
      <c r="K93" s="90">
        <v>0</v>
      </c>
      <c r="L93" s="90">
        <v>-150753.13</v>
      </c>
      <c r="M93" s="90">
        <v>-170817.35</v>
      </c>
      <c r="N93" s="90">
        <v>-748635.28</v>
      </c>
      <c r="O93" s="90">
        <v>-149465.37</v>
      </c>
      <c r="P93" s="90">
        <v>-24747.06</v>
      </c>
      <c r="Q93" s="90">
        <v>0</v>
      </c>
      <c r="R93">
        <v>0</v>
      </c>
    </row>
    <row r="94" spans="1:18" ht="12.75" customHeight="1" x14ac:dyDescent="0.25">
      <c r="C94" s="89"/>
      <c r="D94" s="89" t="s">
        <v>73</v>
      </c>
      <c r="E94" s="371">
        <v>-241632.93</v>
      </c>
      <c r="F94" s="90">
        <v>-9797.6200000000008</v>
      </c>
      <c r="G94" s="90">
        <v>-5505.85</v>
      </c>
      <c r="H94" s="90">
        <v>-2902.58</v>
      </c>
      <c r="I94" s="90">
        <v>-68225.73</v>
      </c>
      <c r="J94" s="90">
        <v>-2234.25</v>
      </c>
      <c r="K94" s="90">
        <v>0</v>
      </c>
      <c r="L94" s="90">
        <v>-19598.29</v>
      </c>
      <c r="M94" s="90">
        <v>-19781.05</v>
      </c>
      <c r="N94" s="90">
        <v>-90737.12</v>
      </c>
      <c r="O94" s="90">
        <v>-19205.14</v>
      </c>
      <c r="P94" s="90">
        <v>-3645.3</v>
      </c>
      <c r="Q94" s="90">
        <v>0</v>
      </c>
      <c r="R94">
        <v>0</v>
      </c>
    </row>
    <row r="95" spans="1:18" ht="12.75" customHeight="1" x14ac:dyDescent="0.25">
      <c r="C95" s="89" t="s">
        <v>116</v>
      </c>
      <c r="D95" s="89" t="s">
        <v>70</v>
      </c>
      <c r="E95" s="371">
        <v>-241632.93</v>
      </c>
      <c r="F95" s="90">
        <v>-9797.6200000000008</v>
      </c>
      <c r="G95" s="90">
        <v>-5505.85</v>
      </c>
      <c r="H95" s="90">
        <v>-2902.58</v>
      </c>
      <c r="I95" s="90">
        <v>-68225.73</v>
      </c>
      <c r="J95" s="90">
        <v>-2234.25</v>
      </c>
      <c r="K95" s="90">
        <v>0</v>
      </c>
      <c r="L95" s="90">
        <v>-19598.29</v>
      </c>
      <c r="M95" s="90">
        <v>-19781.05</v>
      </c>
      <c r="N95" s="90">
        <v>-90737.12</v>
      </c>
      <c r="O95" s="90">
        <v>-19205.14</v>
      </c>
      <c r="P95" s="90">
        <v>-3645.3</v>
      </c>
      <c r="Q95" s="90">
        <v>0</v>
      </c>
      <c r="R95">
        <v>0</v>
      </c>
    </row>
    <row r="96" spans="1:18" ht="12.75" customHeight="1" x14ac:dyDescent="0.25">
      <c r="C96" s="89"/>
      <c r="D96" s="89" t="s">
        <v>73</v>
      </c>
      <c r="E96" s="90">
        <v>-7912371.1100000003</v>
      </c>
      <c r="F96" s="90">
        <v>-321556.94</v>
      </c>
      <c r="G96" s="90">
        <v>-184379.29</v>
      </c>
      <c r="H96" s="90">
        <v>-97803.02</v>
      </c>
      <c r="I96" s="90">
        <v>-2235433.13</v>
      </c>
      <c r="J96" s="90">
        <v>-73085.649999999994</v>
      </c>
      <c r="K96" s="90">
        <v>0</v>
      </c>
      <c r="L96" s="90">
        <v>-636486.21</v>
      </c>
      <c r="M96" s="90">
        <v>-640153.78</v>
      </c>
      <c r="N96" s="90">
        <v>-3002675.53</v>
      </c>
      <c r="O96" s="90">
        <v>-602120.32999999996</v>
      </c>
      <c r="P96" s="90">
        <v>-118677.23</v>
      </c>
      <c r="Q96" s="90">
        <v>0</v>
      </c>
      <c r="R96">
        <v>0</v>
      </c>
    </row>
    <row r="97" spans="1:19" ht="12.75" customHeight="1" x14ac:dyDescent="0.25">
      <c r="C97" s="89" t="s">
        <v>118</v>
      </c>
      <c r="D97" s="89" t="s">
        <v>70</v>
      </c>
      <c r="E97" s="90">
        <v>-7912371.1100000003</v>
      </c>
      <c r="F97" s="90">
        <v>-321556.94</v>
      </c>
      <c r="G97" s="90">
        <v>-184379.29</v>
      </c>
      <c r="H97" s="90">
        <v>-97803.02</v>
      </c>
      <c r="I97" s="90">
        <v>-2235433.13</v>
      </c>
      <c r="J97" s="90">
        <v>-73085.649999999994</v>
      </c>
      <c r="K97" s="90">
        <v>0</v>
      </c>
      <c r="L97" s="90">
        <v>-636486.21</v>
      </c>
      <c r="M97" s="90">
        <v>-640153.78</v>
      </c>
      <c r="N97" s="90">
        <v>-3002675.53</v>
      </c>
      <c r="O97" s="90">
        <v>-602120.32999999996</v>
      </c>
      <c r="P97" s="90">
        <v>-118677.23</v>
      </c>
      <c r="Q97" s="90">
        <v>0</v>
      </c>
      <c r="R97">
        <v>0</v>
      </c>
    </row>
    <row r="98" spans="1:19" ht="12.75" customHeight="1" x14ac:dyDescent="0.25">
      <c r="C98" s="89"/>
      <c r="D98" s="89" t="s">
        <v>73</v>
      </c>
      <c r="E98" s="371">
        <v>6719.84</v>
      </c>
      <c r="F98" s="90">
        <v>0</v>
      </c>
      <c r="G98" s="90">
        <v>0</v>
      </c>
      <c r="H98" s="90">
        <v>0</v>
      </c>
      <c r="I98" s="90">
        <v>0</v>
      </c>
      <c r="J98" s="90">
        <v>181.3</v>
      </c>
      <c r="K98" s="90">
        <v>0</v>
      </c>
      <c r="L98" s="90">
        <v>0</v>
      </c>
      <c r="M98" s="90">
        <v>0</v>
      </c>
      <c r="N98" s="90">
        <v>6242.75</v>
      </c>
      <c r="O98" s="90">
        <v>0</v>
      </c>
      <c r="P98" s="90">
        <v>295.79000000000002</v>
      </c>
      <c r="Q98" s="90">
        <v>0</v>
      </c>
      <c r="R98">
        <v>0</v>
      </c>
    </row>
    <row r="99" spans="1:19" ht="12.75" customHeight="1" x14ac:dyDescent="0.25">
      <c r="C99" s="89" t="s">
        <v>333</v>
      </c>
      <c r="D99" s="89" t="s">
        <v>70</v>
      </c>
      <c r="E99" s="371">
        <v>6719.84</v>
      </c>
      <c r="F99" s="90">
        <v>0</v>
      </c>
      <c r="G99" s="90">
        <v>0</v>
      </c>
      <c r="H99" s="90">
        <v>0</v>
      </c>
      <c r="I99" s="90">
        <v>0</v>
      </c>
      <c r="J99" s="90">
        <v>181.3</v>
      </c>
      <c r="K99" s="90">
        <v>0</v>
      </c>
      <c r="L99" s="90">
        <v>0</v>
      </c>
      <c r="M99" s="90">
        <v>0</v>
      </c>
      <c r="N99" s="90">
        <v>6242.75</v>
      </c>
      <c r="O99" s="90">
        <v>0</v>
      </c>
      <c r="P99" s="90">
        <v>295.79000000000002</v>
      </c>
      <c r="Q99" s="90">
        <v>0</v>
      </c>
      <c r="R99">
        <v>0</v>
      </c>
    </row>
    <row r="100" spans="1:19" s="224" customFormat="1" ht="12.75" customHeight="1" x14ac:dyDescent="0.25">
      <c r="B100" s="223" t="s">
        <v>120</v>
      </c>
      <c r="C100" s="223" t="s">
        <v>70</v>
      </c>
      <c r="E100" s="225">
        <v>-10127754.08</v>
      </c>
      <c r="F100" s="225">
        <v>-407927.93</v>
      </c>
      <c r="G100" s="225">
        <v>-232897.46</v>
      </c>
      <c r="H100" s="225">
        <v>-123837.93</v>
      </c>
      <c r="I100" s="225">
        <v>-2881824.92</v>
      </c>
      <c r="J100" s="225">
        <v>-90306.21</v>
      </c>
      <c r="K100" s="225">
        <v>0</v>
      </c>
      <c r="L100" s="225">
        <v>-806837.63</v>
      </c>
      <c r="M100" s="225">
        <v>-830752.18</v>
      </c>
      <c r="N100" s="225">
        <v>-3835805.18</v>
      </c>
      <c r="O100" s="225">
        <v>-770790.84</v>
      </c>
      <c r="P100" s="225">
        <v>-146773.79999999999</v>
      </c>
      <c r="Q100" s="225">
        <v>0</v>
      </c>
      <c r="R100" s="224">
        <v>0</v>
      </c>
    </row>
    <row r="101" spans="1:19" ht="12.75" customHeight="1" x14ac:dyDescent="0.25">
      <c r="D101" s="89" t="s">
        <v>73</v>
      </c>
      <c r="E101" s="371">
        <v>-3182911.67</v>
      </c>
      <c r="F101" s="90">
        <v>-139157.84</v>
      </c>
      <c r="G101" s="90">
        <v>-86072.83</v>
      </c>
      <c r="H101" s="90">
        <v>-50455.48</v>
      </c>
      <c r="I101" s="90">
        <v>-1005938.26</v>
      </c>
      <c r="J101" s="90">
        <v>-25590.57</v>
      </c>
      <c r="K101" s="90">
        <v>0</v>
      </c>
      <c r="L101" s="90">
        <v>-206580.44</v>
      </c>
      <c r="M101" s="90">
        <v>-276320.95</v>
      </c>
      <c r="N101" s="90">
        <v>-1228793.5900000001</v>
      </c>
      <c r="O101" s="90">
        <v>-123045.53</v>
      </c>
      <c r="P101" s="90">
        <v>-40956.18</v>
      </c>
      <c r="Q101" s="90">
        <v>0</v>
      </c>
      <c r="R101">
        <v>0</v>
      </c>
    </row>
    <row r="102" spans="1:19" ht="12.75" customHeight="1" x14ac:dyDescent="0.25">
      <c r="C102" t="s">
        <v>82</v>
      </c>
      <c r="D102" s="89" t="s">
        <v>70</v>
      </c>
      <c r="E102" s="371">
        <v>-3182911.67</v>
      </c>
      <c r="F102" s="90">
        <v>-139157.84</v>
      </c>
      <c r="G102" s="90">
        <v>-86072.83</v>
      </c>
      <c r="H102" s="90">
        <v>-50455.48</v>
      </c>
      <c r="I102" s="90">
        <v>-1005938.26</v>
      </c>
      <c r="J102" s="90">
        <v>-25590.57</v>
      </c>
      <c r="K102" s="90">
        <v>0</v>
      </c>
      <c r="L102" s="90">
        <v>-206580.44</v>
      </c>
      <c r="M102" s="90">
        <v>-276320.95</v>
      </c>
      <c r="N102" s="90">
        <v>-1228793.5900000001</v>
      </c>
      <c r="O102" s="90">
        <v>-123045.53</v>
      </c>
      <c r="P102" s="90">
        <v>-40956.18</v>
      </c>
      <c r="Q102" s="90">
        <v>0</v>
      </c>
      <c r="R102">
        <v>0</v>
      </c>
    </row>
    <row r="103" spans="1:19" ht="12.75" customHeight="1" x14ac:dyDescent="0.25">
      <c r="D103" s="89" t="s">
        <v>73</v>
      </c>
      <c r="E103" s="371">
        <v>-4176689.77</v>
      </c>
      <c r="F103" s="90">
        <v>451770.66</v>
      </c>
      <c r="G103" s="90">
        <v>48673.05</v>
      </c>
      <c r="H103" s="90">
        <v>72202.009999999995</v>
      </c>
      <c r="I103" s="90">
        <v>-1893477.11</v>
      </c>
      <c r="J103" s="90">
        <v>-59581.05</v>
      </c>
      <c r="K103" s="90">
        <v>0</v>
      </c>
      <c r="L103" s="90">
        <v>-518650.72</v>
      </c>
      <c r="M103" s="90">
        <v>-601656.88</v>
      </c>
      <c r="N103" s="90">
        <v>-2836991.94</v>
      </c>
      <c r="O103" s="90">
        <v>1257256.04</v>
      </c>
      <c r="P103" s="90">
        <v>-96233.83</v>
      </c>
      <c r="Q103" s="90">
        <v>0</v>
      </c>
      <c r="R103">
        <v>0</v>
      </c>
    </row>
    <row r="104" spans="1:19" ht="12.75" customHeight="1" x14ac:dyDescent="0.25">
      <c r="C104" t="s">
        <v>86</v>
      </c>
      <c r="D104" s="89" t="s">
        <v>70</v>
      </c>
      <c r="E104" s="371">
        <v>-4176689.77</v>
      </c>
      <c r="F104" s="90">
        <v>451770.66</v>
      </c>
      <c r="G104" s="90">
        <v>48673.05</v>
      </c>
      <c r="H104" s="90">
        <v>72202.009999999995</v>
      </c>
      <c r="I104" s="90">
        <v>-1893477.11</v>
      </c>
      <c r="J104" s="90">
        <v>-59581.05</v>
      </c>
      <c r="K104" s="90">
        <v>0</v>
      </c>
      <c r="L104" s="90">
        <v>-518650.72</v>
      </c>
      <c r="M104" s="90">
        <v>-601656.88</v>
      </c>
      <c r="N104" s="90">
        <v>-2836991.94</v>
      </c>
      <c r="O104" s="90">
        <v>1257256.04</v>
      </c>
      <c r="P104" s="90">
        <v>-96233.83</v>
      </c>
      <c r="Q104" s="90">
        <v>0</v>
      </c>
      <c r="R104">
        <v>0</v>
      </c>
    </row>
    <row r="105" spans="1:19" ht="12.75" customHeight="1" x14ac:dyDescent="0.25">
      <c r="D105" s="89" t="s">
        <v>73</v>
      </c>
      <c r="E105" s="371">
        <v>522999.54</v>
      </c>
      <c r="F105" s="90">
        <v>54236.07</v>
      </c>
      <c r="G105" s="90">
        <v>-13360.86</v>
      </c>
      <c r="H105" s="90">
        <v>-8558.5300000000007</v>
      </c>
      <c r="I105" s="90">
        <v>-495268.04</v>
      </c>
      <c r="J105" s="90">
        <v>-11654.1</v>
      </c>
      <c r="K105" s="90">
        <v>0</v>
      </c>
      <c r="L105" s="90">
        <v>-52422.98</v>
      </c>
      <c r="M105" s="90">
        <v>-98595.04</v>
      </c>
      <c r="N105" s="90">
        <v>-410478.9</v>
      </c>
      <c r="O105" s="90">
        <v>1577530.55</v>
      </c>
      <c r="P105" s="90">
        <v>-18428.63</v>
      </c>
      <c r="Q105" s="90">
        <v>0</v>
      </c>
      <c r="R105">
        <v>0</v>
      </c>
    </row>
    <row r="106" spans="1:19" ht="12.75" customHeight="1" x14ac:dyDescent="0.25">
      <c r="C106" t="s">
        <v>87</v>
      </c>
      <c r="D106" s="89" t="s">
        <v>70</v>
      </c>
      <c r="E106" s="90">
        <v>522999.54</v>
      </c>
      <c r="F106" s="90">
        <v>54236.07</v>
      </c>
      <c r="G106" s="90">
        <v>-13360.86</v>
      </c>
      <c r="H106" s="90">
        <v>-8558.5300000000007</v>
      </c>
      <c r="I106" s="90">
        <v>-495268.04</v>
      </c>
      <c r="J106" s="90">
        <v>-11654.1</v>
      </c>
      <c r="K106" s="90">
        <v>0</v>
      </c>
      <c r="L106" s="90">
        <v>-52422.98</v>
      </c>
      <c r="M106" s="90">
        <v>-98595.04</v>
      </c>
      <c r="N106" s="90">
        <v>-410478.9</v>
      </c>
      <c r="O106" s="90">
        <v>1577530.55</v>
      </c>
      <c r="P106" s="90">
        <v>-18428.63</v>
      </c>
      <c r="Q106" s="90">
        <v>0</v>
      </c>
      <c r="R106">
        <v>0</v>
      </c>
    </row>
    <row r="107" spans="1:19" s="94" customFormat="1" ht="12.75" customHeight="1" x14ac:dyDescent="0.25">
      <c r="B107" s="101" t="s">
        <v>119</v>
      </c>
      <c r="C107" s="101" t="s">
        <v>70</v>
      </c>
      <c r="E107" s="93">
        <v>-6836601.9000000004</v>
      </c>
      <c r="F107" s="93">
        <v>366848.89</v>
      </c>
      <c r="G107" s="93">
        <v>-50760.639999999999</v>
      </c>
      <c r="H107" s="93">
        <v>13188</v>
      </c>
      <c r="I107" s="93">
        <v>-3394683.41</v>
      </c>
      <c r="J107" s="93">
        <v>-96825.72</v>
      </c>
      <c r="K107" s="93">
        <v>0</v>
      </c>
      <c r="L107" s="93">
        <v>-777654.14</v>
      </c>
      <c r="M107" s="93">
        <v>-976572.87</v>
      </c>
      <c r="N107" s="93">
        <v>-4476264.43</v>
      </c>
      <c r="O107" s="93">
        <v>2711741.06</v>
      </c>
      <c r="P107" s="93">
        <v>-155618.64000000001</v>
      </c>
      <c r="Q107" s="93">
        <v>0</v>
      </c>
      <c r="R107" s="94">
        <v>0</v>
      </c>
    </row>
    <row r="108" spans="1:19" s="226" customFormat="1" ht="12.75" customHeight="1" x14ac:dyDescent="0.25">
      <c r="A108" s="98" t="s">
        <v>79</v>
      </c>
      <c r="B108" s="98" t="s">
        <v>70</v>
      </c>
      <c r="E108" s="100">
        <v>-35128653.25</v>
      </c>
      <c r="F108" s="100">
        <v>-734344.35</v>
      </c>
      <c r="G108" s="100">
        <v>-672671.23</v>
      </c>
      <c r="H108" s="100">
        <v>-320426.57</v>
      </c>
      <c r="I108" s="100">
        <v>-11248061.369999999</v>
      </c>
      <c r="J108" s="100">
        <v>-364057.12</v>
      </c>
      <c r="K108" s="100">
        <v>0</v>
      </c>
      <c r="L108" s="100">
        <v>-3126453.97</v>
      </c>
      <c r="M108" s="100">
        <v>-3305195.54</v>
      </c>
      <c r="N108" s="100">
        <v>-15363596.199999999</v>
      </c>
      <c r="O108" s="100">
        <v>596685.69999999995</v>
      </c>
      <c r="P108" s="100">
        <v>-590532.6</v>
      </c>
      <c r="Q108" s="100">
        <v>0</v>
      </c>
      <c r="R108" s="226">
        <v>0</v>
      </c>
    </row>
    <row r="109" spans="1:19" ht="12.75" customHeight="1" x14ac:dyDescent="0.25">
      <c r="A109" s="89" t="s">
        <v>70</v>
      </c>
      <c r="E109" s="90">
        <v>148193467.34999999</v>
      </c>
      <c r="F109" s="90">
        <v>17463507.260000002</v>
      </c>
      <c r="G109" s="90">
        <v>9228968.1300000008</v>
      </c>
      <c r="H109" s="90">
        <v>4492655.6399999997</v>
      </c>
      <c r="I109" s="90">
        <v>27052476.989999998</v>
      </c>
      <c r="J109" s="90">
        <v>901073.95</v>
      </c>
      <c r="K109" s="90">
        <v>28554.959999999999</v>
      </c>
      <c r="L109" s="90">
        <v>7436619.3499999996</v>
      </c>
      <c r="M109" s="90">
        <v>8244354.2000000002</v>
      </c>
      <c r="N109" s="90">
        <v>28765575.32</v>
      </c>
      <c r="O109" s="90">
        <v>43654179.539999999</v>
      </c>
      <c r="P109" s="90">
        <v>925358.1</v>
      </c>
      <c r="Q109" s="90">
        <v>143.91</v>
      </c>
      <c r="R109">
        <v>0</v>
      </c>
    </row>
    <row r="110" spans="1:19" ht="12.75" customHeight="1" x14ac:dyDescent="0.25">
      <c r="A110" s="89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19" ht="12.75" hidden="1" customHeight="1" x14ac:dyDescent="0.25">
      <c r="A111" s="89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spans="1:19" ht="12.75" hidden="1" customHeight="1" x14ac:dyDescent="0.25">
      <c r="A112" s="89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spans="1:19" ht="12.75" hidden="1" customHeight="1" x14ac:dyDescent="0.25">
      <c r="A113" s="89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19" ht="12.75" hidden="1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customHeight="1" x14ac:dyDescent="0.25">
      <c r="B140" s="774" t="s">
        <v>2</v>
      </c>
      <c r="C140" s="772" t="s">
        <v>132</v>
      </c>
      <c r="D140" s="98" t="s">
        <v>70</v>
      </c>
      <c r="E140" s="100">
        <f>E88+E108-K88</f>
        <v>148164912.38999999</v>
      </c>
      <c r="F140" s="100">
        <f t="shared" ref="F140:R140" si="3">F88</f>
        <v>18197851.609999999</v>
      </c>
      <c r="G140" s="100">
        <f t="shared" si="3"/>
        <v>9901639.3599999994</v>
      </c>
      <c r="H140" s="100">
        <f t="shared" si="3"/>
        <v>4813082.21</v>
      </c>
      <c r="I140" s="100">
        <f t="shared" si="3"/>
        <v>38300538.359999999</v>
      </c>
      <c r="J140" s="100">
        <f t="shared" si="3"/>
        <v>1265131.07</v>
      </c>
      <c r="K140" s="100">
        <f t="shared" si="3"/>
        <v>28554.959999999999</v>
      </c>
      <c r="L140" s="100">
        <f t="shared" si="3"/>
        <v>10563073.32</v>
      </c>
      <c r="M140" s="100">
        <f t="shared" si="3"/>
        <v>11549549.74</v>
      </c>
      <c r="N140" s="100">
        <f t="shared" si="3"/>
        <v>44129171.520000003</v>
      </c>
      <c r="O140" s="100">
        <f t="shared" si="3"/>
        <v>43057493.840000004</v>
      </c>
      <c r="P140" s="100">
        <f t="shared" si="3"/>
        <v>1515890.7</v>
      </c>
      <c r="Q140" s="100">
        <f t="shared" si="3"/>
        <v>143.91</v>
      </c>
      <c r="R140" s="100">
        <f t="shared" si="3"/>
        <v>0</v>
      </c>
    </row>
    <row r="141" spans="1:19" ht="12.75" customHeight="1" x14ac:dyDescent="0.25">
      <c r="B141" s="774"/>
      <c r="C141" s="772"/>
      <c r="D141" s="98" t="s">
        <v>73</v>
      </c>
      <c r="E141" s="100">
        <f>E108</f>
        <v>-35128653.25</v>
      </c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</row>
    <row r="142" spans="1:19" ht="12.75" customHeight="1" x14ac:dyDescent="0.25">
      <c r="A142" s="89"/>
      <c r="B142" s="97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</row>
    <row r="143" spans="1:19" ht="12.75" customHeight="1" x14ac:dyDescent="0.25">
      <c r="B143" s="774" t="s">
        <v>160</v>
      </c>
      <c r="C143" s="772" t="s">
        <v>132</v>
      </c>
      <c r="D143" s="223" t="s">
        <v>70</v>
      </c>
      <c r="E143" s="225">
        <f>E100+E77-K77</f>
        <v>17903228.469999999</v>
      </c>
      <c r="F143" s="225">
        <f t="shared" ref="F143:R143" si="4">F77</f>
        <v>1735175.53</v>
      </c>
      <c r="G143" s="225">
        <f t="shared" si="4"/>
        <v>957641.01</v>
      </c>
      <c r="H143" s="225">
        <f t="shared" si="4"/>
        <v>344928.16</v>
      </c>
      <c r="I143" s="225">
        <f t="shared" si="4"/>
        <v>7915134.7000000002</v>
      </c>
      <c r="J143" s="225">
        <f t="shared" si="4"/>
        <v>261759.29</v>
      </c>
      <c r="K143" s="225">
        <f t="shared" si="4"/>
        <v>0</v>
      </c>
      <c r="L143" s="225">
        <f t="shared" si="4"/>
        <v>2264502.37</v>
      </c>
      <c r="M143" s="225">
        <f t="shared" si="4"/>
        <v>2280643.08</v>
      </c>
      <c r="N143" s="225">
        <f t="shared" si="4"/>
        <v>8523032.7699999996</v>
      </c>
      <c r="O143" s="225">
        <f t="shared" si="4"/>
        <v>3437376.95</v>
      </c>
      <c r="P143" s="225">
        <f t="shared" si="4"/>
        <v>310809.12</v>
      </c>
      <c r="Q143" s="225">
        <f t="shared" si="4"/>
        <v>-20.43</v>
      </c>
      <c r="R143" s="225">
        <f t="shared" si="4"/>
        <v>0</v>
      </c>
    </row>
    <row r="144" spans="1:19" ht="12.75" customHeight="1" x14ac:dyDescent="0.25">
      <c r="B144" s="774"/>
      <c r="C144" s="772"/>
      <c r="D144" s="223" t="s">
        <v>73</v>
      </c>
      <c r="E144" s="225">
        <f>E100</f>
        <v>-10127754.08</v>
      </c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</row>
    <row r="145" spans="1:18" ht="12.6" customHeight="1" x14ac:dyDescent="0.25">
      <c r="A145" s="89"/>
      <c r="B145" s="97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B146" s="774" t="s">
        <v>155</v>
      </c>
      <c r="C146" s="772" t="s">
        <v>132</v>
      </c>
      <c r="D146" s="221" t="s">
        <v>70</v>
      </c>
      <c r="E146" s="222">
        <f>E91+E66-K66</f>
        <v>33198854.610000003</v>
      </c>
      <c r="F146" s="222">
        <f t="shared" ref="F146:R146" si="5">F66</f>
        <v>2606032.5299999998</v>
      </c>
      <c r="G146" s="222">
        <f t="shared" si="5"/>
        <v>1432109.83</v>
      </c>
      <c r="H146" s="222">
        <f t="shared" si="5"/>
        <v>517082.13</v>
      </c>
      <c r="I146" s="222">
        <f t="shared" si="5"/>
        <v>13410736.699999999</v>
      </c>
      <c r="J146" s="222">
        <f t="shared" si="5"/>
        <v>521699.38</v>
      </c>
      <c r="K146" s="222">
        <f t="shared" si="5"/>
        <v>28554.959999999999</v>
      </c>
      <c r="L146" s="222">
        <f t="shared" si="5"/>
        <v>4095221.27</v>
      </c>
      <c r="M146" s="222">
        <f t="shared" si="5"/>
        <v>4009877.18</v>
      </c>
      <c r="N146" s="222">
        <f t="shared" si="5"/>
        <v>14518024.960000001</v>
      </c>
      <c r="O146" s="222">
        <f t="shared" si="5"/>
        <v>9672018.1199999992</v>
      </c>
      <c r="P146" s="222">
        <f t="shared" si="5"/>
        <v>580221.22</v>
      </c>
      <c r="Q146" s="222">
        <f t="shared" si="5"/>
        <v>128.56</v>
      </c>
      <c r="R146" s="222">
        <f t="shared" si="5"/>
        <v>0</v>
      </c>
    </row>
    <row r="147" spans="1:18" ht="12.75" customHeight="1" x14ac:dyDescent="0.25">
      <c r="B147" s="774"/>
      <c r="C147" s="772"/>
      <c r="D147" s="221" t="s">
        <v>73</v>
      </c>
      <c r="E147" s="222">
        <f>E91</f>
        <v>-18164297.27</v>
      </c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</row>
    <row r="148" spans="1:18" ht="12.75" customHeight="1" x14ac:dyDescent="0.25">
      <c r="A148" s="89"/>
      <c r="B148" s="97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75" customHeight="1" x14ac:dyDescent="0.25">
      <c r="B149" s="775" t="s">
        <v>327</v>
      </c>
      <c r="C149" s="772" t="s">
        <v>132</v>
      </c>
      <c r="D149" s="373" t="s">
        <v>70</v>
      </c>
      <c r="E149" s="374">
        <v>0</v>
      </c>
      <c r="F149" s="374">
        <v>0</v>
      </c>
      <c r="G149" s="374">
        <v>0</v>
      </c>
      <c r="H149" s="374">
        <v>0</v>
      </c>
      <c r="I149" s="374">
        <v>0</v>
      </c>
      <c r="J149" s="374">
        <v>0</v>
      </c>
      <c r="K149" s="374">
        <v>0</v>
      </c>
      <c r="L149" s="374">
        <v>0</v>
      </c>
      <c r="M149" s="374">
        <v>0</v>
      </c>
      <c r="N149" s="374">
        <v>0</v>
      </c>
      <c r="O149" s="374">
        <v>0</v>
      </c>
      <c r="P149" s="374">
        <v>0</v>
      </c>
      <c r="Q149" s="374">
        <v>0</v>
      </c>
      <c r="R149" s="374">
        <v>0</v>
      </c>
    </row>
    <row r="150" spans="1:18" ht="12.75" customHeight="1" x14ac:dyDescent="0.25">
      <c r="B150" s="775"/>
      <c r="C150" s="772"/>
      <c r="D150" s="373" t="s">
        <v>73</v>
      </c>
      <c r="E150" s="374">
        <v>0</v>
      </c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</row>
    <row r="151" spans="1:18" ht="12.75" customHeight="1" x14ac:dyDescent="0.25">
      <c r="A151" s="89"/>
      <c r="B151" s="97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ht="12.75" customHeight="1" x14ac:dyDescent="0.25">
      <c r="B152" s="774" t="s">
        <v>119</v>
      </c>
      <c r="C152" s="772" t="s">
        <v>132</v>
      </c>
      <c r="D152" s="101" t="s">
        <v>70</v>
      </c>
      <c r="E152" s="93">
        <f>E87+E107-K87</f>
        <v>97062829.309999987</v>
      </c>
      <c r="F152" s="93">
        <f t="shared" ref="F152:R152" si="6">F87</f>
        <v>13856643.550000001</v>
      </c>
      <c r="G152" s="93">
        <f t="shared" si="6"/>
        <v>7511888.5199999996</v>
      </c>
      <c r="H152" s="93">
        <f t="shared" si="6"/>
        <v>3951071.92</v>
      </c>
      <c r="I152" s="93">
        <f t="shared" si="6"/>
        <v>16974666.960000001</v>
      </c>
      <c r="J152" s="93">
        <f t="shared" si="6"/>
        <v>481672.4</v>
      </c>
      <c r="K152" s="93">
        <f t="shared" si="6"/>
        <v>0</v>
      </c>
      <c r="L152" s="93">
        <f t="shared" si="6"/>
        <v>4203349.68</v>
      </c>
      <c r="M152" s="93">
        <f t="shared" si="6"/>
        <v>5259029.4800000004</v>
      </c>
      <c r="N152" s="93">
        <f t="shared" si="6"/>
        <v>21088113.789999999</v>
      </c>
      <c r="O152" s="93">
        <f t="shared" si="6"/>
        <v>29948098.77</v>
      </c>
      <c r="P152" s="93">
        <f t="shared" si="6"/>
        <v>624860.36</v>
      </c>
      <c r="Q152" s="93">
        <f t="shared" si="6"/>
        <v>35.78</v>
      </c>
      <c r="R152" s="93">
        <f t="shared" si="6"/>
        <v>0</v>
      </c>
    </row>
    <row r="153" spans="1:18" ht="12.75" customHeight="1" x14ac:dyDescent="0.25">
      <c r="B153" s="774"/>
      <c r="C153" s="772"/>
      <c r="D153" s="101" t="s">
        <v>73</v>
      </c>
      <c r="E153" s="93">
        <f>E107</f>
        <v>-6836601.9000000004</v>
      </c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</row>
    <row r="154" spans="1:18" ht="12.75" customHeight="1" x14ac:dyDescent="0.25">
      <c r="A154" s="89"/>
      <c r="B154" s="97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8" ht="12.75" customHeight="1" x14ac:dyDescent="0.25">
      <c r="B155" s="773" t="s">
        <v>161</v>
      </c>
      <c r="C155" s="772" t="s">
        <v>132</v>
      </c>
      <c r="D155" s="231" t="s">
        <v>70</v>
      </c>
      <c r="E155" s="232">
        <v>0</v>
      </c>
      <c r="F155" s="232">
        <v>0</v>
      </c>
      <c r="G155" s="232">
        <v>0</v>
      </c>
      <c r="H155" s="232">
        <v>0</v>
      </c>
      <c r="I155" s="232">
        <v>0</v>
      </c>
      <c r="J155" s="232">
        <v>0</v>
      </c>
      <c r="K155" s="232">
        <v>0</v>
      </c>
      <c r="L155" s="232">
        <v>0</v>
      </c>
      <c r="M155" s="232">
        <v>0</v>
      </c>
      <c r="N155" s="232">
        <v>0</v>
      </c>
      <c r="O155" s="232">
        <v>0</v>
      </c>
      <c r="P155" s="232">
        <v>0</v>
      </c>
      <c r="Q155" s="232">
        <v>0</v>
      </c>
      <c r="R155" s="232">
        <v>0</v>
      </c>
    </row>
    <row r="156" spans="1:18" ht="12.75" customHeight="1" x14ac:dyDescent="0.25">
      <c r="B156" s="773"/>
      <c r="C156" s="772"/>
      <c r="D156" s="231" t="s">
        <v>73</v>
      </c>
      <c r="E156" s="232">
        <v>0</v>
      </c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spans="1:18" s="238" customFormat="1" x14ac:dyDescent="0.25"/>
    <row r="158" spans="1:18" x14ac:dyDescent="0.25">
      <c r="B158" s="97" t="s">
        <v>76</v>
      </c>
    </row>
    <row r="159" spans="1:18" ht="12.6" customHeight="1" x14ac:dyDescent="0.25">
      <c r="E159" s="89" t="s">
        <v>70</v>
      </c>
      <c r="F159" s="89" t="s">
        <v>64</v>
      </c>
      <c r="G159" s="89" t="s">
        <v>65</v>
      </c>
      <c r="H159" s="219" t="s">
        <v>164</v>
      </c>
      <c r="I159" s="89" t="s">
        <v>69</v>
      </c>
      <c r="J159" s="89" t="s">
        <v>68</v>
      </c>
      <c r="K159" s="89" t="s">
        <v>83</v>
      </c>
      <c r="L159" s="89" t="s">
        <v>66</v>
      </c>
      <c r="M159" s="89" t="s">
        <v>63</v>
      </c>
      <c r="N159" s="89" t="s">
        <v>61</v>
      </c>
      <c r="O159" s="89" t="s">
        <v>62</v>
      </c>
      <c r="P159" s="89" t="s">
        <v>67</v>
      </c>
      <c r="Q159" s="89" t="s">
        <v>84</v>
      </c>
      <c r="R159" s="384" t="s">
        <v>226</v>
      </c>
    </row>
    <row r="160" spans="1:18" ht="12.75" customHeight="1" x14ac:dyDescent="0.25">
      <c r="D160" s="89" t="s">
        <v>72</v>
      </c>
      <c r="E160" s="371">
        <v>71689.77</v>
      </c>
      <c r="F160" s="90">
        <v>9519.44</v>
      </c>
      <c r="G160" s="90">
        <v>5317.82</v>
      </c>
      <c r="H160" s="90">
        <v>2821.02</v>
      </c>
      <c r="I160" s="90">
        <v>10477.14</v>
      </c>
      <c r="J160" s="90">
        <v>248.4</v>
      </c>
      <c r="K160" s="90">
        <v>0</v>
      </c>
      <c r="L160" s="90">
        <v>2178.96</v>
      </c>
      <c r="M160" s="90">
        <v>3183.54</v>
      </c>
      <c r="N160" s="90">
        <v>14966.57</v>
      </c>
      <c r="O160" s="90">
        <v>22571.59</v>
      </c>
      <c r="P160" s="90">
        <v>405.29</v>
      </c>
      <c r="Q160" s="90">
        <v>0</v>
      </c>
      <c r="R160">
        <v>0</v>
      </c>
    </row>
    <row r="161" spans="1:18" ht="12.75" customHeight="1" x14ac:dyDescent="0.25">
      <c r="C161" t="s">
        <v>334</v>
      </c>
      <c r="D161" s="89" t="s">
        <v>70</v>
      </c>
      <c r="E161" s="371">
        <v>71689.77</v>
      </c>
      <c r="F161" s="90">
        <v>9519.44</v>
      </c>
      <c r="G161" s="90">
        <v>5317.82</v>
      </c>
      <c r="H161" s="90">
        <v>2821.02</v>
      </c>
      <c r="I161" s="90">
        <v>10477.14</v>
      </c>
      <c r="J161" s="90">
        <v>248.4</v>
      </c>
      <c r="K161" s="90">
        <v>0</v>
      </c>
      <c r="L161" s="90">
        <v>2178.96</v>
      </c>
      <c r="M161" s="90">
        <v>3183.54</v>
      </c>
      <c r="N161" s="90">
        <v>14966.57</v>
      </c>
      <c r="O161" s="90">
        <v>22571.59</v>
      </c>
      <c r="P161" s="90">
        <v>405.29</v>
      </c>
      <c r="Q161" s="90">
        <v>0</v>
      </c>
      <c r="R161">
        <v>0</v>
      </c>
    </row>
    <row r="162" spans="1:18" s="739" customFormat="1" ht="12.75" customHeight="1" x14ac:dyDescent="0.25">
      <c r="B162" s="739" t="s">
        <v>85</v>
      </c>
      <c r="C162" s="739" t="s">
        <v>70</v>
      </c>
      <c r="D162" s="231"/>
      <c r="E162" s="740">
        <v>71689.77</v>
      </c>
      <c r="F162" s="232">
        <v>9519.44</v>
      </c>
      <c r="G162" s="232">
        <v>5317.82</v>
      </c>
      <c r="H162" s="232">
        <v>2821.02</v>
      </c>
      <c r="I162" s="232">
        <v>10477.14</v>
      </c>
      <c r="J162" s="232">
        <v>248.4</v>
      </c>
      <c r="K162" s="232">
        <v>0</v>
      </c>
      <c r="L162" s="232">
        <v>2178.96</v>
      </c>
      <c r="M162" s="232">
        <v>3183.54</v>
      </c>
      <c r="N162" s="232">
        <v>14966.57</v>
      </c>
      <c r="O162" s="232">
        <v>22571.59</v>
      </c>
      <c r="P162" s="232">
        <v>405.29</v>
      </c>
      <c r="Q162" s="232">
        <v>0</v>
      </c>
      <c r="R162" s="739">
        <v>0</v>
      </c>
    </row>
    <row r="163" spans="1:18" ht="12.6" customHeight="1" x14ac:dyDescent="0.25">
      <c r="D163" t="s">
        <v>72</v>
      </c>
      <c r="E163">
        <v>20780327.050000001</v>
      </c>
      <c r="F163">
        <v>1047974.97</v>
      </c>
      <c r="G163">
        <v>587808.66</v>
      </c>
      <c r="H163">
        <v>307631.5</v>
      </c>
      <c r="I163">
        <v>5279450.3600000003</v>
      </c>
      <c r="J163">
        <v>214847.64</v>
      </c>
      <c r="K163">
        <v>36736.31</v>
      </c>
      <c r="L163">
        <v>1562524.53</v>
      </c>
      <c r="M163">
        <v>1515836.66</v>
      </c>
      <c r="N163">
        <v>7491037.0999999996</v>
      </c>
      <c r="O163">
        <v>2467881.7000000002</v>
      </c>
      <c r="P163">
        <v>268589.75</v>
      </c>
      <c r="Q163">
        <v>7.87</v>
      </c>
      <c r="R163">
        <v>0</v>
      </c>
    </row>
    <row r="164" spans="1:18" ht="12.75" customHeight="1" x14ac:dyDescent="0.25">
      <c r="D164" t="s">
        <v>81</v>
      </c>
      <c r="E164">
        <v>115525.6</v>
      </c>
      <c r="F164">
        <v>5946.51</v>
      </c>
      <c r="G164">
        <v>3104.08</v>
      </c>
      <c r="H164">
        <v>1702.32</v>
      </c>
      <c r="I164">
        <v>30148.49</v>
      </c>
      <c r="J164">
        <v>1047.6600000000001</v>
      </c>
      <c r="K164">
        <v>0</v>
      </c>
      <c r="L164">
        <v>9297.1200000000008</v>
      </c>
      <c r="M164">
        <v>8569.5400000000009</v>
      </c>
      <c r="N164">
        <v>40091.17</v>
      </c>
      <c r="O164">
        <v>13885.15</v>
      </c>
      <c r="P164">
        <v>1732.95</v>
      </c>
      <c r="Q164">
        <v>0.61</v>
      </c>
      <c r="R164">
        <v>0</v>
      </c>
    </row>
    <row r="165" spans="1:18" ht="12.75" customHeight="1" x14ac:dyDescent="0.25">
      <c r="C165" t="s">
        <v>156</v>
      </c>
      <c r="D165" s="89" t="s">
        <v>70</v>
      </c>
      <c r="E165" s="371">
        <v>20895852.649999999</v>
      </c>
      <c r="F165" s="90">
        <v>1053921.48</v>
      </c>
      <c r="G165" s="90">
        <v>590912.74</v>
      </c>
      <c r="H165" s="90">
        <v>309333.82</v>
      </c>
      <c r="I165" s="90">
        <v>5309598.8499999996</v>
      </c>
      <c r="J165" s="90">
        <v>215895.3</v>
      </c>
      <c r="K165" s="90">
        <v>36736.31</v>
      </c>
      <c r="L165" s="90">
        <v>1571821.65</v>
      </c>
      <c r="M165" s="90">
        <v>1524406.2</v>
      </c>
      <c r="N165" s="90">
        <v>7531128.2699999996</v>
      </c>
      <c r="O165" s="90">
        <v>2481766.85</v>
      </c>
      <c r="P165" s="90">
        <v>270322.7</v>
      </c>
      <c r="Q165" s="90">
        <v>8.48</v>
      </c>
      <c r="R165">
        <v>0</v>
      </c>
    </row>
    <row r="166" spans="1:18" s="656" customFormat="1" ht="12.75" customHeight="1" x14ac:dyDescent="0.25">
      <c r="B166" s="656" t="s">
        <v>155</v>
      </c>
      <c r="C166" s="656" t="s">
        <v>70</v>
      </c>
      <c r="E166" s="741">
        <v>20895852.649999999</v>
      </c>
      <c r="F166" s="656">
        <v>1053921.48</v>
      </c>
      <c r="G166" s="656">
        <v>590912.74</v>
      </c>
      <c r="H166" s="656">
        <v>309333.82</v>
      </c>
      <c r="I166" s="656">
        <v>5309598.8499999996</v>
      </c>
      <c r="J166" s="656">
        <v>215895.3</v>
      </c>
      <c r="K166" s="656">
        <v>36736.31</v>
      </c>
      <c r="L166" s="656">
        <v>1571821.65</v>
      </c>
      <c r="M166" s="656">
        <v>1524406.2</v>
      </c>
      <c r="N166" s="656">
        <v>7531128.2699999996</v>
      </c>
      <c r="O166" s="656">
        <v>2481766.85</v>
      </c>
      <c r="P166" s="656">
        <v>270322.7</v>
      </c>
      <c r="Q166" s="656">
        <v>8.48</v>
      </c>
      <c r="R166" s="656">
        <v>0</v>
      </c>
    </row>
    <row r="167" spans="1:18" ht="12.75" customHeight="1" x14ac:dyDescent="0.25">
      <c r="D167" t="s">
        <v>72</v>
      </c>
      <c r="E167" s="142">
        <v>2141936.39</v>
      </c>
      <c r="F167">
        <v>107760.84</v>
      </c>
      <c r="G167">
        <v>61054.54</v>
      </c>
      <c r="H167">
        <v>32102.62</v>
      </c>
      <c r="I167">
        <v>544505.66</v>
      </c>
      <c r="J167">
        <v>13898.97</v>
      </c>
      <c r="K167">
        <v>0</v>
      </c>
      <c r="L167">
        <v>130215.59</v>
      </c>
      <c r="M167">
        <v>187164.88</v>
      </c>
      <c r="N167">
        <v>774211.74</v>
      </c>
      <c r="O167">
        <v>269185.05</v>
      </c>
      <c r="P167">
        <v>21866.99</v>
      </c>
      <c r="Q167">
        <v>-30.49</v>
      </c>
      <c r="R167">
        <v>0</v>
      </c>
    </row>
    <row r="168" spans="1:18" ht="12.75" customHeight="1" x14ac:dyDescent="0.25">
      <c r="D168" t="s">
        <v>81</v>
      </c>
      <c r="E168" s="142">
        <v>221.62</v>
      </c>
      <c r="F168">
        <v>10.01</v>
      </c>
      <c r="G168">
        <v>5.62</v>
      </c>
      <c r="H168">
        <v>2.96</v>
      </c>
      <c r="I168">
        <v>57.44</v>
      </c>
      <c r="J168">
        <v>1.91</v>
      </c>
      <c r="K168">
        <v>0</v>
      </c>
      <c r="L168">
        <v>16.75</v>
      </c>
      <c r="M168">
        <v>17.53</v>
      </c>
      <c r="N168">
        <v>82.77</v>
      </c>
      <c r="O168">
        <v>23.51</v>
      </c>
      <c r="P168">
        <v>3.11</v>
      </c>
      <c r="Q168">
        <v>0.01</v>
      </c>
      <c r="R168">
        <v>0</v>
      </c>
    </row>
    <row r="169" spans="1:18" ht="12.75" customHeight="1" x14ac:dyDescent="0.25">
      <c r="C169" t="s">
        <v>82</v>
      </c>
      <c r="D169" t="s">
        <v>70</v>
      </c>
      <c r="E169" s="142">
        <v>2142158.0099999998</v>
      </c>
      <c r="F169">
        <v>107770.85</v>
      </c>
      <c r="G169">
        <v>61060.160000000003</v>
      </c>
      <c r="H169">
        <v>32105.58</v>
      </c>
      <c r="I169">
        <v>544563.1</v>
      </c>
      <c r="J169">
        <v>13900.88</v>
      </c>
      <c r="K169">
        <v>0</v>
      </c>
      <c r="L169">
        <v>130232.34</v>
      </c>
      <c r="M169">
        <v>187182.41</v>
      </c>
      <c r="N169">
        <v>774294.51</v>
      </c>
      <c r="O169">
        <v>269208.56</v>
      </c>
      <c r="P169">
        <v>21870.1</v>
      </c>
      <c r="Q169">
        <v>-30.48</v>
      </c>
      <c r="R169">
        <v>0</v>
      </c>
    </row>
    <row r="170" spans="1:18" ht="12.75" customHeight="1" x14ac:dyDescent="0.25">
      <c r="D170" t="s">
        <v>72</v>
      </c>
      <c r="E170" s="142">
        <v>525701.49</v>
      </c>
      <c r="F170">
        <v>15618.67</v>
      </c>
      <c r="G170">
        <v>8726.7999999999993</v>
      </c>
      <c r="H170">
        <v>7279.34</v>
      </c>
      <c r="I170">
        <v>106934.25</v>
      </c>
      <c r="J170">
        <v>3097.58</v>
      </c>
      <c r="K170">
        <v>120000</v>
      </c>
      <c r="L170">
        <v>30431.040000000001</v>
      </c>
      <c r="M170">
        <v>54437.52</v>
      </c>
      <c r="N170">
        <v>133166.82999999999</v>
      </c>
      <c r="O170">
        <v>40855.769999999997</v>
      </c>
      <c r="P170">
        <v>5151.8</v>
      </c>
      <c r="Q170">
        <v>1.89</v>
      </c>
      <c r="R170">
        <v>0</v>
      </c>
    </row>
    <row r="171" spans="1:18" ht="12.75" customHeight="1" x14ac:dyDescent="0.25">
      <c r="D171" t="s">
        <v>81</v>
      </c>
      <c r="E171" s="142">
        <v>9760.23</v>
      </c>
      <c r="F171">
        <v>896.57</v>
      </c>
      <c r="G171">
        <v>405.16</v>
      </c>
      <c r="H171">
        <v>226.4</v>
      </c>
      <c r="I171">
        <v>1948.96</v>
      </c>
      <c r="J171">
        <v>78.430000000000007</v>
      </c>
      <c r="K171">
        <v>0</v>
      </c>
      <c r="L171">
        <v>681.68</v>
      </c>
      <c r="M171">
        <v>578.84</v>
      </c>
      <c r="N171">
        <v>2724.4</v>
      </c>
      <c r="O171">
        <v>2088.5</v>
      </c>
      <c r="P171">
        <v>131.11000000000001</v>
      </c>
      <c r="Q171">
        <v>0.18</v>
      </c>
      <c r="R171">
        <v>0</v>
      </c>
    </row>
    <row r="172" spans="1:18" ht="12.75" customHeight="1" x14ac:dyDescent="0.25">
      <c r="C172" t="s">
        <v>86</v>
      </c>
      <c r="D172" t="s">
        <v>70</v>
      </c>
      <c r="E172" s="142">
        <v>535461.72</v>
      </c>
      <c r="F172">
        <v>16515.240000000002</v>
      </c>
      <c r="G172">
        <v>9131.9599999999991</v>
      </c>
      <c r="H172">
        <v>7505.74</v>
      </c>
      <c r="I172">
        <v>108883.21</v>
      </c>
      <c r="J172">
        <v>3176.01</v>
      </c>
      <c r="K172">
        <v>120000</v>
      </c>
      <c r="L172">
        <v>31112.720000000001</v>
      </c>
      <c r="M172">
        <v>55016.36</v>
      </c>
      <c r="N172">
        <v>135891.23000000001</v>
      </c>
      <c r="O172">
        <v>42944.27</v>
      </c>
      <c r="P172">
        <v>5282.91</v>
      </c>
      <c r="Q172">
        <v>2.0699999999999998</v>
      </c>
      <c r="R172">
        <v>0</v>
      </c>
    </row>
    <row r="173" spans="1:18" ht="12.75" customHeight="1" x14ac:dyDescent="0.25">
      <c r="D173" t="s">
        <v>72</v>
      </c>
      <c r="E173" s="142">
        <v>7586032.9199999999</v>
      </c>
      <c r="F173">
        <v>578033.66</v>
      </c>
      <c r="G173">
        <v>324640.69</v>
      </c>
      <c r="H173">
        <v>170520.15</v>
      </c>
      <c r="I173">
        <v>1398189.24</v>
      </c>
      <c r="J173">
        <v>37731.96</v>
      </c>
      <c r="K173">
        <v>0</v>
      </c>
      <c r="L173">
        <v>357249.37</v>
      </c>
      <c r="M173">
        <v>541637.72</v>
      </c>
      <c r="N173">
        <v>2105036.7000000002</v>
      </c>
      <c r="O173">
        <v>2013630.97</v>
      </c>
      <c r="P173">
        <v>59403.9</v>
      </c>
      <c r="Q173">
        <v>-41.44</v>
      </c>
      <c r="R173">
        <v>0</v>
      </c>
    </row>
    <row r="174" spans="1:18" ht="12.75" customHeight="1" x14ac:dyDescent="0.25">
      <c r="D174" t="s">
        <v>81</v>
      </c>
      <c r="E174" s="142">
        <v>195.2</v>
      </c>
      <c r="F174">
        <v>9.4700000000000006</v>
      </c>
      <c r="G174">
        <v>5.18</v>
      </c>
      <c r="H174">
        <v>2.79</v>
      </c>
      <c r="I174">
        <v>50.6</v>
      </c>
      <c r="J174">
        <v>1.24</v>
      </c>
      <c r="K174">
        <v>0</v>
      </c>
      <c r="L174">
        <v>11</v>
      </c>
      <c r="M174">
        <v>16.010000000000002</v>
      </c>
      <c r="N174">
        <v>74.7</v>
      </c>
      <c r="O174">
        <v>22.2</v>
      </c>
      <c r="P174">
        <v>2.0099999999999998</v>
      </c>
      <c r="Q174">
        <v>0</v>
      </c>
      <c r="R174">
        <v>0</v>
      </c>
    </row>
    <row r="175" spans="1:18" ht="12.75" customHeight="1" x14ac:dyDescent="0.25">
      <c r="A175" s="89"/>
      <c r="B175" s="89"/>
      <c r="C175" t="s">
        <v>87</v>
      </c>
      <c r="D175" t="s">
        <v>70</v>
      </c>
      <c r="E175" s="90">
        <v>7586228.1200000001</v>
      </c>
      <c r="F175" s="90">
        <v>578043.13</v>
      </c>
      <c r="G175" s="90">
        <v>324645.87</v>
      </c>
      <c r="H175" s="90">
        <v>170522.94</v>
      </c>
      <c r="I175" s="90">
        <v>1398239.84</v>
      </c>
      <c r="J175" s="90">
        <v>37733.199999999997</v>
      </c>
      <c r="K175" s="90">
        <v>0</v>
      </c>
      <c r="L175" s="90">
        <v>357260.37</v>
      </c>
      <c r="M175" s="90">
        <v>541653.73</v>
      </c>
      <c r="N175" s="90">
        <v>2105111.4</v>
      </c>
      <c r="O175" s="90">
        <v>2013653.17</v>
      </c>
      <c r="P175" s="90">
        <v>59405.91</v>
      </c>
      <c r="Q175" s="90">
        <v>-41.44</v>
      </c>
      <c r="R175">
        <v>0</v>
      </c>
    </row>
    <row r="176" spans="1:18" s="94" customFormat="1" ht="12.75" customHeight="1" x14ac:dyDescent="0.25">
      <c r="A176" s="101"/>
      <c r="B176" s="101" t="s">
        <v>119</v>
      </c>
      <c r="C176" s="94" t="s">
        <v>70</v>
      </c>
      <c r="E176" s="93">
        <v>10263847.85</v>
      </c>
      <c r="F176" s="93">
        <v>702329.22</v>
      </c>
      <c r="G176" s="93">
        <v>394837.99</v>
      </c>
      <c r="H176" s="93">
        <v>210134.26</v>
      </c>
      <c r="I176" s="93">
        <v>2051686.15</v>
      </c>
      <c r="J176" s="93">
        <v>54810.09</v>
      </c>
      <c r="K176" s="93">
        <v>120000</v>
      </c>
      <c r="L176" s="93">
        <v>518605.43</v>
      </c>
      <c r="M176" s="93">
        <v>783852.5</v>
      </c>
      <c r="N176" s="93">
        <v>3015297.14</v>
      </c>
      <c r="O176" s="93">
        <v>2325806</v>
      </c>
      <c r="P176" s="93">
        <v>86558.92</v>
      </c>
      <c r="Q176" s="93">
        <v>-69.849999999999994</v>
      </c>
      <c r="R176" s="94">
        <v>0</v>
      </c>
    </row>
    <row r="177" spans="1:18" s="226" customFormat="1" ht="12.75" customHeight="1" x14ac:dyDescent="0.25">
      <c r="A177" s="226" t="s">
        <v>78</v>
      </c>
      <c r="B177" s="226" t="s">
        <v>70</v>
      </c>
      <c r="D177" s="98"/>
      <c r="E177" s="100">
        <v>31231390.27</v>
      </c>
      <c r="F177" s="100">
        <v>1765770.14</v>
      </c>
      <c r="G177" s="100">
        <v>991068.55</v>
      </c>
      <c r="H177" s="100">
        <v>522289.1</v>
      </c>
      <c r="I177" s="100">
        <v>7371762.1399999997</v>
      </c>
      <c r="J177" s="100">
        <v>270953.78999999998</v>
      </c>
      <c r="K177" s="100">
        <v>156736.31</v>
      </c>
      <c r="L177" s="100">
        <v>2092606.04</v>
      </c>
      <c r="M177" s="100">
        <v>2311442.2400000002</v>
      </c>
      <c r="N177" s="100">
        <v>10561391.98</v>
      </c>
      <c r="O177" s="100">
        <v>4830144.4400000004</v>
      </c>
      <c r="P177" s="100">
        <v>357286.91</v>
      </c>
      <c r="Q177" s="100">
        <v>-61.37</v>
      </c>
      <c r="R177" s="226">
        <v>0</v>
      </c>
    </row>
    <row r="178" spans="1:18" ht="12.75" customHeight="1" x14ac:dyDescent="0.25">
      <c r="C178" s="89"/>
      <c r="D178" s="89" t="s">
        <v>73</v>
      </c>
      <c r="E178" s="371">
        <v>-4108392.95</v>
      </c>
      <c r="F178" s="90">
        <v>-57677.34</v>
      </c>
      <c r="G178" s="90">
        <v>-31488.55</v>
      </c>
      <c r="H178" s="90">
        <v>-24448.94</v>
      </c>
      <c r="I178" s="90">
        <v>-1316572.92</v>
      </c>
      <c r="J178" s="90">
        <v>-42856.959999999999</v>
      </c>
      <c r="K178" s="90">
        <v>0</v>
      </c>
      <c r="L178" s="90">
        <v>-368515.44</v>
      </c>
      <c r="M178" s="90">
        <v>-360215.14</v>
      </c>
      <c r="N178" s="90">
        <v>-1691604.18</v>
      </c>
      <c r="O178" s="90">
        <v>-145142.98000000001</v>
      </c>
      <c r="P178" s="90">
        <v>-69870.5</v>
      </c>
      <c r="Q178" s="90">
        <v>0</v>
      </c>
      <c r="R178">
        <v>0</v>
      </c>
    </row>
    <row r="179" spans="1:18" ht="12.75" customHeight="1" x14ac:dyDescent="0.25">
      <c r="C179" s="89" t="s">
        <v>156</v>
      </c>
      <c r="D179" s="89" t="s">
        <v>70</v>
      </c>
      <c r="E179" s="371">
        <v>-4108392.95</v>
      </c>
      <c r="F179" s="90">
        <v>-57677.34</v>
      </c>
      <c r="G179" s="90">
        <v>-31488.55</v>
      </c>
      <c r="H179" s="90">
        <v>-24448.94</v>
      </c>
      <c r="I179" s="90">
        <v>-1316572.92</v>
      </c>
      <c r="J179" s="90">
        <v>-42856.959999999999</v>
      </c>
      <c r="K179" s="90">
        <v>0</v>
      </c>
      <c r="L179" s="90">
        <v>-368515.44</v>
      </c>
      <c r="M179" s="90">
        <v>-360215.14</v>
      </c>
      <c r="N179" s="90">
        <v>-1691604.18</v>
      </c>
      <c r="O179" s="90">
        <v>-145142.98000000001</v>
      </c>
      <c r="P179" s="90">
        <v>-69870.5</v>
      </c>
      <c r="Q179" s="90">
        <v>0</v>
      </c>
      <c r="R179">
        <v>0</v>
      </c>
    </row>
    <row r="180" spans="1:18" s="237" customFormat="1" ht="12.75" customHeight="1" x14ac:dyDescent="0.25">
      <c r="B180" s="237" t="s">
        <v>155</v>
      </c>
      <c r="C180" s="221" t="s">
        <v>70</v>
      </c>
      <c r="D180" s="221"/>
      <c r="E180" s="566">
        <v>-4108392.95</v>
      </c>
      <c r="F180" s="222">
        <v>-57677.34</v>
      </c>
      <c r="G180" s="222">
        <v>-31488.55</v>
      </c>
      <c r="H180" s="222">
        <v>-24448.94</v>
      </c>
      <c r="I180" s="222">
        <v>-1316572.92</v>
      </c>
      <c r="J180" s="222">
        <v>-42856.959999999999</v>
      </c>
      <c r="K180" s="222">
        <v>0</v>
      </c>
      <c r="L180" s="222">
        <v>-368515.44</v>
      </c>
      <c r="M180" s="222">
        <v>-360215.14</v>
      </c>
      <c r="N180" s="222">
        <v>-1691604.18</v>
      </c>
      <c r="O180" s="222">
        <v>-145142.98000000001</v>
      </c>
      <c r="P180" s="222">
        <v>-69870.5</v>
      </c>
      <c r="Q180" s="222">
        <v>0</v>
      </c>
      <c r="R180" s="237">
        <v>0</v>
      </c>
    </row>
    <row r="181" spans="1:18" ht="12.75" customHeight="1" x14ac:dyDescent="0.25">
      <c r="C181" s="89"/>
      <c r="D181" s="89" t="s">
        <v>73</v>
      </c>
      <c r="E181" s="371">
        <v>2133.86</v>
      </c>
      <c r="F181" s="90">
        <v>3031.43</v>
      </c>
      <c r="G181" s="90">
        <v>1691.19</v>
      </c>
      <c r="H181" s="90">
        <v>89.27</v>
      </c>
      <c r="I181" s="90">
        <v>-4359.54</v>
      </c>
      <c r="J181" s="90">
        <v>-322.8</v>
      </c>
      <c r="K181" s="90">
        <v>0</v>
      </c>
      <c r="L181" s="90">
        <v>-1074.3800000000001</v>
      </c>
      <c r="M181" s="90">
        <v>-625.48</v>
      </c>
      <c r="N181" s="90">
        <v>-2962.38</v>
      </c>
      <c r="O181" s="90">
        <v>7193.19</v>
      </c>
      <c r="P181" s="90">
        <v>-526.64</v>
      </c>
      <c r="Q181" s="90">
        <v>0</v>
      </c>
      <c r="R181">
        <v>0</v>
      </c>
    </row>
    <row r="182" spans="1:18" ht="12.75" customHeight="1" x14ac:dyDescent="0.25">
      <c r="C182" t="s">
        <v>82</v>
      </c>
      <c r="D182" t="s">
        <v>70</v>
      </c>
      <c r="E182">
        <v>2133.86</v>
      </c>
      <c r="F182">
        <v>3031.43</v>
      </c>
      <c r="G182">
        <v>1691.19</v>
      </c>
      <c r="H182">
        <v>89.27</v>
      </c>
      <c r="I182">
        <v>-4359.54</v>
      </c>
      <c r="J182">
        <v>-322.8</v>
      </c>
      <c r="K182">
        <v>0</v>
      </c>
      <c r="L182">
        <v>-1074.3800000000001</v>
      </c>
      <c r="M182">
        <v>-625.48</v>
      </c>
      <c r="N182">
        <v>-2962.38</v>
      </c>
      <c r="O182">
        <v>7193.19</v>
      </c>
      <c r="P182">
        <v>-526.64</v>
      </c>
      <c r="Q182">
        <v>0</v>
      </c>
      <c r="R182">
        <v>0</v>
      </c>
    </row>
    <row r="183" spans="1:18" ht="12.75" customHeight="1" x14ac:dyDescent="0.25">
      <c r="D183" t="s">
        <v>73</v>
      </c>
      <c r="E183">
        <v>-96566.76</v>
      </c>
      <c r="F183">
        <v>-3758.26</v>
      </c>
      <c r="G183">
        <v>-2101.9899999999998</v>
      </c>
      <c r="H183">
        <v>-1113.73</v>
      </c>
      <c r="I183">
        <v>-28290.02</v>
      </c>
      <c r="J183">
        <v>-854.64</v>
      </c>
      <c r="K183">
        <v>0</v>
      </c>
      <c r="L183">
        <v>-7496.94</v>
      </c>
      <c r="M183">
        <v>-7474.02</v>
      </c>
      <c r="N183">
        <v>-35171.5</v>
      </c>
      <c r="O183">
        <v>-8911.23</v>
      </c>
      <c r="P183">
        <v>-1394.43</v>
      </c>
      <c r="Q183">
        <v>0</v>
      </c>
      <c r="R183">
        <v>0</v>
      </c>
    </row>
    <row r="184" spans="1:18" ht="12.75" customHeight="1" x14ac:dyDescent="0.25">
      <c r="C184" t="s">
        <v>86</v>
      </c>
      <c r="D184" t="s">
        <v>70</v>
      </c>
      <c r="E184">
        <v>-96566.76</v>
      </c>
      <c r="F184">
        <v>-3758.26</v>
      </c>
      <c r="G184">
        <v>-2101.9899999999998</v>
      </c>
      <c r="H184">
        <v>-1113.73</v>
      </c>
      <c r="I184">
        <v>-28290.02</v>
      </c>
      <c r="J184">
        <v>-854.64</v>
      </c>
      <c r="K184">
        <v>0</v>
      </c>
      <c r="L184">
        <v>-7496.94</v>
      </c>
      <c r="M184">
        <v>-7474.02</v>
      </c>
      <c r="N184">
        <v>-35171.5</v>
      </c>
      <c r="O184">
        <v>-8911.23</v>
      </c>
      <c r="P184">
        <v>-1394.43</v>
      </c>
      <c r="Q184">
        <v>0</v>
      </c>
      <c r="R184">
        <v>0</v>
      </c>
    </row>
    <row r="185" spans="1:18" ht="12.75" customHeight="1" x14ac:dyDescent="0.25">
      <c r="D185" s="89" t="s">
        <v>73</v>
      </c>
      <c r="E185" s="90">
        <v>935036.86</v>
      </c>
      <c r="F185" s="90">
        <v>238469.13</v>
      </c>
      <c r="G185" s="90">
        <v>130178.93</v>
      </c>
      <c r="H185" s="90">
        <v>69506.490000000005</v>
      </c>
      <c r="I185" s="90">
        <v>-33082.03</v>
      </c>
      <c r="J185" s="90">
        <v>-1108.3900000000001</v>
      </c>
      <c r="K185" s="90">
        <v>0</v>
      </c>
      <c r="L185" s="90">
        <v>-6208.08</v>
      </c>
      <c r="M185" s="90">
        <v>-5916.1</v>
      </c>
      <c r="N185" s="90">
        <v>-28059.85</v>
      </c>
      <c r="O185" s="90">
        <v>572901.57999999996</v>
      </c>
      <c r="P185" s="90">
        <v>-1644.82</v>
      </c>
      <c r="Q185" s="90">
        <v>0</v>
      </c>
      <c r="R185">
        <v>0</v>
      </c>
    </row>
    <row r="186" spans="1:18" ht="12.75" customHeight="1" x14ac:dyDescent="0.25">
      <c r="C186" t="s">
        <v>87</v>
      </c>
      <c r="D186" s="89" t="s">
        <v>70</v>
      </c>
      <c r="E186" s="90">
        <v>935036.86</v>
      </c>
      <c r="F186" s="90">
        <v>238469.13</v>
      </c>
      <c r="G186" s="90">
        <v>130178.93</v>
      </c>
      <c r="H186" s="90">
        <v>69506.490000000005</v>
      </c>
      <c r="I186" s="90">
        <v>-33082.03</v>
      </c>
      <c r="J186" s="90">
        <v>-1108.3900000000001</v>
      </c>
      <c r="K186" s="90">
        <v>0</v>
      </c>
      <c r="L186" s="90">
        <v>-6208.08</v>
      </c>
      <c r="M186" s="90">
        <v>-5916.1</v>
      </c>
      <c r="N186" s="90">
        <v>-28059.85</v>
      </c>
      <c r="O186" s="90">
        <v>572901.57999999996</v>
      </c>
      <c r="P186" s="90">
        <v>-1644.82</v>
      </c>
      <c r="Q186" s="90">
        <v>0</v>
      </c>
      <c r="R186">
        <v>0</v>
      </c>
    </row>
    <row r="187" spans="1:18" s="94" customFormat="1" ht="12.75" customHeight="1" x14ac:dyDescent="0.25">
      <c r="B187" s="101" t="s">
        <v>119</v>
      </c>
      <c r="C187" s="101" t="s">
        <v>70</v>
      </c>
      <c r="E187" s="93">
        <v>840603.96</v>
      </c>
      <c r="F187" s="93">
        <v>237742.3</v>
      </c>
      <c r="G187" s="93">
        <v>129768.13</v>
      </c>
      <c r="H187" s="93">
        <v>68482.03</v>
      </c>
      <c r="I187" s="93">
        <v>-65731.59</v>
      </c>
      <c r="J187" s="93">
        <v>-2285.83</v>
      </c>
      <c r="K187" s="93">
        <v>0</v>
      </c>
      <c r="L187" s="93">
        <v>-14779.4</v>
      </c>
      <c r="M187" s="93">
        <v>-14015.6</v>
      </c>
      <c r="N187" s="93">
        <v>-66193.73</v>
      </c>
      <c r="O187" s="93">
        <v>571183.54</v>
      </c>
      <c r="P187" s="93">
        <v>-3565.89</v>
      </c>
      <c r="Q187" s="93">
        <v>0</v>
      </c>
      <c r="R187" s="94">
        <v>0</v>
      </c>
    </row>
    <row r="188" spans="1:18" s="226" customFormat="1" ht="12.75" customHeight="1" x14ac:dyDescent="0.25">
      <c r="A188" s="98" t="s">
        <v>79</v>
      </c>
      <c r="B188" s="98" t="s">
        <v>70</v>
      </c>
      <c r="E188" s="100">
        <v>-3267788.99</v>
      </c>
      <c r="F188" s="100">
        <v>180064.96</v>
      </c>
      <c r="G188" s="100">
        <v>98279.58</v>
      </c>
      <c r="H188" s="100">
        <v>44033.09</v>
      </c>
      <c r="I188" s="100">
        <v>-1382304.51</v>
      </c>
      <c r="J188" s="100">
        <v>-45142.79</v>
      </c>
      <c r="K188" s="100">
        <v>0</v>
      </c>
      <c r="L188" s="100">
        <v>-383294.84</v>
      </c>
      <c r="M188" s="100">
        <v>-374230.74</v>
      </c>
      <c r="N188" s="100">
        <v>-1757797.91</v>
      </c>
      <c r="O188" s="100">
        <v>426040.56</v>
      </c>
      <c r="P188" s="100">
        <v>-73436.39</v>
      </c>
      <c r="Q188" s="100">
        <v>0</v>
      </c>
      <c r="R188" s="226">
        <v>0</v>
      </c>
    </row>
    <row r="189" spans="1:18" ht="12.75" customHeight="1" x14ac:dyDescent="0.25">
      <c r="A189" s="89" t="s">
        <v>70</v>
      </c>
      <c r="E189" s="90">
        <v>27963601.280000001</v>
      </c>
      <c r="F189" s="90">
        <v>1945835.1</v>
      </c>
      <c r="G189" s="90">
        <v>1089348.1299999999</v>
      </c>
      <c r="H189" s="90">
        <v>566322.18999999994</v>
      </c>
      <c r="I189" s="90">
        <v>5989457.6299999999</v>
      </c>
      <c r="J189" s="90">
        <v>225811</v>
      </c>
      <c r="K189" s="90">
        <v>156736.31</v>
      </c>
      <c r="L189" s="90">
        <v>1709311.2</v>
      </c>
      <c r="M189" s="90">
        <v>1937211.5</v>
      </c>
      <c r="N189" s="90">
        <v>8803594.0700000003</v>
      </c>
      <c r="O189" s="90">
        <v>5256185</v>
      </c>
      <c r="P189" s="90">
        <v>283850.52</v>
      </c>
      <c r="Q189" s="90">
        <v>-61.37</v>
      </c>
      <c r="R189">
        <v>0</v>
      </c>
    </row>
    <row r="190" spans="1:18" ht="12.75" customHeight="1" x14ac:dyDescent="0.25">
      <c r="A190" s="89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8" ht="12.75" hidden="1" customHeight="1" x14ac:dyDescent="0.25">
      <c r="A191" s="89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8" ht="12.75" hidden="1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8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8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8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8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8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8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8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8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8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8" ht="12.75" customHeight="1" x14ac:dyDescent="0.25">
      <c r="C221" s="89"/>
      <c r="D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1:18" ht="12.75" hidden="1" customHeight="1" x14ac:dyDescent="0.25">
      <c r="D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</row>
    <row r="223" spans="1:18" ht="12.75" hidden="1" customHeight="1" x14ac:dyDescent="0.25">
      <c r="C223" s="89"/>
      <c r="D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</row>
    <row r="224" spans="1:18" ht="12.75" hidden="1" customHeight="1" x14ac:dyDescent="0.25">
      <c r="D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</row>
    <row r="225" spans="1:18" ht="12.75" hidden="1" customHeight="1" x14ac:dyDescent="0.25">
      <c r="C225" s="89"/>
      <c r="D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1:18" ht="12.75" hidden="1" customHeight="1" x14ac:dyDescent="0.25">
      <c r="B226" s="89"/>
      <c r="C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A227" s="89"/>
      <c r="B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8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8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customHeight="1" x14ac:dyDescent="0.25">
      <c r="B257" s="774" t="s">
        <v>2</v>
      </c>
      <c r="C257" s="772" t="s">
        <v>132</v>
      </c>
      <c r="D257" s="98" t="s">
        <v>70</v>
      </c>
      <c r="E257" s="100">
        <f>E177+E188-K177</f>
        <v>27806864.970000003</v>
      </c>
      <c r="F257" s="100">
        <f>F177</f>
        <v>1765770.14</v>
      </c>
      <c r="G257" s="100">
        <f t="shared" ref="G257:R257" si="7">G177</f>
        <v>991068.55</v>
      </c>
      <c r="H257" s="100">
        <f t="shared" si="7"/>
        <v>522289.1</v>
      </c>
      <c r="I257" s="100">
        <f t="shared" si="7"/>
        <v>7371762.1399999997</v>
      </c>
      <c r="J257" s="100">
        <f t="shared" si="7"/>
        <v>270953.78999999998</v>
      </c>
      <c r="K257" s="100">
        <f t="shared" si="7"/>
        <v>156736.31</v>
      </c>
      <c r="L257" s="100">
        <f t="shared" si="7"/>
        <v>2092606.04</v>
      </c>
      <c r="M257" s="100">
        <f t="shared" si="7"/>
        <v>2311442.2400000002</v>
      </c>
      <c r="N257" s="100">
        <f t="shared" si="7"/>
        <v>10561391.98</v>
      </c>
      <c r="O257" s="100">
        <f t="shared" si="7"/>
        <v>4830144.4400000004</v>
      </c>
      <c r="P257" s="100">
        <f t="shared" si="7"/>
        <v>357286.91</v>
      </c>
      <c r="Q257" s="100">
        <f t="shared" si="7"/>
        <v>-61.37</v>
      </c>
      <c r="R257" s="100">
        <f t="shared" si="7"/>
        <v>0</v>
      </c>
    </row>
    <row r="258" spans="1:18" ht="12.75" customHeight="1" x14ac:dyDescent="0.25">
      <c r="B258" s="774"/>
      <c r="C258" s="772"/>
      <c r="D258" s="98" t="s">
        <v>73</v>
      </c>
      <c r="E258" s="100">
        <f>E188</f>
        <v>-3267788.99</v>
      </c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spans="1:18" ht="12.75" customHeight="1" x14ac:dyDescent="0.25">
      <c r="A259" s="89"/>
      <c r="B259" s="97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</row>
    <row r="260" spans="1:18" ht="12.75" customHeight="1" x14ac:dyDescent="0.25">
      <c r="B260" s="774" t="s">
        <v>160</v>
      </c>
      <c r="C260" s="772" t="s">
        <v>132</v>
      </c>
      <c r="D260" s="223" t="s">
        <v>70</v>
      </c>
      <c r="E260" s="225">
        <v>0</v>
      </c>
      <c r="F260" s="225">
        <v>0</v>
      </c>
      <c r="G260" s="225">
        <v>0</v>
      </c>
      <c r="H260" s="225">
        <v>0</v>
      </c>
      <c r="I260" s="225">
        <v>0</v>
      </c>
      <c r="J260" s="225">
        <v>0</v>
      </c>
      <c r="K260" s="225">
        <v>0</v>
      </c>
      <c r="L260" s="225">
        <v>0</v>
      </c>
      <c r="M260" s="225">
        <v>0</v>
      </c>
      <c r="N260" s="225">
        <v>0</v>
      </c>
      <c r="O260" s="225">
        <v>0</v>
      </c>
      <c r="P260" s="225">
        <v>0</v>
      </c>
      <c r="Q260" s="225">
        <v>0</v>
      </c>
      <c r="R260" s="225">
        <v>0</v>
      </c>
    </row>
    <row r="261" spans="1:18" ht="12.75" customHeight="1" x14ac:dyDescent="0.25">
      <c r="B261" s="774"/>
      <c r="C261" s="772"/>
      <c r="D261" s="223" t="s">
        <v>73</v>
      </c>
      <c r="E261" s="225">
        <v>0</v>
      </c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25">
      <c r="A262" s="89"/>
      <c r="B262" s="97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18" ht="12.75" customHeight="1" x14ac:dyDescent="0.25">
      <c r="B263" s="774" t="s">
        <v>155</v>
      </c>
      <c r="C263" s="772" t="s">
        <v>132</v>
      </c>
      <c r="D263" s="221" t="s">
        <v>70</v>
      </c>
      <c r="E263" s="222">
        <f>E180+E166+E162-K166-K162</f>
        <v>16822413.16</v>
      </c>
      <c r="F263" s="222">
        <f>F162+F166</f>
        <v>1063440.92</v>
      </c>
      <c r="G263" s="222">
        <f t="shared" ref="G263:R263" si="8">G162+G166</f>
        <v>596230.55999999994</v>
      </c>
      <c r="H263" s="222">
        <f t="shared" si="8"/>
        <v>312154.84000000003</v>
      </c>
      <c r="I263" s="222">
        <f t="shared" si="8"/>
        <v>5320075.9899999993</v>
      </c>
      <c r="J263" s="222">
        <f t="shared" si="8"/>
        <v>216143.69999999998</v>
      </c>
      <c r="K263" s="222">
        <f t="shared" si="8"/>
        <v>36736.31</v>
      </c>
      <c r="L263" s="222">
        <f t="shared" si="8"/>
        <v>1574000.6099999999</v>
      </c>
      <c r="M263" s="222">
        <f t="shared" si="8"/>
        <v>1527589.74</v>
      </c>
      <c r="N263" s="222">
        <f t="shared" si="8"/>
        <v>7546094.8399999999</v>
      </c>
      <c r="O263" s="222">
        <f t="shared" si="8"/>
        <v>2504338.44</v>
      </c>
      <c r="P263" s="222">
        <f t="shared" si="8"/>
        <v>270727.99</v>
      </c>
      <c r="Q263" s="222">
        <f t="shared" si="8"/>
        <v>8.48</v>
      </c>
      <c r="R263" s="222">
        <f t="shared" si="8"/>
        <v>0</v>
      </c>
    </row>
    <row r="264" spans="1:18" ht="12.75" customHeight="1" x14ac:dyDescent="0.25">
      <c r="B264" s="774"/>
      <c r="C264" s="772"/>
      <c r="D264" s="221" t="s">
        <v>73</v>
      </c>
      <c r="E264" s="222">
        <f>E180</f>
        <v>-4108392.95</v>
      </c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19"/>
      <c r="C265" s="220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customHeight="1" x14ac:dyDescent="0.25">
      <c r="B266" s="775" t="s">
        <v>327</v>
      </c>
      <c r="C266" s="772" t="s">
        <v>132</v>
      </c>
      <c r="D266" s="373" t="s">
        <v>70</v>
      </c>
      <c r="E266" s="374">
        <v>0</v>
      </c>
      <c r="F266" s="374">
        <v>0</v>
      </c>
      <c r="G266" s="374">
        <v>0</v>
      </c>
      <c r="H266" s="374">
        <v>0</v>
      </c>
      <c r="I266" s="374">
        <v>0</v>
      </c>
      <c r="J266" s="374">
        <v>0</v>
      </c>
      <c r="K266" s="374">
        <v>0</v>
      </c>
      <c r="L266" s="374">
        <v>0</v>
      </c>
      <c r="M266" s="374">
        <v>0</v>
      </c>
      <c r="N266" s="374">
        <v>0</v>
      </c>
      <c r="O266" s="374">
        <v>0</v>
      </c>
      <c r="P266" s="374">
        <v>0</v>
      </c>
      <c r="Q266" s="374">
        <v>0</v>
      </c>
      <c r="R266" s="374">
        <v>0</v>
      </c>
    </row>
    <row r="267" spans="1:18" ht="12.75" customHeight="1" x14ac:dyDescent="0.25">
      <c r="B267" s="775"/>
      <c r="C267" s="772"/>
      <c r="D267" s="373" t="s">
        <v>73</v>
      </c>
      <c r="E267" s="374">
        <v>0</v>
      </c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19"/>
      <c r="C268" s="220"/>
      <c r="D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customHeight="1" x14ac:dyDescent="0.25">
      <c r="B269" s="774" t="s">
        <v>119</v>
      </c>
      <c r="C269" s="772" t="s">
        <v>132</v>
      </c>
      <c r="D269" s="101" t="s">
        <v>70</v>
      </c>
      <c r="E269" s="93">
        <f>E176+E187-K176</f>
        <v>10984451.809999999</v>
      </c>
      <c r="F269" s="93">
        <f>F176</f>
        <v>702329.22</v>
      </c>
      <c r="G269" s="93">
        <f t="shared" ref="G269:R269" si="9">G176</f>
        <v>394837.99</v>
      </c>
      <c r="H269" s="93">
        <f t="shared" si="9"/>
        <v>210134.26</v>
      </c>
      <c r="I269" s="93">
        <f t="shared" si="9"/>
        <v>2051686.15</v>
      </c>
      <c r="J269" s="93">
        <f t="shared" si="9"/>
        <v>54810.09</v>
      </c>
      <c r="K269" s="93">
        <f t="shared" si="9"/>
        <v>120000</v>
      </c>
      <c r="L269" s="93">
        <f t="shared" si="9"/>
        <v>518605.43</v>
      </c>
      <c r="M269" s="93">
        <f t="shared" si="9"/>
        <v>783852.5</v>
      </c>
      <c r="N269" s="93">
        <f t="shared" si="9"/>
        <v>3015297.14</v>
      </c>
      <c r="O269" s="93">
        <f t="shared" si="9"/>
        <v>2325806</v>
      </c>
      <c r="P269" s="93">
        <f t="shared" si="9"/>
        <v>86558.92</v>
      </c>
      <c r="Q269" s="93">
        <f t="shared" si="9"/>
        <v>-69.849999999999994</v>
      </c>
      <c r="R269" s="93">
        <f t="shared" si="9"/>
        <v>0</v>
      </c>
    </row>
    <row r="270" spans="1:18" ht="12.75" customHeight="1" x14ac:dyDescent="0.25">
      <c r="B270" s="774"/>
      <c r="C270" s="772"/>
      <c r="D270" s="101" t="s">
        <v>73</v>
      </c>
      <c r="E270" s="93">
        <f>E187</f>
        <v>840603.96</v>
      </c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A271" s="89"/>
      <c r="B271" s="97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</row>
    <row r="272" spans="1:18" ht="12.75" customHeight="1" x14ac:dyDescent="0.25">
      <c r="B272" s="773" t="s">
        <v>161</v>
      </c>
      <c r="C272" s="772" t="s">
        <v>132</v>
      </c>
      <c r="D272" s="231" t="s">
        <v>70</v>
      </c>
      <c r="E272" s="232">
        <v>0</v>
      </c>
      <c r="F272" s="232">
        <v>0</v>
      </c>
      <c r="G272" s="232">
        <v>0</v>
      </c>
      <c r="H272" s="232">
        <v>0</v>
      </c>
      <c r="I272" s="232">
        <v>0</v>
      </c>
      <c r="J272" s="232">
        <v>0</v>
      </c>
      <c r="K272" s="232">
        <v>0</v>
      </c>
      <c r="L272" s="232">
        <v>0</v>
      </c>
      <c r="M272" s="232">
        <v>0</v>
      </c>
      <c r="N272" s="232">
        <v>0</v>
      </c>
      <c r="O272" s="232">
        <v>0</v>
      </c>
      <c r="P272" s="232">
        <v>0</v>
      </c>
      <c r="Q272" s="232">
        <v>0</v>
      </c>
      <c r="R272" s="232">
        <v>0</v>
      </c>
    </row>
    <row r="273" spans="2:18" ht="12.75" customHeight="1" x14ac:dyDescent="0.25">
      <c r="B273" s="773"/>
      <c r="C273" s="772"/>
      <c r="D273" s="231" t="s">
        <v>73</v>
      </c>
      <c r="E273" s="232">
        <v>0</v>
      </c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2:18" s="238" customFormat="1" x14ac:dyDescent="0.25"/>
    <row r="275" spans="2:18" ht="15" customHeight="1" x14ac:dyDescent="0.25">
      <c r="B275" s="97" t="s">
        <v>88</v>
      </c>
    </row>
    <row r="276" spans="2:18" ht="11.55" customHeight="1" x14ac:dyDescent="0.25">
      <c r="E276" s="89" t="s">
        <v>70</v>
      </c>
      <c r="F276" s="89" t="s">
        <v>64</v>
      </c>
      <c r="G276" s="89" t="s">
        <v>65</v>
      </c>
      <c r="H276" s="219" t="s">
        <v>164</v>
      </c>
      <c r="I276" s="89" t="s">
        <v>69</v>
      </c>
      <c r="J276" s="89" t="s">
        <v>68</v>
      </c>
      <c r="K276" s="89" t="s">
        <v>83</v>
      </c>
      <c r="L276" s="89" t="s">
        <v>66</v>
      </c>
      <c r="M276" s="89" t="s">
        <v>63</v>
      </c>
      <c r="N276" s="89" t="s">
        <v>61</v>
      </c>
      <c r="O276" s="89" t="s">
        <v>62</v>
      </c>
      <c r="P276" s="89" t="s">
        <v>67</v>
      </c>
      <c r="Q276" s="89" t="s">
        <v>84</v>
      </c>
      <c r="R276" s="384" t="s">
        <v>226</v>
      </c>
    </row>
    <row r="277" spans="2:18" ht="11.55" customHeight="1" x14ac:dyDescent="0.25">
      <c r="D277" t="s">
        <v>72</v>
      </c>
      <c r="E277" s="89">
        <v>71673.259999999995</v>
      </c>
      <c r="F277" s="89">
        <v>4582.13</v>
      </c>
      <c r="G277" s="89">
        <v>2587.09</v>
      </c>
      <c r="H277" s="384">
        <v>713.47</v>
      </c>
      <c r="I277" s="89">
        <v>20145.330000000002</v>
      </c>
      <c r="J277" s="89">
        <v>488.67</v>
      </c>
      <c r="K277" s="89">
        <v>0</v>
      </c>
      <c r="L277" s="89">
        <v>0</v>
      </c>
      <c r="M277" s="89">
        <v>5385.19</v>
      </c>
      <c r="N277" s="89">
        <v>32356.45</v>
      </c>
      <c r="O277" s="89">
        <v>4618.03</v>
      </c>
      <c r="P277" s="89">
        <v>797.32</v>
      </c>
      <c r="Q277" s="89">
        <v>-0.42</v>
      </c>
      <c r="R277" s="384">
        <v>0</v>
      </c>
    </row>
    <row r="278" spans="2:18" ht="11.55" customHeight="1" x14ac:dyDescent="0.25">
      <c r="C278" t="s">
        <v>334</v>
      </c>
      <c r="D278" t="s">
        <v>70</v>
      </c>
      <c r="E278" s="384">
        <v>71673.259999999995</v>
      </c>
      <c r="F278" s="89">
        <v>4582.13</v>
      </c>
      <c r="G278" s="89">
        <v>2587.09</v>
      </c>
      <c r="H278" s="384">
        <v>713.47</v>
      </c>
      <c r="I278" s="89">
        <v>20145.330000000002</v>
      </c>
      <c r="J278" s="89">
        <v>488.67</v>
      </c>
      <c r="K278" s="89">
        <v>0</v>
      </c>
      <c r="L278" s="89">
        <v>0</v>
      </c>
      <c r="M278" s="89">
        <v>5385.19</v>
      </c>
      <c r="N278" s="89">
        <v>32356.45</v>
      </c>
      <c r="O278" s="89">
        <v>4618.03</v>
      </c>
      <c r="P278" s="89">
        <v>797.32</v>
      </c>
      <c r="Q278" s="89">
        <v>-0.42</v>
      </c>
      <c r="R278" s="384">
        <v>0</v>
      </c>
    </row>
    <row r="279" spans="2:18" s="739" customFormat="1" ht="11.55" customHeight="1" x14ac:dyDescent="0.25">
      <c r="B279" s="739" t="s">
        <v>85</v>
      </c>
      <c r="C279" s="739" t="s">
        <v>70</v>
      </c>
      <c r="E279" s="770">
        <v>71673.259999999995</v>
      </c>
      <c r="F279" s="231">
        <v>4582.13</v>
      </c>
      <c r="G279" s="231">
        <v>2587.09</v>
      </c>
      <c r="H279" s="770">
        <v>713.47</v>
      </c>
      <c r="I279" s="231">
        <v>20145.330000000002</v>
      </c>
      <c r="J279" s="231">
        <v>488.67</v>
      </c>
      <c r="K279" s="231">
        <v>0</v>
      </c>
      <c r="L279" s="231">
        <v>0</v>
      </c>
      <c r="M279" s="231">
        <v>5385.19</v>
      </c>
      <c r="N279" s="231">
        <v>32356.45</v>
      </c>
      <c r="O279" s="231">
        <v>4618.03</v>
      </c>
      <c r="P279" s="231">
        <v>797.32</v>
      </c>
      <c r="Q279" s="231">
        <v>-0.42</v>
      </c>
      <c r="R279" s="770">
        <v>0</v>
      </c>
    </row>
    <row r="280" spans="2:18" ht="11.55" customHeight="1" x14ac:dyDescent="0.25">
      <c r="D280" t="s">
        <v>72</v>
      </c>
      <c r="E280" s="384">
        <v>73072211.950000003</v>
      </c>
      <c r="F280" s="89">
        <v>3755763.36</v>
      </c>
      <c r="G280" s="89">
        <v>2095717.85</v>
      </c>
      <c r="H280" s="384">
        <v>896790.46</v>
      </c>
      <c r="I280" s="89">
        <v>17900218.059999999</v>
      </c>
      <c r="J280" s="89">
        <v>687344.67</v>
      </c>
      <c r="K280" s="89">
        <v>24851.72</v>
      </c>
      <c r="L280" s="89">
        <v>6029326.0199999996</v>
      </c>
      <c r="M280" s="89">
        <v>5448727.7999999998</v>
      </c>
      <c r="N280" s="89">
        <v>25019020.23</v>
      </c>
      <c r="O280" s="89">
        <v>10324104.43</v>
      </c>
      <c r="P280" s="89">
        <v>890543.52</v>
      </c>
      <c r="Q280" s="89">
        <v>-196.17</v>
      </c>
      <c r="R280" s="384">
        <v>0</v>
      </c>
    </row>
    <row r="281" spans="2:18" ht="12.75" customHeight="1" x14ac:dyDescent="0.25">
      <c r="D281" t="s">
        <v>81</v>
      </c>
      <c r="E281" s="384">
        <v>-71515.19</v>
      </c>
      <c r="F281" s="89">
        <v>6863.82</v>
      </c>
      <c r="G281" s="89">
        <v>3575.51</v>
      </c>
      <c r="H281" s="384">
        <v>1852.66</v>
      </c>
      <c r="I281" s="89">
        <v>23052.17</v>
      </c>
      <c r="J281" s="89">
        <v>806.46</v>
      </c>
      <c r="K281" s="89">
        <v>0</v>
      </c>
      <c r="L281" s="89">
        <v>7085.18</v>
      </c>
      <c r="M281" s="89">
        <v>7541.96</v>
      </c>
      <c r="N281" s="89">
        <v>-141829.34</v>
      </c>
      <c r="O281" s="89">
        <v>18220.05</v>
      </c>
      <c r="P281" s="89">
        <v>1316.02</v>
      </c>
      <c r="Q281" s="89">
        <v>0.32</v>
      </c>
      <c r="R281" s="384">
        <v>0</v>
      </c>
    </row>
    <row r="282" spans="2:18" ht="12.75" customHeight="1" x14ac:dyDescent="0.25">
      <c r="C282" t="s">
        <v>156</v>
      </c>
      <c r="D282" t="s">
        <v>70</v>
      </c>
      <c r="E282" s="384">
        <v>73000696.760000005</v>
      </c>
      <c r="F282" s="89">
        <v>3762627.18</v>
      </c>
      <c r="G282" s="89">
        <v>2099293.36</v>
      </c>
      <c r="H282" s="384">
        <v>898643.12</v>
      </c>
      <c r="I282" s="89">
        <v>17923270.23</v>
      </c>
      <c r="J282" s="89">
        <v>688151.13</v>
      </c>
      <c r="K282" s="89">
        <v>24851.72</v>
      </c>
      <c r="L282" s="89">
        <v>6036411.2000000002</v>
      </c>
      <c r="M282" s="89">
        <v>5456269.7599999998</v>
      </c>
      <c r="N282" s="89">
        <v>24877190.890000001</v>
      </c>
      <c r="O282" s="89">
        <v>10342324.48</v>
      </c>
      <c r="P282" s="89">
        <v>891859.54</v>
      </c>
      <c r="Q282" s="89">
        <v>-195.85</v>
      </c>
      <c r="R282">
        <v>0</v>
      </c>
    </row>
    <row r="283" spans="2:18" s="286" customFormat="1" ht="12.75" customHeight="1" x14ac:dyDescent="0.25">
      <c r="B283" s="286" t="s">
        <v>155</v>
      </c>
      <c r="C283" s="286" t="s">
        <v>70</v>
      </c>
      <c r="E283" s="753">
        <v>73000696.760000005</v>
      </c>
      <c r="F283" s="229">
        <v>3762627.18</v>
      </c>
      <c r="G283" s="229">
        <v>2099293.36</v>
      </c>
      <c r="H283" s="753">
        <v>898643.12</v>
      </c>
      <c r="I283" s="229">
        <v>17923270.23</v>
      </c>
      <c r="J283" s="229">
        <v>688151.13</v>
      </c>
      <c r="K283" s="229">
        <v>24851.72</v>
      </c>
      <c r="L283" s="229">
        <v>6036411.2000000002</v>
      </c>
      <c r="M283" s="229">
        <v>5456269.7599999998</v>
      </c>
      <c r="N283" s="229">
        <v>24877190.890000001</v>
      </c>
      <c r="O283" s="229">
        <v>10342324.48</v>
      </c>
      <c r="P283" s="229">
        <v>891859.54</v>
      </c>
      <c r="Q283" s="229">
        <v>-195.85</v>
      </c>
      <c r="R283" s="286">
        <v>0</v>
      </c>
    </row>
    <row r="284" spans="2:18" ht="12.75" customHeight="1" x14ac:dyDescent="0.25">
      <c r="D284" t="s">
        <v>72</v>
      </c>
      <c r="E284" s="384">
        <v>5291124.28</v>
      </c>
      <c r="F284" s="89">
        <v>376000.75</v>
      </c>
      <c r="G284" s="89">
        <v>199323.19</v>
      </c>
      <c r="H284" s="384">
        <v>90624.73</v>
      </c>
      <c r="I284" s="89">
        <v>1211600.6399999999</v>
      </c>
      <c r="J284" s="89">
        <v>36367.15</v>
      </c>
      <c r="K284" s="89">
        <v>0</v>
      </c>
      <c r="L284" s="89">
        <v>347475.78</v>
      </c>
      <c r="M284" s="89">
        <v>360320.11</v>
      </c>
      <c r="N284" s="89">
        <v>1616585.14</v>
      </c>
      <c r="O284" s="89">
        <v>1003069.4399999999</v>
      </c>
      <c r="P284" s="89">
        <v>49727.57</v>
      </c>
      <c r="Q284" s="89">
        <v>29.78</v>
      </c>
      <c r="R284">
        <v>0</v>
      </c>
    </row>
    <row r="285" spans="2:18" ht="12.75" customHeight="1" x14ac:dyDescent="0.25">
      <c r="D285" t="s">
        <v>81</v>
      </c>
      <c r="E285" s="384">
        <v>-2561.1999999999998</v>
      </c>
      <c r="F285" s="89">
        <v>228.57</v>
      </c>
      <c r="G285" s="89">
        <v>110.59</v>
      </c>
      <c r="H285" s="384">
        <v>56.09</v>
      </c>
      <c r="I285" s="89">
        <v>362.41</v>
      </c>
      <c r="J285" s="89">
        <v>11.79</v>
      </c>
      <c r="K285" s="89">
        <v>0</v>
      </c>
      <c r="L285" s="89">
        <v>103.46</v>
      </c>
      <c r="M285" s="89">
        <v>125.25</v>
      </c>
      <c r="N285" s="89">
        <v>-4187.03</v>
      </c>
      <c r="O285" s="89">
        <v>608.41999999999996</v>
      </c>
      <c r="P285" s="89">
        <v>19.239999999999998</v>
      </c>
      <c r="Q285" s="89">
        <v>0.01</v>
      </c>
      <c r="R285">
        <v>0</v>
      </c>
    </row>
    <row r="286" spans="2:18" ht="12.75" customHeight="1" x14ac:dyDescent="0.25">
      <c r="C286" t="s">
        <v>115</v>
      </c>
      <c r="D286" t="s">
        <v>70</v>
      </c>
      <c r="E286" s="384">
        <v>5288563.08</v>
      </c>
      <c r="F286" s="89">
        <v>376229.32</v>
      </c>
      <c r="G286" s="89">
        <v>199433.78</v>
      </c>
      <c r="H286" s="384">
        <v>90680.82</v>
      </c>
      <c r="I286" s="89">
        <v>1211963.05</v>
      </c>
      <c r="J286" s="89">
        <v>36378.94</v>
      </c>
      <c r="K286" s="89">
        <v>0</v>
      </c>
      <c r="L286" s="89">
        <v>347579.24</v>
      </c>
      <c r="M286" s="89">
        <v>360445.36</v>
      </c>
      <c r="N286" s="89">
        <v>1612398.11</v>
      </c>
      <c r="O286" s="89">
        <v>1003677.86</v>
      </c>
      <c r="P286" s="89">
        <v>49746.81</v>
      </c>
      <c r="Q286" s="89">
        <v>29.79</v>
      </c>
      <c r="R286">
        <v>0</v>
      </c>
    </row>
    <row r="287" spans="2:18" ht="12.75" customHeight="1" x14ac:dyDescent="0.25">
      <c r="D287" t="s">
        <v>72</v>
      </c>
      <c r="E287" s="384">
        <v>785227.71</v>
      </c>
      <c r="F287" s="89">
        <v>90173.21</v>
      </c>
      <c r="G287" s="89">
        <v>50747.68</v>
      </c>
      <c r="H287" s="384">
        <v>22898.36</v>
      </c>
      <c r="I287" s="89">
        <v>154863.56</v>
      </c>
      <c r="J287" s="89">
        <v>3691.97</v>
      </c>
      <c r="K287" s="89">
        <v>0</v>
      </c>
      <c r="L287" s="89">
        <v>35034.699999999997</v>
      </c>
      <c r="M287" s="89">
        <v>38643.370000000003</v>
      </c>
      <c r="N287" s="89">
        <v>145009.41</v>
      </c>
      <c r="O287" s="89">
        <v>238935.23</v>
      </c>
      <c r="P287" s="89">
        <v>5239.99</v>
      </c>
      <c r="Q287" s="89">
        <v>-9.77</v>
      </c>
      <c r="R287">
        <v>0</v>
      </c>
    </row>
    <row r="288" spans="2:18" ht="12.75" customHeight="1" x14ac:dyDescent="0.25">
      <c r="D288" t="s">
        <v>81</v>
      </c>
      <c r="E288" s="384">
        <v>-1647.69</v>
      </c>
      <c r="F288" s="89">
        <v>0</v>
      </c>
      <c r="G288" s="89">
        <v>0</v>
      </c>
      <c r="H288" s="384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-1647.71</v>
      </c>
      <c r="O288" s="89">
        <v>0</v>
      </c>
      <c r="P288" s="89">
        <v>0</v>
      </c>
      <c r="Q288" s="89">
        <v>0.02</v>
      </c>
      <c r="R288">
        <v>0</v>
      </c>
    </row>
    <row r="289" spans="1:18" ht="12.75" customHeight="1" x14ac:dyDescent="0.25">
      <c r="B289" s="89"/>
      <c r="C289" s="89" t="s">
        <v>116</v>
      </c>
      <c r="D289" t="s">
        <v>70</v>
      </c>
      <c r="E289" s="371">
        <v>783580.02</v>
      </c>
      <c r="F289" s="90">
        <v>90173.21</v>
      </c>
      <c r="G289" s="90">
        <v>50747.68</v>
      </c>
      <c r="H289" s="90">
        <v>22898.36</v>
      </c>
      <c r="I289" s="90">
        <v>154863.56</v>
      </c>
      <c r="J289" s="90">
        <v>3691.97</v>
      </c>
      <c r="K289" s="90">
        <v>0</v>
      </c>
      <c r="L289" s="90">
        <v>35034.699999999997</v>
      </c>
      <c r="M289" s="90">
        <v>38643.370000000003</v>
      </c>
      <c r="N289" s="90">
        <v>143361.70000000001</v>
      </c>
      <c r="O289" s="90">
        <v>238935.23</v>
      </c>
      <c r="P289" s="90">
        <v>5239.99</v>
      </c>
      <c r="Q289" s="90">
        <v>-9.75</v>
      </c>
      <c r="R289">
        <v>0</v>
      </c>
    </row>
    <row r="290" spans="1:18" ht="12.75" customHeight="1" x14ac:dyDescent="0.25">
      <c r="B290" s="89"/>
      <c r="C290" s="89"/>
      <c r="D290" t="s">
        <v>72</v>
      </c>
      <c r="E290" s="371">
        <v>11833449.619999999</v>
      </c>
      <c r="F290" s="90">
        <v>687056.26</v>
      </c>
      <c r="G290" s="90">
        <v>394060.53</v>
      </c>
      <c r="H290" s="90">
        <v>134509.24</v>
      </c>
      <c r="I290" s="90">
        <v>3125015.24</v>
      </c>
      <c r="J290" s="90">
        <v>100233</v>
      </c>
      <c r="K290" s="90">
        <v>0</v>
      </c>
      <c r="L290" s="90">
        <v>936416.05</v>
      </c>
      <c r="M290" s="90">
        <v>865571.07</v>
      </c>
      <c r="N290" s="90">
        <v>3617316.45</v>
      </c>
      <c r="O290" s="90">
        <v>1866016.89</v>
      </c>
      <c r="P290" s="90">
        <v>107260.94</v>
      </c>
      <c r="Q290" s="90">
        <v>-6.05</v>
      </c>
      <c r="R290">
        <v>0</v>
      </c>
    </row>
    <row r="291" spans="1:18" ht="12.75" customHeight="1" x14ac:dyDescent="0.25">
      <c r="B291" s="89"/>
      <c r="C291" s="89"/>
      <c r="D291" t="s">
        <v>81</v>
      </c>
      <c r="E291" s="371">
        <v>-16370.84</v>
      </c>
      <c r="F291" s="90">
        <v>42.79</v>
      </c>
      <c r="G291" s="90">
        <v>24.18</v>
      </c>
      <c r="H291" s="90">
        <v>12.75</v>
      </c>
      <c r="I291" s="90">
        <v>140.34</v>
      </c>
      <c r="J291" s="90">
        <v>5.07</v>
      </c>
      <c r="K291" s="90">
        <v>0</v>
      </c>
      <c r="L291" s="90">
        <v>44.47</v>
      </c>
      <c r="M291" s="90">
        <v>43.31</v>
      </c>
      <c r="N291" s="90">
        <v>-16805.8</v>
      </c>
      <c r="O291" s="90">
        <v>113.77</v>
      </c>
      <c r="P291" s="90">
        <v>8.27</v>
      </c>
      <c r="Q291" s="90">
        <v>0.01</v>
      </c>
      <c r="R291">
        <v>0</v>
      </c>
    </row>
    <row r="292" spans="1:18" ht="12.75" customHeight="1" x14ac:dyDescent="0.25">
      <c r="B292" s="89"/>
      <c r="C292" s="89" t="s">
        <v>118</v>
      </c>
      <c r="D292" t="s">
        <v>70</v>
      </c>
      <c r="E292" s="371">
        <v>11817078.779999999</v>
      </c>
      <c r="F292" s="90">
        <v>687099.05</v>
      </c>
      <c r="G292" s="90">
        <v>394084.71</v>
      </c>
      <c r="H292" s="90">
        <v>134521.99</v>
      </c>
      <c r="I292" s="90">
        <v>3125155.58</v>
      </c>
      <c r="J292" s="90">
        <v>100238.07</v>
      </c>
      <c r="K292" s="90">
        <v>0</v>
      </c>
      <c r="L292" s="90">
        <v>936460.52</v>
      </c>
      <c r="M292" s="90">
        <v>865614.38</v>
      </c>
      <c r="N292" s="90">
        <v>3600510.65</v>
      </c>
      <c r="O292" s="90">
        <v>1866130.66</v>
      </c>
      <c r="P292" s="90">
        <v>107269.21</v>
      </c>
      <c r="Q292" s="90">
        <v>-6.04</v>
      </c>
      <c r="R292">
        <v>0</v>
      </c>
    </row>
    <row r="293" spans="1:18" s="224" customFormat="1" ht="12.75" customHeight="1" x14ac:dyDescent="0.25">
      <c r="B293" s="224" t="s">
        <v>120</v>
      </c>
      <c r="C293" s="223" t="s">
        <v>70</v>
      </c>
      <c r="D293" s="223"/>
      <c r="E293" s="225">
        <v>17889221.879999999</v>
      </c>
      <c r="F293" s="225">
        <v>1153501.58</v>
      </c>
      <c r="G293" s="225">
        <v>644266.17000000004</v>
      </c>
      <c r="H293" s="225">
        <v>248101.17</v>
      </c>
      <c r="I293" s="225">
        <v>4491982.1900000004</v>
      </c>
      <c r="J293" s="225">
        <v>140308.98000000001</v>
      </c>
      <c r="K293" s="225">
        <v>0</v>
      </c>
      <c r="L293" s="225">
        <v>1319074.46</v>
      </c>
      <c r="M293" s="225">
        <v>1264703.1100000001</v>
      </c>
      <c r="N293" s="225">
        <v>5356270.46</v>
      </c>
      <c r="O293" s="225">
        <v>3108743.75</v>
      </c>
      <c r="P293" s="225">
        <v>162256.01</v>
      </c>
      <c r="Q293" s="225">
        <v>14</v>
      </c>
      <c r="R293" s="224">
        <v>0</v>
      </c>
    </row>
    <row r="294" spans="1:18" ht="12.75" customHeight="1" x14ac:dyDescent="0.25">
      <c r="C294" s="89"/>
      <c r="D294" s="89" t="s">
        <v>72</v>
      </c>
      <c r="E294" s="371">
        <v>2935915.68</v>
      </c>
      <c r="F294" s="90">
        <v>165004.76</v>
      </c>
      <c r="G294" s="90">
        <v>90924.57</v>
      </c>
      <c r="H294" s="90">
        <v>41755.800000000003</v>
      </c>
      <c r="I294" s="90">
        <v>655865.82999999996</v>
      </c>
      <c r="J294" s="90">
        <v>19420.96</v>
      </c>
      <c r="K294" s="90">
        <v>0</v>
      </c>
      <c r="L294" s="90">
        <v>182768.14</v>
      </c>
      <c r="M294" s="90">
        <v>234953.54</v>
      </c>
      <c r="N294" s="90">
        <v>1056399.01</v>
      </c>
      <c r="O294" s="90">
        <v>461182.06</v>
      </c>
      <c r="P294" s="90">
        <v>27646.080000000002</v>
      </c>
      <c r="Q294" s="90">
        <v>-5.07</v>
      </c>
      <c r="R294">
        <v>0</v>
      </c>
    </row>
    <row r="295" spans="1:18" ht="12.75" customHeight="1" x14ac:dyDescent="0.25">
      <c r="C295" s="89"/>
      <c r="D295" s="89" t="s">
        <v>81</v>
      </c>
      <c r="E295" s="371">
        <v>-2830.74</v>
      </c>
      <c r="F295" s="90">
        <v>11.66</v>
      </c>
      <c r="G295" s="90">
        <v>6.59</v>
      </c>
      <c r="H295" s="90">
        <v>3.49</v>
      </c>
      <c r="I295" s="90">
        <v>17.57</v>
      </c>
      <c r="J295" s="90">
        <v>12.87</v>
      </c>
      <c r="K295" s="90">
        <v>0</v>
      </c>
      <c r="L295" s="90">
        <v>112.97</v>
      </c>
      <c r="M295" s="90">
        <v>110.83</v>
      </c>
      <c r="N295" s="90">
        <v>-3158.73</v>
      </c>
      <c r="O295" s="90">
        <v>31.02</v>
      </c>
      <c r="P295" s="90">
        <v>21</v>
      </c>
      <c r="Q295" s="90">
        <v>-0.01</v>
      </c>
      <c r="R295">
        <v>0</v>
      </c>
    </row>
    <row r="296" spans="1:18" ht="12.75" customHeight="1" x14ac:dyDescent="0.25">
      <c r="C296" s="89" t="s">
        <v>82</v>
      </c>
      <c r="D296" s="89" t="s">
        <v>70</v>
      </c>
      <c r="E296" s="371">
        <v>2933084.94</v>
      </c>
      <c r="F296" s="90">
        <v>165016.42000000001</v>
      </c>
      <c r="G296" s="90">
        <v>90931.16</v>
      </c>
      <c r="H296" s="90">
        <v>41759.29</v>
      </c>
      <c r="I296" s="90">
        <v>655883.4</v>
      </c>
      <c r="J296" s="90">
        <v>19433.830000000002</v>
      </c>
      <c r="K296" s="90">
        <v>0</v>
      </c>
      <c r="L296" s="90">
        <v>182881.11</v>
      </c>
      <c r="M296" s="90">
        <v>235064.37</v>
      </c>
      <c r="N296" s="90">
        <v>1053240.28</v>
      </c>
      <c r="O296" s="90">
        <v>461213.08</v>
      </c>
      <c r="P296" s="90">
        <v>27667.08</v>
      </c>
      <c r="Q296" s="90">
        <v>-5.08</v>
      </c>
      <c r="R296">
        <v>0</v>
      </c>
    </row>
    <row r="297" spans="1:18" ht="12.75" customHeight="1" x14ac:dyDescent="0.25">
      <c r="C297" s="89"/>
      <c r="D297" s="89" t="s">
        <v>72</v>
      </c>
      <c r="E297" s="371">
        <v>11191122.91</v>
      </c>
      <c r="F297" s="90">
        <v>614822.13</v>
      </c>
      <c r="G297" s="90">
        <v>344645.24</v>
      </c>
      <c r="H297" s="90">
        <v>152456.87</v>
      </c>
      <c r="I297" s="90">
        <v>2725647.53</v>
      </c>
      <c r="J297" s="90">
        <v>92386.38</v>
      </c>
      <c r="K297" s="90">
        <v>0</v>
      </c>
      <c r="L297" s="90">
        <v>843063.7</v>
      </c>
      <c r="M297" s="90">
        <v>823570.03</v>
      </c>
      <c r="N297" s="90">
        <v>3813596.77</v>
      </c>
      <c r="O297" s="90">
        <v>1669126.56</v>
      </c>
      <c r="P297" s="90">
        <v>111835.5</v>
      </c>
      <c r="Q297" s="90">
        <v>-27.8</v>
      </c>
      <c r="R297">
        <v>0</v>
      </c>
    </row>
    <row r="298" spans="1:18" ht="12.75" customHeight="1" x14ac:dyDescent="0.25">
      <c r="C298" s="89"/>
      <c r="D298" s="89" t="s">
        <v>81</v>
      </c>
      <c r="E298" s="371">
        <v>438.3</v>
      </c>
      <c r="F298" s="90">
        <v>1420.03</v>
      </c>
      <c r="G298" s="90">
        <v>734.15</v>
      </c>
      <c r="H298" s="90">
        <v>392.29</v>
      </c>
      <c r="I298" s="90">
        <v>5077.55</v>
      </c>
      <c r="J298" s="90">
        <v>165.82</v>
      </c>
      <c r="K298" s="90">
        <v>0</v>
      </c>
      <c r="L298" s="90">
        <v>1454.36</v>
      </c>
      <c r="M298" s="90">
        <v>1628.88</v>
      </c>
      <c r="N298" s="90">
        <v>-14504.38</v>
      </c>
      <c r="O298" s="90">
        <v>3798.82</v>
      </c>
      <c r="P298" s="90">
        <v>270.51</v>
      </c>
      <c r="Q298" s="90">
        <v>0.27</v>
      </c>
      <c r="R298">
        <v>0</v>
      </c>
    </row>
    <row r="299" spans="1:18" ht="12.75" customHeight="1" x14ac:dyDescent="0.25">
      <c r="C299" s="89" t="s">
        <v>86</v>
      </c>
      <c r="D299" s="89" t="s">
        <v>70</v>
      </c>
      <c r="E299" s="371">
        <v>11191561.210000001</v>
      </c>
      <c r="F299" s="90">
        <v>616242.16</v>
      </c>
      <c r="G299" s="90">
        <v>345379.39</v>
      </c>
      <c r="H299" s="90">
        <v>152849.16</v>
      </c>
      <c r="I299" s="90">
        <v>2730725.08</v>
      </c>
      <c r="J299" s="90">
        <v>92552.2</v>
      </c>
      <c r="K299" s="90">
        <v>0</v>
      </c>
      <c r="L299" s="90">
        <v>844518.06</v>
      </c>
      <c r="M299" s="90">
        <v>825198.91</v>
      </c>
      <c r="N299" s="90">
        <v>3799092.39</v>
      </c>
      <c r="O299" s="90">
        <v>1672925.38</v>
      </c>
      <c r="P299" s="90">
        <v>112106.01</v>
      </c>
      <c r="Q299" s="90">
        <v>-27.53</v>
      </c>
      <c r="R299">
        <v>0</v>
      </c>
    </row>
    <row r="300" spans="1:18" ht="12.75" customHeight="1" x14ac:dyDescent="0.25">
      <c r="C300" s="89"/>
      <c r="D300" s="89" t="s">
        <v>72</v>
      </c>
      <c r="E300" s="371">
        <v>21700543.390000001</v>
      </c>
      <c r="F300" s="90">
        <v>3577177.74</v>
      </c>
      <c r="G300" s="90">
        <v>2006982.21</v>
      </c>
      <c r="H300" s="90">
        <v>1070133.77</v>
      </c>
      <c r="I300" s="90">
        <v>1787448.93</v>
      </c>
      <c r="J300" s="90">
        <v>43607.14</v>
      </c>
      <c r="K300" s="90">
        <v>70913.19</v>
      </c>
      <c r="L300" s="90">
        <v>414836.95</v>
      </c>
      <c r="M300" s="90">
        <v>540383.17000000004</v>
      </c>
      <c r="N300" s="90">
        <v>2323950.7799999998</v>
      </c>
      <c r="O300" s="90">
        <v>9795966.1799999997</v>
      </c>
      <c r="P300" s="90">
        <v>69146.070000000007</v>
      </c>
      <c r="Q300" s="90">
        <v>-2.74</v>
      </c>
      <c r="R300">
        <v>0</v>
      </c>
    </row>
    <row r="301" spans="1:18" ht="12.75" customHeight="1" x14ac:dyDescent="0.25">
      <c r="C301" s="89"/>
      <c r="D301" s="89" t="s">
        <v>81</v>
      </c>
      <c r="E301" s="371">
        <v>-4328.01</v>
      </c>
      <c r="F301" s="90">
        <v>5.93</v>
      </c>
      <c r="G301" s="90">
        <v>3.36</v>
      </c>
      <c r="H301" s="90">
        <v>1.8</v>
      </c>
      <c r="I301" s="90">
        <v>24</v>
      </c>
      <c r="J301" s="90">
        <v>0.67</v>
      </c>
      <c r="K301" s="90">
        <v>0</v>
      </c>
      <c r="L301" s="90">
        <v>5.82</v>
      </c>
      <c r="M301" s="90">
        <v>7.75</v>
      </c>
      <c r="N301" s="90">
        <v>-4394.5</v>
      </c>
      <c r="O301" s="90">
        <v>16.079999999999998</v>
      </c>
      <c r="P301" s="90">
        <v>1.08</v>
      </c>
      <c r="Q301" s="90">
        <v>0</v>
      </c>
      <c r="R301">
        <v>0</v>
      </c>
    </row>
    <row r="302" spans="1:18" ht="12.75" customHeight="1" x14ac:dyDescent="0.25">
      <c r="A302" s="89"/>
      <c r="B302" s="89"/>
      <c r="C302" t="s">
        <v>87</v>
      </c>
      <c r="D302" t="s">
        <v>70</v>
      </c>
      <c r="E302" s="90">
        <v>21696215.379999999</v>
      </c>
      <c r="F302" s="90">
        <v>3577183.67</v>
      </c>
      <c r="G302" s="90">
        <v>2006985.57</v>
      </c>
      <c r="H302" s="90">
        <v>1070135.57</v>
      </c>
      <c r="I302" s="90">
        <v>1787472.93</v>
      </c>
      <c r="J302" s="90">
        <v>43607.81</v>
      </c>
      <c r="K302" s="90">
        <v>70913.19</v>
      </c>
      <c r="L302" s="90">
        <v>414842.77</v>
      </c>
      <c r="M302" s="90">
        <v>540390.92000000004</v>
      </c>
      <c r="N302" s="90">
        <v>2319556.2799999998</v>
      </c>
      <c r="O302" s="90">
        <v>9795982.2599999998</v>
      </c>
      <c r="P302" s="90">
        <v>69147.149999999994</v>
      </c>
      <c r="Q302" s="90">
        <v>-2.74</v>
      </c>
      <c r="R302">
        <v>0</v>
      </c>
    </row>
    <row r="303" spans="1:18" s="94" customFormat="1" ht="12.75" customHeight="1" x14ac:dyDescent="0.25">
      <c r="B303" s="101" t="s">
        <v>119</v>
      </c>
      <c r="C303" s="101" t="s">
        <v>70</v>
      </c>
      <c r="E303" s="93">
        <v>35820861.530000001</v>
      </c>
      <c r="F303" s="93">
        <v>4358442.25</v>
      </c>
      <c r="G303" s="93">
        <v>2443296.12</v>
      </c>
      <c r="H303" s="93">
        <v>1264744.02</v>
      </c>
      <c r="I303" s="93">
        <v>5174081.41</v>
      </c>
      <c r="J303" s="93">
        <v>155593.84</v>
      </c>
      <c r="K303" s="93">
        <v>70913.19</v>
      </c>
      <c r="L303" s="93">
        <v>1442241.94</v>
      </c>
      <c r="M303" s="93">
        <v>1600654.2</v>
      </c>
      <c r="N303" s="93">
        <v>7171888.9500000002</v>
      </c>
      <c r="O303" s="93">
        <v>11930120.720000001</v>
      </c>
      <c r="P303" s="93">
        <v>208920.24</v>
      </c>
      <c r="Q303" s="93">
        <v>-35.35</v>
      </c>
      <c r="R303" s="94">
        <v>0</v>
      </c>
    </row>
    <row r="304" spans="1:18" s="226" customFormat="1" ht="12.75" customHeight="1" x14ac:dyDescent="0.25">
      <c r="A304" s="98" t="s">
        <v>78</v>
      </c>
      <c r="B304" s="98" t="s">
        <v>70</v>
      </c>
      <c r="E304" s="100">
        <v>126782453.43000001</v>
      </c>
      <c r="F304" s="100">
        <v>9279153.1400000006</v>
      </c>
      <c r="G304" s="100">
        <v>5189442.74</v>
      </c>
      <c r="H304" s="100">
        <v>2412201.7799999998</v>
      </c>
      <c r="I304" s="100">
        <v>27609479.16</v>
      </c>
      <c r="J304" s="100">
        <v>984542.62</v>
      </c>
      <c r="K304" s="100">
        <v>95764.91</v>
      </c>
      <c r="L304" s="100">
        <v>8797727.5999999996</v>
      </c>
      <c r="M304" s="100">
        <v>8327012.2599999998</v>
      </c>
      <c r="N304" s="100">
        <v>37437706.75</v>
      </c>
      <c r="O304" s="100">
        <v>25385806.98</v>
      </c>
      <c r="P304" s="100">
        <v>1263833.1100000001</v>
      </c>
      <c r="Q304" s="100">
        <v>-217.62</v>
      </c>
      <c r="R304" s="226">
        <v>0</v>
      </c>
    </row>
    <row r="305" spans="2:18" ht="12.75" customHeight="1" x14ac:dyDescent="0.25">
      <c r="B305" s="89"/>
      <c r="C305" s="89"/>
      <c r="D305" t="s">
        <v>73</v>
      </c>
      <c r="E305" s="371">
        <v>-12462.26</v>
      </c>
      <c r="F305" s="90">
        <v>-623.41999999999996</v>
      </c>
      <c r="G305" s="90">
        <v>-352</v>
      </c>
      <c r="H305" s="90">
        <v>-184.75</v>
      </c>
      <c r="I305" s="90">
        <v>-3021.8</v>
      </c>
      <c r="J305" s="90">
        <v>-73.3</v>
      </c>
      <c r="K305" s="90">
        <v>0</v>
      </c>
      <c r="L305" s="90">
        <v>-643</v>
      </c>
      <c r="M305" s="90">
        <v>-940.76</v>
      </c>
      <c r="N305" s="90">
        <v>-4853.46</v>
      </c>
      <c r="O305" s="90">
        <v>-1650.17</v>
      </c>
      <c r="P305" s="90">
        <v>-119.6</v>
      </c>
      <c r="Q305" s="90">
        <v>0</v>
      </c>
      <c r="R305">
        <v>0</v>
      </c>
    </row>
    <row r="306" spans="2:18" ht="12.75" customHeight="1" x14ac:dyDescent="0.25">
      <c r="B306" s="89"/>
      <c r="C306" s="89" t="s">
        <v>334</v>
      </c>
      <c r="D306" t="s">
        <v>70</v>
      </c>
      <c r="E306" s="371">
        <v>-12462.26</v>
      </c>
      <c r="F306" s="90">
        <v>-623.41999999999996</v>
      </c>
      <c r="G306" s="90">
        <v>-352</v>
      </c>
      <c r="H306" s="90">
        <v>-184.75</v>
      </c>
      <c r="I306" s="90">
        <v>-3021.8</v>
      </c>
      <c r="J306" s="90">
        <v>-73.3</v>
      </c>
      <c r="K306" s="90">
        <v>0</v>
      </c>
      <c r="L306" s="90">
        <v>-643</v>
      </c>
      <c r="M306" s="90">
        <v>-940.76</v>
      </c>
      <c r="N306" s="90">
        <v>-4853.46</v>
      </c>
      <c r="O306" s="90">
        <v>-1650.17</v>
      </c>
      <c r="P306" s="90">
        <v>-119.6</v>
      </c>
      <c r="Q306" s="90">
        <v>0</v>
      </c>
      <c r="R306">
        <v>0</v>
      </c>
    </row>
    <row r="307" spans="2:18" s="739" customFormat="1" ht="12.75" customHeight="1" x14ac:dyDescent="0.25">
      <c r="B307" s="231" t="s">
        <v>85</v>
      </c>
      <c r="C307" s="231" t="s">
        <v>70</v>
      </c>
      <c r="E307" s="740">
        <v>-12462.26</v>
      </c>
      <c r="F307" s="232">
        <v>-623.41999999999996</v>
      </c>
      <c r="G307" s="232">
        <v>-352</v>
      </c>
      <c r="H307" s="232">
        <v>-184.75</v>
      </c>
      <c r="I307" s="232">
        <v>-3021.8</v>
      </c>
      <c r="J307" s="232">
        <v>-73.3</v>
      </c>
      <c r="K307" s="232">
        <v>0</v>
      </c>
      <c r="L307" s="232">
        <v>-643</v>
      </c>
      <c r="M307" s="232">
        <v>-940.76</v>
      </c>
      <c r="N307" s="232">
        <v>-4853.46</v>
      </c>
      <c r="O307" s="232">
        <v>-1650.17</v>
      </c>
      <c r="P307" s="232">
        <v>-119.6</v>
      </c>
      <c r="Q307" s="232">
        <v>0</v>
      </c>
      <c r="R307" s="739">
        <v>0</v>
      </c>
    </row>
    <row r="308" spans="2:18" ht="12.75" customHeight="1" x14ac:dyDescent="0.25">
      <c r="B308" s="89"/>
      <c r="C308" s="89"/>
      <c r="D308" t="s">
        <v>73</v>
      </c>
      <c r="E308" s="371">
        <v>-13809324.039999999</v>
      </c>
      <c r="F308" s="90">
        <v>-419190.55</v>
      </c>
      <c r="G308" s="90">
        <v>-254242.75</v>
      </c>
      <c r="H308" s="90">
        <v>-148207</v>
      </c>
      <c r="I308" s="90">
        <v>-3632209.98</v>
      </c>
      <c r="J308" s="90">
        <v>-132042.87</v>
      </c>
      <c r="K308" s="90">
        <v>0</v>
      </c>
      <c r="L308" s="90">
        <v>-1134871.8600000001</v>
      </c>
      <c r="M308" s="90">
        <v>-1113502.01</v>
      </c>
      <c r="N308" s="90">
        <v>-5685263.0099999998</v>
      </c>
      <c r="O308" s="90">
        <v>-1074168.73</v>
      </c>
      <c r="P308" s="90">
        <v>-215625.28</v>
      </c>
      <c r="Q308" s="90">
        <v>0</v>
      </c>
      <c r="R308">
        <v>0</v>
      </c>
    </row>
    <row r="309" spans="2:18" ht="12.75" customHeight="1" x14ac:dyDescent="0.25">
      <c r="B309" s="89"/>
      <c r="C309" s="89" t="s">
        <v>156</v>
      </c>
      <c r="D309" t="s">
        <v>70</v>
      </c>
      <c r="E309" s="371">
        <v>-13809324.039999999</v>
      </c>
      <c r="F309" s="90">
        <v>-419190.55</v>
      </c>
      <c r="G309" s="90">
        <v>-254242.75</v>
      </c>
      <c r="H309" s="90">
        <v>-148207</v>
      </c>
      <c r="I309" s="90">
        <v>-3632209.98</v>
      </c>
      <c r="J309" s="90">
        <v>-132042.87</v>
      </c>
      <c r="K309" s="90">
        <v>0</v>
      </c>
      <c r="L309" s="90">
        <v>-1134871.8600000001</v>
      </c>
      <c r="M309" s="90">
        <v>-1113502.01</v>
      </c>
      <c r="N309" s="90">
        <v>-5685263.0099999998</v>
      </c>
      <c r="O309" s="90">
        <v>-1074168.73</v>
      </c>
      <c r="P309" s="90">
        <v>-215625.28</v>
      </c>
      <c r="Q309" s="90">
        <v>0</v>
      </c>
      <c r="R309">
        <v>0</v>
      </c>
    </row>
    <row r="310" spans="2:18" s="286" customFormat="1" ht="12.75" customHeight="1" x14ac:dyDescent="0.25">
      <c r="B310" s="229" t="s">
        <v>155</v>
      </c>
      <c r="C310" s="229" t="s">
        <v>70</v>
      </c>
      <c r="E310" s="752">
        <v>-13809324.039999999</v>
      </c>
      <c r="F310" s="230">
        <v>-419190.55</v>
      </c>
      <c r="G310" s="230">
        <v>-254242.75</v>
      </c>
      <c r="H310" s="230">
        <v>-148207</v>
      </c>
      <c r="I310" s="230">
        <v>-3632209.98</v>
      </c>
      <c r="J310" s="230">
        <v>-132042.87</v>
      </c>
      <c r="K310" s="230">
        <v>0</v>
      </c>
      <c r="L310" s="230">
        <v>-1134871.8600000001</v>
      </c>
      <c r="M310" s="230">
        <v>-1113502.01</v>
      </c>
      <c r="N310" s="230">
        <v>-5685263.0099999998</v>
      </c>
      <c r="O310" s="230">
        <v>-1074168.73</v>
      </c>
      <c r="P310" s="230">
        <v>-215625.28</v>
      </c>
      <c r="Q310" s="230">
        <v>0</v>
      </c>
      <c r="R310" s="286">
        <v>0</v>
      </c>
    </row>
    <row r="311" spans="2:18" ht="12.75" customHeight="1" x14ac:dyDescent="0.25">
      <c r="B311" s="89"/>
      <c r="C311" s="89"/>
      <c r="D311" t="s">
        <v>73</v>
      </c>
      <c r="E311" s="371">
        <v>8470.9699999999993</v>
      </c>
      <c r="F311" s="90">
        <v>16043.41</v>
      </c>
      <c r="G311" s="90">
        <v>7345.71</v>
      </c>
      <c r="H311" s="90">
        <v>8576.19</v>
      </c>
      <c r="I311" s="90">
        <v>-74530.399999999994</v>
      </c>
      <c r="J311" s="90">
        <v>-859.48</v>
      </c>
      <c r="K311" s="90">
        <v>0</v>
      </c>
      <c r="L311" s="90">
        <v>-5318.33</v>
      </c>
      <c r="M311" s="90">
        <v>-5909.81</v>
      </c>
      <c r="N311" s="90">
        <v>-32527.65</v>
      </c>
      <c r="O311" s="90">
        <v>97519.78</v>
      </c>
      <c r="P311" s="90">
        <v>-1868.45</v>
      </c>
      <c r="Q311" s="90">
        <v>0</v>
      </c>
      <c r="R311">
        <v>0</v>
      </c>
    </row>
    <row r="312" spans="2:18" ht="12.75" customHeight="1" x14ac:dyDescent="0.25">
      <c r="B312" s="89"/>
      <c r="C312" s="89" t="s">
        <v>115</v>
      </c>
      <c r="D312" t="s">
        <v>70</v>
      </c>
      <c r="E312" s="371">
        <v>8470.9699999999993</v>
      </c>
      <c r="F312" s="90">
        <v>16043.41</v>
      </c>
      <c r="G312" s="90">
        <v>7345.71</v>
      </c>
      <c r="H312" s="90">
        <v>8576.19</v>
      </c>
      <c r="I312" s="90">
        <v>-74530.399999999994</v>
      </c>
      <c r="J312" s="90">
        <v>-859.48</v>
      </c>
      <c r="K312" s="90">
        <v>0</v>
      </c>
      <c r="L312" s="90">
        <v>-5318.33</v>
      </c>
      <c r="M312" s="90">
        <v>-5909.81</v>
      </c>
      <c r="N312" s="90">
        <v>-32527.65</v>
      </c>
      <c r="O312" s="90">
        <v>97519.78</v>
      </c>
      <c r="P312" s="90">
        <v>-1868.45</v>
      </c>
      <c r="Q312" s="90">
        <v>0</v>
      </c>
      <c r="R312">
        <v>0</v>
      </c>
    </row>
    <row r="313" spans="2:18" ht="12.75" customHeight="1" x14ac:dyDescent="0.25">
      <c r="B313" s="89"/>
      <c r="C313" s="89"/>
      <c r="D313" t="s">
        <v>73</v>
      </c>
      <c r="E313" s="371">
        <v>226637.63</v>
      </c>
      <c r="F313" s="90">
        <v>47255.63</v>
      </c>
      <c r="G313" s="90">
        <v>26520.31</v>
      </c>
      <c r="H313" s="90">
        <v>14003.9</v>
      </c>
      <c r="I313" s="90">
        <v>5204.1499999999996</v>
      </c>
      <c r="J313" s="90">
        <v>1.1399999999999999</v>
      </c>
      <c r="K313" s="90">
        <v>0</v>
      </c>
      <c r="L313" s="90">
        <v>10</v>
      </c>
      <c r="M313" s="90">
        <v>1379.14</v>
      </c>
      <c r="N313" s="90">
        <v>7140.75</v>
      </c>
      <c r="O313" s="90">
        <v>125120.75</v>
      </c>
      <c r="P313" s="90">
        <v>1.86</v>
      </c>
      <c r="Q313" s="90">
        <v>0</v>
      </c>
      <c r="R313">
        <v>0</v>
      </c>
    </row>
    <row r="314" spans="2:18" ht="12.75" customHeight="1" x14ac:dyDescent="0.25">
      <c r="B314" s="89"/>
      <c r="C314" s="89" t="s">
        <v>116</v>
      </c>
      <c r="D314" t="s">
        <v>70</v>
      </c>
      <c r="E314" s="371">
        <v>226637.63</v>
      </c>
      <c r="F314" s="90">
        <v>47255.63</v>
      </c>
      <c r="G314" s="90">
        <v>26520.31</v>
      </c>
      <c r="H314" s="90">
        <v>14003.9</v>
      </c>
      <c r="I314" s="90">
        <v>5204.1499999999996</v>
      </c>
      <c r="J314" s="90">
        <v>1.1399999999999999</v>
      </c>
      <c r="K314" s="90">
        <v>0</v>
      </c>
      <c r="L314" s="90">
        <v>10</v>
      </c>
      <c r="M314" s="90">
        <v>1379.14</v>
      </c>
      <c r="N314" s="90">
        <v>7140.75</v>
      </c>
      <c r="O314" s="90">
        <v>125120.75</v>
      </c>
      <c r="P314" s="90">
        <v>1.86</v>
      </c>
      <c r="Q314" s="90">
        <v>0</v>
      </c>
      <c r="R314">
        <v>0</v>
      </c>
    </row>
    <row r="315" spans="2:18" ht="12.75" customHeight="1" x14ac:dyDescent="0.25">
      <c r="B315" s="89"/>
      <c r="C315" s="89"/>
      <c r="D315" t="s">
        <v>73</v>
      </c>
      <c r="E315" s="371">
        <v>-1169837.75</v>
      </c>
      <c r="F315" s="90">
        <v>10652.74</v>
      </c>
      <c r="G315" s="90">
        <v>3932.11</v>
      </c>
      <c r="H315" s="90">
        <v>4646.7</v>
      </c>
      <c r="I315" s="90">
        <v>-436345.76</v>
      </c>
      <c r="J315" s="90">
        <v>-14105.8</v>
      </c>
      <c r="K315" s="90">
        <v>0</v>
      </c>
      <c r="L315" s="90">
        <v>-115114.68</v>
      </c>
      <c r="M315" s="90">
        <v>-108502.1</v>
      </c>
      <c r="N315" s="90">
        <v>-547937.34</v>
      </c>
      <c r="O315" s="90">
        <v>54051.68</v>
      </c>
      <c r="P315" s="90">
        <v>-21115.3</v>
      </c>
      <c r="Q315" s="90">
        <v>0</v>
      </c>
      <c r="R315">
        <v>0</v>
      </c>
    </row>
    <row r="316" spans="2:18" ht="12.75" customHeight="1" x14ac:dyDescent="0.25">
      <c r="B316" s="89"/>
      <c r="C316" s="89" t="s">
        <v>118</v>
      </c>
      <c r="D316" t="s">
        <v>70</v>
      </c>
      <c r="E316" s="371">
        <v>-1169837.75</v>
      </c>
      <c r="F316" s="90">
        <v>10652.74</v>
      </c>
      <c r="G316" s="90">
        <v>3932.11</v>
      </c>
      <c r="H316" s="90">
        <v>4646.7</v>
      </c>
      <c r="I316" s="90">
        <v>-436345.76</v>
      </c>
      <c r="J316" s="90">
        <v>-14105.8</v>
      </c>
      <c r="K316" s="90">
        <v>0</v>
      </c>
      <c r="L316" s="90">
        <v>-115114.68</v>
      </c>
      <c r="M316" s="90">
        <v>-108502.1</v>
      </c>
      <c r="N316" s="90">
        <v>-547937.34</v>
      </c>
      <c r="O316" s="90">
        <v>54051.68</v>
      </c>
      <c r="P316" s="90">
        <v>-21115.3</v>
      </c>
      <c r="Q316" s="90">
        <v>0</v>
      </c>
      <c r="R316">
        <v>0</v>
      </c>
    </row>
    <row r="317" spans="2:18" s="224" customFormat="1" ht="12.75" customHeight="1" x14ac:dyDescent="0.25">
      <c r="B317" s="224" t="s">
        <v>120</v>
      </c>
      <c r="C317" s="224" t="s">
        <v>70</v>
      </c>
      <c r="D317" s="223"/>
      <c r="E317" s="225">
        <v>-934729.15</v>
      </c>
      <c r="F317" s="225">
        <v>73951.78</v>
      </c>
      <c r="G317" s="225">
        <v>37798.129999999997</v>
      </c>
      <c r="H317" s="225">
        <v>27226.79</v>
      </c>
      <c r="I317" s="225">
        <v>-505672.01</v>
      </c>
      <c r="J317" s="225">
        <v>-14964.14</v>
      </c>
      <c r="K317" s="225">
        <v>0</v>
      </c>
      <c r="L317" s="225">
        <v>-120423.01</v>
      </c>
      <c r="M317" s="225">
        <v>-113032.77</v>
      </c>
      <c r="N317" s="225">
        <v>-573324.24</v>
      </c>
      <c r="O317" s="225">
        <v>276692.21000000002</v>
      </c>
      <c r="P317" s="225">
        <v>-22981.89</v>
      </c>
      <c r="Q317" s="225">
        <v>0</v>
      </c>
      <c r="R317" s="224">
        <v>0</v>
      </c>
    </row>
    <row r="318" spans="2:18" ht="12.75" customHeight="1" x14ac:dyDescent="0.25">
      <c r="D318" s="89" t="s">
        <v>73</v>
      </c>
      <c r="E318" s="371">
        <v>107339.23</v>
      </c>
      <c r="F318" s="90">
        <v>19896.29</v>
      </c>
      <c r="G318" s="90">
        <v>11215.97</v>
      </c>
      <c r="H318" s="90">
        <v>4307.6899999999996</v>
      </c>
      <c r="I318" s="90">
        <v>18268.3</v>
      </c>
      <c r="J318" s="90">
        <v>-398.32</v>
      </c>
      <c r="K318" s="90">
        <v>0</v>
      </c>
      <c r="L318" s="90">
        <v>-1387.23</v>
      </c>
      <c r="M318" s="90">
        <v>454.92</v>
      </c>
      <c r="N318" s="90">
        <v>2798.02</v>
      </c>
      <c r="O318" s="90">
        <v>52664.28</v>
      </c>
      <c r="P318" s="90">
        <v>-480.69</v>
      </c>
      <c r="Q318" s="90">
        <v>0</v>
      </c>
      <c r="R318">
        <v>0</v>
      </c>
    </row>
    <row r="319" spans="2:18" ht="12.75" customHeight="1" x14ac:dyDescent="0.25">
      <c r="C319" t="s">
        <v>82</v>
      </c>
      <c r="D319" s="89" t="s">
        <v>70</v>
      </c>
      <c r="E319" s="371">
        <v>107339.23</v>
      </c>
      <c r="F319" s="90">
        <v>19896.29</v>
      </c>
      <c r="G319" s="90">
        <v>11215.97</v>
      </c>
      <c r="H319" s="90">
        <v>4307.6899999999996</v>
      </c>
      <c r="I319" s="90">
        <v>18268.3</v>
      </c>
      <c r="J319" s="90">
        <v>-398.32</v>
      </c>
      <c r="K319" s="90">
        <v>0</v>
      </c>
      <c r="L319" s="90">
        <v>-1387.23</v>
      </c>
      <c r="M319" s="90">
        <v>454.92</v>
      </c>
      <c r="N319" s="90">
        <v>2798.02</v>
      </c>
      <c r="O319" s="90">
        <v>52664.28</v>
      </c>
      <c r="P319" s="90">
        <v>-480.69</v>
      </c>
      <c r="Q319" s="90">
        <v>0</v>
      </c>
      <c r="R319">
        <v>0</v>
      </c>
    </row>
    <row r="320" spans="2:18" ht="12.75" customHeight="1" x14ac:dyDescent="0.25">
      <c r="D320" s="89" t="s">
        <v>73</v>
      </c>
      <c r="E320" s="371">
        <v>-1969502.32</v>
      </c>
      <c r="F320" s="90">
        <v>-56206.5</v>
      </c>
      <c r="G320" s="90">
        <v>-32450.85</v>
      </c>
      <c r="H320" s="90">
        <v>-19682.810000000001</v>
      </c>
      <c r="I320" s="90">
        <v>-529365.66</v>
      </c>
      <c r="J320" s="90">
        <v>-19079.09</v>
      </c>
      <c r="K320" s="90">
        <v>0</v>
      </c>
      <c r="L320" s="90">
        <v>-159961.89000000001</v>
      </c>
      <c r="M320" s="90">
        <v>-160437.57</v>
      </c>
      <c r="N320" s="90">
        <v>-812383.52</v>
      </c>
      <c r="O320" s="90">
        <v>-148671.54</v>
      </c>
      <c r="P320" s="90">
        <v>-31262.89</v>
      </c>
      <c r="Q320" s="90">
        <v>0</v>
      </c>
      <c r="R320">
        <v>0</v>
      </c>
    </row>
    <row r="321" spans="1:18" ht="12.75" customHeight="1" x14ac:dyDescent="0.25">
      <c r="C321" t="s">
        <v>86</v>
      </c>
      <c r="D321" s="89" t="s">
        <v>70</v>
      </c>
      <c r="E321" s="371">
        <v>-1969502.32</v>
      </c>
      <c r="F321" s="90">
        <v>-56206.5</v>
      </c>
      <c r="G321" s="90">
        <v>-32450.85</v>
      </c>
      <c r="H321" s="90">
        <v>-19682.810000000001</v>
      </c>
      <c r="I321" s="90">
        <v>-529365.66</v>
      </c>
      <c r="J321" s="90">
        <v>-19079.09</v>
      </c>
      <c r="K321" s="90">
        <v>0</v>
      </c>
      <c r="L321" s="90">
        <v>-159961.89000000001</v>
      </c>
      <c r="M321" s="90">
        <v>-160437.57</v>
      </c>
      <c r="N321" s="90">
        <v>-812383.52</v>
      </c>
      <c r="O321" s="90">
        <v>-148671.54</v>
      </c>
      <c r="P321" s="90">
        <v>-31262.89</v>
      </c>
      <c r="Q321" s="90">
        <v>0</v>
      </c>
      <c r="R321">
        <v>0</v>
      </c>
    </row>
    <row r="322" spans="1:18" ht="12.75" customHeight="1" x14ac:dyDescent="0.25">
      <c r="C322" s="89"/>
      <c r="D322" s="89" t="s">
        <v>73</v>
      </c>
      <c r="E322" s="90">
        <v>1049925.46</v>
      </c>
      <c r="F322" s="90">
        <v>102209.27</v>
      </c>
      <c r="G322" s="90">
        <v>51104.12</v>
      </c>
      <c r="H322" s="90">
        <v>25299.35</v>
      </c>
      <c r="I322" s="90">
        <v>188378.68</v>
      </c>
      <c r="J322" s="90">
        <v>4847.79</v>
      </c>
      <c r="K322" s="90">
        <v>0</v>
      </c>
      <c r="L322" s="90">
        <v>45724.45</v>
      </c>
      <c r="M322" s="90">
        <v>57529.49</v>
      </c>
      <c r="N322" s="90">
        <v>294859.40999999997</v>
      </c>
      <c r="O322" s="90">
        <v>271957.87</v>
      </c>
      <c r="P322" s="90">
        <v>8015.03</v>
      </c>
      <c r="Q322" s="90">
        <v>0</v>
      </c>
      <c r="R322">
        <v>0</v>
      </c>
    </row>
    <row r="323" spans="1:18" ht="12.75" customHeight="1" x14ac:dyDescent="0.25">
      <c r="B323" s="89"/>
      <c r="C323" s="89" t="s">
        <v>87</v>
      </c>
      <c r="D323" t="s">
        <v>70</v>
      </c>
      <c r="E323" s="90">
        <v>1049925.46</v>
      </c>
      <c r="F323" s="90">
        <v>102209.27</v>
      </c>
      <c r="G323" s="90">
        <v>51104.12</v>
      </c>
      <c r="H323" s="90">
        <v>25299.35</v>
      </c>
      <c r="I323" s="90">
        <v>188378.68</v>
      </c>
      <c r="J323" s="90">
        <v>4847.79</v>
      </c>
      <c r="K323" s="90">
        <v>0</v>
      </c>
      <c r="L323" s="90">
        <v>45724.45</v>
      </c>
      <c r="M323" s="90">
        <v>57529.49</v>
      </c>
      <c r="N323" s="90">
        <v>294859.40999999997</v>
      </c>
      <c r="O323" s="90">
        <v>271957.87</v>
      </c>
      <c r="P323" s="90">
        <v>8015.03</v>
      </c>
      <c r="Q323" s="90">
        <v>0</v>
      </c>
      <c r="R323">
        <v>0</v>
      </c>
    </row>
    <row r="324" spans="1:18" s="94" customFormat="1" ht="12.75" customHeight="1" x14ac:dyDescent="0.25">
      <c r="B324" s="101" t="s">
        <v>119</v>
      </c>
      <c r="C324" s="101" t="s">
        <v>70</v>
      </c>
      <c r="E324" s="93">
        <v>-812237.63</v>
      </c>
      <c r="F324" s="93">
        <v>65899.06</v>
      </c>
      <c r="G324" s="93">
        <v>29869.24</v>
      </c>
      <c r="H324" s="93">
        <v>9924.23</v>
      </c>
      <c r="I324" s="93">
        <v>-322718.68</v>
      </c>
      <c r="J324" s="93">
        <v>-14629.62</v>
      </c>
      <c r="K324" s="93">
        <v>0</v>
      </c>
      <c r="L324" s="93">
        <v>-115624.67</v>
      </c>
      <c r="M324" s="93">
        <v>-102453.16</v>
      </c>
      <c r="N324" s="93">
        <v>-514726.09</v>
      </c>
      <c r="O324" s="93">
        <v>175950.61</v>
      </c>
      <c r="P324" s="93">
        <v>-23728.55</v>
      </c>
      <c r="Q324" s="93">
        <v>0</v>
      </c>
      <c r="R324" s="94">
        <v>0</v>
      </c>
    </row>
    <row r="325" spans="1:18" s="226" customFormat="1" ht="12.75" customHeight="1" x14ac:dyDescent="0.25">
      <c r="A325" s="98" t="s">
        <v>79</v>
      </c>
      <c r="B325" s="98" t="s">
        <v>70</v>
      </c>
      <c r="E325" s="100">
        <v>-15568753.08</v>
      </c>
      <c r="F325" s="100">
        <v>-279963.13</v>
      </c>
      <c r="G325" s="100">
        <v>-186927.38</v>
      </c>
      <c r="H325" s="100">
        <v>-111240.73</v>
      </c>
      <c r="I325" s="100">
        <v>-4463622.47</v>
      </c>
      <c r="J325" s="100">
        <v>-161709.93</v>
      </c>
      <c r="K325" s="100">
        <v>0</v>
      </c>
      <c r="L325" s="100">
        <v>-1371562.54</v>
      </c>
      <c r="M325" s="100">
        <v>-1329928.7</v>
      </c>
      <c r="N325" s="100">
        <v>-6778166.7999999998</v>
      </c>
      <c r="O325" s="100">
        <v>-623176.07999999996</v>
      </c>
      <c r="P325" s="100">
        <v>-262455.32</v>
      </c>
      <c r="Q325" s="100">
        <v>0</v>
      </c>
      <c r="R325" s="226">
        <v>0</v>
      </c>
    </row>
    <row r="326" spans="1:18" ht="12.75" customHeight="1" x14ac:dyDescent="0.25">
      <c r="A326" s="89" t="s">
        <v>70</v>
      </c>
      <c r="E326" s="90">
        <v>111213700.34999999</v>
      </c>
      <c r="F326" s="90">
        <v>8999190.0099999998</v>
      </c>
      <c r="G326" s="90">
        <v>5002515.3600000003</v>
      </c>
      <c r="H326" s="90">
        <v>2300961.0499999998</v>
      </c>
      <c r="I326" s="90">
        <v>23145856.690000001</v>
      </c>
      <c r="J326" s="90">
        <v>822832.69</v>
      </c>
      <c r="K326" s="90">
        <v>95764.91</v>
      </c>
      <c r="L326" s="90">
        <v>7426165.0599999996</v>
      </c>
      <c r="M326" s="90">
        <v>6997083.5599999996</v>
      </c>
      <c r="N326" s="90">
        <v>30659539.949999999</v>
      </c>
      <c r="O326" s="90">
        <v>24762630.899999999</v>
      </c>
      <c r="P326" s="90">
        <v>1001377.79</v>
      </c>
      <c r="Q326" s="90">
        <v>-217.62</v>
      </c>
      <c r="R326">
        <v>0</v>
      </c>
    </row>
    <row r="327" spans="1:18" ht="12.75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1:18" ht="12.75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1:18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18" ht="12.75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1:18" ht="12.75" customHeight="1" x14ac:dyDescent="0.25">
      <c r="B360" s="774" t="s">
        <v>2</v>
      </c>
      <c r="C360" s="772" t="s">
        <v>132</v>
      </c>
      <c r="D360" s="98" t="s">
        <v>70</v>
      </c>
      <c r="E360" s="100">
        <f>E304+E325-K304</f>
        <v>111117935.44000001</v>
      </c>
      <c r="F360" s="100">
        <f t="shared" ref="F360:R360" si="10">F304</f>
        <v>9279153.1400000006</v>
      </c>
      <c r="G360" s="100">
        <f t="shared" si="10"/>
        <v>5189442.74</v>
      </c>
      <c r="H360" s="100">
        <f t="shared" si="10"/>
        <v>2412201.7799999998</v>
      </c>
      <c r="I360" s="100">
        <f t="shared" si="10"/>
        <v>27609479.16</v>
      </c>
      <c r="J360" s="100">
        <f t="shared" si="10"/>
        <v>984542.62</v>
      </c>
      <c r="K360" s="100">
        <f t="shared" si="10"/>
        <v>95764.91</v>
      </c>
      <c r="L360" s="100">
        <f t="shared" si="10"/>
        <v>8797727.5999999996</v>
      </c>
      <c r="M360" s="100">
        <f t="shared" si="10"/>
        <v>8327012.2599999998</v>
      </c>
      <c r="N360" s="100">
        <f t="shared" si="10"/>
        <v>37437706.75</v>
      </c>
      <c r="O360" s="100">
        <f t="shared" si="10"/>
        <v>25385806.98</v>
      </c>
      <c r="P360" s="100">
        <f t="shared" si="10"/>
        <v>1263833.1100000001</v>
      </c>
      <c r="Q360" s="100">
        <f t="shared" si="10"/>
        <v>-217.62</v>
      </c>
      <c r="R360" s="100">
        <f t="shared" si="10"/>
        <v>0</v>
      </c>
    </row>
    <row r="361" spans="1:18" ht="12.75" customHeight="1" x14ac:dyDescent="0.25">
      <c r="B361" s="774"/>
      <c r="C361" s="772"/>
      <c r="D361" s="98" t="s">
        <v>73</v>
      </c>
      <c r="E361" s="100">
        <f>E325</f>
        <v>-15568753.08</v>
      </c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</row>
    <row r="362" spans="1:18" ht="12.75" customHeight="1" x14ac:dyDescent="0.25">
      <c r="A362" s="89"/>
      <c r="B362" s="97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</row>
    <row r="363" spans="1:18" ht="12.75" customHeight="1" x14ac:dyDescent="0.25">
      <c r="B363" s="774" t="s">
        <v>160</v>
      </c>
      <c r="C363" s="772" t="s">
        <v>132</v>
      </c>
      <c r="D363" s="223" t="s">
        <v>70</v>
      </c>
      <c r="E363" s="225">
        <f>E317+E307+E293+E279-K279-K293</f>
        <v>17013703.73</v>
      </c>
      <c r="F363" s="225">
        <f>F293+F279</f>
        <v>1158083.71</v>
      </c>
      <c r="G363" s="225">
        <f t="shared" ref="G363:R363" si="11">G293+G279</f>
        <v>646853.26</v>
      </c>
      <c r="H363" s="225">
        <f t="shared" si="11"/>
        <v>248814.64</v>
      </c>
      <c r="I363" s="225">
        <f t="shared" si="11"/>
        <v>4512127.5200000005</v>
      </c>
      <c r="J363" s="225">
        <f t="shared" si="11"/>
        <v>140797.65000000002</v>
      </c>
      <c r="K363" s="225">
        <f t="shared" si="11"/>
        <v>0</v>
      </c>
      <c r="L363" s="225">
        <f t="shared" si="11"/>
        <v>1319074.46</v>
      </c>
      <c r="M363" s="225">
        <f t="shared" si="11"/>
        <v>1270088.3</v>
      </c>
      <c r="N363" s="225">
        <f t="shared" si="11"/>
        <v>5388626.9100000001</v>
      </c>
      <c r="O363" s="225">
        <f t="shared" si="11"/>
        <v>3113361.78</v>
      </c>
      <c r="P363" s="225">
        <f t="shared" si="11"/>
        <v>163053.33000000002</v>
      </c>
      <c r="Q363" s="225">
        <f t="shared" si="11"/>
        <v>13.58</v>
      </c>
      <c r="R363" s="225">
        <f t="shared" si="11"/>
        <v>0</v>
      </c>
    </row>
    <row r="364" spans="1:18" ht="12.75" customHeight="1" x14ac:dyDescent="0.25">
      <c r="B364" s="774"/>
      <c r="C364" s="772"/>
      <c r="D364" s="223" t="s">
        <v>73</v>
      </c>
      <c r="E364" s="225">
        <f>E317+E307</f>
        <v>-947191.41</v>
      </c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25">
      <c r="A365" s="89"/>
      <c r="B365" s="97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</row>
    <row r="366" spans="1:18" ht="12.75" customHeight="1" x14ac:dyDescent="0.25">
      <c r="B366" s="774" t="s">
        <v>155</v>
      </c>
      <c r="C366" s="772" t="s">
        <v>132</v>
      </c>
      <c r="D366" s="221" t="s">
        <v>70</v>
      </c>
      <c r="E366" s="222">
        <f>E310+E283-K283</f>
        <v>59166521.000000007</v>
      </c>
      <c r="F366" s="222">
        <f>F283</f>
        <v>3762627.18</v>
      </c>
      <c r="G366" s="222">
        <f t="shared" ref="G366:R366" si="12">G283</f>
        <v>2099293.36</v>
      </c>
      <c r="H366" s="222">
        <f t="shared" si="12"/>
        <v>898643.12</v>
      </c>
      <c r="I366" s="222">
        <f t="shared" si="12"/>
        <v>17923270.23</v>
      </c>
      <c r="J366" s="222">
        <f t="shared" si="12"/>
        <v>688151.13</v>
      </c>
      <c r="K366" s="222">
        <f t="shared" si="12"/>
        <v>24851.72</v>
      </c>
      <c r="L366" s="222">
        <f t="shared" si="12"/>
        <v>6036411.2000000002</v>
      </c>
      <c r="M366" s="222">
        <f t="shared" si="12"/>
        <v>5456269.7599999998</v>
      </c>
      <c r="N366" s="222">
        <f t="shared" si="12"/>
        <v>24877190.890000001</v>
      </c>
      <c r="O366" s="222">
        <f t="shared" si="12"/>
        <v>10342324.48</v>
      </c>
      <c r="P366" s="222">
        <f t="shared" si="12"/>
        <v>891859.54</v>
      </c>
      <c r="Q366" s="222">
        <f t="shared" si="12"/>
        <v>-195.85</v>
      </c>
      <c r="R366" s="222">
        <f t="shared" si="12"/>
        <v>0</v>
      </c>
    </row>
    <row r="367" spans="1:18" ht="12.75" customHeight="1" x14ac:dyDescent="0.25">
      <c r="B367" s="774"/>
      <c r="C367" s="772"/>
      <c r="D367" s="221" t="s">
        <v>73</v>
      </c>
      <c r="E367" s="222">
        <f>E310</f>
        <v>-13809324.039999999</v>
      </c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25">
      <c r="A368" s="89"/>
      <c r="B368" s="97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</row>
    <row r="369" spans="1:18" ht="12.75" customHeight="1" x14ac:dyDescent="0.25">
      <c r="B369" s="775" t="s">
        <v>327</v>
      </c>
      <c r="C369" s="772" t="s">
        <v>132</v>
      </c>
      <c r="D369" s="373" t="s">
        <v>70</v>
      </c>
      <c r="E369" s="374">
        <v>0</v>
      </c>
      <c r="F369" s="374">
        <v>0</v>
      </c>
      <c r="G369" s="374">
        <v>0</v>
      </c>
      <c r="H369" s="374">
        <v>0</v>
      </c>
      <c r="I369" s="374">
        <v>0</v>
      </c>
      <c r="J369" s="374">
        <v>0</v>
      </c>
      <c r="K369" s="374">
        <v>0</v>
      </c>
      <c r="L369" s="374">
        <v>0</v>
      </c>
      <c r="M369" s="374">
        <v>0</v>
      </c>
      <c r="N369" s="374">
        <v>0</v>
      </c>
      <c r="O369" s="374">
        <v>0</v>
      </c>
      <c r="P369" s="374">
        <v>0</v>
      </c>
      <c r="Q369" s="374">
        <v>0</v>
      </c>
      <c r="R369" s="374">
        <v>0</v>
      </c>
    </row>
    <row r="370" spans="1:18" ht="12.75" customHeight="1" x14ac:dyDescent="0.25">
      <c r="B370" s="775"/>
      <c r="C370" s="772"/>
      <c r="D370" s="373" t="s">
        <v>73</v>
      </c>
      <c r="E370" s="374">
        <v>0</v>
      </c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18" ht="12.75" customHeight="1" x14ac:dyDescent="0.25">
      <c r="A371" s="89"/>
      <c r="B371" s="97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</row>
    <row r="372" spans="1:18" ht="12.75" customHeight="1" x14ac:dyDescent="0.25">
      <c r="A372" s="142" t="s">
        <v>227</v>
      </c>
      <c r="B372" s="774" t="s">
        <v>119</v>
      </c>
      <c r="C372" s="772" t="s">
        <v>132</v>
      </c>
      <c r="D372" s="101" t="s">
        <v>70</v>
      </c>
      <c r="E372" s="93">
        <f>E303+E324-K303</f>
        <v>34937710.710000001</v>
      </c>
      <c r="F372" s="93">
        <f>F303</f>
        <v>4358442.25</v>
      </c>
      <c r="G372" s="93">
        <f t="shared" ref="G372:R372" si="13">G303</f>
        <v>2443296.12</v>
      </c>
      <c r="H372" s="93">
        <f t="shared" si="13"/>
        <v>1264744.02</v>
      </c>
      <c r="I372" s="93">
        <f t="shared" si="13"/>
        <v>5174081.41</v>
      </c>
      <c r="J372" s="93">
        <f t="shared" si="13"/>
        <v>155593.84</v>
      </c>
      <c r="K372" s="93">
        <f t="shared" si="13"/>
        <v>70913.19</v>
      </c>
      <c r="L372" s="93">
        <f t="shared" si="13"/>
        <v>1442241.94</v>
      </c>
      <c r="M372" s="93">
        <f t="shared" si="13"/>
        <v>1600654.2</v>
      </c>
      <c r="N372" s="93">
        <f t="shared" si="13"/>
        <v>7171888.9500000002</v>
      </c>
      <c r="O372" s="93">
        <f t="shared" si="13"/>
        <v>11930120.720000001</v>
      </c>
      <c r="P372" s="93">
        <f t="shared" si="13"/>
        <v>208920.24</v>
      </c>
      <c r="Q372" s="93">
        <f t="shared" si="13"/>
        <v>-35.35</v>
      </c>
      <c r="R372" s="93">
        <f t="shared" si="13"/>
        <v>0</v>
      </c>
    </row>
    <row r="373" spans="1:18" ht="12.75" customHeight="1" x14ac:dyDescent="0.25">
      <c r="B373" s="774"/>
      <c r="C373" s="772"/>
      <c r="D373" s="101" t="s">
        <v>73</v>
      </c>
      <c r="E373" s="93">
        <f>E324</f>
        <v>-812237.63</v>
      </c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spans="1:18" ht="12.75" customHeight="1" x14ac:dyDescent="0.25">
      <c r="A374" s="89"/>
      <c r="B374" s="97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</row>
    <row r="375" spans="1:18" ht="12.75" customHeight="1" x14ac:dyDescent="0.25">
      <c r="B375" s="773" t="s">
        <v>161</v>
      </c>
      <c r="C375" s="772" t="s">
        <v>132</v>
      </c>
      <c r="D375" s="231" t="s">
        <v>70</v>
      </c>
      <c r="E375" s="232">
        <v>0</v>
      </c>
      <c r="F375" s="232">
        <v>0</v>
      </c>
      <c r="G375" s="232">
        <v>0</v>
      </c>
      <c r="H375" s="232">
        <v>0</v>
      </c>
      <c r="I375" s="232">
        <v>0</v>
      </c>
      <c r="J375" s="232">
        <v>0</v>
      </c>
      <c r="K375" s="232">
        <v>0</v>
      </c>
      <c r="L375" s="232">
        <v>0</v>
      </c>
      <c r="M375" s="232">
        <v>0</v>
      </c>
      <c r="N375" s="232">
        <v>0</v>
      </c>
      <c r="O375" s="232">
        <v>0</v>
      </c>
      <c r="P375" s="232">
        <v>0</v>
      </c>
      <c r="Q375" s="232">
        <v>0</v>
      </c>
      <c r="R375" s="232">
        <v>0</v>
      </c>
    </row>
    <row r="376" spans="1:18" ht="12.75" customHeight="1" x14ac:dyDescent="0.25">
      <c r="B376" s="773"/>
      <c r="C376" s="772"/>
      <c r="D376" s="231" t="s">
        <v>73</v>
      </c>
      <c r="E376" s="232">
        <v>0</v>
      </c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spans="1:18" s="238" customFormat="1" x14ac:dyDescent="0.25"/>
    <row r="378" spans="1:18" x14ac:dyDescent="0.25">
      <c r="B378" s="97" t="s">
        <v>93</v>
      </c>
    </row>
    <row r="379" spans="1:18" x14ac:dyDescent="0.25">
      <c r="E379" s="89" t="s">
        <v>70</v>
      </c>
      <c r="F379" s="89" t="s">
        <v>64</v>
      </c>
      <c r="G379" s="89" t="s">
        <v>65</v>
      </c>
      <c r="H379" s="219" t="s">
        <v>164</v>
      </c>
      <c r="I379" s="89" t="s">
        <v>69</v>
      </c>
      <c r="J379" s="89" t="s">
        <v>68</v>
      </c>
      <c r="K379" s="89" t="s">
        <v>83</v>
      </c>
      <c r="L379" s="89" t="s">
        <v>66</v>
      </c>
      <c r="M379" s="89" t="s">
        <v>63</v>
      </c>
      <c r="N379" s="89" t="s">
        <v>61</v>
      </c>
      <c r="O379" s="89" t="s">
        <v>62</v>
      </c>
      <c r="P379" s="89" t="s">
        <v>67</v>
      </c>
      <c r="Q379" s="89" t="s">
        <v>84</v>
      </c>
      <c r="R379" s="384" t="s">
        <v>226</v>
      </c>
    </row>
    <row r="380" spans="1:18" ht="12.75" customHeight="1" x14ac:dyDescent="0.25">
      <c r="D380" s="89" t="s">
        <v>72</v>
      </c>
      <c r="E380" s="90">
        <v>15858979.210000001</v>
      </c>
      <c r="F380" s="90">
        <v>1142884.8400000001</v>
      </c>
      <c r="G380" s="90">
        <v>647979.44999999995</v>
      </c>
      <c r="H380" s="90">
        <v>293455.67</v>
      </c>
      <c r="I380" s="90">
        <v>3902193.94</v>
      </c>
      <c r="J380" s="90">
        <v>167665.98000000001</v>
      </c>
      <c r="K380" s="90">
        <v>7.53</v>
      </c>
      <c r="L380" s="90">
        <v>883679.59</v>
      </c>
      <c r="M380" s="90">
        <v>829763.71</v>
      </c>
      <c r="N380" s="90">
        <v>4424793.6399999997</v>
      </c>
      <c r="O380" s="90">
        <v>3371296.37</v>
      </c>
      <c r="P380" s="90">
        <v>195445.23</v>
      </c>
      <c r="Q380" s="90">
        <v>-186.74</v>
      </c>
      <c r="R380">
        <v>0</v>
      </c>
    </row>
    <row r="381" spans="1:18" ht="12.75" customHeight="1" x14ac:dyDescent="0.25">
      <c r="D381" s="89" t="s">
        <v>81</v>
      </c>
      <c r="E381" s="90">
        <v>10920.65</v>
      </c>
      <c r="F381" s="90">
        <v>668.59</v>
      </c>
      <c r="G381" s="90">
        <v>376.6</v>
      </c>
      <c r="H381" s="90">
        <v>197.43</v>
      </c>
      <c r="I381" s="90">
        <v>2261.21</v>
      </c>
      <c r="J381" s="90">
        <v>85.19</v>
      </c>
      <c r="K381" s="90">
        <v>0</v>
      </c>
      <c r="L381" s="90">
        <v>748.02</v>
      </c>
      <c r="M381" s="90">
        <v>682.38</v>
      </c>
      <c r="N381" s="90">
        <v>3766.04</v>
      </c>
      <c r="O381" s="90">
        <v>1992.99</v>
      </c>
      <c r="P381" s="90">
        <v>142.16999999999999</v>
      </c>
      <c r="Q381" s="90">
        <v>0.03</v>
      </c>
      <c r="R381">
        <v>0</v>
      </c>
    </row>
    <row r="382" spans="1:18" ht="12.75" customHeight="1" x14ac:dyDescent="0.25">
      <c r="B382" s="89"/>
      <c r="C382" s="89" t="s">
        <v>156</v>
      </c>
      <c r="D382" t="s">
        <v>70</v>
      </c>
      <c r="E382" s="90">
        <v>15869899.859999999</v>
      </c>
      <c r="F382" s="90">
        <v>1143553.43</v>
      </c>
      <c r="G382" s="90">
        <v>648356.05000000005</v>
      </c>
      <c r="H382" s="90">
        <v>293653.09999999998</v>
      </c>
      <c r="I382" s="90">
        <v>3904455.15</v>
      </c>
      <c r="J382" s="90">
        <v>167751.17000000001</v>
      </c>
      <c r="K382" s="90">
        <v>7.53</v>
      </c>
      <c r="L382" s="90">
        <v>884427.61</v>
      </c>
      <c r="M382" s="90">
        <v>830446.09</v>
      </c>
      <c r="N382" s="90">
        <v>4428559.68</v>
      </c>
      <c r="O382" s="90">
        <v>3373289.36</v>
      </c>
      <c r="P382" s="90">
        <v>195587.4</v>
      </c>
      <c r="Q382" s="90">
        <v>-186.71</v>
      </c>
      <c r="R382">
        <v>0</v>
      </c>
    </row>
    <row r="383" spans="1:18" s="237" customFormat="1" ht="12.75" customHeight="1" x14ac:dyDescent="0.25">
      <c r="B383" s="221" t="s">
        <v>155</v>
      </c>
      <c r="C383" s="221" t="s">
        <v>70</v>
      </c>
      <c r="E383" s="222">
        <v>15869899.859999999</v>
      </c>
      <c r="F383" s="222">
        <v>1143553.43</v>
      </c>
      <c r="G383" s="222">
        <v>648356.05000000005</v>
      </c>
      <c r="H383" s="222">
        <v>293653.09999999998</v>
      </c>
      <c r="I383" s="222">
        <v>3904455.15</v>
      </c>
      <c r="J383" s="222">
        <v>167751.17000000001</v>
      </c>
      <c r="K383" s="222">
        <v>7.53</v>
      </c>
      <c r="L383" s="222">
        <v>884427.61</v>
      </c>
      <c r="M383" s="222">
        <v>830446.09</v>
      </c>
      <c r="N383" s="222">
        <v>4428559.68</v>
      </c>
      <c r="O383" s="222">
        <v>3373289.36</v>
      </c>
      <c r="P383" s="222">
        <v>195587.4</v>
      </c>
      <c r="Q383" s="222">
        <v>-186.71</v>
      </c>
      <c r="R383" s="237">
        <v>0</v>
      </c>
    </row>
    <row r="384" spans="1:18" ht="12.75" customHeight="1" x14ac:dyDescent="0.25">
      <c r="D384" t="s">
        <v>72</v>
      </c>
      <c r="E384" s="142">
        <v>7067395.9199999999</v>
      </c>
      <c r="F384">
        <v>393399.47</v>
      </c>
      <c r="G384">
        <v>221866.96</v>
      </c>
      <c r="H384">
        <v>109783.76</v>
      </c>
      <c r="I384">
        <v>1570660.98</v>
      </c>
      <c r="J384">
        <v>53945.48</v>
      </c>
      <c r="K384">
        <v>0</v>
      </c>
      <c r="L384">
        <v>519042.52</v>
      </c>
      <c r="M384">
        <v>517973.35</v>
      </c>
      <c r="N384">
        <v>2375543.37</v>
      </c>
      <c r="O384">
        <v>1218824.3799999999</v>
      </c>
      <c r="P384">
        <v>86340.36</v>
      </c>
      <c r="Q384">
        <v>15.29</v>
      </c>
      <c r="R384">
        <v>0</v>
      </c>
    </row>
    <row r="385" spans="1:19" ht="12.75" customHeight="1" x14ac:dyDescent="0.25">
      <c r="D385" t="s">
        <v>81</v>
      </c>
      <c r="E385" s="142">
        <v>3693.62</v>
      </c>
      <c r="F385">
        <v>209.47</v>
      </c>
      <c r="G385">
        <v>117.42</v>
      </c>
      <c r="H385">
        <v>62.17</v>
      </c>
      <c r="I385">
        <v>821.12</v>
      </c>
      <c r="J385">
        <v>29.04</v>
      </c>
      <c r="K385">
        <v>0</v>
      </c>
      <c r="L385">
        <v>251</v>
      </c>
      <c r="M385">
        <v>249.35</v>
      </c>
      <c r="N385">
        <v>1282.3699999999999</v>
      </c>
      <c r="O385">
        <v>624.24</v>
      </c>
      <c r="P385">
        <v>47.42</v>
      </c>
      <c r="Q385">
        <v>0.02</v>
      </c>
      <c r="R385">
        <v>0</v>
      </c>
    </row>
    <row r="386" spans="1:19" ht="12.75" customHeight="1" x14ac:dyDescent="0.25">
      <c r="C386" t="s">
        <v>156</v>
      </c>
      <c r="D386" t="s">
        <v>70</v>
      </c>
      <c r="E386" s="142">
        <v>7071089.54</v>
      </c>
      <c r="F386">
        <v>393608.94</v>
      </c>
      <c r="G386">
        <v>221984.38</v>
      </c>
      <c r="H386">
        <v>109845.93</v>
      </c>
      <c r="I386">
        <v>1571482.1</v>
      </c>
      <c r="J386">
        <v>53974.52</v>
      </c>
      <c r="K386">
        <v>0</v>
      </c>
      <c r="L386">
        <v>519293.52</v>
      </c>
      <c r="M386">
        <v>518222.7</v>
      </c>
      <c r="N386">
        <v>2376825.7400000002</v>
      </c>
      <c r="O386">
        <v>1219448.6200000001</v>
      </c>
      <c r="P386">
        <v>86387.78</v>
      </c>
      <c r="Q386">
        <v>15.31</v>
      </c>
      <c r="R386">
        <v>0</v>
      </c>
    </row>
    <row r="387" spans="1:19" s="739" customFormat="1" ht="12.75" customHeight="1" x14ac:dyDescent="0.25">
      <c r="B387" s="739" t="s">
        <v>327</v>
      </c>
      <c r="C387" s="739" t="s">
        <v>70</v>
      </c>
      <c r="E387" s="231">
        <v>7071089.54</v>
      </c>
      <c r="F387" s="740">
        <v>393608.94</v>
      </c>
      <c r="G387" s="232">
        <v>221984.38</v>
      </c>
      <c r="H387" s="232">
        <v>109845.93</v>
      </c>
      <c r="I387" s="232">
        <v>1571482.1</v>
      </c>
      <c r="J387" s="232">
        <v>53974.52</v>
      </c>
      <c r="K387" s="232">
        <v>0</v>
      </c>
      <c r="L387" s="232">
        <v>519293.52</v>
      </c>
      <c r="M387" s="232">
        <v>518222.7</v>
      </c>
      <c r="N387" s="232">
        <v>2376825.7400000002</v>
      </c>
      <c r="O387" s="232">
        <v>1219448.6200000001</v>
      </c>
      <c r="P387" s="232">
        <v>86387.78</v>
      </c>
      <c r="Q387" s="232">
        <v>15.31</v>
      </c>
      <c r="R387" s="232">
        <v>0</v>
      </c>
      <c r="S387" s="232"/>
    </row>
    <row r="388" spans="1:19" ht="12.75" customHeight="1" x14ac:dyDescent="0.25">
      <c r="D388" t="s">
        <v>72</v>
      </c>
      <c r="E388" s="142">
        <v>1844611.99</v>
      </c>
      <c r="F388">
        <v>95285.21</v>
      </c>
      <c r="G388">
        <v>53059.64</v>
      </c>
      <c r="H388">
        <v>24579.26</v>
      </c>
      <c r="I388">
        <v>413299.15</v>
      </c>
      <c r="J388">
        <v>13648.04</v>
      </c>
      <c r="K388">
        <v>0</v>
      </c>
      <c r="L388">
        <v>119701.46</v>
      </c>
      <c r="M388">
        <v>117793.01</v>
      </c>
      <c r="N388">
        <v>696050.14</v>
      </c>
      <c r="O388">
        <v>291977.02</v>
      </c>
      <c r="P388">
        <v>19217.07</v>
      </c>
      <c r="Q388">
        <v>1.99</v>
      </c>
      <c r="R388">
        <v>0</v>
      </c>
    </row>
    <row r="389" spans="1:19" ht="12.75" customHeight="1" x14ac:dyDescent="0.25">
      <c r="D389" t="s">
        <v>81</v>
      </c>
      <c r="E389" s="142">
        <v>6095.4</v>
      </c>
      <c r="F389">
        <v>381.36</v>
      </c>
      <c r="G389">
        <v>189.7</v>
      </c>
      <c r="H389">
        <v>106.63</v>
      </c>
      <c r="I389">
        <v>1419.33</v>
      </c>
      <c r="J389">
        <v>35.03</v>
      </c>
      <c r="K389">
        <v>0</v>
      </c>
      <c r="L389">
        <v>306.45999999999998</v>
      </c>
      <c r="M389">
        <v>410.51</v>
      </c>
      <c r="N389">
        <v>2047.73</v>
      </c>
      <c r="O389">
        <v>1141.46</v>
      </c>
      <c r="P389">
        <v>57.07</v>
      </c>
      <c r="Q389">
        <v>0.12</v>
      </c>
      <c r="R389">
        <v>0</v>
      </c>
    </row>
    <row r="390" spans="1:19" ht="12.75" customHeight="1" x14ac:dyDescent="0.25">
      <c r="C390" t="s">
        <v>82</v>
      </c>
      <c r="D390" t="s">
        <v>70</v>
      </c>
      <c r="E390" s="142">
        <v>1850707.39</v>
      </c>
      <c r="F390">
        <v>95666.57</v>
      </c>
      <c r="G390">
        <v>53249.34</v>
      </c>
      <c r="H390">
        <v>24685.89</v>
      </c>
      <c r="I390">
        <v>414718.48</v>
      </c>
      <c r="J390">
        <v>13683.07</v>
      </c>
      <c r="K390">
        <v>0</v>
      </c>
      <c r="L390">
        <v>120007.92</v>
      </c>
      <c r="M390">
        <v>118203.52</v>
      </c>
      <c r="N390">
        <v>698097.87</v>
      </c>
      <c r="O390">
        <v>293118.48</v>
      </c>
      <c r="P390">
        <v>19274.14</v>
      </c>
      <c r="Q390">
        <v>2.11</v>
      </c>
      <c r="R390">
        <v>0</v>
      </c>
    </row>
    <row r="391" spans="1:19" ht="12.75" customHeight="1" x14ac:dyDescent="0.25">
      <c r="D391" t="s">
        <v>72</v>
      </c>
      <c r="E391" s="142">
        <v>534266.78</v>
      </c>
      <c r="F391">
        <v>32938.61</v>
      </c>
      <c r="G391">
        <v>18430.990000000002</v>
      </c>
      <c r="H391">
        <v>8405.81</v>
      </c>
      <c r="I391">
        <v>129200.63</v>
      </c>
      <c r="J391">
        <v>4646.49</v>
      </c>
      <c r="K391">
        <v>0</v>
      </c>
      <c r="L391">
        <v>31973.599999999999</v>
      </c>
      <c r="M391">
        <v>27737.200000000001</v>
      </c>
      <c r="N391">
        <v>181281.16</v>
      </c>
      <c r="O391">
        <v>94114.42</v>
      </c>
      <c r="P391">
        <v>5537.75</v>
      </c>
      <c r="Q391">
        <v>0.12</v>
      </c>
      <c r="R391">
        <v>0</v>
      </c>
    </row>
    <row r="392" spans="1:19" ht="12.75" customHeight="1" x14ac:dyDescent="0.25">
      <c r="D392" t="s">
        <v>81</v>
      </c>
      <c r="E392" s="142">
        <v>61.39</v>
      </c>
      <c r="F392">
        <v>3.35</v>
      </c>
      <c r="G392">
        <v>1.89</v>
      </c>
      <c r="H392">
        <v>0.99</v>
      </c>
      <c r="I392">
        <v>13.82</v>
      </c>
      <c r="J392">
        <v>0.5</v>
      </c>
      <c r="K392">
        <v>0</v>
      </c>
      <c r="L392">
        <v>4.41</v>
      </c>
      <c r="M392">
        <v>4.29</v>
      </c>
      <c r="N392">
        <v>22.2</v>
      </c>
      <c r="O392">
        <v>9.1300000000000008</v>
      </c>
      <c r="P392">
        <v>0.82</v>
      </c>
      <c r="Q392">
        <v>-0.01</v>
      </c>
      <c r="R392">
        <v>0</v>
      </c>
    </row>
    <row r="393" spans="1:19" ht="12.75" customHeight="1" x14ac:dyDescent="0.25">
      <c r="C393" t="s">
        <v>86</v>
      </c>
      <c r="D393" t="s">
        <v>70</v>
      </c>
      <c r="E393" s="142">
        <v>534328.17000000004</v>
      </c>
      <c r="F393">
        <v>32941.96</v>
      </c>
      <c r="G393">
        <v>18432.88</v>
      </c>
      <c r="H393">
        <v>8406.7999999999993</v>
      </c>
      <c r="I393">
        <v>129214.45</v>
      </c>
      <c r="J393">
        <v>4646.99</v>
      </c>
      <c r="K393">
        <v>0</v>
      </c>
      <c r="L393">
        <v>31978.01</v>
      </c>
      <c r="M393">
        <v>27741.49</v>
      </c>
      <c r="N393">
        <v>181303.36</v>
      </c>
      <c r="O393">
        <v>94123.55</v>
      </c>
      <c r="P393">
        <v>5538.57</v>
      </c>
      <c r="Q393">
        <v>0.11</v>
      </c>
      <c r="R393">
        <v>0</v>
      </c>
    </row>
    <row r="394" spans="1:19" ht="12.75" customHeight="1" x14ac:dyDescent="0.25">
      <c r="D394" t="s">
        <v>72</v>
      </c>
      <c r="E394" s="142">
        <v>7576099.9500000002</v>
      </c>
      <c r="F394">
        <v>881196.61</v>
      </c>
      <c r="G394">
        <v>492974.75</v>
      </c>
      <c r="H394">
        <v>254953.92</v>
      </c>
      <c r="I394">
        <v>710964.65</v>
      </c>
      <c r="J394">
        <v>24397.55</v>
      </c>
      <c r="K394">
        <v>855793.65</v>
      </c>
      <c r="L394">
        <v>202636.34</v>
      </c>
      <c r="M394">
        <v>247407.32</v>
      </c>
      <c r="N394">
        <v>1235151</v>
      </c>
      <c r="O394">
        <v>2639545.7999999998</v>
      </c>
      <c r="P394">
        <v>31074.58</v>
      </c>
      <c r="Q394">
        <v>3.78</v>
      </c>
      <c r="R394">
        <v>0</v>
      </c>
    </row>
    <row r="395" spans="1:19" ht="12.75" customHeight="1" x14ac:dyDescent="0.25">
      <c r="B395" s="142"/>
      <c r="D395" t="s">
        <v>81</v>
      </c>
      <c r="E395" s="142">
        <v>432.36</v>
      </c>
      <c r="F395">
        <v>27.62</v>
      </c>
      <c r="G395">
        <v>15.56</v>
      </c>
      <c r="H395">
        <v>8.07</v>
      </c>
      <c r="I395">
        <v>88.27</v>
      </c>
      <c r="J395">
        <v>2.71</v>
      </c>
      <c r="K395">
        <v>0</v>
      </c>
      <c r="L395">
        <v>23.83</v>
      </c>
      <c r="M395">
        <v>29.4</v>
      </c>
      <c r="N395">
        <v>150.87</v>
      </c>
      <c r="O395">
        <v>81.59</v>
      </c>
      <c r="P395">
        <v>4.4400000000000004</v>
      </c>
      <c r="Q395">
        <v>0</v>
      </c>
      <c r="R395">
        <v>0</v>
      </c>
    </row>
    <row r="396" spans="1:19" ht="12.75" customHeight="1" x14ac:dyDescent="0.25">
      <c r="B396" s="142"/>
      <c r="C396" t="s">
        <v>87</v>
      </c>
      <c r="D396" t="s">
        <v>70</v>
      </c>
      <c r="E396" s="142">
        <v>7576532.3099999996</v>
      </c>
      <c r="F396">
        <v>881224.23</v>
      </c>
      <c r="G396">
        <v>492990.31</v>
      </c>
      <c r="H396">
        <v>254961.99</v>
      </c>
      <c r="I396">
        <v>711052.92</v>
      </c>
      <c r="J396">
        <v>24400.26</v>
      </c>
      <c r="K396">
        <v>855793.65</v>
      </c>
      <c r="L396">
        <v>202660.17</v>
      </c>
      <c r="M396">
        <v>247436.72</v>
      </c>
      <c r="N396">
        <v>1235301.8700000001</v>
      </c>
      <c r="O396">
        <v>2639627.39</v>
      </c>
      <c r="P396">
        <v>31079.02</v>
      </c>
      <c r="Q396">
        <v>3.78</v>
      </c>
      <c r="R396">
        <v>0</v>
      </c>
    </row>
    <row r="397" spans="1:19" s="94" customFormat="1" ht="12.75" customHeight="1" x14ac:dyDescent="0.25">
      <c r="B397" s="101" t="s">
        <v>119</v>
      </c>
      <c r="C397" s="101" t="s">
        <v>70</v>
      </c>
      <c r="E397" s="93">
        <v>9961567.8699999992</v>
      </c>
      <c r="F397" s="93">
        <v>1009832.76</v>
      </c>
      <c r="G397" s="93">
        <v>564672.53</v>
      </c>
      <c r="H397" s="93">
        <v>288054.68</v>
      </c>
      <c r="I397" s="93">
        <v>1254985.8500000001</v>
      </c>
      <c r="J397" s="93">
        <v>42730.32</v>
      </c>
      <c r="K397" s="93">
        <v>855793.65</v>
      </c>
      <c r="L397" s="93">
        <v>354646.1</v>
      </c>
      <c r="M397" s="93">
        <v>393381.73</v>
      </c>
      <c r="N397" s="93">
        <v>2114703.1</v>
      </c>
      <c r="O397" s="93">
        <v>3026869.42</v>
      </c>
      <c r="P397" s="93">
        <v>55891.73</v>
      </c>
      <c r="Q397" s="93">
        <v>6</v>
      </c>
      <c r="R397" s="94">
        <v>0</v>
      </c>
    </row>
    <row r="398" spans="1:19" s="226" customFormat="1" ht="12.75" customHeight="1" x14ac:dyDescent="0.25">
      <c r="A398" s="98" t="s">
        <v>78</v>
      </c>
      <c r="B398" s="98" t="s">
        <v>70</v>
      </c>
      <c r="E398" s="100">
        <v>32902557.27</v>
      </c>
      <c r="F398" s="100">
        <v>2546995.13</v>
      </c>
      <c r="G398" s="100">
        <v>1435012.96</v>
      </c>
      <c r="H398" s="100">
        <v>691553.71</v>
      </c>
      <c r="I398" s="100">
        <v>6730923.0999999996</v>
      </c>
      <c r="J398" s="100">
        <v>264456.01</v>
      </c>
      <c r="K398" s="100">
        <v>855801.18</v>
      </c>
      <c r="L398" s="100">
        <v>1758367.23</v>
      </c>
      <c r="M398" s="100">
        <v>1742050.52</v>
      </c>
      <c r="N398" s="100">
        <v>8920088.5199999996</v>
      </c>
      <c r="O398" s="100">
        <v>7619607.4000000004</v>
      </c>
      <c r="P398" s="100">
        <v>337866.91</v>
      </c>
      <c r="Q398" s="100">
        <v>-165.4</v>
      </c>
      <c r="R398" s="226">
        <v>0</v>
      </c>
    </row>
    <row r="399" spans="1:19" ht="12.75" customHeight="1" x14ac:dyDescent="0.25">
      <c r="C399" s="89"/>
      <c r="D399" s="89" t="s">
        <v>73</v>
      </c>
      <c r="E399" s="90">
        <v>1212644.6599999999</v>
      </c>
      <c r="F399" s="90">
        <v>300295.61</v>
      </c>
      <c r="G399" s="90">
        <v>156618.41</v>
      </c>
      <c r="H399" s="90">
        <v>56719.55</v>
      </c>
      <c r="I399" s="90">
        <v>-63990.5</v>
      </c>
      <c r="J399" s="90">
        <v>-3304.98</v>
      </c>
      <c r="K399" s="90">
        <v>0</v>
      </c>
      <c r="L399" s="90">
        <v>-19654.63</v>
      </c>
      <c r="M399" s="90">
        <v>-40788.54</v>
      </c>
      <c r="N399" s="90">
        <v>-133483.20000000001</v>
      </c>
      <c r="O399" s="90">
        <v>965622.64</v>
      </c>
      <c r="P399" s="90">
        <v>-5389.7</v>
      </c>
      <c r="Q399" s="90">
        <v>0</v>
      </c>
      <c r="R399">
        <v>0</v>
      </c>
    </row>
    <row r="400" spans="1:19" ht="12.75" customHeight="1" x14ac:dyDescent="0.25">
      <c r="B400" s="89"/>
      <c r="C400" s="89" t="s">
        <v>156</v>
      </c>
      <c r="D400" t="s">
        <v>70</v>
      </c>
      <c r="E400" s="90">
        <v>1212644.6599999999</v>
      </c>
      <c r="F400" s="90">
        <v>300295.61</v>
      </c>
      <c r="G400" s="90">
        <v>156618.41</v>
      </c>
      <c r="H400" s="90">
        <v>56719.55</v>
      </c>
      <c r="I400" s="90">
        <v>-63990.5</v>
      </c>
      <c r="J400" s="90">
        <v>-3304.98</v>
      </c>
      <c r="K400" s="90">
        <v>0</v>
      </c>
      <c r="L400" s="90">
        <v>-19654.63</v>
      </c>
      <c r="M400" s="90">
        <v>-40788.54</v>
      </c>
      <c r="N400" s="90">
        <v>-133483.20000000001</v>
      </c>
      <c r="O400" s="90">
        <v>965622.64</v>
      </c>
      <c r="P400" s="90">
        <v>-5389.7</v>
      </c>
      <c r="Q400" s="90">
        <v>0</v>
      </c>
      <c r="R400">
        <v>0</v>
      </c>
    </row>
    <row r="401" spans="1:19" s="237" customFormat="1" ht="12.75" customHeight="1" x14ac:dyDescent="0.25">
      <c r="B401" s="221" t="s">
        <v>155</v>
      </c>
      <c r="C401" s="221" t="s">
        <v>70</v>
      </c>
      <c r="E401" s="222">
        <v>1212644.6599999999</v>
      </c>
      <c r="F401" s="222">
        <v>300295.61</v>
      </c>
      <c r="G401" s="222">
        <v>156618.41</v>
      </c>
      <c r="H401" s="222">
        <v>56719.55</v>
      </c>
      <c r="I401" s="222">
        <v>-63990.5</v>
      </c>
      <c r="J401" s="222">
        <v>-3304.98</v>
      </c>
      <c r="K401" s="222">
        <v>0</v>
      </c>
      <c r="L401" s="222">
        <v>-19654.63</v>
      </c>
      <c r="M401" s="222">
        <v>-40788.54</v>
      </c>
      <c r="N401" s="222">
        <v>-133483.20000000001</v>
      </c>
      <c r="O401" s="222">
        <v>965622.64</v>
      </c>
      <c r="P401" s="222">
        <v>-5389.7</v>
      </c>
      <c r="Q401" s="222">
        <v>0</v>
      </c>
      <c r="R401" s="237">
        <v>0</v>
      </c>
    </row>
    <row r="402" spans="1:19" ht="12.75" customHeight="1" x14ac:dyDescent="0.25">
      <c r="B402" s="142"/>
      <c r="C402" s="89"/>
      <c r="D402" s="89" t="s">
        <v>73</v>
      </c>
      <c r="E402" s="371">
        <v>-1016066.59</v>
      </c>
      <c r="F402" s="90">
        <v>-49407.45</v>
      </c>
      <c r="G402" s="90">
        <v>-27659.65</v>
      </c>
      <c r="H402" s="90">
        <v>-15373.39</v>
      </c>
      <c r="I402" s="90">
        <v>-232568.66</v>
      </c>
      <c r="J402" s="90">
        <v>-8659.23</v>
      </c>
      <c r="K402" s="90">
        <v>0</v>
      </c>
      <c r="L402" s="90">
        <v>-74894.67</v>
      </c>
      <c r="M402" s="90">
        <v>-73038.960000000006</v>
      </c>
      <c r="N402" s="90">
        <v>-372015.89</v>
      </c>
      <c r="O402" s="90">
        <v>-148320.76</v>
      </c>
      <c r="P402" s="90">
        <v>-14127.93</v>
      </c>
      <c r="Q402" s="90">
        <v>0</v>
      </c>
      <c r="R402">
        <v>0</v>
      </c>
    </row>
    <row r="403" spans="1:19" ht="12.75" customHeight="1" x14ac:dyDescent="0.25">
      <c r="B403" s="142"/>
      <c r="C403" s="89" t="s">
        <v>156</v>
      </c>
      <c r="D403" s="89" t="s">
        <v>70</v>
      </c>
      <c r="E403" s="371">
        <v>-1016066.59</v>
      </c>
      <c r="F403" s="90">
        <v>-49407.45</v>
      </c>
      <c r="G403" s="90">
        <v>-27659.65</v>
      </c>
      <c r="H403" s="90">
        <v>-15373.39</v>
      </c>
      <c r="I403" s="90">
        <v>-232568.66</v>
      </c>
      <c r="J403" s="90">
        <v>-8659.23</v>
      </c>
      <c r="K403" s="90">
        <v>0</v>
      </c>
      <c r="L403" s="90">
        <v>-74894.67</v>
      </c>
      <c r="M403" s="90">
        <v>-73038.960000000006</v>
      </c>
      <c r="N403" s="90">
        <v>-372015.89</v>
      </c>
      <c r="O403" s="90">
        <v>-148320.76</v>
      </c>
      <c r="P403" s="90">
        <v>-14127.93</v>
      </c>
      <c r="Q403" s="90">
        <v>0</v>
      </c>
      <c r="R403">
        <v>0</v>
      </c>
    </row>
    <row r="404" spans="1:19" s="739" customFormat="1" ht="12.75" customHeight="1" x14ac:dyDescent="0.25">
      <c r="B404" s="739" t="s">
        <v>327</v>
      </c>
      <c r="C404" s="739" t="s">
        <v>70</v>
      </c>
      <c r="E404" s="231">
        <v>-1016066.59</v>
      </c>
      <c r="F404" s="740">
        <v>-49407.45</v>
      </c>
      <c r="G404" s="232">
        <v>-27659.65</v>
      </c>
      <c r="H404" s="232">
        <v>-15373.39</v>
      </c>
      <c r="I404" s="232">
        <v>-232568.66</v>
      </c>
      <c r="J404" s="232">
        <v>-8659.23</v>
      </c>
      <c r="K404" s="232">
        <v>0</v>
      </c>
      <c r="L404" s="232">
        <v>-74894.67</v>
      </c>
      <c r="M404" s="232">
        <v>-73038.960000000006</v>
      </c>
      <c r="N404" s="232">
        <v>-372015.89</v>
      </c>
      <c r="O404" s="232">
        <v>-148320.76</v>
      </c>
      <c r="P404" s="232">
        <v>-14127.93</v>
      </c>
      <c r="Q404" s="232">
        <v>0</v>
      </c>
      <c r="R404" s="232">
        <v>0</v>
      </c>
      <c r="S404" s="232"/>
    </row>
    <row r="405" spans="1:19" ht="12.75" customHeight="1" x14ac:dyDescent="0.25">
      <c r="B405" s="142"/>
      <c r="C405" s="89"/>
      <c r="D405" s="89" t="s">
        <v>73</v>
      </c>
      <c r="E405" s="371">
        <v>-202401.75</v>
      </c>
      <c r="F405" s="90">
        <v>-10371.91</v>
      </c>
      <c r="G405" s="90">
        <v>-5797.61</v>
      </c>
      <c r="H405" s="90">
        <v>-3073.75</v>
      </c>
      <c r="I405" s="90">
        <v>-42172.53</v>
      </c>
      <c r="J405" s="90">
        <v>-1395.23</v>
      </c>
      <c r="K405" s="90">
        <v>0</v>
      </c>
      <c r="L405" s="90">
        <v>-12238.08</v>
      </c>
      <c r="M405" s="90">
        <v>-14241.93</v>
      </c>
      <c r="N405" s="90">
        <v>-79770.19</v>
      </c>
      <c r="O405" s="90">
        <v>-31064.18</v>
      </c>
      <c r="P405" s="90">
        <v>-2276.34</v>
      </c>
      <c r="Q405" s="90">
        <v>0</v>
      </c>
      <c r="R405">
        <v>0</v>
      </c>
    </row>
    <row r="406" spans="1:19" ht="12.75" customHeight="1" x14ac:dyDescent="0.25">
      <c r="B406" s="142"/>
      <c r="C406" s="89" t="s">
        <v>82</v>
      </c>
      <c r="D406" s="89" t="s">
        <v>70</v>
      </c>
      <c r="E406" s="371">
        <v>-202401.75</v>
      </c>
      <c r="F406" s="90">
        <v>-10371.91</v>
      </c>
      <c r="G406" s="90">
        <v>-5797.61</v>
      </c>
      <c r="H406" s="90">
        <v>-3073.75</v>
      </c>
      <c r="I406" s="90">
        <v>-42172.53</v>
      </c>
      <c r="J406" s="90">
        <v>-1395.23</v>
      </c>
      <c r="K406" s="90">
        <v>0</v>
      </c>
      <c r="L406" s="90">
        <v>-12238.08</v>
      </c>
      <c r="M406" s="90">
        <v>-14241.93</v>
      </c>
      <c r="N406" s="90">
        <v>-79770.19</v>
      </c>
      <c r="O406" s="90">
        <v>-31064.18</v>
      </c>
      <c r="P406" s="90">
        <v>-2276.34</v>
      </c>
      <c r="Q406" s="90">
        <v>0</v>
      </c>
      <c r="R406">
        <v>0</v>
      </c>
    </row>
    <row r="407" spans="1:19" ht="12.75" customHeight="1" x14ac:dyDescent="0.25">
      <c r="B407" s="142"/>
      <c r="C407" s="89"/>
      <c r="D407" s="89" t="s">
        <v>73</v>
      </c>
      <c r="E407" s="371">
        <v>24207.89</v>
      </c>
      <c r="F407" s="90">
        <v>5602.44</v>
      </c>
      <c r="G407" s="90">
        <v>3131.09</v>
      </c>
      <c r="H407" s="90">
        <v>1660.22</v>
      </c>
      <c r="I407" s="90">
        <v>1208.8599999999999</v>
      </c>
      <c r="J407" s="90">
        <v>-0.64</v>
      </c>
      <c r="K407" s="90">
        <v>0</v>
      </c>
      <c r="L407" s="90">
        <v>-5.21</v>
      </c>
      <c r="M407" s="90">
        <v>-1263.54</v>
      </c>
      <c r="N407" s="90">
        <v>-3010.67</v>
      </c>
      <c r="O407" s="90">
        <v>16886.310000000001</v>
      </c>
      <c r="P407" s="90">
        <v>-0.97</v>
      </c>
      <c r="Q407" s="90">
        <v>0</v>
      </c>
      <c r="R407">
        <v>0</v>
      </c>
    </row>
    <row r="408" spans="1:19" ht="12.75" customHeight="1" x14ac:dyDescent="0.25">
      <c r="B408" s="142"/>
      <c r="C408" s="89" t="s">
        <v>86</v>
      </c>
      <c r="D408" s="89" t="s">
        <v>70</v>
      </c>
      <c r="E408" s="371">
        <v>24207.89</v>
      </c>
      <c r="F408" s="90">
        <v>5602.44</v>
      </c>
      <c r="G408" s="90">
        <v>3131.09</v>
      </c>
      <c r="H408" s="90">
        <v>1660.22</v>
      </c>
      <c r="I408" s="90">
        <v>1208.8599999999999</v>
      </c>
      <c r="J408" s="90">
        <v>-0.64</v>
      </c>
      <c r="K408" s="90">
        <v>0</v>
      </c>
      <c r="L408" s="90">
        <v>-5.21</v>
      </c>
      <c r="M408" s="90">
        <v>-1263.54</v>
      </c>
      <c r="N408" s="90">
        <v>-3010.67</v>
      </c>
      <c r="O408" s="90">
        <v>16886.310000000001</v>
      </c>
      <c r="P408" s="90">
        <v>-0.97</v>
      </c>
      <c r="Q408" s="90">
        <v>0</v>
      </c>
      <c r="R408">
        <v>0</v>
      </c>
    </row>
    <row r="409" spans="1:19" ht="12.75" customHeight="1" x14ac:dyDescent="0.25">
      <c r="B409" s="142"/>
      <c r="C409" s="89"/>
      <c r="D409" s="89" t="s">
        <v>73</v>
      </c>
      <c r="E409" s="371">
        <v>2898013.48</v>
      </c>
      <c r="F409" s="90">
        <v>626240.98</v>
      </c>
      <c r="G409" s="90">
        <v>349842.57</v>
      </c>
      <c r="H409" s="90">
        <v>184958.86</v>
      </c>
      <c r="I409" s="90">
        <v>-22160.63</v>
      </c>
      <c r="J409" s="90">
        <v>-1504.1</v>
      </c>
      <c r="K409" s="90">
        <v>0</v>
      </c>
      <c r="L409" s="90">
        <v>-12937.69</v>
      </c>
      <c r="M409" s="90">
        <v>-14848.9</v>
      </c>
      <c r="N409" s="90">
        <v>-83001.36</v>
      </c>
      <c r="O409" s="90">
        <v>1873877.63</v>
      </c>
      <c r="P409" s="90">
        <v>-2453.88</v>
      </c>
      <c r="Q409" s="90">
        <v>0</v>
      </c>
      <c r="R409">
        <v>0</v>
      </c>
    </row>
    <row r="410" spans="1:19" ht="12.75" customHeight="1" x14ac:dyDescent="0.25">
      <c r="B410" s="142"/>
      <c r="C410" s="89" t="s">
        <v>87</v>
      </c>
      <c r="D410" s="89" t="s">
        <v>70</v>
      </c>
      <c r="E410" s="371">
        <v>2898013.48</v>
      </c>
      <c r="F410" s="90">
        <v>626240.98</v>
      </c>
      <c r="G410" s="90">
        <v>349842.57</v>
      </c>
      <c r="H410" s="90">
        <v>184958.86</v>
      </c>
      <c r="I410" s="90">
        <v>-22160.63</v>
      </c>
      <c r="J410" s="90">
        <v>-1504.1</v>
      </c>
      <c r="K410" s="90">
        <v>0</v>
      </c>
      <c r="L410" s="90">
        <v>-12937.69</v>
      </c>
      <c r="M410" s="90">
        <v>-14848.9</v>
      </c>
      <c r="N410" s="90">
        <v>-83001.36</v>
      </c>
      <c r="O410" s="90">
        <v>1873877.63</v>
      </c>
      <c r="P410" s="90">
        <v>-2453.88</v>
      </c>
      <c r="Q410" s="90">
        <v>0</v>
      </c>
      <c r="R410">
        <v>0</v>
      </c>
    </row>
    <row r="411" spans="1:19" s="94" customFormat="1" ht="12.75" customHeight="1" x14ac:dyDescent="0.25">
      <c r="B411" s="101" t="s">
        <v>119</v>
      </c>
      <c r="C411" s="101" t="s">
        <v>70</v>
      </c>
      <c r="E411" s="93">
        <v>2719819.62</v>
      </c>
      <c r="F411" s="93">
        <v>621471.51</v>
      </c>
      <c r="G411" s="93">
        <v>347176.05</v>
      </c>
      <c r="H411" s="93">
        <v>183545.33</v>
      </c>
      <c r="I411" s="93">
        <v>-63124.3</v>
      </c>
      <c r="J411" s="93">
        <v>-2899.97</v>
      </c>
      <c r="K411" s="93">
        <v>0</v>
      </c>
      <c r="L411" s="93">
        <v>-25180.98</v>
      </c>
      <c r="M411" s="93">
        <v>-30354.37</v>
      </c>
      <c r="N411" s="93">
        <v>-165782.22</v>
      </c>
      <c r="O411" s="93">
        <v>1859699.76</v>
      </c>
      <c r="P411" s="93">
        <v>-4731.1899999999996</v>
      </c>
      <c r="Q411" s="93">
        <v>0</v>
      </c>
      <c r="R411" s="94">
        <v>0</v>
      </c>
    </row>
    <row r="412" spans="1:19" s="226" customFormat="1" ht="12.75" customHeight="1" x14ac:dyDescent="0.25">
      <c r="A412" s="98" t="s">
        <v>79</v>
      </c>
      <c r="B412" s="98" t="s">
        <v>70</v>
      </c>
      <c r="E412" s="100">
        <v>2916397.69</v>
      </c>
      <c r="F412" s="100">
        <v>872359.67</v>
      </c>
      <c r="G412" s="100">
        <v>476134.81</v>
      </c>
      <c r="H412" s="100">
        <v>224891.49</v>
      </c>
      <c r="I412" s="100">
        <v>-359683.46</v>
      </c>
      <c r="J412" s="100">
        <v>-14864.18</v>
      </c>
      <c r="K412" s="100">
        <v>0</v>
      </c>
      <c r="L412" s="100">
        <v>-119730.28</v>
      </c>
      <c r="M412" s="100">
        <v>-144181.87</v>
      </c>
      <c r="N412" s="100">
        <v>-671281.31</v>
      </c>
      <c r="O412" s="100">
        <v>2677001.64</v>
      </c>
      <c r="P412" s="100">
        <v>-24248.82</v>
      </c>
      <c r="Q412" s="100">
        <v>0</v>
      </c>
      <c r="R412" s="226">
        <v>0</v>
      </c>
    </row>
    <row r="413" spans="1:19" ht="12.75" customHeight="1" x14ac:dyDescent="0.25">
      <c r="A413" s="89" t="s">
        <v>70</v>
      </c>
      <c r="E413" s="90">
        <v>35818954.960000001</v>
      </c>
      <c r="F413" s="90">
        <v>3419354.8</v>
      </c>
      <c r="G413" s="90">
        <v>1911147.77</v>
      </c>
      <c r="H413" s="90">
        <v>916445.2</v>
      </c>
      <c r="I413" s="90">
        <v>6371239.6399999997</v>
      </c>
      <c r="J413" s="90">
        <v>249591.83</v>
      </c>
      <c r="K413" s="90">
        <v>855801.18</v>
      </c>
      <c r="L413" s="90">
        <v>1638636.95</v>
      </c>
      <c r="M413" s="90">
        <v>1597868.65</v>
      </c>
      <c r="N413" s="90">
        <v>8248807.21</v>
      </c>
      <c r="O413" s="90">
        <v>10296609.039999999</v>
      </c>
      <c r="P413" s="90">
        <v>313618.09000000003</v>
      </c>
      <c r="Q413" s="90">
        <v>-165.4</v>
      </c>
      <c r="R413" s="90">
        <v>0</v>
      </c>
    </row>
    <row r="414" spans="1:19" ht="12.75" hidden="1" customHeight="1" x14ac:dyDescent="0.25">
      <c r="A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9" ht="12.75" hidden="1" customHeight="1" x14ac:dyDescent="0.25">
      <c r="A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spans="1:19" ht="12.75" hidden="1" customHeight="1" x14ac:dyDescent="0.25">
      <c r="A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spans="1:18" ht="12.75" hidden="1" customHeight="1" x14ac:dyDescent="0.25">
      <c r="A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hidden="1" customHeight="1" x14ac:dyDescent="0.25">
      <c r="A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18" ht="12.75" hidden="1" customHeight="1" x14ac:dyDescent="0.25">
      <c r="A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hidden="1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hidden="1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A438" s="89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18" ht="12.75" customHeight="1" x14ac:dyDescent="0.25">
      <c r="A439" s="89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customHeight="1" x14ac:dyDescent="0.25">
      <c r="B440" s="774" t="s">
        <v>2</v>
      </c>
      <c r="C440" s="772" t="s">
        <v>132</v>
      </c>
      <c r="D440" s="98" t="s">
        <v>70</v>
      </c>
      <c r="E440" s="100">
        <f>E412+E398-K398</f>
        <v>34963153.780000001</v>
      </c>
      <c r="F440" s="100">
        <f>F398</f>
        <v>2546995.13</v>
      </c>
      <c r="G440" s="100">
        <f t="shared" ref="G440:R440" si="14">G398</f>
        <v>1435012.96</v>
      </c>
      <c r="H440" s="100">
        <f t="shared" si="14"/>
        <v>691553.71</v>
      </c>
      <c r="I440" s="100">
        <f t="shared" si="14"/>
        <v>6730923.0999999996</v>
      </c>
      <c r="J440" s="100">
        <f t="shared" si="14"/>
        <v>264456.01</v>
      </c>
      <c r="K440" s="100">
        <f t="shared" si="14"/>
        <v>855801.18</v>
      </c>
      <c r="L440" s="100">
        <f t="shared" si="14"/>
        <v>1758367.23</v>
      </c>
      <c r="M440" s="100">
        <f t="shared" si="14"/>
        <v>1742050.52</v>
      </c>
      <c r="N440" s="100">
        <f t="shared" si="14"/>
        <v>8920088.5199999996</v>
      </c>
      <c r="O440" s="100">
        <f t="shared" si="14"/>
        <v>7619607.4000000004</v>
      </c>
      <c r="P440" s="100">
        <f>P398</f>
        <v>337866.91</v>
      </c>
      <c r="Q440" s="100">
        <f t="shared" si="14"/>
        <v>-165.4</v>
      </c>
      <c r="R440" s="100">
        <f t="shared" si="14"/>
        <v>0</v>
      </c>
    </row>
    <row r="441" spans="1:18" ht="12.75" customHeight="1" x14ac:dyDescent="0.25">
      <c r="B441" s="774"/>
      <c r="C441" s="772"/>
      <c r="D441" s="98" t="s">
        <v>73</v>
      </c>
      <c r="E441" s="100">
        <f>E412</f>
        <v>2916397.69</v>
      </c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spans="1:18" ht="12.75" customHeight="1" x14ac:dyDescent="0.25">
      <c r="A442" s="89"/>
      <c r="B442" s="97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customHeight="1" x14ac:dyDescent="0.25">
      <c r="B443" s="774" t="s">
        <v>160</v>
      </c>
      <c r="C443" s="772" t="s">
        <v>132</v>
      </c>
      <c r="D443" s="223" t="s">
        <v>70</v>
      </c>
      <c r="E443" s="225">
        <v>0</v>
      </c>
      <c r="F443" s="225">
        <v>0</v>
      </c>
      <c r="G443" s="225">
        <v>0</v>
      </c>
      <c r="H443" s="225">
        <v>0</v>
      </c>
      <c r="I443" s="225">
        <v>0</v>
      </c>
      <c r="J443" s="225">
        <v>0</v>
      </c>
      <c r="K443" s="225">
        <v>0</v>
      </c>
      <c r="L443" s="225">
        <v>0</v>
      </c>
      <c r="M443" s="225">
        <v>0</v>
      </c>
      <c r="N443" s="225">
        <v>0</v>
      </c>
      <c r="O443" s="225">
        <v>0</v>
      </c>
      <c r="P443" s="225">
        <v>0</v>
      </c>
      <c r="Q443" s="225">
        <v>0</v>
      </c>
      <c r="R443" s="225">
        <v>0</v>
      </c>
    </row>
    <row r="444" spans="1:18" ht="12.75" customHeight="1" x14ac:dyDescent="0.25">
      <c r="B444" s="774"/>
      <c r="C444" s="772"/>
      <c r="D444" s="223" t="s">
        <v>73</v>
      </c>
      <c r="E444" s="225">
        <v>0</v>
      </c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customHeight="1" x14ac:dyDescent="0.25">
      <c r="A445" s="89"/>
      <c r="B445" s="97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25">
      <c r="B446" s="774" t="s">
        <v>155</v>
      </c>
      <c r="C446" s="772" t="s">
        <v>132</v>
      </c>
      <c r="D446" s="221" t="s">
        <v>70</v>
      </c>
      <c r="E446" s="222">
        <f>E401+E383-K383</f>
        <v>17082536.989999998</v>
      </c>
      <c r="F446" s="222">
        <f>F383</f>
        <v>1143553.43</v>
      </c>
      <c r="G446" s="222">
        <f t="shared" ref="G446:R446" si="15">G383</f>
        <v>648356.05000000005</v>
      </c>
      <c r="H446" s="222">
        <f t="shared" si="15"/>
        <v>293653.09999999998</v>
      </c>
      <c r="I446" s="222">
        <f t="shared" si="15"/>
        <v>3904455.15</v>
      </c>
      <c r="J446" s="222">
        <f t="shared" si="15"/>
        <v>167751.17000000001</v>
      </c>
      <c r="K446" s="222">
        <f t="shared" si="15"/>
        <v>7.53</v>
      </c>
      <c r="L446" s="222">
        <f t="shared" si="15"/>
        <v>884427.61</v>
      </c>
      <c r="M446" s="222">
        <f t="shared" si="15"/>
        <v>830446.09</v>
      </c>
      <c r="N446" s="222">
        <f t="shared" si="15"/>
        <v>4428559.68</v>
      </c>
      <c r="O446" s="222">
        <f t="shared" si="15"/>
        <v>3373289.36</v>
      </c>
      <c r="P446" s="222">
        <f t="shared" si="15"/>
        <v>195587.4</v>
      </c>
      <c r="Q446" s="222">
        <f t="shared" si="15"/>
        <v>-186.71</v>
      </c>
      <c r="R446" s="222">
        <f t="shared" si="15"/>
        <v>0</v>
      </c>
    </row>
    <row r="447" spans="1:18" ht="12.75" customHeight="1" x14ac:dyDescent="0.25">
      <c r="B447" s="774"/>
      <c r="C447" s="772"/>
      <c r="D447" s="221" t="s">
        <v>73</v>
      </c>
      <c r="E447" s="222">
        <f>E401</f>
        <v>1212644.6599999999</v>
      </c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customHeight="1" x14ac:dyDescent="0.25">
      <c r="A448" s="89"/>
      <c r="B448" s="97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75" t="s">
        <v>327</v>
      </c>
      <c r="C449" s="772" t="s">
        <v>132</v>
      </c>
      <c r="D449" s="373" t="s">
        <v>70</v>
      </c>
      <c r="E449" s="374">
        <f>E404+E387-K387</f>
        <v>6055022.9500000002</v>
      </c>
      <c r="F449" s="374">
        <f>F387</f>
        <v>393608.94</v>
      </c>
      <c r="G449" s="374">
        <f t="shared" ref="G449:R449" si="16">G387</f>
        <v>221984.38</v>
      </c>
      <c r="H449" s="374">
        <f t="shared" si="16"/>
        <v>109845.93</v>
      </c>
      <c r="I449" s="374">
        <f t="shared" si="16"/>
        <v>1571482.1</v>
      </c>
      <c r="J449" s="374">
        <f t="shared" si="16"/>
        <v>53974.52</v>
      </c>
      <c r="K449" s="374">
        <f t="shared" si="16"/>
        <v>0</v>
      </c>
      <c r="L449" s="374">
        <f t="shared" si="16"/>
        <v>519293.52</v>
      </c>
      <c r="M449" s="374">
        <f t="shared" si="16"/>
        <v>518222.7</v>
      </c>
      <c r="N449" s="374">
        <f t="shared" si="16"/>
        <v>2376825.7400000002</v>
      </c>
      <c r="O449" s="374">
        <f t="shared" si="16"/>
        <v>1219448.6200000001</v>
      </c>
      <c r="P449" s="374">
        <f t="shared" si="16"/>
        <v>86387.78</v>
      </c>
      <c r="Q449" s="374">
        <f t="shared" si="16"/>
        <v>15.31</v>
      </c>
      <c r="R449" s="374">
        <f t="shared" si="16"/>
        <v>0</v>
      </c>
    </row>
    <row r="450" spans="1:18" ht="12.75" customHeight="1" x14ac:dyDescent="0.25">
      <c r="B450" s="775"/>
      <c r="C450" s="772"/>
      <c r="D450" s="373" t="s">
        <v>73</v>
      </c>
      <c r="E450" s="374">
        <f>E404</f>
        <v>-1016066.59</v>
      </c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customHeight="1" x14ac:dyDescent="0.25">
      <c r="B451" s="719"/>
      <c r="C451" s="220"/>
      <c r="D451" s="89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25">
      <c r="B452" s="774" t="s">
        <v>119</v>
      </c>
      <c r="C452" s="772" t="s">
        <v>132</v>
      </c>
      <c r="D452" s="101" t="s">
        <v>70</v>
      </c>
      <c r="E452" s="93">
        <f>E397+E411-K397</f>
        <v>11825593.839999998</v>
      </c>
      <c r="F452" s="93">
        <f>F397</f>
        <v>1009832.76</v>
      </c>
      <c r="G452" s="93">
        <f t="shared" ref="G452:R452" si="17">G397</f>
        <v>564672.53</v>
      </c>
      <c r="H452" s="93">
        <f t="shared" si="17"/>
        <v>288054.68</v>
      </c>
      <c r="I452" s="93">
        <f t="shared" si="17"/>
        <v>1254985.8500000001</v>
      </c>
      <c r="J452" s="93">
        <f t="shared" si="17"/>
        <v>42730.32</v>
      </c>
      <c r="K452" s="93">
        <f t="shared" si="17"/>
        <v>855793.65</v>
      </c>
      <c r="L452" s="93">
        <f t="shared" si="17"/>
        <v>354646.1</v>
      </c>
      <c r="M452" s="93">
        <f t="shared" si="17"/>
        <v>393381.73</v>
      </c>
      <c r="N452" s="93">
        <f t="shared" si="17"/>
        <v>2114703.1</v>
      </c>
      <c r="O452" s="93">
        <f t="shared" si="17"/>
        <v>3026869.42</v>
      </c>
      <c r="P452" s="93">
        <f t="shared" si="17"/>
        <v>55891.73</v>
      </c>
      <c r="Q452" s="93">
        <f t="shared" si="17"/>
        <v>6</v>
      </c>
      <c r="R452" s="93">
        <f t="shared" si="17"/>
        <v>0</v>
      </c>
    </row>
    <row r="453" spans="1:18" ht="12.75" customHeight="1" x14ac:dyDescent="0.25">
      <c r="B453" s="774"/>
      <c r="C453" s="772"/>
      <c r="D453" s="101" t="s">
        <v>73</v>
      </c>
      <c r="E453" s="93">
        <f>E411</f>
        <v>2719819.62</v>
      </c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customHeight="1" x14ac:dyDescent="0.25">
      <c r="A454" s="89"/>
      <c r="B454" s="97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customHeight="1" x14ac:dyDescent="0.25">
      <c r="B455" s="773" t="s">
        <v>161</v>
      </c>
      <c r="C455" s="772" t="s">
        <v>132</v>
      </c>
      <c r="D455" s="231" t="s">
        <v>70</v>
      </c>
      <c r="E455" s="232">
        <v>0</v>
      </c>
      <c r="F455" s="232">
        <v>0</v>
      </c>
      <c r="G455" s="232">
        <v>0</v>
      </c>
      <c r="H455" s="232">
        <v>0</v>
      </c>
      <c r="I455" s="232">
        <v>0</v>
      </c>
      <c r="J455" s="232">
        <v>0</v>
      </c>
      <c r="K455" s="232">
        <v>0</v>
      </c>
      <c r="L455" s="232">
        <v>0</v>
      </c>
      <c r="M455" s="232">
        <v>0</v>
      </c>
      <c r="N455" s="232">
        <v>0</v>
      </c>
      <c r="O455" s="232">
        <v>0</v>
      </c>
      <c r="P455" s="232">
        <v>0</v>
      </c>
      <c r="Q455" s="232">
        <v>0</v>
      </c>
      <c r="R455" s="232">
        <v>0</v>
      </c>
    </row>
    <row r="456" spans="1:18" ht="12.75" customHeight="1" x14ac:dyDescent="0.25">
      <c r="B456" s="773"/>
      <c r="C456" s="772"/>
      <c r="D456" s="231" t="s">
        <v>73</v>
      </c>
      <c r="E456" s="232">
        <v>0</v>
      </c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s="238" customFormat="1" x14ac:dyDescent="0.25"/>
  </sheetData>
  <mergeCells count="60">
    <mergeCell ref="B452:B453"/>
    <mergeCell ref="C452:C453"/>
    <mergeCell ref="B455:B456"/>
    <mergeCell ref="C455:C456"/>
    <mergeCell ref="B449:B450"/>
    <mergeCell ref="C449:C450"/>
    <mergeCell ref="B440:B441"/>
    <mergeCell ref="C440:C441"/>
    <mergeCell ref="B443:B444"/>
    <mergeCell ref="C443:C444"/>
    <mergeCell ref="B446:B447"/>
    <mergeCell ref="C446:C447"/>
    <mergeCell ref="B372:B373"/>
    <mergeCell ref="C372:C373"/>
    <mergeCell ref="B375:B376"/>
    <mergeCell ref="C375:C376"/>
    <mergeCell ref="B369:B370"/>
    <mergeCell ref="C369:C370"/>
    <mergeCell ref="B360:B361"/>
    <mergeCell ref="C360:C361"/>
    <mergeCell ref="B363:B364"/>
    <mergeCell ref="C363:C364"/>
    <mergeCell ref="B366:B367"/>
    <mergeCell ref="C366:C367"/>
    <mergeCell ref="B269:B270"/>
    <mergeCell ref="C269:C270"/>
    <mergeCell ref="B266:B267"/>
    <mergeCell ref="C266:C267"/>
    <mergeCell ref="B272:B273"/>
    <mergeCell ref="C272:C273"/>
    <mergeCell ref="B257:B258"/>
    <mergeCell ref="C257:C258"/>
    <mergeCell ref="B260:B261"/>
    <mergeCell ref="C260:C261"/>
    <mergeCell ref="B263:B264"/>
    <mergeCell ref="C263:C264"/>
    <mergeCell ref="B43:B44"/>
    <mergeCell ref="C43:C44"/>
    <mergeCell ref="B46:B47"/>
    <mergeCell ref="C46:C47"/>
    <mergeCell ref="B52:B53"/>
    <mergeCell ref="C52:C53"/>
    <mergeCell ref="B49:B50"/>
    <mergeCell ref="C49:C50"/>
    <mergeCell ref="B55:B56"/>
    <mergeCell ref="C55:C56"/>
    <mergeCell ref="B155:B156"/>
    <mergeCell ref="C155:C156"/>
    <mergeCell ref="B58:B59"/>
    <mergeCell ref="C58:C59"/>
    <mergeCell ref="B140:B141"/>
    <mergeCell ref="C140:C141"/>
    <mergeCell ref="B143:B144"/>
    <mergeCell ref="C143:C144"/>
    <mergeCell ref="B146:B147"/>
    <mergeCell ref="C146:C147"/>
    <mergeCell ref="B152:B153"/>
    <mergeCell ref="C152:C153"/>
    <mergeCell ref="B149:B150"/>
    <mergeCell ref="C149:C1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2"/>
  <sheetViews>
    <sheetView topLeftCell="I1" zoomScale="90" zoomScaleNormal="90" workbookViewId="0">
      <pane ySplit="2" topLeftCell="A318" activePane="bottomLeft" state="frozen"/>
      <selection activeCell="A3" sqref="A3"/>
      <selection pane="bottomLeft" activeCell="O346" sqref="O346:O354"/>
    </sheetView>
  </sheetViews>
  <sheetFormatPr baseColWidth="10" defaultColWidth="11.44140625" defaultRowHeight="13.2" x14ac:dyDescent="0.25"/>
  <cols>
    <col min="1" max="1" width="21.21875" style="616" customWidth="1"/>
    <col min="2" max="2" width="19.77734375" style="616" bestFit="1" customWidth="1"/>
    <col min="3" max="3" width="24.77734375" style="616" bestFit="1" customWidth="1"/>
    <col min="4" max="4" width="23.21875" style="616" bestFit="1" customWidth="1"/>
    <col min="5" max="5" width="15.777343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777343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-48725.8</v>
      </c>
      <c r="E3" s="618">
        <v>-2974.76</v>
      </c>
      <c r="F3" s="618">
        <v>-1679.55</v>
      </c>
      <c r="G3" s="620">
        <v>-881.55</v>
      </c>
      <c r="H3" s="618">
        <v>-11542.33</v>
      </c>
      <c r="I3" s="618">
        <v>-391.85</v>
      </c>
      <c r="J3" s="618">
        <v>-3437.25</v>
      </c>
      <c r="K3" s="618">
        <v>-3322.9</v>
      </c>
      <c r="L3" s="618">
        <v>-15733.99</v>
      </c>
      <c r="M3" s="618">
        <v>-8124.53</v>
      </c>
      <c r="N3" s="618">
        <v>-639.32000000000005</v>
      </c>
      <c r="O3" s="618">
        <v>2.23</v>
      </c>
      <c r="P3" s="618">
        <v>0</v>
      </c>
      <c r="Q3" s="618">
        <v>0</v>
      </c>
      <c r="R3" s="616">
        <v>0</v>
      </c>
    </row>
    <row r="4" spans="1:18" s="621" customFormat="1" ht="12.75" customHeight="1" x14ac:dyDescent="0.25">
      <c r="B4" s="622" t="s">
        <v>78</v>
      </c>
      <c r="C4" s="622" t="s">
        <v>70</v>
      </c>
      <c r="D4" s="622">
        <v>-48725.8</v>
      </c>
      <c r="E4" s="622">
        <v>-2974.76</v>
      </c>
      <c r="F4" s="622">
        <v>-1679.55</v>
      </c>
      <c r="G4" s="622">
        <v>-881.55</v>
      </c>
      <c r="H4" s="622">
        <v>-11542.33</v>
      </c>
      <c r="I4" s="622">
        <v>-391.85</v>
      </c>
      <c r="J4" s="622">
        <v>-3437.25</v>
      </c>
      <c r="K4" s="622">
        <v>-3322.9</v>
      </c>
      <c r="L4" s="622">
        <v>-15733.99</v>
      </c>
      <c r="M4" s="622">
        <v>-8124.53</v>
      </c>
      <c r="N4" s="622">
        <v>-639.32000000000005</v>
      </c>
      <c r="O4" s="622">
        <v>2.23</v>
      </c>
      <c r="P4" s="621">
        <v>0</v>
      </c>
      <c r="Q4" s="622">
        <v>0</v>
      </c>
      <c r="R4" s="622">
        <v>0</v>
      </c>
    </row>
    <row r="5" spans="1:18" ht="12.75" customHeight="1" x14ac:dyDescent="0.25">
      <c r="C5" s="616" t="s">
        <v>73</v>
      </c>
      <c r="D5" s="618">
        <v>-24364.2</v>
      </c>
      <c r="E5" s="618">
        <v>-1487.39</v>
      </c>
      <c r="F5" s="618">
        <v>-839.77</v>
      </c>
      <c r="G5" s="620">
        <v>-440.78</v>
      </c>
      <c r="H5" s="618">
        <v>-5771.33</v>
      </c>
      <c r="I5" s="618">
        <v>-195.93</v>
      </c>
      <c r="J5" s="618">
        <v>-1718.62</v>
      </c>
      <c r="K5" s="618">
        <v>-1661.45</v>
      </c>
      <c r="L5" s="618">
        <v>-7867</v>
      </c>
      <c r="M5" s="618">
        <v>-4062.27</v>
      </c>
      <c r="N5" s="618">
        <v>-319.66000000000003</v>
      </c>
      <c r="O5" s="618">
        <v>0</v>
      </c>
      <c r="P5" s="618">
        <v>0</v>
      </c>
      <c r="Q5" s="618">
        <v>0</v>
      </c>
      <c r="R5" s="616">
        <v>0</v>
      </c>
    </row>
    <row r="6" spans="1:18" s="623" customFormat="1" ht="12.75" customHeight="1" x14ac:dyDescent="0.25">
      <c r="B6" s="624" t="s">
        <v>79</v>
      </c>
      <c r="C6" s="624" t="s">
        <v>70</v>
      </c>
      <c r="D6" s="624">
        <v>-24364.2</v>
      </c>
      <c r="E6" s="624">
        <v>-1487.39</v>
      </c>
      <c r="F6" s="624">
        <v>-839.77</v>
      </c>
      <c r="G6" s="624">
        <v>-440.78</v>
      </c>
      <c r="H6" s="624">
        <v>-5771.33</v>
      </c>
      <c r="I6" s="624">
        <v>-195.93</v>
      </c>
      <c r="J6" s="624">
        <v>-1718.62</v>
      </c>
      <c r="K6" s="624">
        <v>-1661.45</v>
      </c>
      <c r="L6" s="624">
        <v>-7867</v>
      </c>
      <c r="M6" s="624">
        <v>-4062.27</v>
      </c>
      <c r="N6" s="624">
        <v>-319.66000000000003</v>
      </c>
      <c r="O6" s="624">
        <v>0</v>
      </c>
      <c r="P6" s="623">
        <v>0</v>
      </c>
      <c r="Q6" s="624">
        <v>0</v>
      </c>
      <c r="R6" s="624">
        <v>0</v>
      </c>
    </row>
    <row r="7" spans="1:18" s="625" customFormat="1" ht="12.75" customHeight="1" x14ac:dyDescent="0.25">
      <c r="A7" s="625" t="s">
        <v>155</v>
      </c>
      <c r="B7" s="625" t="s">
        <v>70</v>
      </c>
      <c r="D7" s="626">
        <v>-73090</v>
      </c>
      <c r="E7" s="626">
        <v>-4462.1499999999996</v>
      </c>
      <c r="F7" s="626">
        <v>-2519.3200000000002</v>
      </c>
      <c r="G7" s="627">
        <v>-1322.33</v>
      </c>
      <c r="H7" s="626">
        <v>-17313.66</v>
      </c>
      <c r="I7" s="626">
        <v>-587.78</v>
      </c>
      <c r="J7" s="626">
        <v>-5155.87</v>
      </c>
      <c r="K7" s="626">
        <v>-4984.3500000000004</v>
      </c>
      <c r="L7" s="626">
        <v>-23600.99</v>
      </c>
      <c r="M7" s="626">
        <v>-12186.8</v>
      </c>
      <c r="N7" s="626">
        <v>-958.98</v>
      </c>
      <c r="O7" s="626">
        <v>2.23</v>
      </c>
      <c r="P7" s="626">
        <v>0</v>
      </c>
      <c r="Q7" s="626">
        <v>0</v>
      </c>
      <c r="R7" s="625">
        <v>0</v>
      </c>
    </row>
    <row r="8" spans="1:18" s="631" customFormat="1" ht="12.75" customHeight="1" x14ac:dyDescent="0.25">
      <c r="A8" s="630" t="s">
        <v>70</v>
      </c>
      <c r="D8" s="630">
        <v>-73090</v>
      </c>
      <c r="E8" s="630">
        <v>-4462.1499999999996</v>
      </c>
      <c r="F8" s="630">
        <v>-2519.3200000000002</v>
      </c>
      <c r="G8" s="630">
        <v>-1322.33</v>
      </c>
      <c r="H8" s="630">
        <v>-17313.66</v>
      </c>
      <c r="I8" s="630">
        <v>-587.78</v>
      </c>
      <c r="J8" s="630">
        <v>-5155.87</v>
      </c>
      <c r="K8" s="630">
        <v>-4984.3500000000004</v>
      </c>
      <c r="L8" s="630">
        <v>-23600.99</v>
      </c>
      <c r="M8" s="630">
        <v>-12186.8</v>
      </c>
      <c r="N8" s="630">
        <v>-958.98</v>
      </c>
      <c r="O8" s="630">
        <v>2.23</v>
      </c>
      <c r="P8" s="631">
        <v>0</v>
      </c>
      <c r="Q8" s="630">
        <v>0</v>
      </c>
      <c r="R8" s="630">
        <v>0</v>
      </c>
    </row>
    <row r="9" spans="1:18" ht="12.75" customHeight="1" x14ac:dyDescent="0.25">
      <c r="A9" s="618"/>
      <c r="D9" s="618"/>
      <c r="E9" s="618"/>
      <c r="F9" s="618"/>
      <c r="G9" s="618"/>
      <c r="H9" s="618"/>
      <c r="I9" s="618"/>
      <c r="J9" s="618"/>
      <c r="K9" s="618"/>
      <c r="L9" s="618"/>
      <c r="M9" s="618"/>
      <c r="N9" s="618"/>
      <c r="O9" s="618"/>
    </row>
    <row r="10" spans="1:18" ht="12.75" customHeight="1" x14ac:dyDescent="0.25">
      <c r="A10" s="618"/>
      <c r="D10" s="618"/>
      <c r="E10" s="618"/>
      <c r="F10" s="618"/>
      <c r="G10" s="618"/>
      <c r="H10" s="618"/>
      <c r="I10" s="618"/>
      <c r="J10" s="618"/>
      <c r="K10" s="618"/>
      <c r="L10" s="618"/>
      <c r="M10" s="618"/>
      <c r="N10" s="618"/>
      <c r="O10" s="618"/>
    </row>
    <row r="11" spans="1:18" ht="12.75" hidden="1" customHeight="1" x14ac:dyDescent="0.25">
      <c r="A11" s="618"/>
      <c r="D11" s="618"/>
      <c r="E11" s="618"/>
      <c r="F11" s="618"/>
      <c r="G11" s="618"/>
      <c r="H11" s="618"/>
      <c r="I11" s="618"/>
      <c r="J11" s="618"/>
      <c r="K11" s="618"/>
      <c r="L11" s="618"/>
      <c r="M11" s="618"/>
      <c r="N11" s="618"/>
      <c r="O11" s="618"/>
    </row>
    <row r="12" spans="1:18" ht="12.75" hidden="1" customHeight="1" x14ac:dyDescent="0.25">
      <c r="A12" s="618"/>
      <c r="D12" s="618"/>
      <c r="E12" s="618"/>
      <c r="F12" s="618"/>
      <c r="G12" s="618"/>
      <c r="H12" s="618"/>
      <c r="I12" s="618"/>
      <c r="J12" s="618"/>
      <c r="K12" s="618"/>
      <c r="L12" s="618"/>
      <c r="M12" s="618"/>
      <c r="N12" s="618"/>
      <c r="O12" s="618"/>
    </row>
    <row r="13" spans="1:18" ht="12.75" hidden="1" customHeight="1" x14ac:dyDescent="0.25">
      <c r="A13" s="618"/>
      <c r="D13" s="618"/>
      <c r="E13" s="618"/>
      <c r="F13" s="618"/>
      <c r="G13" s="618"/>
      <c r="H13" s="618"/>
      <c r="I13" s="618"/>
      <c r="J13" s="618"/>
      <c r="K13" s="618"/>
      <c r="L13" s="618"/>
      <c r="M13" s="618"/>
      <c r="N13" s="618"/>
      <c r="O13" s="618"/>
    </row>
    <row r="14" spans="1:18" ht="12.75" hidden="1" customHeight="1" x14ac:dyDescent="0.25">
      <c r="A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8"/>
      <c r="O14" s="618"/>
    </row>
    <row r="15" spans="1:18" ht="12.75" hidden="1" customHeight="1" x14ac:dyDescent="0.25">
      <c r="A15" s="618"/>
      <c r="D15" s="618"/>
      <c r="E15" s="618"/>
      <c r="F15" s="618"/>
      <c r="G15" s="618"/>
      <c r="H15" s="618"/>
      <c r="I15" s="618"/>
      <c r="J15" s="618"/>
      <c r="K15" s="618"/>
      <c r="L15" s="618"/>
      <c r="M15" s="618"/>
      <c r="N15" s="618"/>
      <c r="O15" s="618"/>
    </row>
    <row r="16" spans="1:18" ht="12.75" hidden="1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hidden="1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x14ac:dyDescent="0.25">
      <c r="A66" s="778" t="s">
        <v>2</v>
      </c>
      <c r="B66" s="777" t="s">
        <v>132</v>
      </c>
      <c r="C66" s="766" t="s">
        <v>70</v>
      </c>
      <c r="D66" s="766">
        <f>D8-P8</f>
        <v>-73090</v>
      </c>
      <c r="E66" s="766">
        <f>E4</f>
        <v>-2974.76</v>
      </c>
      <c r="F66" s="766">
        <f t="shared" ref="F66:R66" si="0">F4</f>
        <v>-1679.55</v>
      </c>
      <c r="G66" s="766">
        <f t="shared" si="0"/>
        <v>-881.55</v>
      </c>
      <c r="H66" s="766">
        <f t="shared" si="0"/>
        <v>-11542.33</v>
      </c>
      <c r="I66" s="766">
        <f t="shared" si="0"/>
        <v>-391.85</v>
      </c>
      <c r="J66" s="766">
        <f t="shared" si="0"/>
        <v>-3437.25</v>
      </c>
      <c r="K66" s="766">
        <f t="shared" si="0"/>
        <v>-3322.9</v>
      </c>
      <c r="L66" s="766">
        <f t="shared" si="0"/>
        <v>-15733.99</v>
      </c>
      <c r="M66" s="766">
        <f t="shared" si="0"/>
        <v>-8124.53</v>
      </c>
      <c r="N66" s="766">
        <f t="shared" si="0"/>
        <v>-639.32000000000005</v>
      </c>
      <c r="O66" s="766">
        <f t="shared" si="0"/>
        <v>2.23</v>
      </c>
      <c r="P66" s="766">
        <f t="shared" si="0"/>
        <v>0</v>
      </c>
      <c r="Q66" s="766">
        <f t="shared" si="0"/>
        <v>0</v>
      </c>
      <c r="R66" s="766">
        <f t="shared" si="0"/>
        <v>0</v>
      </c>
    </row>
    <row r="67" spans="1:18" x14ac:dyDescent="0.25">
      <c r="A67" s="778"/>
      <c r="B67" s="777"/>
      <c r="C67" s="766" t="s">
        <v>73</v>
      </c>
      <c r="D67" s="766">
        <f>D6</f>
        <v>-24364.2</v>
      </c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  <c r="P67" s="618"/>
      <c r="Q67" s="618"/>
      <c r="R67" s="618"/>
    </row>
    <row r="68" spans="1:18" x14ac:dyDescent="0.25">
      <c r="A68" s="617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  <c r="P68" s="618"/>
      <c r="Q68" s="618"/>
      <c r="R68" s="618"/>
    </row>
    <row r="69" spans="1:18" x14ac:dyDescent="0.25">
      <c r="A69" s="778" t="s">
        <v>160</v>
      </c>
      <c r="B69" s="777" t="s">
        <v>132</v>
      </c>
      <c r="C69" s="632" t="s">
        <v>70</v>
      </c>
      <c r="D69" s="632">
        <v>0</v>
      </c>
      <c r="E69" s="632">
        <v>0</v>
      </c>
      <c r="F69" s="632">
        <v>0</v>
      </c>
      <c r="G69" s="632">
        <v>0</v>
      </c>
      <c r="H69" s="632">
        <v>0</v>
      </c>
      <c r="I69" s="632">
        <v>0</v>
      </c>
      <c r="J69" s="632">
        <v>0</v>
      </c>
      <c r="K69" s="632">
        <v>0</v>
      </c>
      <c r="L69" s="632">
        <v>0</v>
      </c>
      <c r="M69" s="632">
        <v>0</v>
      </c>
      <c r="N69" s="632">
        <v>0</v>
      </c>
      <c r="O69" s="632">
        <v>0</v>
      </c>
      <c r="P69" s="632">
        <v>0</v>
      </c>
      <c r="Q69" s="632">
        <v>0</v>
      </c>
      <c r="R69" s="632">
        <v>0</v>
      </c>
    </row>
    <row r="70" spans="1:18" x14ac:dyDescent="0.25">
      <c r="A70" s="778"/>
      <c r="B70" s="777"/>
      <c r="C70" s="632" t="s">
        <v>73</v>
      </c>
      <c r="D70" s="632">
        <v>0</v>
      </c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  <c r="P70" s="618"/>
      <c r="Q70" s="618"/>
      <c r="R70" s="618"/>
    </row>
    <row r="71" spans="1:18" x14ac:dyDescent="0.25">
      <c r="A71" s="617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</row>
    <row r="72" spans="1:18" x14ac:dyDescent="0.25">
      <c r="A72" s="778" t="s">
        <v>155</v>
      </c>
      <c r="B72" s="777" t="s">
        <v>132</v>
      </c>
      <c r="C72" s="633" t="s">
        <v>70</v>
      </c>
      <c r="D72" s="633">
        <f>D7-P7</f>
        <v>-73090</v>
      </c>
      <c r="E72" s="633">
        <f t="shared" ref="E72:R72" si="1">E4</f>
        <v>-2974.76</v>
      </c>
      <c r="F72" s="633">
        <f t="shared" si="1"/>
        <v>-1679.55</v>
      </c>
      <c r="G72" s="633">
        <f t="shared" si="1"/>
        <v>-881.55</v>
      </c>
      <c r="H72" s="633">
        <f t="shared" si="1"/>
        <v>-11542.33</v>
      </c>
      <c r="I72" s="633">
        <f t="shared" si="1"/>
        <v>-391.85</v>
      </c>
      <c r="J72" s="633">
        <f t="shared" si="1"/>
        <v>-3437.25</v>
      </c>
      <c r="K72" s="633">
        <f t="shared" si="1"/>
        <v>-3322.9</v>
      </c>
      <c r="L72" s="633">
        <f t="shared" si="1"/>
        <v>-15733.99</v>
      </c>
      <c r="M72" s="633">
        <f t="shared" si="1"/>
        <v>-8124.53</v>
      </c>
      <c r="N72" s="633">
        <f t="shared" si="1"/>
        <v>-639.32000000000005</v>
      </c>
      <c r="O72" s="633">
        <f t="shared" si="1"/>
        <v>2.23</v>
      </c>
      <c r="P72" s="633">
        <f t="shared" si="1"/>
        <v>0</v>
      </c>
      <c r="Q72" s="633">
        <f t="shared" si="1"/>
        <v>0</v>
      </c>
      <c r="R72" s="633">
        <f t="shared" si="1"/>
        <v>0</v>
      </c>
    </row>
    <row r="73" spans="1:18" x14ac:dyDescent="0.25">
      <c r="A73" s="778"/>
      <c r="B73" s="777"/>
      <c r="C73" s="633" t="s">
        <v>73</v>
      </c>
      <c r="D73" s="633">
        <f>D6</f>
        <v>-24364.2</v>
      </c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  <c r="P73" s="618"/>
      <c r="Q73" s="618"/>
      <c r="R73" s="618"/>
    </row>
    <row r="74" spans="1:18" x14ac:dyDescent="0.25">
      <c r="A74" s="722"/>
      <c r="B74" s="721"/>
      <c r="C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ht="12.75" customHeight="1" x14ac:dyDescent="0.25">
      <c r="A75" s="779" t="s">
        <v>327</v>
      </c>
      <c r="B75" s="777" t="s">
        <v>132</v>
      </c>
      <c r="C75" s="633" t="s">
        <v>70</v>
      </c>
      <c r="D75" s="720">
        <v>0</v>
      </c>
      <c r="E75" s="720">
        <v>0</v>
      </c>
      <c r="F75" s="720">
        <v>0</v>
      </c>
      <c r="G75" s="720">
        <v>0</v>
      </c>
      <c r="H75" s="720">
        <v>0</v>
      </c>
      <c r="I75" s="720">
        <v>0</v>
      </c>
      <c r="J75" s="720">
        <v>0</v>
      </c>
      <c r="K75" s="720">
        <v>0</v>
      </c>
      <c r="L75" s="720">
        <v>0</v>
      </c>
      <c r="M75" s="720">
        <v>0</v>
      </c>
      <c r="N75" s="720">
        <v>0</v>
      </c>
      <c r="O75" s="720">
        <v>0</v>
      </c>
      <c r="P75" s="720">
        <v>0</v>
      </c>
      <c r="Q75" s="720">
        <v>0</v>
      </c>
      <c r="R75" s="720">
        <v>0</v>
      </c>
    </row>
    <row r="76" spans="1:18" ht="12.75" customHeight="1" x14ac:dyDescent="0.25">
      <c r="A76" s="779"/>
      <c r="B76" s="777"/>
      <c r="C76" s="633" t="s">
        <v>73</v>
      </c>
      <c r="D76" s="720">
        <v>0</v>
      </c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  <c r="P76" s="618"/>
      <c r="Q76" s="618"/>
    </row>
    <row r="77" spans="1:18" x14ac:dyDescent="0.25">
      <c r="A77" s="617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778" t="s">
        <v>119</v>
      </c>
      <c r="B78" s="777" t="s">
        <v>132</v>
      </c>
      <c r="C78" s="628" t="s">
        <v>70</v>
      </c>
      <c r="D78" s="628">
        <v>0</v>
      </c>
      <c r="E78" s="628">
        <v>0</v>
      </c>
      <c r="F78" s="628">
        <v>0</v>
      </c>
      <c r="G78" s="628">
        <v>0</v>
      </c>
      <c r="H78" s="628">
        <v>0</v>
      </c>
      <c r="I78" s="628">
        <v>0</v>
      </c>
      <c r="J78" s="628">
        <v>0</v>
      </c>
      <c r="K78" s="628">
        <v>0</v>
      </c>
      <c r="L78" s="628">
        <v>0</v>
      </c>
      <c r="M78" s="628">
        <v>0</v>
      </c>
      <c r="N78" s="628">
        <v>0</v>
      </c>
      <c r="O78" s="628">
        <v>0</v>
      </c>
      <c r="P78" s="628">
        <v>0</v>
      </c>
      <c r="Q78" s="628">
        <v>0</v>
      </c>
      <c r="R78" s="628">
        <v>0</v>
      </c>
    </row>
    <row r="79" spans="1:18" ht="12.75" customHeight="1" x14ac:dyDescent="0.25">
      <c r="A79" s="778"/>
      <c r="B79" s="777"/>
      <c r="C79" s="628" t="s">
        <v>73</v>
      </c>
      <c r="D79" s="628">
        <v>0</v>
      </c>
      <c r="E79" s="618"/>
      <c r="F79" s="618"/>
      <c r="G79" s="618"/>
      <c r="H79" s="618"/>
      <c r="I79" s="618"/>
      <c r="J79" s="618"/>
      <c r="K79" s="618"/>
      <c r="L79" s="618"/>
      <c r="M79" s="618"/>
      <c r="N79" s="618"/>
      <c r="O79" s="618"/>
      <c r="P79" s="618"/>
      <c r="Q79" s="618"/>
      <c r="R79" s="618"/>
    </row>
    <row r="80" spans="1:18" ht="12.75" customHeight="1" x14ac:dyDescent="0.25">
      <c r="A80" s="617"/>
      <c r="D80" s="618"/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ht="12.75" customHeight="1" x14ac:dyDescent="0.25">
      <c r="A81" s="776" t="s">
        <v>161</v>
      </c>
      <c r="B81" s="777" t="s">
        <v>132</v>
      </c>
      <c r="C81" s="634" t="s">
        <v>70</v>
      </c>
      <c r="D81" s="634">
        <v>0</v>
      </c>
      <c r="E81" s="634">
        <v>0</v>
      </c>
      <c r="F81" s="634">
        <v>0</v>
      </c>
      <c r="G81" s="634">
        <v>0</v>
      </c>
      <c r="H81" s="634">
        <v>0</v>
      </c>
      <c r="I81" s="634">
        <v>0</v>
      </c>
      <c r="J81" s="634">
        <v>0</v>
      </c>
      <c r="K81" s="634">
        <v>0</v>
      </c>
      <c r="L81" s="634">
        <v>0</v>
      </c>
      <c r="M81" s="634">
        <v>0</v>
      </c>
      <c r="N81" s="634">
        <v>0</v>
      </c>
      <c r="O81" s="634">
        <v>0</v>
      </c>
      <c r="P81" s="634">
        <v>0</v>
      </c>
      <c r="Q81" s="634">
        <v>0</v>
      </c>
      <c r="R81" s="634">
        <v>0</v>
      </c>
    </row>
    <row r="82" spans="1:18" ht="12.75" customHeight="1" x14ac:dyDescent="0.25">
      <c r="A82" s="776"/>
      <c r="B82" s="777"/>
      <c r="C82" s="634" t="s">
        <v>73</v>
      </c>
      <c r="D82" s="634">
        <v>0</v>
      </c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8"/>
      <c r="P82" s="618"/>
      <c r="Q82" s="618"/>
    </row>
    <row r="83" spans="1:18" s="635" customFormat="1" x14ac:dyDescent="0.25"/>
    <row r="84" spans="1:18" x14ac:dyDescent="0.25">
      <c r="B84" s="617" t="s">
        <v>75</v>
      </c>
    </row>
    <row r="85" spans="1:18" ht="12.45" customHeight="1" x14ac:dyDescent="0.25">
      <c r="D85" s="618" t="s">
        <v>70</v>
      </c>
      <c r="E85" s="618" t="s">
        <v>64</v>
      </c>
      <c r="F85" s="618" t="s">
        <v>65</v>
      </c>
      <c r="G85" s="619" t="s">
        <v>164</v>
      </c>
      <c r="H85" s="618" t="s">
        <v>69</v>
      </c>
      <c r="I85" s="618" t="s">
        <v>68</v>
      </c>
      <c r="J85" s="618" t="s">
        <v>66</v>
      </c>
      <c r="K85" s="618" t="s">
        <v>63</v>
      </c>
      <c r="L85" s="618" t="s">
        <v>61</v>
      </c>
      <c r="M85" s="618" t="s">
        <v>62</v>
      </c>
      <c r="N85" s="618" t="s">
        <v>67</v>
      </c>
      <c r="O85" s="618" t="s">
        <v>77</v>
      </c>
      <c r="P85" s="616" t="s">
        <v>71</v>
      </c>
      <c r="Q85" s="618" t="s">
        <v>80</v>
      </c>
      <c r="R85" s="616" t="s">
        <v>168</v>
      </c>
    </row>
    <row r="86" spans="1:18" ht="12.75" customHeight="1" x14ac:dyDescent="0.25">
      <c r="C86" s="616" t="s">
        <v>72</v>
      </c>
      <c r="D86" s="618">
        <v>-13979536.23</v>
      </c>
      <c r="E86" s="618">
        <v>-1011020.96</v>
      </c>
      <c r="F86" s="618">
        <v>-569741.9</v>
      </c>
      <c r="G86" s="620">
        <v>-302808.68</v>
      </c>
      <c r="H86" s="618">
        <v>-3143579.34</v>
      </c>
      <c r="I86" s="618">
        <v>-114670.57</v>
      </c>
      <c r="J86" s="618">
        <v>-999077.71</v>
      </c>
      <c r="K86" s="618">
        <v>-992418.25</v>
      </c>
      <c r="L86" s="618">
        <v>-4654848.09</v>
      </c>
      <c r="M86" s="618">
        <v>-2004239.59</v>
      </c>
      <c r="N86" s="618">
        <v>-187093.83</v>
      </c>
      <c r="O86" s="618">
        <v>-37.31</v>
      </c>
      <c r="P86" s="616">
        <v>0</v>
      </c>
      <c r="Q86" s="618">
        <v>0</v>
      </c>
      <c r="R86" s="616">
        <v>0</v>
      </c>
    </row>
    <row r="87" spans="1:18" ht="12.75" customHeight="1" x14ac:dyDescent="0.25">
      <c r="C87" s="616" t="s">
        <v>81</v>
      </c>
      <c r="D87" s="618">
        <v>-233620.09</v>
      </c>
      <c r="E87" s="618">
        <v>-22452.42</v>
      </c>
      <c r="F87" s="618">
        <v>-8081.16</v>
      </c>
      <c r="G87" s="620">
        <v>-2654.63</v>
      </c>
      <c r="H87" s="618">
        <v>-44917.62</v>
      </c>
      <c r="I87" s="618">
        <v>-2082.42</v>
      </c>
      <c r="J87" s="618">
        <v>-18240.53</v>
      </c>
      <c r="K87" s="618">
        <v>-18956.12</v>
      </c>
      <c r="L87" s="618">
        <v>-65568.83</v>
      </c>
      <c r="M87" s="618">
        <v>-47271.83</v>
      </c>
      <c r="N87" s="618">
        <v>-3396.54</v>
      </c>
      <c r="O87" s="618">
        <v>2.0099999999999998</v>
      </c>
      <c r="P87" s="616">
        <v>0</v>
      </c>
      <c r="Q87" s="618">
        <v>0</v>
      </c>
      <c r="R87" s="616">
        <v>0</v>
      </c>
    </row>
    <row r="88" spans="1:18" s="621" customFormat="1" ht="12.75" customHeight="1" x14ac:dyDescent="0.25">
      <c r="B88" s="622" t="s">
        <v>78</v>
      </c>
      <c r="C88" s="622" t="s">
        <v>70</v>
      </c>
      <c r="D88" s="622">
        <v>-14213156.32</v>
      </c>
      <c r="E88" s="622">
        <v>-1033473.38</v>
      </c>
      <c r="F88" s="622">
        <v>-577823.06000000006</v>
      </c>
      <c r="G88" s="622">
        <v>-305463.31</v>
      </c>
      <c r="H88" s="622">
        <v>-3188496.96</v>
      </c>
      <c r="I88" s="622">
        <v>-116752.99</v>
      </c>
      <c r="J88" s="622">
        <v>-1017318.24</v>
      </c>
      <c r="K88" s="622">
        <v>-1011374.37</v>
      </c>
      <c r="L88" s="622">
        <v>-4720416.92</v>
      </c>
      <c r="M88" s="622">
        <v>-2051511.42</v>
      </c>
      <c r="N88" s="622">
        <v>-190490.37</v>
      </c>
      <c r="O88" s="622">
        <v>-35.299999999999997</v>
      </c>
      <c r="P88" s="621">
        <v>0</v>
      </c>
      <c r="Q88" s="622">
        <v>0</v>
      </c>
      <c r="R88" s="622">
        <v>0</v>
      </c>
    </row>
    <row r="89" spans="1:18" ht="12.75" customHeight="1" x14ac:dyDescent="0.25">
      <c r="C89" s="616" t="s">
        <v>73</v>
      </c>
      <c r="D89" s="618">
        <v>765564.32</v>
      </c>
      <c r="E89" s="618">
        <v>-205919.7</v>
      </c>
      <c r="F89" s="618">
        <v>-115649.85</v>
      </c>
      <c r="G89" s="620">
        <v>-63315.96</v>
      </c>
      <c r="H89" s="618">
        <v>488474.53</v>
      </c>
      <c r="I89" s="618">
        <v>18030.099999999999</v>
      </c>
      <c r="J89" s="618">
        <v>158157.98000000001</v>
      </c>
      <c r="K89" s="618">
        <v>154048.70000000001</v>
      </c>
      <c r="L89" s="618">
        <v>723098.08</v>
      </c>
      <c r="M89" s="618">
        <v>-420776.85</v>
      </c>
      <c r="N89" s="618">
        <v>29417.29</v>
      </c>
      <c r="O89" s="618">
        <v>0</v>
      </c>
      <c r="P89" s="616">
        <v>0</v>
      </c>
      <c r="Q89" s="618">
        <v>0</v>
      </c>
      <c r="R89" s="616">
        <v>0</v>
      </c>
    </row>
    <row r="90" spans="1:18" s="623" customFormat="1" ht="12.75" customHeight="1" x14ac:dyDescent="0.25">
      <c r="B90" s="623" t="s">
        <v>79</v>
      </c>
      <c r="C90" s="623" t="s">
        <v>70</v>
      </c>
      <c r="D90" s="636">
        <v>765564.32</v>
      </c>
      <c r="E90" s="624">
        <v>-205919.7</v>
      </c>
      <c r="F90" s="624">
        <v>-115649.85</v>
      </c>
      <c r="G90" s="636">
        <v>-63315.96</v>
      </c>
      <c r="H90" s="624">
        <v>488474.53</v>
      </c>
      <c r="I90" s="624">
        <v>18030.099999999999</v>
      </c>
      <c r="J90" s="624">
        <v>158157.98000000001</v>
      </c>
      <c r="K90" s="624">
        <v>154048.70000000001</v>
      </c>
      <c r="L90" s="624">
        <v>723098.08</v>
      </c>
      <c r="M90" s="624">
        <v>-420776.85</v>
      </c>
      <c r="N90" s="624">
        <v>29417.29</v>
      </c>
      <c r="O90" s="624">
        <v>0</v>
      </c>
      <c r="P90" s="623">
        <v>0</v>
      </c>
      <c r="Q90" s="624">
        <v>0</v>
      </c>
      <c r="R90" s="623">
        <v>0</v>
      </c>
    </row>
    <row r="91" spans="1:18" s="625" customFormat="1" ht="12.75" customHeight="1" x14ac:dyDescent="0.25">
      <c r="A91" s="625" t="s">
        <v>155</v>
      </c>
      <c r="B91" s="625" t="s">
        <v>70</v>
      </c>
      <c r="D91" s="626">
        <v>-13447592</v>
      </c>
      <c r="E91" s="626">
        <v>-1239393.08</v>
      </c>
      <c r="F91" s="626">
        <v>-693472.91</v>
      </c>
      <c r="G91" s="627">
        <v>-368779.27</v>
      </c>
      <c r="H91" s="626">
        <v>-2700022.43</v>
      </c>
      <c r="I91" s="626">
        <v>-98722.89</v>
      </c>
      <c r="J91" s="626">
        <v>-859160.26</v>
      </c>
      <c r="K91" s="626">
        <v>-857325.67</v>
      </c>
      <c r="L91" s="626">
        <v>-3997318.84</v>
      </c>
      <c r="M91" s="626">
        <v>-2472288.27</v>
      </c>
      <c r="N91" s="626">
        <v>-161073.07999999999</v>
      </c>
      <c r="O91" s="626">
        <v>-35.299999999999997</v>
      </c>
      <c r="P91" s="625">
        <v>0</v>
      </c>
      <c r="Q91" s="626">
        <v>0</v>
      </c>
      <c r="R91" s="625">
        <v>0</v>
      </c>
    </row>
    <row r="92" spans="1:18" ht="12.75" customHeight="1" x14ac:dyDescent="0.25">
      <c r="C92" s="616" t="s">
        <v>72</v>
      </c>
      <c r="D92" s="618">
        <v>-58047.64</v>
      </c>
      <c r="E92" s="618">
        <v>-2786</v>
      </c>
      <c r="F92" s="618">
        <v>-1572.46</v>
      </c>
      <c r="G92" s="620">
        <v>-825.44</v>
      </c>
      <c r="H92" s="618">
        <v>-16700.46</v>
      </c>
      <c r="I92" s="618">
        <v>-517.67999999999995</v>
      </c>
      <c r="J92" s="618">
        <v>-4541.08</v>
      </c>
      <c r="K92" s="618">
        <v>-4465.33</v>
      </c>
      <c r="L92" s="618">
        <v>-20259.13</v>
      </c>
      <c r="M92" s="618">
        <v>-5531.04</v>
      </c>
      <c r="N92" s="618">
        <v>-844.64</v>
      </c>
      <c r="O92" s="618">
        <v>-4.38</v>
      </c>
      <c r="P92" s="616">
        <v>0</v>
      </c>
      <c r="Q92" s="618">
        <v>0</v>
      </c>
      <c r="R92" s="616">
        <v>0</v>
      </c>
    </row>
    <row r="93" spans="1:18" ht="12.75" customHeight="1" x14ac:dyDescent="0.25">
      <c r="C93" s="616" t="s">
        <v>81</v>
      </c>
      <c r="D93" s="618">
        <v>-15.66</v>
      </c>
      <c r="E93" s="618">
        <v>-0.76</v>
      </c>
      <c r="F93" s="618">
        <v>-0.43</v>
      </c>
      <c r="G93" s="620">
        <v>-0.23</v>
      </c>
      <c r="H93" s="618">
        <v>-4.05</v>
      </c>
      <c r="I93" s="618">
        <v>-0.15</v>
      </c>
      <c r="J93" s="618">
        <v>-1.28</v>
      </c>
      <c r="K93" s="618">
        <v>-1.25</v>
      </c>
      <c r="L93" s="618">
        <v>-5.71</v>
      </c>
      <c r="M93" s="618">
        <v>-1.56</v>
      </c>
      <c r="N93" s="618">
        <v>-0.24</v>
      </c>
      <c r="O93" s="618">
        <v>0</v>
      </c>
      <c r="P93" s="616">
        <v>0</v>
      </c>
      <c r="Q93" s="618">
        <v>0</v>
      </c>
      <c r="R93" s="616">
        <v>0</v>
      </c>
    </row>
    <row r="94" spans="1:18" s="621" customFormat="1" ht="12.75" customHeight="1" x14ac:dyDescent="0.25">
      <c r="B94" s="622" t="s">
        <v>78</v>
      </c>
      <c r="C94" s="622" t="s">
        <v>70</v>
      </c>
      <c r="D94" s="622">
        <v>-58063.3</v>
      </c>
      <c r="E94" s="622">
        <v>-2786.76</v>
      </c>
      <c r="F94" s="622">
        <v>-1572.89</v>
      </c>
      <c r="G94" s="622">
        <v>-825.67</v>
      </c>
      <c r="H94" s="622">
        <v>-16704.509999999998</v>
      </c>
      <c r="I94" s="622">
        <v>-517.83000000000004</v>
      </c>
      <c r="J94" s="622">
        <v>-4542.3599999999997</v>
      </c>
      <c r="K94" s="622">
        <v>-4466.58</v>
      </c>
      <c r="L94" s="622">
        <v>-20264.84</v>
      </c>
      <c r="M94" s="622">
        <v>-5532.6</v>
      </c>
      <c r="N94" s="622">
        <v>-844.88</v>
      </c>
      <c r="O94" s="622">
        <v>-4.38</v>
      </c>
      <c r="P94" s="621">
        <v>0</v>
      </c>
      <c r="Q94" s="622">
        <v>0</v>
      </c>
      <c r="R94" s="622">
        <v>0</v>
      </c>
    </row>
    <row r="95" spans="1:18" ht="12.75" customHeight="1" x14ac:dyDescent="0.25">
      <c r="C95" s="616" t="s">
        <v>73</v>
      </c>
      <c r="D95" s="620">
        <v>33173.300000000003</v>
      </c>
      <c r="E95" s="618">
        <v>1612.12</v>
      </c>
      <c r="F95" s="618">
        <v>910</v>
      </c>
      <c r="G95" s="620">
        <v>477.62</v>
      </c>
      <c r="H95" s="618">
        <v>9240.6</v>
      </c>
      <c r="I95" s="618">
        <v>299.72000000000003</v>
      </c>
      <c r="J95" s="618">
        <v>2629.12</v>
      </c>
      <c r="K95" s="618">
        <v>2585.2600000000002</v>
      </c>
      <c r="L95" s="618">
        <v>11729.28</v>
      </c>
      <c r="M95" s="618">
        <v>3200.56</v>
      </c>
      <c r="N95" s="618">
        <v>489.02</v>
      </c>
      <c r="O95" s="618">
        <v>0</v>
      </c>
      <c r="P95" s="616">
        <v>0</v>
      </c>
      <c r="Q95" s="618">
        <v>0</v>
      </c>
      <c r="R95" s="616">
        <v>0</v>
      </c>
    </row>
    <row r="96" spans="1:18" s="623" customFormat="1" ht="12.75" customHeight="1" x14ac:dyDescent="0.25">
      <c r="B96" s="623" t="s">
        <v>79</v>
      </c>
      <c r="C96" s="623" t="s">
        <v>70</v>
      </c>
      <c r="D96" s="636">
        <v>33173.300000000003</v>
      </c>
      <c r="E96" s="624">
        <v>1612.12</v>
      </c>
      <c r="F96" s="624">
        <v>910</v>
      </c>
      <c r="G96" s="636">
        <v>477.62</v>
      </c>
      <c r="H96" s="624">
        <v>9240.6</v>
      </c>
      <c r="I96" s="624">
        <v>299.72000000000003</v>
      </c>
      <c r="J96" s="624">
        <v>2629.12</v>
      </c>
      <c r="K96" s="624">
        <v>2585.2600000000002</v>
      </c>
      <c r="L96" s="624">
        <v>11729.28</v>
      </c>
      <c r="M96" s="624">
        <v>3200.56</v>
      </c>
      <c r="N96" s="624">
        <v>489.02</v>
      </c>
      <c r="O96" s="624">
        <v>0</v>
      </c>
      <c r="P96" s="623">
        <v>0</v>
      </c>
      <c r="Q96" s="624">
        <v>0</v>
      </c>
      <c r="R96" s="623">
        <v>0</v>
      </c>
    </row>
    <row r="97" spans="1:18" s="628" customFormat="1" ht="12.75" customHeight="1" x14ac:dyDescent="0.25">
      <c r="A97" s="628" t="s">
        <v>119</v>
      </c>
      <c r="B97" s="628" t="s">
        <v>70</v>
      </c>
      <c r="D97" s="628">
        <v>-24890</v>
      </c>
      <c r="E97" s="628">
        <v>-1174.6400000000001</v>
      </c>
      <c r="F97" s="628">
        <v>-662.89</v>
      </c>
      <c r="G97" s="628">
        <v>-348.05</v>
      </c>
      <c r="H97" s="628">
        <v>-7463.91</v>
      </c>
      <c r="I97" s="628">
        <v>-218.11</v>
      </c>
      <c r="J97" s="628">
        <v>-1913.24</v>
      </c>
      <c r="K97" s="628">
        <v>-1881.32</v>
      </c>
      <c r="L97" s="628">
        <v>-8535.56</v>
      </c>
      <c r="M97" s="628">
        <v>-2332.04</v>
      </c>
      <c r="N97" s="628">
        <v>-355.86</v>
      </c>
      <c r="O97" s="628">
        <v>-4.38</v>
      </c>
      <c r="P97" s="628">
        <v>0</v>
      </c>
      <c r="Q97" s="628">
        <v>0</v>
      </c>
      <c r="R97" s="628">
        <v>0</v>
      </c>
    </row>
    <row r="98" spans="1:18" s="631" customFormat="1" ht="12.75" customHeight="1" x14ac:dyDescent="0.25">
      <c r="A98" s="630" t="s">
        <v>70</v>
      </c>
      <c r="D98" s="630">
        <v>-13472482</v>
      </c>
      <c r="E98" s="630">
        <v>-1240567.72</v>
      </c>
      <c r="F98" s="630">
        <v>-694135.8</v>
      </c>
      <c r="G98" s="630">
        <v>-369127.32</v>
      </c>
      <c r="H98" s="630">
        <v>-2707486.34</v>
      </c>
      <c r="I98" s="630">
        <v>-98941</v>
      </c>
      <c r="J98" s="630">
        <v>-861073.5</v>
      </c>
      <c r="K98" s="630">
        <v>-859206.99</v>
      </c>
      <c r="L98" s="630">
        <v>-4005854.4</v>
      </c>
      <c r="M98" s="630">
        <v>-2474620.31</v>
      </c>
      <c r="N98" s="630">
        <v>-161428.94</v>
      </c>
      <c r="O98" s="630">
        <v>-39.68</v>
      </c>
      <c r="P98" s="631">
        <v>0</v>
      </c>
      <c r="Q98" s="630">
        <v>0</v>
      </c>
      <c r="R98" s="630">
        <v>0</v>
      </c>
    </row>
    <row r="99" spans="1:18" ht="12.75" customHeight="1" x14ac:dyDescent="0.25">
      <c r="A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</row>
    <row r="100" spans="1:18" ht="12.75" hidden="1" customHeight="1" x14ac:dyDescent="0.25">
      <c r="A100" s="618"/>
      <c r="D100" s="618"/>
      <c r="E100" s="618"/>
      <c r="F100" s="618"/>
      <c r="G100" s="618"/>
      <c r="H100" s="618"/>
      <c r="I100" s="618"/>
      <c r="J100" s="618"/>
      <c r="K100" s="618"/>
      <c r="L100" s="618"/>
      <c r="M100" s="618"/>
      <c r="N100" s="618"/>
      <c r="O100" s="618"/>
      <c r="P100" s="618"/>
    </row>
    <row r="101" spans="1:18" ht="12.75" hidden="1" customHeight="1" x14ac:dyDescent="0.25">
      <c r="A101" s="618"/>
      <c r="D101" s="618"/>
      <c r="E101" s="618"/>
      <c r="F101" s="618"/>
      <c r="G101" s="618"/>
      <c r="H101" s="618"/>
      <c r="I101" s="618"/>
      <c r="J101" s="618"/>
      <c r="K101" s="618"/>
      <c r="L101" s="618"/>
      <c r="M101" s="618"/>
      <c r="N101" s="618"/>
      <c r="O101" s="618"/>
      <c r="P101" s="618"/>
    </row>
    <row r="102" spans="1:18" ht="12.75" hidden="1" customHeight="1" x14ac:dyDescent="0.25">
      <c r="A102" s="618"/>
      <c r="D102" s="618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  <c r="O102" s="618"/>
      <c r="P102" s="618"/>
    </row>
    <row r="103" spans="1:18" ht="12.75" hidden="1" customHeight="1" x14ac:dyDescent="0.25">
      <c r="A103" s="618"/>
      <c r="D103" s="618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8"/>
      <c r="P103" s="618"/>
    </row>
    <row r="104" spans="1:18" ht="12.75" hidden="1" customHeight="1" x14ac:dyDescent="0.25">
      <c r="A104" s="618"/>
      <c r="D104" s="618"/>
      <c r="E104" s="618"/>
      <c r="F104" s="618"/>
      <c r="G104" s="618"/>
      <c r="H104" s="618"/>
      <c r="I104" s="618"/>
      <c r="J104" s="618"/>
      <c r="K104" s="618"/>
      <c r="L104" s="618"/>
      <c r="M104" s="618"/>
      <c r="N104" s="618"/>
      <c r="O104" s="618"/>
      <c r="P104" s="618"/>
    </row>
    <row r="105" spans="1:18" ht="12.75" hidden="1" customHeight="1" x14ac:dyDescent="0.25">
      <c r="A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</row>
    <row r="106" spans="1:18" ht="12.75" hidden="1" customHeight="1" x14ac:dyDescent="0.25">
      <c r="A106" s="618"/>
      <c r="D106" s="618"/>
      <c r="E106" s="618"/>
      <c r="F106" s="618"/>
      <c r="G106" s="618"/>
      <c r="H106" s="618"/>
      <c r="I106" s="618"/>
      <c r="J106" s="618"/>
      <c r="K106" s="618"/>
      <c r="L106" s="618"/>
      <c r="M106" s="618"/>
      <c r="N106" s="618"/>
      <c r="O106" s="618"/>
      <c r="P106" s="618"/>
    </row>
    <row r="107" spans="1:18" ht="12.75" hidden="1" customHeight="1" x14ac:dyDescent="0.25">
      <c r="A107" s="618"/>
      <c r="D107" s="618"/>
      <c r="E107" s="618"/>
      <c r="F107" s="618"/>
      <c r="G107" s="618"/>
      <c r="H107" s="618"/>
      <c r="I107" s="618"/>
      <c r="J107" s="618"/>
      <c r="K107" s="618"/>
      <c r="L107" s="618"/>
      <c r="M107" s="618"/>
      <c r="N107" s="618"/>
      <c r="O107" s="618"/>
      <c r="P107" s="618"/>
    </row>
    <row r="108" spans="1:18" ht="12.75" hidden="1" customHeight="1" x14ac:dyDescent="0.25">
      <c r="A108" s="618"/>
      <c r="D108" s="618"/>
      <c r="E108" s="618"/>
      <c r="F108" s="618"/>
      <c r="G108" s="618"/>
      <c r="H108" s="618"/>
      <c r="I108" s="618"/>
      <c r="J108" s="618"/>
      <c r="K108" s="618"/>
      <c r="L108" s="618"/>
      <c r="M108" s="618"/>
      <c r="N108" s="618"/>
      <c r="O108" s="618"/>
      <c r="P108" s="618"/>
    </row>
    <row r="109" spans="1:18" ht="12.75" hidden="1" customHeight="1" x14ac:dyDescent="0.25">
      <c r="A109" s="618"/>
      <c r="D109" s="618"/>
      <c r="E109" s="618"/>
      <c r="F109" s="618"/>
      <c r="G109" s="618"/>
      <c r="H109" s="618"/>
      <c r="I109" s="618"/>
      <c r="J109" s="618"/>
      <c r="K109" s="618"/>
      <c r="L109" s="618"/>
      <c r="M109" s="618"/>
      <c r="N109" s="618"/>
      <c r="O109" s="618"/>
      <c r="P109" s="618"/>
    </row>
    <row r="110" spans="1:18" ht="12.75" hidden="1" customHeight="1" x14ac:dyDescent="0.25">
      <c r="A110" s="618"/>
      <c r="D110" s="618"/>
      <c r="E110" s="618"/>
      <c r="F110" s="618"/>
      <c r="G110" s="618"/>
      <c r="H110" s="618"/>
      <c r="I110" s="618"/>
      <c r="J110" s="618"/>
      <c r="K110" s="618"/>
      <c r="L110" s="618"/>
      <c r="M110" s="618"/>
      <c r="N110" s="618"/>
      <c r="O110" s="618"/>
      <c r="P110" s="618"/>
    </row>
    <row r="111" spans="1:18" ht="12.75" hidden="1" customHeight="1" x14ac:dyDescent="0.25">
      <c r="A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</row>
    <row r="112" spans="1:18" ht="12.75" hidden="1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customHeight="1" x14ac:dyDescent="0.25">
      <c r="A161" s="778" t="s">
        <v>2</v>
      </c>
      <c r="B161" s="777" t="s">
        <v>132</v>
      </c>
      <c r="C161" s="766" t="s">
        <v>70</v>
      </c>
      <c r="D161" s="766">
        <f>D98-P98</f>
        <v>-13472482</v>
      </c>
      <c r="E161" s="766">
        <f>E94+E88</f>
        <v>-1036260.14</v>
      </c>
      <c r="F161" s="766">
        <f t="shared" ref="F161:R161" si="2">F94+F88</f>
        <v>-579395.95000000007</v>
      </c>
      <c r="G161" s="766">
        <f t="shared" si="2"/>
        <v>-306288.98</v>
      </c>
      <c r="H161" s="766">
        <f t="shared" si="2"/>
        <v>-3205201.4699999997</v>
      </c>
      <c r="I161" s="766">
        <f t="shared" si="2"/>
        <v>-117270.82</v>
      </c>
      <c r="J161" s="766">
        <f t="shared" si="2"/>
        <v>-1021860.6</v>
      </c>
      <c r="K161" s="766">
        <f t="shared" si="2"/>
        <v>-1015840.95</v>
      </c>
      <c r="L161" s="766">
        <f t="shared" si="2"/>
        <v>-4740681.76</v>
      </c>
      <c r="M161" s="766">
        <f t="shared" si="2"/>
        <v>-2057044.02</v>
      </c>
      <c r="N161" s="766">
        <f t="shared" si="2"/>
        <v>-191335.25</v>
      </c>
      <c r="O161" s="766">
        <f t="shared" si="2"/>
        <v>-39.68</v>
      </c>
      <c r="P161" s="766">
        <f t="shared" si="2"/>
        <v>0</v>
      </c>
      <c r="Q161" s="766">
        <f t="shared" si="2"/>
        <v>0</v>
      </c>
      <c r="R161" s="766">
        <f t="shared" si="2"/>
        <v>0</v>
      </c>
    </row>
    <row r="162" spans="1:18" ht="12.75" customHeight="1" x14ac:dyDescent="0.25">
      <c r="A162" s="778"/>
      <c r="B162" s="777"/>
      <c r="C162" s="766" t="s">
        <v>73</v>
      </c>
      <c r="D162" s="766">
        <f>D96+D90</f>
        <v>798737.62</v>
      </c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  <c r="Q162" s="618"/>
    </row>
    <row r="163" spans="1:18" ht="12.75" customHeight="1" x14ac:dyDescent="0.25">
      <c r="A163" s="617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  <c r="Q163" s="618"/>
    </row>
    <row r="164" spans="1:18" ht="12.75" customHeight="1" x14ac:dyDescent="0.25">
      <c r="A164" s="778" t="s">
        <v>160</v>
      </c>
      <c r="B164" s="777" t="s">
        <v>132</v>
      </c>
      <c r="C164" s="632" t="s">
        <v>70</v>
      </c>
      <c r="D164" s="632">
        <v>0</v>
      </c>
      <c r="E164" s="632">
        <v>0</v>
      </c>
      <c r="F164" s="632">
        <v>0</v>
      </c>
      <c r="G164" s="632">
        <v>0</v>
      </c>
      <c r="H164" s="632">
        <v>0</v>
      </c>
      <c r="I164" s="632">
        <v>0</v>
      </c>
      <c r="J164" s="632">
        <v>0</v>
      </c>
      <c r="K164" s="632">
        <v>0</v>
      </c>
      <c r="L164" s="632">
        <v>0</v>
      </c>
      <c r="M164" s="632">
        <v>0</v>
      </c>
      <c r="N164" s="632">
        <v>0</v>
      </c>
      <c r="O164" s="632">
        <v>0</v>
      </c>
      <c r="P164" s="632">
        <v>0</v>
      </c>
      <c r="Q164" s="632">
        <v>0</v>
      </c>
      <c r="R164" s="632">
        <v>0</v>
      </c>
    </row>
    <row r="165" spans="1:18" ht="12.75" customHeight="1" x14ac:dyDescent="0.25">
      <c r="A165" s="778"/>
      <c r="B165" s="777"/>
      <c r="C165" s="632" t="s">
        <v>73</v>
      </c>
      <c r="D165" s="632">
        <v>0</v>
      </c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  <c r="Q165" s="618"/>
    </row>
    <row r="166" spans="1:18" ht="12.75" customHeight="1" x14ac:dyDescent="0.25">
      <c r="A166" s="617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  <c r="Q166" s="618"/>
    </row>
    <row r="167" spans="1:18" ht="12.75" customHeight="1" x14ac:dyDescent="0.25">
      <c r="A167" s="778" t="s">
        <v>155</v>
      </c>
      <c r="B167" s="777" t="s">
        <v>132</v>
      </c>
      <c r="C167" s="633" t="s">
        <v>70</v>
      </c>
      <c r="D167" s="633">
        <f>D91-P91</f>
        <v>-13447592</v>
      </c>
      <c r="E167" s="633">
        <f t="shared" ref="E167:R167" si="3">E88</f>
        <v>-1033473.38</v>
      </c>
      <c r="F167" s="633">
        <f t="shared" si="3"/>
        <v>-577823.06000000006</v>
      </c>
      <c r="G167" s="633">
        <f t="shared" si="3"/>
        <v>-305463.31</v>
      </c>
      <c r="H167" s="633">
        <f t="shared" si="3"/>
        <v>-3188496.96</v>
      </c>
      <c r="I167" s="633">
        <f t="shared" si="3"/>
        <v>-116752.99</v>
      </c>
      <c r="J167" s="633">
        <f t="shared" si="3"/>
        <v>-1017318.24</v>
      </c>
      <c r="K167" s="633">
        <f t="shared" si="3"/>
        <v>-1011374.37</v>
      </c>
      <c r="L167" s="633">
        <f t="shared" si="3"/>
        <v>-4720416.92</v>
      </c>
      <c r="M167" s="633">
        <f t="shared" si="3"/>
        <v>-2051511.42</v>
      </c>
      <c r="N167" s="633">
        <f t="shared" si="3"/>
        <v>-190490.37</v>
      </c>
      <c r="O167" s="633">
        <f t="shared" si="3"/>
        <v>-35.299999999999997</v>
      </c>
      <c r="P167" s="633">
        <f t="shared" si="3"/>
        <v>0</v>
      </c>
      <c r="Q167" s="633">
        <f t="shared" si="3"/>
        <v>0</v>
      </c>
      <c r="R167" s="633">
        <f t="shared" si="3"/>
        <v>0</v>
      </c>
    </row>
    <row r="168" spans="1:18" ht="12.75" customHeight="1" x14ac:dyDescent="0.25">
      <c r="A168" s="778"/>
      <c r="B168" s="777"/>
      <c r="C168" s="633" t="s">
        <v>73</v>
      </c>
      <c r="D168" s="633">
        <f>D90</f>
        <v>765564.32</v>
      </c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  <c r="Q168" s="618"/>
    </row>
    <row r="169" spans="1:18" ht="12.75" customHeight="1" x14ac:dyDescent="0.25">
      <c r="A169" s="722"/>
      <c r="B169" s="721"/>
      <c r="C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  <c r="Q169" s="618"/>
    </row>
    <row r="170" spans="1:18" ht="12.75" customHeight="1" x14ac:dyDescent="0.25">
      <c r="A170" s="779" t="s">
        <v>327</v>
      </c>
      <c r="B170" s="777" t="s">
        <v>132</v>
      </c>
      <c r="C170" s="633" t="s">
        <v>70</v>
      </c>
      <c r="D170" s="720">
        <v>0</v>
      </c>
      <c r="E170" s="720">
        <v>0</v>
      </c>
      <c r="F170" s="720">
        <v>0</v>
      </c>
      <c r="G170" s="720">
        <v>0</v>
      </c>
      <c r="H170" s="720">
        <v>0</v>
      </c>
      <c r="I170" s="720">
        <v>0</v>
      </c>
      <c r="J170" s="720">
        <v>0</v>
      </c>
      <c r="K170" s="720">
        <v>0</v>
      </c>
      <c r="L170" s="720">
        <v>0</v>
      </c>
      <c r="M170" s="720">
        <v>0</v>
      </c>
      <c r="N170" s="720">
        <v>0</v>
      </c>
      <c r="O170" s="720">
        <v>0</v>
      </c>
      <c r="P170" s="720">
        <v>0</v>
      </c>
      <c r="Q170" s="720">
        <v>0</v>
      </c>
      <c r="R170" s="720">
        <v>0</v>
      </c>
    </row>
    <row r="171" spans="1:18" ht="12.75" customHeight="1" x14ac:dyDescent="0.25">
      <c r="A171" s="779"/>
      <c r="B171" s="777"/>
      <c r="C171" s="633" t="s">
        <v>73</v>
      </c>
      <c r="D171" s="720">
        <v>0</v>
      </c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  <c r="Q171" s="618"/>
    </row>
    <row r="172" spans="1:18" ht="12.75" customHeight="1" x14ac:dyDescent="0.25">
      <c r="A172" s="617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  <c r="Q172" s="618"/>
    </row>
    <row r="173" spans="1:18" ht="12.75" customHeight="1" x14ac:dyDescent="0.25">
      <c r="A173" s="778" t="s">
        <v>119</v>
      </c>
      <c r="B173" s="777" t="s">
        <v>132</v>
      </c>
      <c r="C173" s="628" t="s">
        <v>70</v>
      </c>
      <c r="D173" s="628">
        <f>D97-P97</f>
        <v>-24890</v>
      </c>
      <c r="E173" s="628">
        <f>E94</f>
        <v>-2786.76</v>
      </c>
      <c r="F173" s="628">
        <f t="shared" ref="F173:R173" si="4">F94</f>
        <v>-1572.89</v>
      </c>
      <c r="G173" s="628">
        <f t="shared" si="4"/>
        <v>-825.67</v>
      </c>
      <c r="H173" s="628">
        <f t="shared" si="4"/>
        <v>-16704.509999999998</v>
      </c>
      <c r="I173" s="628">
        <f t="shared" si="4"/>
        <v>-517.83000000000004</v>
      </c>
      <c r="J173" s="628">
        <f t="shared" si="4"/>
        <v>-4542.3599999999997</v>
      </c>
      <c r="K173" s="628">
        <f t="shared" si="4"/>
        <v>-4466.58</v>
      </c>
      <c r="L173" s="628">
        <f t="shared" si="4"/>
        <v>-20264.84</v>
      </c>
      <c r="M173" s="628">
        <f t="shared" si="4"/>
        <v>-5532.6</v>
      </c>
      <c r="N173" s="628">
        <f t="shared" si="4"/>
        <v>-844.88</v>
      </c>
      <c r="O173" s="628">
        <f t="shared" si="4"/>
        <v>-4.38</v>
      </c>
      <c r="P173" s="628">
        <f t="shared" si="4"/>
        <v>0</v>
      </c>
      <c r="Q173" s="628">
        <f t="shared" si="4"/>
        <v>0</v>
      </c>
      <c r="R173" s="628">
        <f t="shared" si="4"/>
        <v>0</v>
      </c>
    </row>
    <row r="174" spans="1:18" ht="12.75" customHeight="1" x14ac:dyDescent="0.25">
      <c r="A174" s="778"/>
      <c r="B174" s="777"/>
      <c r="C174" s="628" t="s">
        <v>73</v>
      </c>
      <c r="D174" s="628">
        <f>D96</f>
        <v>33173.300000000003</v>
      </c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  <c r="Q174" s="618"/>
      <c r="R174" s="618"/>
    </row>
    <row r="175" spans="1:18" ht="12.75" customHeight="1" x14ac:dyDescent="0.25">
      <c r="A175" s="617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  <c r="R175" s="618"/>
    </row>
    <row r="176" spans="1:18" ht="12.75" customHeight="1" x14ac:dyDescent="0.25">
      <c r="A176" s="776" t="s">
        <v>161</v>
      </c>
      <c r="B176" s="777" t="s">
        <v>132</v>
      </c>
      <c r="C176" s="634" t="s">
        <v>70</v>
      </c>
      <c r="D176" s="634">
        <v>0</v>
      </c>
      <c r="E176" s="634">
        <v>0</v>
      </c>
      <c r="F176" s="634">
        <v>0</v>
      </c>
      <c r="G176" s="634">
        <v>0</v>
      </c>
      <c r="H176" s="634">
        <v>0</v>
      </c>
      <c r="I176" s="634">
        <v>0</v>
      </c>
      <c r="J176" s="634">
        <v>0</v>
      </c>
      <c r="K176" s="634">
        <v>0</v>
      </c>
      <c r="L176" s="634">
        <v>0</v>
      </c>
      <c r="M176" s="634">
        <v>0</v>
      </c>
      <c r="N176" s="634">
        <v>0</v>
      </c>
      <c r="O176" s="634">
        <v>0</v>
      </c>
      <c r="P176" s="634">
        <v>0</v>
      </c>
      <c r="Q176" s="634">
        <v>0</v>
      </c>
      <c r="R176" s="634">
        <v>0</v>
      </c>
    </row>
    <row r="177" spans="1:18" ht="12.75" customHeight="1" x14ac:dyDescent="0.25">
      <c r="A177" s="776"/>
      <c r="B177" s="777"/>
      <c r="C177" s="634" t="s">
        <v>73</v>
      </c>
      <c r="D177" s="634">
        <v>0</v>
      </c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  <c r="Q177" s="618"/>
    </row>
    <row r="178" spans="1:18" s="635" customFormat="1" x14ac:dyDescent="0.25"/>
    <row r="179" spans="1:18" x14ac:dyDescent="0.25">
      <c r="B179" s="617" t="s">
        <v>76</v>
      </c>
    </row>
    <row r="180" spans="1:18" x14ac:dyDescent="0.25">
      <c r="D180" s="618" t="s">
        <v>70</v>
      </c>
      <c r="E180" s="618" t="s">
        <v>64</v>
      </c>
      <c r="F180" s="618" t="s">
        <v>65</v>
      </c>
      <c r="G180" s="619" t="s">
        <v>164</v>
      </c>
      <c r="H180" s="618" t="s">
        <v>69</v>
      </c>
      <c r="I180" s="618" t="s">
        <v>68</v>
      </c>
      <c r="J180" s="618" t="s">
        <v>66</v>
      </c>
      <c r="K180" s="618" t="s">
        <v>63</v>
      </c>
      <c r="L180" s="618" t="s">
        <v>61</v>
      </c>
      <c r="M180" s="618" t="s">
        <v>62</v>
      </c>
      <c r="N180" s="618" t="s">
        <v>67</v>
      </c>
      <c r="O180" s="618" t="s">
        <v>77</v>
      </c>
      <c r="P180" s="616" t="s">
        <v>71</v>
      </c>
      <c r="Q180" s="618" t="s">
        <v>80</v>
      </c>
      <c r="R180" s="616" t="s">
        <v>168</v>
      </c>
    </row>
    <row r="181" spans="1:18" ht="12.75" customHeight="1" x14ac:dyDescent="0.25">
      <c r="B181" s="618"/>
      <c r="C181" s="618" t="s">
        <v>72</v>
      </c>
      <c r="D181" s="618">
        <v>-5300396.5599999996</v>
      </c>
      <c r="E181" s="618">
        <v>-266920.99</v>
      </c>
      <c r="F181" s="618">
        <v>-151747.72</v>
      </c>
      <c r="G181" s="618">
        <v>-79709.62</v>
      </c>
      <c r="H181" s="618">
        <v>-1324855.6499999999</v>
      </c>
      <c r="I181" s="618">
        <v>-47299.87</v>
      </c>
      <c r="J181" s="618">
        <v>-411237.59</v>
      </c>
      <c r="K181" s="618">
        <v>-406044.91</v>
      </c>
      <c r="L181" s="618">
        <v>-1913952.83</v>
      </c>
      <c r="M181" s="618">
        <v>-621177.47</v>
      </c>
      <c r="N181" s="618">
        <v>-77374.179999999993</v>
      </c>
      <c r="O181" s="618">
        <v>-75.73</v>
      </c>
      <c r="P181" s="616">
        <v>0</v>
      </c>
      <c r="Q181" s="618">
        <v>0</v>
      </c>
      <c r="R181" s="618">
        <v>0</v>
      </c>
    </row>
    <row r="182" spans="1:18" ht="12.75" customHeight="1" x14ac:dyDescent="0.25">
      <c r="B182" s="618"/>
      <c r="C182" s="618" t="s">
        <v>81</v>
      </c>
      <c r="D182" s="618">
        <v>-13190.83</v>
      </c>
      <c r="E182" s="618">
        <v>-1425.35</v>
      </c>
      <c r="F182" s="618">
        <v>-806.4</v>
      </c>
      <c r="G182" s="618">
        <v>-429.71</v>
      </c>
      <c r="H182" s="618">
        <v>-2212.35</v>
      </c>
      <c r="I182" s="618">
        <v>-83.37</v>
      </c>
      <c r="J182" s="618">
        <v>-731.34</v>
      </c>
      <c r="K182" s="618">
        <v>-716.14</v>
      </c>
      <c r="L182" s="618">
        <v>-3293.42</v>
      </c>
      <c r="M182" s="618">
        <v>-3354.87</v>
      </c>
      <c r="N182" s="618">
        <v>-138</v>
      </c>
      <c r="O182" s="618">
        <v>0.12</v>
      </c>
      <c r="P182" s="616">
        <v>0</v>
      </c>
      <c r="Q182" s="618">
        <v>0</v>
      </c>
      <c r="R182" s="618">
        <v>0</v>
      </c>
    </row>
    <row r="183" spans="1:18" s="621" customFormat="1" ht="12.75" customHeight="1" x14ac:dyDescent="0.25">
      <c r="B183" s="622" t="s">
        <v>78</v>
      </c>
      <c r="C183" s="622" t="s">
        <v>70</v>
      </c>
      <c r="D183" s="622">
        <v>-5313587.3899999997</v>
      </c>
      <c r="E183" s="622">
        <v>-268346.34000000003</v>
      </c>
      <c r="F183" s="622">
        <v>-152554.12</v>
      </c>
      <c r="G183" s="622">
        <v>-80139.33</v>
      </c>
      <c r="H183" s="622">
        <v>-1327068</v>
      </c>
      <c r="I183" s="622">
        <v>-47383.24</v>
      </c>
      <c r="J183" s="622">
        <v>-411968.93</v>
      </c>
      <c r="K183" s="622">
        <v>-406761.05</v>
      </c>
      <c r="L183" s="622">
        <v>-1917246.25</v>
      </c>
      <c r="M183" s="622">
        <v>-624532.34</v>
      </c>
      <c r="N183" s="622">
        <v>-77512.179999999993</v>
      </c>
      <c r="O183" s="622">
        <v>-75.61</v>
      </c>
      <c r="P183" s="621">
        <v>0</v>
      </c>
      <c r="Q183" s="622">
        <v>0</v>
      </c>
      <c r="R183" s="622">
        <v>0</v>
      </c>
    </row>
    <row r="184" spans="1:18" ht="12.75" customHeight="1" x14ac:dyDescent="0.25">
      <c r="B184" s="618"/>
      <c r="C184" s="618" t="s">
        <v>73</v>
      </c>
      <c r="D184" s="618">
        <v>696233.39</v>
      </c>
      <c r="E184" s="618">
        <v>17764.59</v>
      </c>
      <c r="F184" s="618">
        <v>10022.19</v>
      </c>
      <c r="G184" s="618">
        <v>5230.07</v>
      </c>
      <c r="H184" s="618">
        <v>200028.75</v>
      </c>
      <c r="I184" s="618">
        <v>6936.39</v>
      </c>
      <c r="J184" s="618">
        <v>60845.81</v>
      </c>
      <c r="K184" s="618">
        <v>59558.35</v>
      </c>
      <c r="L184" s="618">
        <v>282324.82</v>
      </c>
      <c r="M184" s="618">
        <v>42205.1</v>
      </c>
      <c r="N184" s="618">
        <v>11317.32</v>
      </c>
      <c r="O184" s="618">
        <v>0</v>
      </c>
      <c r="P184" s="616">
        <v>0</v>
      </c>
      <c r="Q184" s="618">
        <v>0</v>
      </c>
      <c r="R184" s="618">
        <v>0</v>
      </c>
    </row>
    <row r="185" spans="1:18" s="623" customFormat="1" ht="12.75" customHeight="1" x14ac:dyDescent="0.25">
      <c r="B185" s="623" t="s">
        <v>79</v>
      </c>
      <c r="C185" s="623" t="s">
        <v>70</v>
      </c>
      <c r="D185" s="624">
        <v>696233.39</v>
      </c>
      <c r="E185" s="624">
        <v>17764.59</v>
      </c>
      <c r="F185" s="624">
        <v>10022.19</v>
      </c>
      <c r="G185" s="636">
        <v>5230.07</v>
      </c>
      <c r="H185" s="624">
        <v>200028.75</v>
      </c>
      <c r="I185" s="624">
        <v>6936.39</v>
      </c>
      <c r="J185" s="624">
        <v>60845.81</v>
      </c>
      <c r="K185" s="624">
        <v>59558.35</v>
      </c>
      <c r="L185" s="624">
        <v>282324.82</v>
      </c>
      <c r="M185" s="624">
        <v>42205.1</v>
      </c>
      <c r="N185" s="624">
        <v>11317.32</v>
      </c>
      <c r="O185" s="624">
        <v>0</v>
      </c>
      <c r="P185" s="624">
        <v>0</v>
      </c>
      <c r="Q185" s="624">
        <v>0</v>
      </c>
      <c r="R185" s="623">
        <v>0</v>
      </c>
    </row>
    <row r="186" spans="1:18" s="637" customFormat="1" ht="12.75" customHeight="1" x14ac:dyDescent="0.25">
      <c r="A186" s="637" t="s">
        <v>155</v>
      </c>
      <c r="B186" s="633" t="s">
        <v>70</v>
      </c>
      <c r="C186" s="633"/>
      <c r="D186" s="633">
        <v>-4617354</v>
      </c>
      <c r="E186" s="633">
        <v>-250581.75</v>
      </c>
      <c r="F186" s="633">
        <v>-142531.93</v>
      </c>
      <c r="G186" s="633">
        <v>-74909.259999999995</v>
      </c>
      <c r="H186" s="633">
        <v>-1127039.25</v>
      </c>
      <c r="I186" s="633">
        <v>-40446.85</v>
      </c>
      <c r="J186" s="633">
        <v>-351123.12</v>
      </c>
      <c r="K186" s="633">
        <v>-347202.7</v>
      </c>
      <c r="L186" s="633">
        <v>-1634921.43</v>
      </c>
      <c r="M186" s="633">
        <v>-582327.24</v>
      </c>
      <c r="N186" s="633">
        <v>-66194.86</v>
      </c>
      <c r="O186" s="633">
        <v>-75.61</v>
      </c>
      <c r="P186" s="637">
        <v>0</v>
      </c>
      <c r="Q186" s="633">
        <v>0</v>
      </c>
      <c r="R186" s="633">
        <v>0</v>
      </c>
    </row>
    <row r="187" spans="1:18" s="631" customFormat="1" ht="12.75" customHeight="1" x14ac:dyDescent="0.25">
      <c r="A187" s="630" t="s">
        <v>70</v>
      </c>
      <c r="D187" s="630">
        <v>-4617354</v>
      </c>
      <c r="E187" s="630">
        <v>-250581.75</v>
      </c>
      <c r="F187" s="630">
        <v>-142531.93</v>
      </c>
      <c r="G187" s="630">
        <v>-74909.259999999995</v>
      </c>
      <c r="H187" s="630">
        <v>-1127039.25</v>
      </c>
      <c r="I187" s="630">
        <v>-40446.85</v>
      </c>
      <c r="J187" s="630">
        <v>-351123.12</v>
      </c>
      <c r="K187" s="630">
        <v>-347202.7</v>
      </c>
      <c r="L187" s="630">
        <v>-1634921.43</v>
      </c>
      <c r="M187" s="630">
        <v>-582327.24</v>
      </c>
      <c r="N187" s="630">
        <v>-66194.86</v>
      </c>
      <c r="O187" s="630">
        <v>-75.61</v>
      </c>
      <c r="P187" s="631">
        <v>0</v>
      </c>
      <c r="Q187" s="631">
        <v>0</v>
      </c>
      <c r="R187" s="631">
        <v>0</v>
      </c>
    </row>
    <row r="188" spans="1:18" ht="12.75" customHeight="1" x14ac:dyDescent="0.25">
      <c r="A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</row>
    <row r="189" spans="1:18" ht="12.75" customHeight="1" x14ac:dyDescent="0.25">
      <c r="A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</row>
    <row r="190" spans="1:18" ht="12.75" customHeight="1" x14ac:dyDescent="0.25">
      <c r="A190" s="618"/>
      <c r="D190" s="618"/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</row>
    <row r="191" spans="1:18" ht="12.75" customHeight="1" x14ac:dyDescent="0.25">
      <c r="A191" s="618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</row>
    <row r="192" spans="1:18" ht="12.75" customHeight="1" x14ac:dyDescent="0.25">
      <c r="A192" s="778" t="s">
        <v>2</v>
      </c>
      <c r="B192" s="777" t="s">
        <v>132</v>
      </c>
      <c r="C192" s="766" t="s">
        <v>70</v>
      </c>
      <c r="D192" s="766">
        <f>D187-P187</f>
        <v>-4617354</v>
      </c>
      <c r="E192" s="766">
        <f>E183</f>
        <v>-268346.34000000003</v>
      </c>
      <c r="F192" s="766">
        <f t="shared" ref="F192:R192" si="5">F183</f>
        <v>-152554.12</v>
      </c>
      <c r="G192" s="766">
        <f t="shared" si="5"/>
        <v>-80139.33</v>
      </c>
      <c r="H192" s="766">
        <f t="shared" si="5"/>
        <v>-1327068</v>
      </c>
      <c r="I192" s="766">
        <f t="shared" si="5"/>
        <v>-47383.24</v>
      </c>
      <c r="J192" s="766">
        <f t="shared" si="5"/>
        <v>-411968.93</v>
      </c>
      <c r="K192" s="766">
        <f t="shared" si="5"/>
        <v>-406761.05</v>
      </c>
      <c r="L192" s="766">
        <f t="shared" si="5"/>
        <v>-1917246.25</v>
      </c>
      <c r="M192" s="766">
        <f t="shared" si="5"/>
        <v>-624532.34</v>
      </c>
      <c r="N192" s="766">
        <f t="shared" si="5"/>
        <v>-77512.179999999993</v>
      </c>
      <c r="O192" s="766">
        <f t="shared" si="5"/>
        <v>-75.61</v>
      </c>
      <c r="P192" s="766">
        <f t="shared" si="5"/>
        <v>0</v>
      </c>
      <c r="Q192" s="766">
        <f t="shared" si="5"/>
        <v>0</v>
      </c>
      <c r="R192" s="766">
        <f t="shared" si="5"/>
        <v>0</v>
      </c>
    </row>
    <row r="193" spans="1:18" ht="12.75" customHeight="1" x14ac:dyDescent="0.25">
      <c r="A193" s="778"/>
      <c r="B193" s="777"/>
      <c r="C193" s="766" t="s">
        <v>73</v>
      </c>
      <c r="D193" s="766">
        <f>D185</f>
        <v>696233.39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78" t="s">
        <v>160</v>
      </c>
      <c r="B195" s="777" t="s">
        <v>132</v>
      </c>
      <c r="C195" s="632" t="s">
        <v>70</v>
      </c>
      <c r="D195" s="632">
        <v>0</v>
      </c>
      <c r="E195" s="632">
        <v>0</v>
      </c>
      <c r="F195" s="632">
        <v>0</v>
      </c>
      <c r="G195" s="632">
        <v>0</v>
      </c>
      <c r="H195" s="632">
        <v>0</v>
      </c>
      <c r="I195" s="632">
        <v>0</v>
      </c>
      <c r="J195" s="632">
        <v>0</v>
      </c>
      <c r="K195" s="632">
        <v>0</v>
      </c>
      <c r="L195" s="632">
        <v>0</v>
      </c>
      <c r="M195" s="632">
        <v>0</v>
      </c>
      <c r="N195" s="632">
        <v>0</v>
      </c>
      <c r="O195" s="632">
        <v>0</v>
      </c>
      <c r="P195" s="632">
        <v>0</v>
      </c>
      <c r="Q195" s="632">
        <v>0</v>
      </c>
      <c r="R195" s="632">
        <v>0</v>
      </c>
    </row>
    <row r="196" spans="1:18" ht="12.75" customHeight="1" x14ac:dyDescent="0.25">
      <c r="A196" s="778"/>
      <c r="B196" s="777"/>
      <c r="C196" s="632" t="s">
        <v>73</v>
      </c>
      <c r="D196" s="632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  <c r="R196" s="618"/>
    </row>
    <row r="197" spans="1:18" ht="12.75" customHeight="1" x14ac:dyDescent="0.25">
      <c r="A197" s="617"/>
      <c r="D197" s="618"/>
      <c r="E197" s="618"/>
      <c r="F197" s="618"/>
      <c r="G197" s="618"/>
      <c r="H197" s="618"/>
      <c r="I197" s="618"/>
      <c r="J197" s="618"/>
      <c r="K197" s="618"/>
      <c r="L197" s="618"/>
      <c r="M197" s="618"/>
      <c r="N197" s="618"/>
      <c r="O197" s="618"/>
      <c r="P197" s="618"/>
      <c r="Q197" s="618"/>
      <c r="R197" s="618"/>
    </row>
    <row r="198" spans="1:18" ht="12.75" customHeight="1" x14ac:dyDescent="0.25">
      <c r="A198" s="778" t="s">
        <v>155</v>
      </c>
      <c r="B198" s="777" t="s">
        <v>132</v>
      </c>
      <c r="C198" s="633" t="s">
        <v>70</v>
      </c>
      <c r="D198" s="633">
        <f>D186-P186</f>
        <v>-4617354</v>
      </c>
      <c r="E198" s="633">
        <f t="shared" ref="E198:R198" si="6">E183</f>
        <v>-268346.34000000003</v>
      </c>
      <c r="F198" s="633">
        <f t="shared" si="6"/>
        <v>-152554.12</v>
      </c>
      <c r="G198" s="633">
        <f t="shared" si="6"/>
        <v>-80139.33</v>
      </c>
      <c r="H198" s="633">
        <f t="shared" si="6"/>
        <v>-1327068</v>
      </c>
      <c r="I198" s="633">
        <f t="shared" si="6"/>
        <v>-47383.24</v>
      </c>
      <c r="J198" s="633">
        <f t="shared" si="6"/>
        <v>-411968.93</v>
      </c>
      <c r="K198" s="633">
        <f t="shared" si="6"/>
        <v>-406761.05</v>
      </c>
      <c r="L198" s="633">
        <f t="shared" si="6"/>
        <v>-1917246.25</v>
      </c>
      <c r="M198" s="633">
        <f t="shared" si="6"/>
        <v>-624532.34</v>
      </c>
      <c r="N198" s="633">
        <f t="shared" si="6"/>
        <v>-77512.179999999993</v>
      </c>
      <c r="O198" s="633">
        <f t="shared" si="6"/>
        <v>-75.61</v>
      </c>
      <c r="P198" s="633">
        <f t="shared" si="6"/>
        <v>0</v>
      </c>
      <c r="Q198" s="633">
        <f t="shared" si="6"/>
        <v>0</v>
      </c>
      <c r="R198" s="633">
        <f t="shared" si="6"/>
        <v>0</v>
      </c>
    </row>
    <row r="199" spans="1:18" ht="12.75" customHeight="1" x14ac:dyDescent="0.25">
      <c r="A199" s="778"/>
      <c r="B199" s="777"/>
      <c r="C199" s="633" t="s">
        <v>73</v>
      </c>
      <c r="D199" s="633">
        <f>D185</f>
        <v>696233.39</v>
      </c>
      <c r="E199" s="618"/>
      <c r="F199" s="618"/>
      <c r="G199" s="618"/>
      <c r="H199" s="618"/>
      <c r="I199" s="618"/>
      <c r="J199" s="618"/>
      <c r="K199" s="618"/>
      <c r="L199" s="618"/>
      <c r="M199" s="618"/>
      <c r="N199" s="618"/>
      <c r="O199" s="618"/>
      <c r="P199" s="618"/>
      <c r="Q199" s="618"/>
      <c r="R199" s="618"/>
    </row>
    <row r="200" spans="1:18" ht="12.75" customHeight="1" x14ac:dyDescent="0.25">
      <c r="A200" s="722"/>
      <c r="B200" s="721"/>
      <c r="C200" s="618"/>
      <c r="D200" s="618"/>
      <c r="E200" s="618"/>
      <c r="F200" s="618"/>
      <c r="G200" s="618"/>
      <c r="H200" s="618"/>
      <c r="I200" s="618"/>
      <c r="J200" s="618"/>
      <c r="K200" s="618"/>
      <c r="L200" s="618"/>
      <c r="M200" s="618"/>
      <c r="N200" s="618"/>
      <c r="O200" s="618"/>
      <c r="P200" s="618"/>
      <c r="Q200" s="618"/>
      <c r="R200" s="618"/>
    </row>
    <row r="201" spans="1:18" ht="12.75" customHeight="1" x14ac:dyDescent="0.25">
      <c r="A201" s="779" t="s">
        <v>327</v>
      </c>
      <c r="B201" s="777" t="s">
        <v>132</v>
      </c>
      <c r="C201" s="633" t="s">
        <v>70</v>
      </c>
      <c r="D201" s="720">
        <v>0</v>
      </c>
      <c r="E201" s="720">
        <v>0</v>
      </c>
      <c r="F201" s="720">
        <v>0</v>
      </c>
      <c r="G201" s="720">
        <v>0</v>
      </c>
      <c r="H201" s="720">
        <v>0</v>
      </c>
      <c r="I201" s="720">
        <v>0</v>
      </c>
      <c r="J201" s="720">
        <v>0</v>
      </c>
      <c r="K201" s="720">
        <v>0</v>
      </c>
      <c r="L201" s="720">
        <v>0</v>
      </c>
      <c r="M201" s="720">
        <v>0</v>
      </c>
      <c r="N201" s="720">
        <v>0</v>
      </c>
      <c r="O201" s="720">
        <v>0</v>
      </c>
      <c r="P201" s="720">
        <v>0</v>
      </c>
      <c r="Q201" s="720">
        <v>0</v>
      </c>
      <c r="R201" s="720">
        <v>0</v>
      </c>
    </row>
    <row r="202" spans="1:18" ht="12.75" customHeight="1" x14ac:dyDescent="0.25">
      <c r="A202" s="779"/>
      <c r="B202" s="777"/>
      <c r="C202" s="633" t="s">
        <v>73</v>
      </c>
      <c r="D202" s="720">
        <v>0</v>
      </c>
      <c r="E202" s="618"/>
      <c r="F202" s="618"/>
      <c r="G202" s="618"/>
      <c r="H202" s="618"/>
      <c r="I202" s="618"/>
      <c r="J202" s="618"/>
      <c r="K202" s="618"/>
      <c r="L202" s="618"/>
      <c r="M202" s="618"/>
      <c r="N202" s="618"/>
      <c r="O202" s="618"/>
      <c r="P202" s="618"/>
      <c r="Q202" s="618"/>
    </row>
    <row r="203" spans="1:18" ht="12.75" customHeight="1" x14ac:dyDescent="0.25">
      <c r="A203" s="617"/>
      <c r="D203" s="618"/>
      <c r="E203" s="618"/>
      <c r="F203" s="618"/>
      <c r="G203" s="618"/>
      <c r="H203" s="618"/>
      <c r="I203" s="618"/>
      <c r="J203" s="618"/>
      <c r="K203" s="618"/>
      <c r="L203" s="618"/>
      <c r="M203" s="618"/>
      <c r="N203" s="618"/>
      <c r="O203" s="618"/>
      <c r="P203" s="618"/>
      <c r="Q203" s="618"/>
      <c r="R203" s="618"/>
    </row>
    <row r="204" spans="1:18" ht="12.75" customHeight="1" x14ac:dyDescent="0.25">
      <c r="A204" s="778" t="s">
        <v>119</v>
      </c>
      <c r="B204" s="777" t="s">
        <v>132</v>
      </c>
      <c r="C204" s="628" t="s">
        <v>70</v>
      </c>
      <c r="D204" s="628">
        <v>0</v>
      </c>
      <c r="E204" s="628">
        <v>0</v>
      </c>
      <c r="F204" s="628">
        <v>0</v>
      </c>
      <c r="G204" s="628">
        <v>0</v>
      </c>
      <c r="H204" s="628">
        <v>0</v>
      </c>
      <c r="I204" s="628">
        <v>0</v>
      </c>
      <c r="J204" s="628">
        <v>0</v>
      </c>
      <c r="K204" s="628">
        <v>0</v>
      </c>
      <c r="L204" s="628">
        <v>0</v>
      </c>
      <c r="M204" s="628">
        <v>0</v>
      </c>
      <c r="N204" s="628">
        <v>0</v>
      </c>
      <c r="O204" s="628">
        <v>0</v>
      </c>
      <c r="P204" s="628">
        <v>0</v>
      </c>
      <c r="Q204" s="628">
        <v>0</v>
      </c>
      <c r="R204" s="628">
        <v>0</v>
      </c>
    </row>
    <row r="205" spans="1:18" ht="12.75" customHeight="1" x14ac:dyDescent="0.25">
      <c r="A205" s="778"/>
      <c r="B205" s="777"/>
      <c r="C205" s="628" t="s">
        <v>73</v>
      </c>
      <c r="D205" s="628">
        <v>0</v>
      </c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</row>
    <row r="206" spans="1:18" ht="12.75" customHeight="1" x14ac:dyDescent="0.25">
      <c r="A206" s="617"/>
      <c r="D206" s="618"/>
      <c r="E206" s="618"/>
      <c r="F206" s="618"/>
      <c r="G206" s="618"/>
      <c r="H206" s="618"/>
      <c r="I206" s="618"/>
      <c r="J206" s="618"/>
      <c r="K206" s="618"/>
      <c r="L206" s="618"/>
      <c r="M206" s="618"/>
      <c r="N206" s="618"/>
      <c r="O206" s="618"/>
      <c r="P206" s="618"/>
      <c r="Q206" s="618"/>
      <c r="R206" s="618"/>
    </row>
    <row r="207" spans="1:18" ht="12.75" customHeight="1" x14ac:dyDescent="0.25">
      <c r="A207" s="776" t="s">
        <v>161</v>
      </c>
      <c r="B207" s="777" t="s">
        <v>132</v>
      </c>
      <c r="C207" s="634" t="s">
        <v>70</v>
      </c>
      <c r="D207" s="634">
        <v>0</v>
      </c>
      <c r="E207" s="634">
        <v>0</v>
      </c>
      <c r="F207" s="634">
        <v>0</v>
      </c>
      <c r="G207" s="634">
        <v>0</v>
      </c>
      <c r="H207" s="634">
        <v>0</v>
      </c>
      <c r="I207" s="634">
        <v>0</v>
      </c>
      <c r="J207" s="634">
        <v>0</v>
      </c>
      <c r="K207" s="634">
        <v>0</v>
      </c>
      <c r="L207" s="634">
        <v>0</v>
      </c>
      <c r="M207" s="634">
        <v>0</v>
      </c>
      <c r="N207" s="634">
        <v>0</v>
      </c>
      <c r="O207" s="634">
        <v>0</v>
      </c>
      <c r="P207" s="634">
        <v>0</v>
      </c>
      <c r="Q207" s="634">
        <v>0</v>
      </c>
      <c r="R207" s="634">
        <v>0</v>
      </c>
    </row>
    <row r="208" spans="1:18" ht="12.75" customHeight="1" x14ac:dyDescent="0.25">
      <c r="A208" s="776"/>
      <c r="B208" s="777"/>
      <c r="C208" s="634" t="s">
        <v>73</v>
      </c>
      <c r="D208" s="634">
        <v>0</v>
      </c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  <c r="P208" s="618"/>
      <c r="Q208" s="618"/>
    </row>
    <row r="209" spans="1:18" s="635" customFormat="1" x14ac:dyDescent="0.25"/>
    <row r="210" spans="1:18" x14ac:dyDescent="0.25">
      <c r="B210" s="617" t="s">
        <v>88</v>
      </c>
    </row>
    <row r="211" spans="1:18" ht="12.75" customHeight="1" x14ac:dyDescent="0.25">
      <c r="D211" s="618" t="s">
        <v>70</v>
      </c>
      <c r="E211" s="618" t="s">
        <v>64</v>
      </c>
      <c r="F211" s="618" t="s">
        <v>65</v>
      </c>
      <c r="G211" s="619" t="s">
        <v>164</v>
      </c>
      <c r="H211" s="618" t="s">
        <v>69</v>
      </c>
      <c r="I211" s="618" t="s">
        <v>68</v>
      </c>
      <c r="J211" s="618" t="s">
        <v>66</v>
      </c>
      <c r="K211" s="618" t="s">
        <v>63</v>
      </c>
      <c r="L211" s="618" t="s">
        <v>61</v>
      </c>
      <c r="M211" s="618" t="s">
        <v>62</v>
      </c>
      <c r="N211" s="618" t="s">
        <v>67</v>
      </c>
      <c r="O211" s="618" t="s">
        <v>77</v>
      </c>
      <c r="P211" s="618" t="s">
        <v>71</v>
      </c>
      <c r="Q211" s="618" t="s">
        <v>80</v>
      </c>
      <c r="R211" s="616" t="s">
        <v>168</v>
      </c>
    </row>
    <row r="212" spans="1:18" ht="12.75" customHeight="1" x14ac:dyDescent="0.25">
      <c r="C212" s="616" t="s">
        <v>72</v>
      </c>
      <c r="D212" s="620">
        <v>-16028063.949999999</v>
      </c>
      <c r="E212" s="618">
        <v>-894905.66</v>
      </c>
      <c r="F212" s="618">
        <v>-492355.87</v>
      </c>
      <c r="G212" s="620">
        <v>-260069.56</v>
      </c>
      <c r="H212" s="618">
        <v>-3577229.84</v>
      </c>
      <c r="I212" s="618">
        <v>-128056.41</v>
      </c>
      <c r="J212" s="618">
        <v>-1134137.25</v>
      </c>
      <c r="K212" s="618">
        <v>-1154847.25</v>
      </c>
      <c r="L212" s="618">
        <v>-5786675.8899999997</v>
      </c>
      <c r="M212" s="618">
        <v>-2388637.9500000002</v>
      </c>
      <c r="N212" s="618">
        <v>-211133.08</v>
      </c>
      <c r="O212" s="618">
        <v>-15.19</v>
      </c>
      <c r="P212" s="618">
        <v>0</v>
      </c>
      <c r="Q212" s="618">
        <v>0</v>
      </c>
      <c r="R212" s="616">
        <v>0</v>
      </c>
    </row>
    <row r="213" spans="1:18" ht="12.75" customHeight="1" x14ac:dyDescent="0.25">
      <c r="C213" s="616" t="s">
        <v>81</v>
      </c>
      <c r="D213" s="620">
        <v>-873377.98</v>
      </c>
      <c r="E213" s="618">
        <v>-87078.56</v>
      </c>
      <c r="F213" s="618">
        <v>-39363.660000000003</v>
      </c>
      <c r="G213" s="620">
        <v>-16918.14</v>
      </c>
      <c r="H213" s="618">
        <v>-156091.38</v>
      </c>
      <c r="I213" s="618">
        <v>-5880.81</v>
      </c>
      <c r="J213" s="618">
        <v>-52156.61</v>
      </c>
      <c r="K213" s="618">
        <v>-64640.54</v>
      </c>
      <c r="L213" s="618">
        <v>-223252.32</v>
      </c>
      <c r="M213" s="618">
        <v>-218532.37</v>
      </c>
      <c r="N213" s="618">
        <v>-9702.68</v>
      </c>
      <c r="O213" s="618">
        <v>6.65</v>
      </c>
      <c r="P213" s="618">
        <v>0</v>
      </c>
      <c r="Q213" s="618">
        <v>0</v>
      </c>
      <c r="R213" s="616">
        <v>232.44</v>
      </c>
    </row>
    <row r="214" spans="1:18" s="621" customFormat="1" ht="12.75" customHeight="1" x14ac:dyDescent="0.25">
      <c r="B214" s="622" t="s">
        <v>78</v>
      </c>
      <c r="C214" s="622" t="s">
        <v>70</v>
      </c>
      <c r="D214" s="622">
        <v>-16901441.93</v>
      </c>
      <c r="E214" s="622">
        <v>-981984.22</v>
      </c>
      <c r="F214" s="622">
        <v>-531719.53</v>
      </c>
      <c r="G214" s="622">
        <v>-276987.7</v>
      </c>
      <c r="H214" s="622">
        <v>-3733321.22</v>
      </c>
      <c r="I214" s="622">
        <v>-133937.22</v>
      </c>
      <c r="J214" s="622">
        <v>-1186293.8600000001</v>
      </c>
      <c r="K214" s="622">
        <v>-1219487.79</v>
      </c>
      <c r="L214" s="622">
        <v>-6009928.21</v>
      </c>
      <c r="M214" s="622">
        <v>-2607170.3199999998</v>
      </c>
      <c r="N214" s="622">
        <v>-220835.76</v>
      </c>
      <c r="O214" s="622">
        <v>-8.5399999999999991</v>
      </c>
      <c r="P214" s="621">
        <v>0</v>
      </c>
      <c r="Q214" s="622">
        <v>0</v>
      </c>
      <c r="R214" s="622">
        <v>232.44</v>
      </c>
    </row>
    <row r="215" spans="1:18" ht="12.75" customHeight="1" x14ac:dyDescent="0.25">
      <c r="C215" s="616" t="s">
        <v>73</v>
      </c>
      <c r="D215" s="620">
        <v>2262595.9300000002</v>
      </c>
      <c r="E215" s="618">
        <v>33634.28</v>
      </c>
      <c r="F215" s="618">
        <v>15223.86</v>
      </c>
      <c r="G215" s="620">
        <v>8043.35</v>
      </c>
      <c r="H215" s="618">
        <v>652911.02</v>
      </c>
      <c r="I215" s="618">
        <v>21769</v>
      </c>
      <c r="J215" s="618">
        <v>190935.03</v>
      </c>
      <c r="K215" s="618">
        <v>209235.4</v>
      </c>
      <c r="L215" s="618">
        <v>1005246.76</v>
      </c>
      <c r="M215" s="618">
        <v>90086.02</v>
      </c>
      <c r="N215" s="618">
        <v>35511.21</v>
      </c>
      <c r="O215" s="618">
        <v>0</v>
      </c>
      <c r="P215" s="618">
        <v>0</v>
      </c>
      <c r="Q215" s="618">
        <v>0</v>
      </c>
      <c r="R215" s="616">
        <v>0</v>
      </c>
    </row>
    <row r="216" spans="1:18" s="623" customFormat="1" ht="12.75" customHeight="1" x14ac:dyDescent="0.25">
      <c r="B216" s="624" t="s">
        <v>79</v>
      </c>
      <c r="C216" s="624" t="s">
        <v>70</v>
      </c>
      <c r="D216" s="624">
        <v>2262595.9300000002</v>
      </c>
      <c r="E216" s="624">
        <v>33634.28</v>
      </c>
      <c r="F216" s="624">
        <v>15223.86</v>
      </c>
      <c r="G216" s="624">
        <v>8043.35</v>
      </c>
      <c r="H216" s="624">
        <v>652911.02</v>
      </c>
      <c r="I216" s="624">
        <v>21769</v>
      </c>
      <c r="J216" s="624">
        <v>190935.03</v>
      </c>
      <c r="K216" s="624">
        <v>209235.4</v>
      </c>
      <c r="L216" s="624">
        <v>1005246.76</v>
      </c>
      <c r="M216" s="624">
        <v>90086.02</v>
      </c>
      <c r="N216" s="624">
        <v>35511.21</v>
      </c>
      <c r="O216" s="624">
        <v>0</v>
      </c>
      <c r="P216" s="623">
        <v>0</v>
      </c>
      <c r="Q216" s="624">
        <v>0</v>
      </c>
      <c r="R216" s="624">
        <v>0</v>
      </c>
    </row>
    <row r="217" spans="1:18" s="755" customFormat="1" ht="12.75" customHeight="1" x14ac:dyDescent="0.25">
      <c r="A217" s="755" t="s">
        <v>155</v>
      </c>
      <c r="B217" s="755" t="s">
        <v>70</v>
      </c>
      <c r="D217" s="756">
        <v>-14638846</v>
      </c>
      <c r="E217" s="757">
        <v>-948349.94</v>
      </c>
      <c r="F217" s="757">
        <v>-516495.67</v>
      </c>
      <c r="G217" s="756">
        <v>-268944.34999999998</v>
      </c>
      <c r="H217" s="757">
        <v>-3080410.2</v>
      </c>
      <c r="I217" s="757">
        <v>-112168.22</v>
      </c>
      <c r="J217" s="757">
        <v>-995358.83</v>
      </c>
      <c r="K217" s="757">
        <v>-1010252.39</v>
      </c>
      <c r="L217" s="757">
        <v>-5004681.45</v>
      </c>
      <c r="M217" s="757">
        <v>-2517084.2999999998</v>
      </c>
      <c r="N217" s="757">
        <v>-185324.55</v>
      </c>
      <c r="O217" s="757">
        <v>-8.5399999999999991</v>
      </c>
      <c r="P217" s="757">
        <v>0</v>
      </c>
      <c r="Q217" s="757">
        <v>0</v>
      </c>
      <c r="R217" s="755">
        <v>232.44</v>
      </c>
    </row>
    <row r="218" spans="1:18" ht="12.75" customHeight="1" x14ac:dyDescent="0.25">
      <c r="C218" s="616" t="s">
        <v>72</v>
      </c>
      <c r="D218" s="620">
        <v>-565175.81999999995</v>
      </c>
      <c r="E218" s="618">
        <v>-37306.339999999997</v>
      </c>
      <c r="F218" s="618">
        <v>-19442.38</v>
      </c>
      <c r="G218" s="620">
        <v>-11255.47</v>
      </c>
      <c r="H218" s="618">
        <v>-125115.98</v>
      </c>
      <c r="I218" s="618">
        <v>-3102.84</v>
      </c>
      <c r="J218" s="618">
        <v>-27218.32</v>
      </c>
      <c r="K218" s="618">
        <v>-39044.449999999997</v>
      </c>
      <c r="L218" s="618">
        <v>-198435.12</v>
      </c>
      <c r="M218" s="618">
        <v>-99198.9</v>
      </c>
      <c r="N218" s="618">
        <v>-5062.58</v>
      </c>
      <c r="O218" s="618">
        <v>6.56</v>
      </c>
      <c r="P218" s="618">
        <v>0</v>
      </c>
      <c r="Q218" s="618">
        <v>0</v>
      </c>
      <c r="R218" s="616">
        <v>0</v>
      </c>
    </row>
    <row r="219" spans="1:18" ht="12.75" customHeight="1" x14ac:dyDescent="0.25">
      <c r="C219" s="616" t="s">
        <v>81</v>
      </c>
      <c r="D219" s="620">
        <v>-8.36</v>
      </c>
      <c r="E219" s="618">
        <v>-0.84</v>
      </c>
      <c r="F219" s="618">
        <v>-0.39</v>
      </c>
      <c r="G219" s="620">
        <v>-0.21</v>
      </c>
      <c r="H219" s="618">
        <v>-1.63</v>
      </c>
      <c r="I219" s="618">
        <v>-0.04</v>
      </c>
      <c r="J219" s="618">
        <v>-0.35</v>
      </c>
      <c r="K219" s="618">
        <v>-0.43</v>
      </c>
      <c r="L219" s="618">
        <v>-2.12</v>
      </c>
      <c r="M219" s="618">
        <v>-2.2799999999999998</v>
      </c>
      <c r="N219" s="618">
        <v>-7.0000000000000007E-2</v>
      </c>
      <c r="O219" s="618">
        <v>0</v>
      </c>
      <c r="P219" s="618">
        <v>0</v>
      </c>
      <c r="Q219" s="618">
        <v>0</v>
      </c>
      <c r="R219" s="616">
        <v>0</v>
      </c>
    </row>
    <row r="220" spans="1:18" s="621" customFormat="1" ht="12.75" customHeight="1" x14ac:dyDescent="0.25">
      <c r="B220" s="622" t="s">
        <v>78</v>
      </c>
      <c r="C220" s="622" t="s">
        <v>70</v>
      </c>
      <c r="D220" s="622">
        <v>-565184.18000000005</v>
      </c>
      <c r="E220" s="622">
        <v>-37307.18</v>
      </c>
      <c r="F220" s="622">
        <v>-19442.77</v>
      </c>
      <c r="G220" s="622">
        <v>-11255.68</v>
      </c>
      <c r="H220" s="622">
        <v>-125117.61</v>
      </c>
      <c r="I220" s="622">
        <v>-3102.88</v>
      </c>
      <c r="J220" s="622">
        <v>-27218.67</v>
      </c>
      <c r="K220" s="622">
        <v>-39044.879999999997</v>
      </c>
      <c r="L220" s="622">
        <v>-198437.24</v>
      </c>
      <c r="M220" s="622">
        <v>-99201.18</v>
      </c>
      <c r="N220" s="622">
        <v>-5062.6499999999996</v>
      </c>
      <c r="O220" s="622">
        <v>6.56</v>
      </c>
      <c r="P220" s="621">
        <v>0</v>
      </c>
      <c r="Q220" s="622">
        <v>0</v>
      </c>
      <c r="R220" s="622">
        <v>0</v>
      </c>
    </row>
    <row r="221" spans="1:18" ht="12.75" customHeight="1" x14ac:dyDescent="0.25">
      <c r="C221" s="616" t="s">
        <v>73</v>
      </c>
      <c r="D221" s="620">
        <v>15644.18</v>
      </c>
      <c r="E221" s="618">
        <v>-3723.05</v>
      </c>
      <c r="F221" s="618">
        <v>-2050.9699999999998</v>
      </c>
      <c r="G221" s="620">
        <v>-1232.73</v>
      </c>
      <c r="H221" s="618">
        <v>10995.31</v>
      </c>
      <c r="I221" s="618">
        <v>269.17</v>
      </c>
      <c r="J221" s="618">
        <v>2361.1799999999998</v>
      </c>
      <c r="K221" s="618">
        <v>3071.33</v>
      </c>
      <c r="L221" s="618">
        <v>15308.82</v>
      </c>
      <c r="M221" s="618">
        <v>-9794.02</v>
      </c>
      <c r="N221" s="618">
        <v>439.14</v>
      </c>
      <c r="O221" s="618">
        <v>0</v>
      </c>
      <c r="P221" s="618">
        <v>0</v>
      </c>
      <c r="Q221" s="618">
        <v>0</v>
      </c>
      <c r="R221" s="616">
        <v>0</v>
      </c>
    </row>
    <row r="222" spans="1:18" s="623" customFormat="1" ht="12.75" customHeight="1" x14ac:dyDescent="0.25">
      <c r="B222" s="624" t="s">
        <v>79</v>
      </c>
      <c r="C222" s="624" t="s">
        <v>70</v>
      </c>
      <c r="D222" s="624">
        <v>15644.18</v>
      </c>
      <c r="E222" s="624">
        <v>-3723.05</v>
      </c>
      <c r="F222" s="624">
        <v>-2050.9699999999998</v>
      </c>
      <c r="G222" s="624">
        <v>-1232.73</v>
      </c>
      <c r="H222" s="624">
        <v>10995.31</v>
      </c>
      <c r="I222" s="624">
        <v>269.17</v>
      </c>
      <c r="J222" s="624">
        <v>2361.1799999999998</v>
      </c>
      <c r="K222" s="624">
        <v>3071.33</v>
      </c>
      <c r="L222" s="624">
        <v>15308.82</v>
      </c>
      <c r="M222" s="624">
        <v>-9794.02</v>
      </c>
      <c r="N222" s="624">
        <v>439.14</v>
      </c>
      <c r="O222" s="624">
        <v>0</v>
      </c>
      <c r="P222" s="623">
        <v>0</v>
      </c>
      <c r="Q222" s="624">
        <v>0</v>
      </c>
      <c r="R222" s="624">
        <v>0</v>
      </c>
    </row>
    <row r="223" spans="1:18" s="763" customFormat="1" ht="12.75" customHeight="1" x14ac:dyDescent="0.25">
      <c r="A223" s="763" t="s">
        <v>120</v>
      </c>
      <c r="B223" s="763" t="s">
        <v>70</v>
      </c>
      <c r="D223" s="765">
        <v>-549540</v>
      </c>
      <c r="E223" s="764">
        <v>-41030.230000000003</v>
      </c>
      <c r="F223" s="764">
        <v>-21493.74</v>
      </c>
      <c r="G223" s="765">
        <v>-12488.41</v>
      </c>
      <c r="H223" s="764">
        <v>-114122.3</v>
      </c>
      <c r="I223" s="764">
        <v>-2833.71</v>
      </c>
      <c r="J223" s="764">
        <v>-24857.49</v>
      </c>
      <c r="K223" s="764">
        <v>-35973.550000000003</v>
      </c>
      <c r="L223" s="764">
        <v>-183128.42</v>
      </c>
      <c r="M223" s="764">
        <v>-108995.2</v>
      </c>
      <c r="N223" s="764">
        <v>-4623.51</v>
      </c>
      <c r="O223" s="764">
        <v>6.56</v>
      </c>
      <c r="P223" s="764">
        <v>0</v>
      </c>
      <c r="Q223" s="764">
        <v>0</v>
      </c>
      <c r="R223" s="763">
        <v>0</v>
      </c>
    </row>
    <row r="224" spans="1:18" ht="12.75" customHeight="1" x14ac:dyDescent="0.25">
      <c r="C224" s="616" t="s">
        <v>72</v>
      </c>
      <c r="D224" s="620">
        <v>-862480.46</v>
      </c>
      <c r="E224" s="618">
        <v>-39715.51</v>
      </c>
      <c r="F224" s="618">
        <v>-22469.48</v>
      </c>
      <c r="G224" s="620">
        <v>-11974.92</v>
      </c>
      <c r="H224" s="618">
        <v>-209441.11</v>
      </c>
      <c r="I224" s="618">
        <v>-7713.34</v>
      </c>
      <c r="J224" s="618">
        <v>-64306.22</v>
      </c>
      <c r="K224" s="618">
        <v>-62901.08</v>
      </c>
      <c r="L224" s="618">
        <v>-325046.78999999998</v>
      </c>
      <c r="M224" s="618">
        <v>-106961.73</v>
      </c>
      <c r="N224" s="618">
        <v>-11960.9</v>
      </c>
      <c r="O224" s="618">
        <v>10.62</v>
      </c>
      <c r="P224" s="618">
        <v>0</v>
      </c>
      <c r="Q224" s="618">
        <v>0</v>
      </c>
      <c r="R224" s="616">
        <v>0</v>
      </c>
    </row>
    <row r="225" spans="1:18" s="621" customFormat="1" ht="12.75" customHeight="1" x14ac:dyDescent="0.25">
      <c r="B225" s="622" t="s">
        <v>78</v>
      </c>
      <c r="C225" s="622" t="s">
        <v>70</v>
      </c>
      <c r="D225" s="622">
        <v>-862480.46</v>
      </c>
      <c r="E225" s="622">
        <v>-39715.51</v>
      </c>
      <c r="F225" s="622">
        <v>-22469.48</v>
      </c>
      <c r="G225" s="622">
        <v>-11974.92</v>
      </c>
      <c r="H225" s="622">
        <v>-209441.11</v>
      </c>
      <c r="I225" s="622">
        <v>-7713.34</v>
      </c>
      <c r="J225" s="622">
        <v>-64306.22</v>
      </c>
      <c r="K225" s="622">
        <v>-62901.08</v>
      </c>
      <c r="L225" s="622">
        <v>-325046.78999999998</v>
      </c>
      <c r="M225" s="622">
        <v>-106961.73</v>
      </c>
      <c r="N225" s="622">
        <v>-11960.9</v>
      </c>
      <c r="O225" s="622">
        <v>10.62</v>
      </c>
      <c r="P225" s="621">
        <v>0</v>
      </c>
      <c r="Q225" s="622">
        <v>0</v>
      </c>
      <c r="R225" s="622">
        <v>0</v>
      </c>
    </row>
    <row r="226" spans="1:18" ht="12.75" customHeight="1" x14ac:dyDescent="0.25">
      <c r="C226" s="616" t="s">
        <v>73</v>
      </c>
      <c r="D226" s="618">
        <v>387536.46</v>
      </c>
      <c r="E226" s="618">
        <v>18163.82</v>
      </c>
      <c r="F226" s="618">
        <v>10270.540000000001</v>
      </c>
      <c r="G226" s="620">
        <v>5450.54</v>
      </c>
      <c r="H226" s="618">
        <v>92818.77</v>
      </c>
      <c r="I226" s="618">
        <v>3350.44</v>
      </c>
      <c r="J226" s="618">
        <v>29390.52</v>
      </c>
      <c r="K226" s="618">
        <v>28751.18</v>
      </c>
      <c r="L226" s="618">
        <v>145188.92000000001</v>
      </c>
      <c r="M226" s="618">
        <v>48685.04</v>
      </c>
      <c r="N226" s="618">
        <v>5466.69</v>
      </c>
      <c r="O226" s="618">
        <v>0</v>
      </c>
      <c r="P226" s="618">
        <v>0</v>
      </c>
      <c r="Q226" s="618">
        <v>0</v>
      </c>
      <c r="R226" s="616">
        <v>0</v>
      </c>
    </row>
    <row r="227" spans="1:18" s="623" customFormat="1" ht="12.75" customHeight="1" x14ac:dyDescent="0.25">
      <c r="B227" s="624" t="s">
        <v>79</v>
      </c>
      <c r="C227" s="624" t="s">
        <v>70</v>
      </c>
      <c r="D227" s="624">
        <v>387536.46</v>
      </c>
      <c r="E227" s="624">
        <v>18163.82</v>
      </c>
      <c r="F227" s="624">
        <v>10270.540000000001</v>
      </c>
      <c r="G227" s="624">
        <v>5450.54</v>
      </c>
      <c r="H227" s="624">
        <v>92818.77</v>
      </c>
      <c r="I227" s="624">
        <v>3350.44</v>
      </c>
      <c r="J227" s="624">
        <v>29390.52</v>
      </c>
      <c r="K227" s="624">
        <v>28751.18</v>
      </c>
      <c r="L227" s="624">
        <v>145188.92000000001</v>
      </c>
      <c r="M227" s="624">
        <v>48685.04</v>
      </c>
      <c r="N227" s="624">
        <v>5466.69</v>
      </c>
      <c r="O227" s="624">
        <v>0</v>
      </c>
      <c r="P227" s="623">
        <v>0</v>
      </c>
      <c r="Q227" s="624">
        <v>0</v>
      </c>
      <c r="R227" s="624">
        <v>0</v>
      </c>
    </row>
    <row r="228" spans="1:18" s="754" customFormat="1" ht="12.75" customHeight="1" x14ac:dyDescent="0.25">
      <c r="A228" s="754" t="s">
        <v>119</v>
      </c>
      <c r="B228" s="628" t="s">
        <v>70</v>
      </c>
      <c r="C228" s="628"/>
      <c r="D228" s="628">
        <v>-474944</v>
      </c>
      <c r="E228" s="628">
        <v>-21551.69</v>
      </c>
      <c r="F228" s="628">
        <v>-12198.94</v>
      </c>
      <c r="G228" s="628">
        <v>-6524.38</v>
      </c>
      <c r="H228" s="628">
        <v>-116622.34</v>
      </c>
      <c r="I228" s="628">
        <v>-4362.8999999999996</v>
      </c>
      <c r="J228" s="628">
        <v>-34915.699999999997</v>
      </c>
      <c r="K228" s="628">
        <v>-34149.9</v>
      </c>
      <c r="L228" s="628">
        <v>-179857.87</v>
      </c>
      <c r="M228" s="628">
        <v>-58276.69</v>
      </c>
      <c r="N228" s="628">
        <v>-6494.21</v>
      </c>
      <c r="O228" s="628">
        <v>10.62</v>
      </c>
      <c r="P228" s="754">
        <v>0</v>
      </c>
      <c r="Q228" s="628">
        <v>0</v>
      </c>
      <c r="R228" s="628">
        <v>0</v>
      </c>
    </row>
    <row r="229" spans="1:18" s="631" customFormat="1" ht="12.75" customHeight="1" x14ac:dyDescent="0.25">
      <c r="A229" s="630" t="s">
        <v>70</v>
      </c>
      <c r="D229" s="630">
        <v>-15663330</v>
      </c>
      <c r="E229" s="630">
        <v>-1010931.86</v>
      </c>
      <c r="F229" s="630">
        <v>-550188.35</v>
      </c>
      <c r="G229" s="630">
        <v>-287957.14</v>
      </c>
      <c r="H229" s="630">
        <v>-3311154.84</v>
      </c>
      <c r="I229" s="630">
        <v>-119364.83</v>
      </c>
      <c r="J229" s="630">
        <v>-1055132.02</v>
      </c>
      <c r="K229" s="630">
        <v>-1080375.8400000001</v>
      </c>
      <c r="L229" s="630">
        <v>-5367667.74</v>
      </c>
      <c r="M229" s="630">
        <v>-2684356.19</v>
      </c>
      <c r="N229" s="630">
        <v>-196442.27</v>
      </c>
      <c r="O229" s="630">
        <v>8.64</v>
      </c>
      <c r="P229" s="631">
        <v>0</v>
      </c>
      <c r="Q229" s="631">
        <v>0</v>
      </c>
      <c r="R229" s="631">
        <v>232.44</v>
      </c>
    </row>
    <row r="230" spans="1:18" ht="12.75" customHeight="1" x14ac:dyDescent="0.25">
      <c r="A230" s="618"/>
      <c r="B230" s="618"/>
      <c r="D230" s="618"/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</row>
    <row r="231" spans="1:18" ht="12.75" customHeight="1" x14ac:dyDescent="0.25">
      <c r="A231" s="618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</row>
    <row r="232" spans="1:18" ht="12.75" customHeight="1" x14ac:dyDescent="0.25">
      <c r="B232" s="618"/>
      <c r="C232" s="618"/>
      <c r="D232" s="618"/>
      <c r="E232" s="618"/>
      <c r="F232" s="618"/>
      <c r="G232" s="618"/>
      <c r="H232" s="618"/>
      <c r="I232" s="618"/>
      <c r="J232" s="618"/>
      <c r="K232" s="618"/>
      <c r="L232" s="618"/>
      <c r="M232" s="618"/>
      <c r="N232" s="618"/>
      <c r="O232" s="618"/>
    </row>
    <row r="233" spans="1:18" ht="12.75" hidden="1" customHeight="1" x14ac:dyDescent="0.25"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</row>
    <row r="234" spans="1:18" ht="12.75" hidden="1" customHeight="1" x14ac:dyDescent="0.25">
      <c r="B234" s="618"/>
      <c r="C234" s="618"/>
      <c r="D234" s="618"/>
      <c r="E234" s="618"/>
      <c r="F234" s="618"/>
      <c r="G234" s="618"/>
      <c r="H234" s="618"/>
      <c r="I234" s="618"/>
      <c r="J234" s="618"/>
      <c r="K234" s="618"/>
      <c r="L234" s="618"/>
      <c r="M234" s="618"/>
      <c r="N234" s="618"/>
      <c r="O234" s="618"/>
    </row>
    <row r="235" spans="1:18" ht="12.75" hidden="1" customHeight="1" x14ac:dyDescent="0.25">
      <c r="B235" s="618"/>
      <c r="C235" s="618"/>
      <c r="D235" s="618"/>
      <c r="E235" s="618"/>
      <c r="F235" s="618"/>
      <c r="G235" s="618"/>
      <c r="H235" s="618"/>
      <c r="I235" s="618"/>
      <c r="J235" s="618"/>
      <c r="K235" s="618"/>
      <c r="L235" s="618"/>
      <c r="M235" s="618"/>
      <c r="N235" s="618"/>
      <c r="O235" s="618"/>
    </row>
    <row r="236" spans="1:18" ht="12.75" hidden="1" customHeight="1" x14ac:dyDescent="0.25"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</row>
    <row r="237" spans="1:18" ht="12.75" hidden="1" customHeight="1" x14ac:dyDescent="0.25">
      <c r="B237" s="618"/>
      <c r="C237" s="618"/>
      <c r="D237" s="618"/>
      <c r="E237" s="618"/>
      <c r="F237" s="618"/>
      <c r="G237" s="618"/>
      <c r="H237" s="618"/>
      <c r="I237" s="618"/>
      <c r="J237" s="618"/>
      <c r="K237" s="618"/>
      <c r="L237" s="618"/>
      <c r="M237" s="618"/>
      <c r="N237" s="618"/>
      <c r="O237" s="618"/>
    </row>
    <row r="238" spans="1:18" ht="12.75" hidden="1" customHeight="1" x14ac:dyDescent="0.25">
      <c r="B238" s="618"/>
      <c r="C238" s="618"/>
      <c r="D238" s="618"/>
      <c r="E238" s="618"/>
      <c r="F238" s="618"/>
      <c r="G238" s="618"/>
      <c r="H238" s="618"/>
      <c r="I238" s="618"/>
      <c r="J238" s="618"/>
      <c r="K238" s="618"/>
      <c r="L238" s="618"/>
      <c r="M238" s="618"/>
      <c r="N238" s="618"/>
      <c r="O238" s="618"/>
    </row>
    <row r="239" spans="1:18" ht="12.75" hidden="1" customHeight="1" x14ac:dyDescent="0.25">
      <c r="B239" s="618"/>
      <c r="C239" s="618"/>
      <c r="D239" s="618"/>
      <c r="E239" s="618"/>
      <c r="F239" s="618"/>
      <c r="G239" s="618"/>
      <c r="H239" s="618"/>
      <c r="I239" s="618"/>
      <c r="J239" s="618"/>
      <c r="K239" s="618"/>
      <c r="L239" s="618"/>
      <c r="M239" s="618"/>
      <c r="N239" s="618"/>
      <c r="O239" s="618"/>
    </row>
    <row r="240" spans="1:18" ht="12.75" hidden="1" customHeight="1" x14ac:dyDescent="0.25"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</row>
    <row r="241" spans="2:15" ht="12.75" hidden="1" customHeight="1" x14ac:dyDescent="0.25">
      <c r="B241" s="618"/>
      <c r="C241" s="618"/>
      <c r="D241" s="618"/>
      <c r="E241" s="618"/>
      <c r="F241" s="618"/>
      <c r="G241" s="618"/>
      <c r="H241" s="618"/>
      <c r="I241" s="618"/>
      <c r="J241" s="618"/>
      <c r="K241" s="618"/>
      <c r="L241" s="618"/>
      <c r="M241" s="618"/>
      <c r="N241" s="618"/>
      <c r="O241" s="618"/>
    </row>
    <row r="242" spans="2:15" ht="12.75" hidden="1" customHeight="1" x14ac:dyDescent="0.25">
      <c r="B242" s="618"/>
      <c r="C242" s="618"/>
      <c r="D242" s="618"/>
      <c r="E242" s="618"/>
      <c r="F242" s="618"/>
      <c r="G242" s="618"/>
      <c r="H242" s="618"/>
      <c r="I242" s="618"/>
      <c r="J242" s="618"/>
      <c r="K242" s="618"/>
      <c r="L242" s="618"/>
      <c r="M242" s="618"/>
      <c r="N242" s="618"/>
      <c r="O242" s="618"/>
    </row>
    <row r="243" spans="2:15" ht="12.75" hidden="1" customHeight="1" x14ac:dyDescent="0.25">
      <c r="B243" s="618"/>
      <c r="C243" s="618"/>
      <c r="D243" s="618"/>
      <c r="E243" s="618"/>
      <c r="F243" s="618"/>
      <c r="G243" s="618"/>
      <c r="H243" s="618"/>
      <c r="I243" s="618"/>
      <c r="J243" s="618"/>
      <c r="K243" s="618"/>
      <c r="L243" s="618"/>
      <c r="M243" s="618"/>
      <c r="N243" s="618"/>
      <c r="O243" s="618"/>
    </row>
    <row r="244" spans="2:15" ht="12.75" hidden="1" customHeight="1" x14ac:dyDescent="0.25"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</row>
    <row r="245" spans="2:15" ht="12.75" hidden="1" customHeight="1" x14ac:dyDescent="0.25">
      <c r="B245" s="618"/>
      <c r="C245" s="618"/>
      <c r="D245" s="618"/>
      <c r="E245" s="618"/>
      <c r="F245" s="618"/>
      <c r="G245" s="618"/>
      <c r="H245" s="618"/>
      <c r="I245" s="618"/>
      <c r="J245" s="618"/>
      <c r="K245" s="618"/>
      <c r="L245" s="618"/>
      <c r="M245" s="618"/>
      <c r="N245" s="618"/>
      <c r="O245" s="618"/>
    </row>
    <row r="246" spans="2:15" ht="12.75" hidden="1" customHeight="1" x14ac:dyDescent="0.25">
      <c r="B246" s="618"/>
      <c r="C246" s="618"/>
      <c r="D246" s="618"/>
      <c r="E246" s="618"/>
      <c r="F246" s="618"/>
      <c r="G246" s="618"/>
      <c r="H246" s="618"/>
      <c r="I246" s="618"/>
      <c r="J246" s="618"/>
      <c r="K246" s="618"/>
      <c r="L246" s="618"/>
      <c r="M246" s="618"/>
      <c r="N246" s="618"/>
      <c r="O246" s="618"/>
    </row>
    <row r="247" spans="2:15" ht="12.75" hidden="1" customHeight="1" x14ac:dyDescent="0.25">
      <c r="B247" s="618"/>
      <c r="C247" s="618"/>
      <c r="D247" s="618"/>
      <c r="E247" s="618"/>
      <c r="F247" s="618"/>
      <c r="G247" s="618"/>
      <c r="H247" s="618"/>
      <c r="I247" s="618"/>
      <c r="J247" s="618"/>
      <c r="K247" s="618"/>
      <c r="L247" s="618"/>
      <c r="M247" s="618"/>
      <c r="N247" s="618"/>
      <c r="O247" s="618"/>
    </row>
    <row r="248" spans="2:15" ht="12.75" hidden="1" customHeight="1" x14ac:dyDescent="0.25">
      <c r="B248" s="618"/>
      <c r="C248" s="618"/>
      <c r="D248" s="618"/>
      <c r="E248" s="618"/>
      <c r="F248" s="618"/>
      <c r="G248" s="618"/>
      <c r="H248" s="618"/>
      <c r="I248" s="618"/>
      <c r="J248" s="618"/>
      <c r="K248" s="618"/>
      <c r="L248" s="618"/>
      <c r="M248" s="618"/>
      <c r="N248" s="618"/>
      <c r="O248" s="618"/>
    </row>
    <row r="249" spans="2:15" ht="12.75" hidden="1" customHeight="1" x14ac:dyDescent="0.25">
      <c r="B249" s="618"/>
      <c r="C249" s="618"/>
      <c r="D249" s="618"/>
      <c r="E249" s="618"/>
      <c r="F249" s="618"/>
      <c r="G249" s="618"/>
      <c r="H249" s="618"/>
      <c r="I249" s="618"/>
      <c r="J249" s="618"/>
      <c r="K249" s="618"/>
      <c r="L249" s="618"/>
      <c r="M249" s="618"/>
      <c r="N249" s="618"/>
      <c r="O249" s="618"/>
    </row>
    <row r="250" spans="2:15" ht="12.75" hidden="1" customHeight="1" x14ac:dyDescent="0.25">
      <c r="B250" s="618"/>
      <c r="C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2:15" ht="12.75" hidden="1" customHeight="1" x14ac:dyDescent="0.25">
      <c r="B251" s="618"/>
      <c r="C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2:15" ht="12.75" hidden="1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2:15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2:15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2:15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2:15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1:18" ht="12.75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1:18" ht="12.75" customHeight="1" x14ac:dyDescent="0.25">
      <c r="A306" s="778" t="s">
        <v>2</v>
      </c>
      <c r="B306" s="777" t="s">
        <v>132</v>
      </c>
      <c r="C306" s="766" t="s">
        <v>70</v>
      </c>
      <c r="D306" s="766">
        <f>D229-P229</f>
        <v>-15663330</v>
      </c>
      <c r="E306" s="766">
        <f t="shared" ref="E306:R306" si="7">E225+E220+E214</f>
        <v>-1059006.9099999999</v>
      </c>
      <c r="F306" s="766">
        <f t="shared" si="7"/>
        <v>-573631.78</v>
      </c>
      <c r="G306" s="766">
        <f t="shared" si="7"/>
        <v>-300218.3</v>
      </c>
      <c r="H306" s="766">
        <f t="shared" si="7"/>
        <v>-4067879.9400000004</v>
      </c>
      <c r="I306" s="766">
        <f t="shared" si="7"/>
        <v>-144753.44</v>
      </c>
      <c r="J306" s="766">
        <f t="shared" si="7"/>
        <v>-1277818.75</v>
      </c>
      <c r="K306" s="766">
        <f t="shared" si="7"/>
        <v>-1321433.75</v>
      </c>
      <c r="L306" s="766">
        <f t="shared" si="7"/>
        <v>-6533412.2400000002</v>
      </c>
      <c r="M306" s="766">
        <f t="shared" si="7"/>
        <v>-2813333.23</v>
      </c>
      <c r="N306" s="766">
        <f t="shared" si="7"/>
        <v>-237859.31</v>
      </c>
      <c r="O306" s="766">
        <f t="shared" si="7"/>
        <v>8.64</v>
      </c>
      <c r="P306" s="766">
        <f t="shared" si="7"/>
        <v>0</v>
      </c>
      <c r="Q306" s="766">
        <f t="shared" si="7"/>
        <v>0</v>
      </c>
      <c r="R306" s="766">
        <f t="shared" si="7"/>
        <v>232.44</v>
      </c>
    </row>
    <row r="307" spans="1:18" ht="12.75" customHeight="1" x14ac:dyDescent="0.25">
      <c r="A307" s="778"/>
      <c r="B307" s="777"/>
      <c r="C307" s="766" t="s">
        <v>73</v>
      </c>
      <c r="D307" s="766">
        <f>D227+D222+D216</f>
        <v>2665776.5700000003</v>
      </c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  <c r="P307" s="618"/>
      <c r="Q307" s="618"/>
      <c r="R307" s="618"/>
    </row>
    <row r="308" spans="1:18" ht="12.75" customHeight="1" x14ac:dyDescent="0.25">
      <c r="A308" s="617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  <c r="P308" s="618"/>
      <c r="Q308" s="618"/>
      <c r="R308" s="618"/>
    </row>
    <row r="309" spans="1:18" ht="12.75" customHeight="1" x14ac:dyDescent="0.25">
      <c r="A309" s="778" t="s">
        <v>160</v>
      </c>
      <c r="B309" s="777" t="s">
        <v>132</v>
      </c>
      <c r="C309" s="632" t="s">
        <v>70</v>
      </c>
      <c r="D309" s="632">
        <f>D223-P223</f>
        <v>-549540</v>
      </c>
      <c r="E309" s="632">
        <f t="shared" ref="E309:R309" si="8">E220</f>
        <v>-37307.18</v>
      </c>
      <c r="F309" s="632">
        <f t="shared" si="8"/>
        <v>-19442.77</v>
      </c>
      <c r="G309" s="632">
        <f t="shared" si="8"/>
        <v>-11255.68</v>
      </c>
      <c r="H309" s="632">
        <f t="shared" si="8"/>
        <v>-125117.61</v>
      </c>
      <c r="I309" s="632">
        <f t="shared" si="8"/>
        <v>-3102.88</v>
      </c>
      <c r="J309" s="632">
        <f t="shared" si="8"/>
        <v>-27218.67</v>
      </c>
      <c r="K309" s="632">
        <f t="shared" si="8"/>
        <v>-39044.879999999997</v>
      </c>
      <c r="L309" s="632">
        <f t="shared" si="8"/>
        <v>-198437.24</v>
      </c>
      <c r="M309" s="632">
        <f t="shared" si="8"/>
        <v>-99201.18</v>
      </c>
      <c r="N309" s="632">
        <f t="shared" si="8"/>
        <v>-5062.6499999999996</v>
      </c>
      <c r="O309" s="632">
        <f t="shared" si="8"/>
        <v>6.56</v>
      </c>
      <c r="P309" s="632">
        <f t="shared" si="8"/>
        <v>0</v>
      </c>
      <c r="Q309" s="632">
        <f t="shared" si="8"/>
        <v>0</v>
      </c>
      <c r="R309" s="632">
        <f t="shared" si="8"/>
        <v>0</v>
      </c>
    </row>
    <row r="310" spans="1:18" ht="12.75" customHeight="1" x14ac:dyDescent="0.25">
      <c r="A310" s="778"/>
      <c r="B310" s="777"/>
      <c r="C310" s="632" t="s">
        <v>73</v>
      </c>
      <c r="D310" s="714">
        <f>D222</f>
        <v>15644.18</v>
      </c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  <c r="P310" s="618"/>
      <c r="Q310" s="618"/>
      <c r="R310" s="618"/>
    </row>
    <row r="311" spans="1:18" ht="12.75" customHeight="1" x14ac:dyDescent="0.25">
      <c r="A311" s="617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  <c r="P311" s="618"/>
      <c r="Q311" s="618"/>
      <c r="R311" s="618"/>
    </row>
    <row r="312" spans="1:18" ht="12.75" customHeight="1" x14ac:dyDescent="0.25">
      <c r="A312" s="778" t="s">
        <v>155</v>
      </c>
      <c r="B312" s="777" t="s">
        <v>132</v>
      </c>
      <c r="C312" s="633" t="s">
        <v>70</v>
      </c>
      <c r="D312" s="633">
        <f>D217-P217</f>
        <v>-14638846</v>
      </c>
      <c r="E312" s="633">
        <f>E214</f>
        <v>-981984.22</v>
      </c>
      <c r="F312" s="633">
        <f t="shared" ref="F312:R312" si="9">F214</f>
        <v>-531719.53</v>
      </c>
      <c r="G312" s="633">
        <f t="shared" si="9"/>
        <v>-276987.7</v>
      </c>
      <c r="H312" s="633">
        <f t="shared" si="9"/>
        <v>-3733321.22</v>
      </c>
      <c r="I312" s="633">
        <f t="shared" si="9"/>
        <v>-133937.22</v>
      </c>
      <c r="J312" s="633">
        <f t="shared" si="9"/>
        <v>-1186293.8600000001</v>
      </c>
      <c r="K312" s="633">
        <f t="shared" si="9"/>
        <v>-1219487.79</v>
      </c>
      <c r="L312" s="633">
        <f t="shared" si="9"/>
        <v>-6009928.21</v>
      </c>
      <c r="M312" s="633">
        <f t="shared" si="9"/>
        <v>-2607170.3199999998</v>
      </c>
      <c r="N312" s="633">
        <f t="shared" si="9"/>
        <v>-220835.76</v>
      </c>
      <c r="O312" s="633">
        <f t="shared" si="9"/>
        <v>-8.5399999999999991</v>
      </c>
      <c r="P312" s="633">
        <f t="shared" si="9"/>
        <v>0</v>
      </c>
      <c r="Q312" s="633">
        <f t="shared" si="9"/>
        <v>0</v>
      </c>
      <c r="R312" s="633">
        <f t="shared" si="9"/>
        <v>232.44</v>
      </c>
    </row>
    <row r="313" spans="1:18" ht="12.75" customHeight="1" x14ac:dyDescent="0.25">
      <c r="A313" s="778"/>
      <c r="B313" s="777"/>
      <c r="C313" s="633" t="s">
        <v>73</v>
      </c>
      <c r="D313" s="633">
        <f>D216</f>
        <v>2262595.9300000002</v>
      </c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</row>
    <row r="314" spans="1:18" ht="12.75" customHeight="1" x14ac:dyDescent="0.25">
      <c r="A314" s="722"/>
      <c r="B314" s="721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  <c r="P314" s="618"/>
      <c r="Q314" s="618"/>
      <c r="R314" s="618"/>
    </row>
    <row r="315" spans="1:18" ht="12.75" customHeight="1" x14ac:dyDescent="0.25">
      <c r="A315" s="779" t="s">
        <v>327</v>
      </c>
      <c r="B315" s="777" t="s">
        <v>132</v>
      </c>
      <c r="C315" s="633" t="s">
        <v>70</v>
      </c>
      <c r="D315" s="720">
        <v>0</v>
      </c>
      <c r="E315" s="720">
        <v>0</v>
      </c>
      <c r="F315" s="720">
        <v>0</v>
      </c>
      <c r="G315" s="720">
        <v>0</v>
      </c>
      <c r="H315" s="720">
        <v>0</v>
      </c>
      <c r="I315" s="720">
        <v>0</v>
      </c>
      <c r="J315" s="720">
        <v>0</v>
      </c>
      <c r="K315" s="720">
        <v>0</v>
      </c>
      <c r="L315" s="720">
        <v>0</v>
      </c>
      <c r="M315" s="720">
        <v>0</v>
      </c>
      <c r="N315" s="720">
        <v>0</v>
      </c>
      <c r="O315" s="720">
        <v>0</v>
      </c>
      <c r="P315" s="720">
        <v>0</v>
      </c>
      <c r="Q315" s="720">
        <v>0</v>
      </c>
      <c r="R315" s="720">
        <v>0</v>
      </c>
    </row>
    <row r="316" spans="1:18" ht="12.75" customHeight="1" x14ac:dyDescent="0.25">
      <c r="A316" s="779"/>
      <c r="B316" s="777"/>
      <c r="C316" s="633" t="s">
        <v>73</v>
      </c>
      <c r="D316" s="720">
        <v>0</v>
      </c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  <c r="P316" s="618"/>
      <c r="Q316" s="618"/>
    </row>
    <row r="317" spans="1:18" ht="12.75" customHeight="1" x14ac:dyDescent="0.25">
      <c r="A317" s="617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  <c r="P317" s="618"/>
      <c r="Q317" s="618"/>
      <c r="R317" s="618"/>
    </row>
    <row r="318" spans="1:18" ht="12.75" customHeight="1" x14ac:dyDescent="0.25">
      <c r="A318" s="778" t="s">
        <v>119</v>
      </c>
      <c r="B318" s="777" t="s">
        <v>132</v>
      </c>
      <c r="C318" s="628" t="s">
        <v>70</v>
      </c>
      <c r="D318" s="628">
        <f>D228-P228</f>
        <v>-474944</v>
      </c>
      <c r="E318" s="628">
        <f>E225</f>
        <v>-39715.51</v>
      </c>
      <c r="F318" s="628">
        <f t="shared" ref="F318:R318" si="10">F225</f>
        <v>-22469.48</v>
      </c>
      <c r="G318" s="628">
        <f t="shared" si="10"/>
        <v>-11974.92</v>
      </c>
      <c r="H318" s="628">
        <f t="shared" si="10"/>
        <v>-209441.11</v>
      </c>
      <c r="I318" s="628">
        <f t="shared" si="10"/>
        <v>-7713.34</v>
      </c>
      <c r="J318" s="628">
        <f t="shared" si="10"/>
        <v>-64306.22</v>
      </c>
      <c r="K318" s="628">
        <f t="shared" si="10"/>
        <v>-62901.08</v>
      </c>
      <c r="L318" s="628">
        <f t="shared" si="10"/>
        <v>-325046.78999999998</v>
      </c>
      <c r="M318" s="628">
        <f t="shared" si="10"/>
        <v>-106961.73</v>
      </c>
      <c r="N318" s="628">
        <f t="shared" si="10"/>
        <v>-11960.9</v>
      </c>
      <c r="O318" s="628">
        <f t="shared" si="10"/>
        <v>10.62</v>
      </c>
      <c r="P318" s="628">
        <f t="shared" si="10"/>
        <v>0</v>
      </c>
      <c r="Q318" s="628">
        <f t="shared" si="10"/>
        <v>0</v>
      </c>
      <c r="R318" s="628">
        <f t="shared" si="10"/>
        <v>0</v>
      </c>
    </row>
    <row r="319" spans="1:18" ht="12.75" customHeight="1" x14ac:dyDescent="0.25">
      <c r="A319" s="778"/>
      <c r="B319" s="777"/>
      <c r="C319" s="628" t="s">
        <v>73</v>
      </c>
      <c r="D319" s="628">
        <f>D227</f>
        <v>387536.46</v>
      </c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</row>
    <row r="320" spans="1:18" ht="12.75" customHeight="1" x14ac:dyDescent="0.25">
      <c r="A320" s="617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  <c r="P320" s="618"/>
      <c r="Q320" s="618"/>
      <c r="R320" s="618"/>
    </row>
    <row r="321" spans="1:18" ht="12.75" customHeight="1" x14ac:dyDescent="0.25">
      <c r="A321" s="776" t="s">
        <v>161</v>
      </c>
      <c r="B321" s="777" t="s">
        <v>132</v>
      </c>
      <c r="C321" s="634" t="s">
        <v>70</v>
      </c>
      <c r="D321" s="634">
        <v>0</v>
      </c>
      <c r="E321" s="634">
        <v>0</v>
      </c>
      <c r="F321" s="634">
        <v>0</v>
      </c>
      <c r="G321" s="634">
        <v>0</v>
      </c>
      <c r="H321" s="634">
        <v>0</v>
      </c>
      <c r="I321" s="634">
        <v>0</v>
      </c>
      <c r="J321" s="634">
        <v>0</v>
      </c>
      <c r="K321" s="634">
        <v>0</v>
      </c>
      <c r="L321" s="634">
        <v>0</v>
      </c>
      <c r="M321" s="634">
        <v>0</v>
      </c>
      <c r="N321" s="634">
        <v>0</v>
      </c>
      <c r="O321" s="634">
        <v>0</v>
      </c>
      <c r="P321" s="634">
        <v>0</v>
      </c>
      <c r="Q321" s="634">
        <v>0</v>
      </c>
      <c r="R321" s="634">
        <v>0</v>
      </c>
    </row>
    <row r="322" spans="1:18" ht="12.75" customHeight="1" x14ac:dyDescent="0.25">
      <c r="A322" s="776"/>
      <c r="B322" s="777"/>
      <c r="C322" s="634" t="s">
        <v>73</v>
      </c>
      <c r="D322" s="634">
        <v>0</v>
      </c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  <c r="P322" s="618"/>
      <c r="Q322" s="618"/>
    </row>
    <row r="323" spans="1:18" s="635" customFormat="1" x14ac:dyDescent="0.25"/>
    <row r="324" spans="1:18" x14ac:dyDescent="0.25">
      <c r="B324" s="617" t="s">
        <v>93</v>
      </c>
    </row>
    <row r="325" spans="1:18" ht="12.75" customHeight="1" x14ac:dyDescent="0.25">
      <c r="D325" s="618" t="s">
        <v>70</v>
      </c>
      <c r="E325" s="618" t="s">
        <v>64</v>
      </c>
      <c r="F325" s="618" t="s">
        <v>65</v>
      </c>
      <c r="G325" s="619" t="s">
        <v>164</v>
      </c>
      <c r="H325" s="618" t="s">
        <v>69</v>
      </c>
      <c r="I325" s="618" t="s">
        <v>68</v>
      </c>
      <c r="J325" s="618" t="s">
        <v>66</v>
      </c>
      <c r="K325" s="618" t="s">
        <v>63</v>
      </c>
      <c r="L325" s="618" t="s">
        <v>61</v>
      </c>
      <c r="M325" s="618" t="s">
        <v>62</v>
      </c>
      <c r="N325" s="618" t="s">
        <v>67</v>
      </c>
      <c r="O325" s="618" t="s">
        <v>77</v>
      </c>
      <c r="P325" s="616" t="s">
        <v>71</v>
      </c>
      <c r="Q325" s="618" t="s">
        <v>80</v>
      </c>
      <c r="R325" s="616" t="s">
        <v>168</v>
      </c>
    </row>
    <row r="326" spans="1:18" ht="12" customHeight="1" x14ac:dyDescent="0.25">
      <c r="C326" s="618" t="s">
        <v>72</v>
      </c>
      <c r="D326" s="618">
        <v>-1706689.32</v>
      </c>
      <c r="E326" s="618">
        <v>-94482.4</v>
      </c>
      <c r="F326" s="618">
        <v>-53308.05</v>
      </c>
      <c r="G326" s="618">
        <v>-27834.639999999999</v>
      </c>
      <c r="H326" s="618">
        <v>-369040.04</v>
      </c>
      <c r="I326" s="618">
        <v>-13788.77</v>
      </c>
      <c r="J326" s="618">
        <v>-120953.3</v>
      </c>
      <c r="K326" s="618">
        <v>-114901.98</v>
      </c>
      <c r="L326" s="618">
        <v>-608077.97</v>
      </c>
      <c r="M326" s="618">
        <v>-281789.78000000003</v>
      </c>
      <c r="N326" s="618">
        <v>-22497.42</v>
      </c>
      <c r="O326" s="618">
        <v>-14.97</v>
      </c>
      <c r="P326" s="616">
        <v>0</v>
      </c>
      <c r="Q326" s="618">
        <v>0</v>
      </c>
      <c r="R326" s="616">
        <v>0</v>
      </c>
    </row>
    <row r="327" spans="1:18" ht="12" customHeight="1" x14ac:dyDescent="0.25">
      <c r="C327" s="618" t="s">
        <v>81</v>
      </c>
      <c r="D327" s="618">
        <v>-456.61</v>
      </c>
      <c r="E327" s="618">
        <v>-47.8</v>
      </c>
      <c r="F327" s="618">
        <v>-26.97</v>
      </c>
      <c r="G327" s="618">
        <v>-14.11</v>
      </c>
      <c r="H327" s="618">
        <v>-65.69</v>
      </c>
      <c r="I327" s="618">
        <v>-2.4900000000000002</v>
      </c>
      <c r="J327" s="618">
        <v>-21.9</v>
      </c>
      <c r="K327" s="618">
        <v>-21.51</v>
      </c>
      <c r="L327" s="618">
        <v>-110</v>
      </c>
      <c r="M327" s="618">
        <v>-142.07</v>
      </c>
      <c r="N327" s="618">
        <v>-4.08</v>
      </c>
      <c r="O327" s="618">
        <v>0.01</v>
      </c>
      <c r="P327" s="616">
        <v>0</v>
      </c>
      <c r="Q327" s="618">
        <v>0</v>
      </c>
      <c r="R327" s="616">
        <v>0</v>
      </c>
    </row>
    <row r="328" spans="1:18" s="621" customFormat="1" ht="12.75" customHeight="1" x14ac:dyDescent="0.25">
      <c r="A328" s="622"/>
      <c r="B328" s="621" t="s">
        <v>78</v>
      </c>
      <c r="C328" s="621" t="s">
        <v>70</v>
      </c>
      <c r="D328" s="622">
        <v>-1707145.93</v>
      </c>
      <c r="E328" s="622">
        <v>-94530.2</v>
      </c>
      <c r="F328" s="622">
        <v>-53335.02</v>
      </c>
      <c r="G328" s="622">
        <v>-27848.75</v>
      </c>
      <c r="H328" s="622">
        <v>-369105.73</v>
      </c>
      <c r="I328" s="622">
        <v>-13791.26</v>
      </c>
      <c r="J328" s="622">
        <v>-120975.2</v>
      </c>
      <c r="K328" s="622">
        <v>-114923.49</v>
      </c>
      <c r="L328" s="622">
        <v>-608187.97</v>
      </c>
      <c r="M328" s="622">
        <v>-281931.84999999998</v>
      </c>
      <c r="N328" s="622">
        <v>-22501.5</v>
      </c>
      <c r="O328" s="622">
        <v>-14.96</v>
      </c>
      <c r="P328" s="621">
        <v>0</v>
      </c>
      <c r="Q328" s="621">
        <v>0</v>
      </c>
      <c r="R328" s="621">
        <v>0</v>
      </c>
    </row>
    <row r="329" spans="1:18" ht="12" customHeight="1" x14ac:dyDescent="0.25">
      <c r="C329" s="618" t="s">
        <v>73</v>
      </c>
      <c r="D329" s="618">
        <v>252595.93</v>
      </c>
      <c r="E329" s="618">
        <v>11832.72</v>
      </c>
      <c r="F329" s="618">
        <v>6669.12</v>
      </c>
      <c r="G329" s="618">
        <v>3454.83</v>
      </c>
      <c r="H329" s="618">
        <v>57250.879999999997</v>
      </c>
      <c r="I329" s="618">
        <v>2188.66</v>
      </c>
      <c r="J329" s="618">
        <v>19197.88</v>
      </c>
      <c r="K329" s="618">
        <v>17533.080000000002</v>
      </c>
      <c r="L329" s="618">
        <v>96412.03</v>
      </c>
      <c r="M329" s="618">
        <v>34485.89</v>
      </c>
      <c r="N329" s="618">
        <v>3570.84</v>
      </c>
      <c r="O329" s="618">
        <v>0</v>
      </c>
      <c r="P329" s="616">
        <v>0</v>
      </c>
      <c r="Q329" s="618">
        <v>0</v>
      </c>
      <c r="R329" s="616">
        <v>0</v>
      </c>
    </row>
    <row r="330" spans="1:18" s="623" customFormat="1" ht="12.75" customHeight="1" x14ac:dyDescent="0.25">
      <c r="A330" s="624"/>
      <c r="B330" s="624" t="s">
        <v>79</v>
      </c>
      <c r="C330" s="623" t="s">
        <v>70</v>
      </c>
      <c r="D330" s="624">
        <v>252595.93</v>
      </c>
      <c r="E330" s="624">
        <v>11832.72</v>
      </c>
      <c r="F330" s="624">
        <v>6669.12</v>
      </c>
      <c r="G330" s="624">
        <v>3454.83</v>
      </c>
      <c r="H330" s="624">
        <v>57250.879999999997</v>
      </c>
      <c r="I330" s="624">
        <v>2188.66</v>
      </c>
      <c r="J330" s="624">
        <v>19197.88</v>
      </c>
      <c r="K330" s="624">
        <v>17533.080000000002</v>
      </c>
      <c r="L330" s="624">
        <v>96412.03</v>
      </c>
      <c r="M330" s="624">
        <v>34485.89</v>
      </c>
      <c r="N330" s="624">
        <v>3570.84</v>
      </c>
      <c r="O330" s="624">
        <v>0</v>
      </c>
      <c r="P330" s="623">
        <v>0</v>
      </c>
      <c r="Q330" s="623">
        <v>0</v>
      </c>
      <c r="R330" s="623">
        <v>0</v>
      </c>
    </row>
    <row r="331" spans="1:18" s="625" customFormat="1" ht="12.75" customHeight="1" x14ac:dyDescent="0.25">
      <c r="A331" s="625" t="s">
        <v>155</v>
      </c>
      <c r="B331" s="625" t="s">
        <v>70</v>
      </c>
      <c r="D331" s="626">
        <v>-1454550</v>
      </c>
      <c r="E331" s="626">
        <v>-82697.48</v>
      </c>
      <c r="F331" s="626">
        <v>-46665.9</v>
      </c>
      <c r="G331" s="627">
        <v>-24393.919999999998</v>
      </c>
      <c r="H331" s="626">
        <v>-311854.84999999998</v>
      </c>
      <c r="I331" s="626">
        <v>-11602.6</v>
      </c>
      <c r="J331" s="626">
        <v>-101777.32</v>
      </c>
      <c r="K331" s="626">
        <v>-97390.41</v>
      </c>
      <c r="L331" s="626">
        <v>-511775.94</v>
      </c>
      <c r="M331" s="626">
        <v>-247445.96</v>
      </c>
      <c r="N331" s="626">
        <v>-18930.66</v>
      </c>
      <c r="O331" s="626">
        <v>-14.96</v>
      </c>
      <c r="P331" s="626">
        <v>0</v>
      </c>
      <c r="Q331" s="626">
        <v>0</v>
      </c>
      <c r="R331" s="625">
        <v>0</v>
      </c>
    </row>
    <row r="332" spans="1:18" ht="12.75" customHeight="1" x14ac:dyDescent="0.25">
      <c r="C332" s="616" t="s">
        <v>72</v>
      </c>
      <c r="D332" s="618">
        <v>-2862889.72</v>
      </c>
      <c r="E332" s="618">
        <v>-179668.09</v>
      </c>
      <c r="F332" s="618">
        <v>-82974.25</v>
      </c>
      <c r="G332" s="620">
        <v>-45392.65</v>
      </c>
      <c r="H332" s="618">
        <v>-673487.67</v>
      </c>
      <c r="I332" s="618">
        <v>-17742.75</v>
      </c>
      <c r="J332" s="618">
        <v>-155636.23000000001</v>
      </c>
      <c r="K332" s="618">
        <v>-193184.12</v>
      </c>
      <c r="L332" s="618">
        <v>-948866.03</v>
      </c>
      <c r="M332" s="618">
        <v>-536960.47</v>
      </c>
      <c r="N332" s="618">
        <v>-28948.27</v>
      </c>
      <c r="O332" s="618">
        <v>-29.19</v>
      </c>
      <c r="P332" s="618">
        <v>0</v>
      </c>
      <c r="Q332" s="618">
        <v>0</v>
      </c>
      <c r="R332" s="616">
        <v>0</v>
      </c>
    </row>
    <row r="333" spans="1:18" ht="12.75" customHeight="1" x14ac:dyDescent="0.25">
      <c r="C333" s="616" t="s">
        <v>81</v>
      </c>
      <c r="D333" s="618">
        <v>-7202.5</v>
      </c>
      <c r="E333" s="618">
        <v>-472.72</v>
      </c>
      <c r="F333" s="618">
        <v>-217.35</v>
      </c>
      <c r="G333" s="620">
        <v>-118.11</v>
      </c>
      <c r="H333" s="618">
        <v>-1668.72</v>
      </c>
      <c r="I333" s="618">
        <v>-44.26</v>
      </c>
      <c r="J333" s="618">
        <v>-386.59</v>
      </c>
      <c r="K333" s="618">
        <v>-478.13</v>
      </c>
      <c r="L333" s="618">
        <v>-2330.63</v>
      </c>
      <c r="M333" s="618">
        <v>-1414.2</v>
      </c>
      <c r="N333" s="618">
        <v>-71.87</v>
      </c>
      <c r="O333" s="618">
        <v>0.08</v>
      </c>
      <c r="P333" s="618">
        <v>0</v>
      </c>
      <c r="Q333" s="618">
        <v>0</v>
      </c>
      <c r="R333" s="616">
        <v>0</v>
      </c>
    </row>
    <row r="334" spans="1:18" s="621" customFormat="1" ht="12.75" customHeight="1" x14ac:dyDescent="0.25">
      <c r="A334" s="622"/>
      <c r="B334" s="621" t="s">
        <v>78</v>
      </c>
      <c r="C334" s="621" t="s">
        <v>70</v>
      </c>
      <c r="D334" s="622">
        <v>-2870092.22</v>
      </c>
      <c r="E334" s="622">
        <v>-180140.81</v>
      </c>
      <c r="F334" s="622">
        <v>-83191.600000000006</v>
      </c>
      <c r="G334" s="622">
        <v>-45510.76</v>
      </c>
      <c r="H334" s="622">
        <v>-675156.39</v>
      </c>
      <c r="I334" s="622">
        <v>-17787.009999999998</v>
      </c>
      <c r="J334" s="622">
        <v>-156022.82</v>
      </c>
      <c r="K334" s="622">
        <v>-193662.25</v>
      </c>
      <c r="L334" s="622">
        <v>-951196.66</v>
      </c>
      <c r="M334" s="622">
        <v>-538374.67000000004</v>
      </c>
      <c r="N334" s="622">
        <v>-29020.14</v>
      </c>
      <c r="O334" s="622">
        <v>-29.11</v>
      </c>
      <c r="P334" s="621">
        <v>0</v>
      </c>
      <c r="Q334" s="621">
        <v>0</v>
      </c>
      <c r="R334" s="621">
        <v>0</v>
      </c>
    </row>
    <row r="335" spans="1:18" ht="12.75" customHeight="1" x14ac:dyDescent="0.25">
      <c r="C335" s="616" t="s">
        <v>73</v>
      </c>
      <c r="D335" s="618">
        <v>313270.57</v>
      </c>
      <c r="E335" s="618">
        <v>18281.23</v>
      </c>
      <c r="F335" s="618">
        <v>8411.2900000000009</v>
      </c>
      <c r="G335" s="620">
        <v>4624.0200000000004</v>
      </c>
      <c r="H335" s="618">
        <v>75908.12</v>
      </c>
      <c r="I335" s="618">
        <v>1999.2</v>
      </c>
      <c r="J335" s="618">
        <v>17539.47</v>
      </c>
      <c r="K335" s="618">
        <v>21753.17</v>
      </c>
      <c r="L335" s="618">
        <v>106827.34</v>
      </c>
      <c r="M335" s="618">
        <v>54664.01</v>
      </c>
      <c r="N335" s="618">
        <v>3262.72</v>
      </c>
      <c r="O335" s="618">
        <v>0</v>
      </c>
      <c r="P335" s="618">
        <v>0</v>
      </c>
      <c r="Q335" s="618">
        <v>0</v>
      </c>
      <c r="R335" s="616">
        <v>0</v>
      </c>
    </row>
    <row r="336" spans="1:18" s="623" customFormat="1" ht="12.75" customHeight="1" x14ac:dyDescent="0.25">
      <c r="A336" s="624"/>
      <c r="B336" s="624" t="s">
        <v>79</v>
      </c>
      <c r="C336" s="623" t="s">
        <v>70</v>
      </c>
      <c r="D336" s="624">
        <v>313270.57</v>
      </c>
      <c r="E336" s="624">
        <v>18281.23</v>
      </c>
      <c r="F336" s="624">
        <v>8411.2900000000009</v>
      </c>
      <c r="G336" s="624">
        <v>4624.0200000000004</v>
      </c>
      <c r="H336" s="624">
        <v>75908.12</v>
      </c>
      <c r="I336" s="624">
        <v>1999.2</v>
      </c>
      <c r="J336" s="624">
        <v>17539.47</v>
      </c>
      <c r="K336" s="624">
        <v>21753.17</v>
      </c>
      <c r="L336" s="624">
        <v>106827.34</v>
      </c>
      <c r="M336" s="624">
        <v>54664.01</v>
      </c>
      <c r="N336" s="624">
        <v>3262.72</v>
      </c>
      <c r="O336" s="624">
        <v>0</v>
      </c>
      <c r="P336" s="623">
        <v>0</v>
      </c>
      <c r="Q336" s="623">
        <v>0</v>
      </c>
      <c r="R336" s="623">
        <v>0</v>
      </c>
    </row>
    <row r="337" spans="1:18" s="754" customFormat="1" ht="12.75" customHeight="1" x14ac:dyDescent="0.25">
      <c r="A337" s="754" t="s">
        <v>119</v>
      </c>
      <c r="B337" s="628" t="s">
        <v>70</v>
      </c>
      <c r="C337" s="628"/>
      <c r="D337" s="628">
        <v>-2556821.65</v>
      </c>
      <c r="E337" s="628">
        <v>-161859.57999999999</v>
      </c>
      <c r="F337" s="628">
        <v>-74780.31</v>
      </c>
      <c r="G337" s="628">
        <v>-40886.74</v>
      </c>
      <c r="H337" s="628">
        <v>-599248.27</v>
      </c>
      <c r="I337" s="628">
        <v>-15787.81</v>
      </c>
      <c r="J337" s="628">
        <v>-138483.35</v>
      </c>
      <c r="K337" s="628">
        <v>-171909.08</v>
      </c>
      <c r="L337" s="628">
        <v>-844369.32</v>
      </c>
      <c r="M337" s="628">
        <v>-483710.66</v>
      </c>
      <c r="N337" s="628">
        <v>-25757.42</v>
      </c>
      <c r="O337" s="628">
        <v>-29.11</v>
      </c>
      <c r="P337" s="754">
        <v>0</v>
      </c>
      <c r="Q337" s="628">
        <v>0</v>
      </c>
      <c r="R337" s="628">
        <v>0</v>
      </c>
    </row>
    <row r="338" spans="1:18" s="631" customFormat="1" ht="12.75" customHeight="1" x14ac:dyDescent="0.25">
      <c r="A338" s="630" t="s">
        <v>70</v>
      </c>
      <c r="D338" s="630">
        <v>-4011371.65</v>
      </c>
      <c r="E338" s="630">
        <v>-244557.06</v>
      </c>
      <c r="F338" s="630">
        <v>-121446.21</v>
      </c>
      <c r="G338" s="630">
        <v>-65280.66</v>
      </c>
      <c r="H338" s="630">
        <v>-911103.12</v>
      </c>
      <c r="I338" s="630">
        <v>-27390.41</v>
      </c>
      <c r="J338" s="630">
        <v>-240260.67</v>
      </c>
      <c r="K338" s="630">
        <v>-269299.49</v>
      </c>
      <c r="L338" s="630">
        <v>-1356145.26</v>
      </c>
      <c r="M338" s="630">
        <v>-731156.62</v>
      </c>
      <c r="N338" s="630">
        <v>-44688.08</v>
      </c>
      <c r="O338" s="630">
        <v>-44.07</v>
      </c>
      <c r="P338" s="631">
        <v>0</v>
      </c>
      <c r="Q338" s="631">
        <v>0</v>
      </c>
      <c r="R338" s="631">
        <v>0</v>
      </c>
    </row>
    <row r="339" spans="1:18" ht="12.75" customHeight="1" x14ac:dyDescent="0.25"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Q339" s="618"/>
    </row>
    <row r="340" spans="1:18" ht="12.75" customHeight="1" x14ac:dyDescent="0.25"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Q340" s="618"/>
    </row>
    <row r="341" spans="1:18" ht="12.75" customHeight="1" x14ac:dyDescent="0.25">
      <c r="A341" s="778" t="s">
        <v>2</v>
      </c>
      <c r="B341" s="777" t="s">
        <v>132</v>
      </c>
      <c r="C341" s="766" t="s">
        <v>70</v>
      </c>
      <c r="D341" s="766">
        <f>D338-P338</f>
        <v>-4011371.65</v>
      </c>
      <c r="E341" s="766">
        <f>E328+E334</f>
        <v>-274671.01</v>
      </c>
      <c r="F341" s="766">
        <f t="shared" ref="F341:R341" si="11">F328+F334</f>
        <v>-136526.62</v>
      </c>
      <c r="G341" s="766">
        <f t="shared" si="11"/>
        <v>-73359.510000000009</v>
      </c>
      <c r="H341" s="766">
        <f t="shared" si="11"/>
        <v>-1044262.12</v>
      </c>
      <c r="I341" s="766">
        <f t="shared" si="11"/>
        <v>-31578.269999999997</v>
      </c>
      <c r="J341" s="766">
        <f t="shared" si="11"/>
        <v>-276998.02</v>
      </c>
      <c r="K341" s="766">
        <f t="shared" si="11"/>
        <v>-308585.74</v>
      </c>
      <c r="L341" s="766">
        <f t="shared" si="11"/>
        <v>-1559384.63</v>
      </c>
      <c r="M341" s="766">
        <f t="shared" si="11"/>
        <v>-820306.52</v>
      </c>
      <c r="N341" s="766">
        <f t="shared" si="11"/>
        <v>-51521.64</v>
      </c>
      <c r="O341" s="766">
        <f t="shared" si="11"/>
        <v>-44.07</v>
      </c>
      <c r="P341" s="766">
        <f t="shared" si="11"/>
        <v>0</v>
      </c>
      <c r="Q341" s="766">
        <f t="shared" si="11"/>
        <v>0</v>
      </c>
      <c r="R341" s="766">
        <f t="shared" si="11"/>
        <v>0</v>
      </c>
    </row>
    <row r="342" spans="1:18" ht="12.75" customHeight="1" x14ac:dyDescent="0.25">
      <c r="A342" s="778"/>
      <c r="B342" s="777"/>
      <c r="C342" s="766" t="s">
        <v>73</v>
      </c>
      <c r="D342" s="767">
        <f>D330+D336</f>
        <v>565866.5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  <c r="R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78" t="s">
        <v>160</v>
      </c>
      <c r="B344" s="777" t="s">
        <v>132</v>
      </c>
      <c r="C344" s="632" t="s">
        <v>70</v>
      </c>
      <c r="D344" s="632">
        <v>0</v>
      </c>
      <c r="E344" s="632">
        <v>0</v>
      </c>
      <c r="F344" s="632">
        <v>0</v>
      </c>
      <c r="G344" s="632">
        <v>0</v>
      </c>
      <c r="H344" s="632">
        <v>0</v>
      </c>
      <c r="I344" s="632">
        <v>0</v>
      </c>
      <c r="J344" s="632">
        <v>0</v>
      </c>
      <c r="K344" s="632">
        <v>0</v>
      </c>
      <c r="L344" s="632">
        <v>0</v>
      </c>
      <c r="M344" s="632">
        <v>0</v>
      </c>
      <c r="N344" s="632">
        <v>0</v>
      </c>
      <c r="O344" s="632">
        <v>0</v>
      </c>
      <c r="P344" s="632">
        <v>0</v>
      </c>
      <c r="Q344" s="632">
        <v>0</v>
      </c>
      <c r="R344" s="632">
        <v>0</v>
      </c>
    </row>
    <row r="345" spans="1:18" ht="12.75" customHeight="1" x14ac:dyDescent="0.25">
      <c r="A345" s="778"/>
      <c r="B345" s="777"/>
      <c r="C345" s="632" t="s">
        <v>73</v>
      </c>
      <c r="D345" s="632">
        <v>0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78" t="s">
        <v>155</v>
      </c>
      <c r="B347" s="777" t="s">
        <v>132</v>
      </c>
      <c r="C347" s="633" t="s">
        <v>70</v>
      </c>
      <c r="D347" s="633">
        <f>D331-P331</f>
        <v>-1454550</v>
      </c>
      <c r="E347" s="633">
        <f t="shared" ref="E347:R347" si="12">E328</f>
        <v>-94530.2</v>
      </c>
      <c r="F347" s="633">
        <f t="shared" si="12"/>
        <v>-53335.02</v>
      </c>
      <c r="G347" s="633">
        <f t="shared" si="12"/>
        <v>-27848.75</v>
      </c>
      <c r="H347" s="633">
        <f t="shared" si="12"/>
        <v>-369105.73</v>
      </c>
      <c r="I347" s="633">
        <f t="shared" si="12"/>
        <v>-13791.26</v>
      </c>
      <c r="J347" s="633">
        <f t="shared" si="12"/>
        <v>-120975.2</v>
      </c>
      <c r="K347" s="633">
        <f t="shared" si="12"/>
        <v>-114923.49</v>
      </c>
      <c r="L347" s="633">
        <f t="shared" si="12"/>
        <v>-608187.97</v>
      </c>
      <c r="M347" s="633">
        <f t="shared" si="12"/>
        <v>-281931.84999999998</v>
      </c>
      <c r="N347" s="633">
        <f t="shared" si="12"/>
        <v>-22501.5</v>
      </c>
      <c r="O347" s="633">
        <f t="shared" si="12"/>
        <v>-14.96</v>
      </c>
      <c r="P347" s="633">
        <f t="shared" si="12"/>
        <v>0</v>
      </c>
      <c r="Q347" s="633">
        <f t="shared" si="12"/>
        <v>0</v>
      </c>
      <c r="R347" s="633">
        <f t="shared" si="12"/>
        <v>0</v>
      </c>
    </row>
    <row r="348" spans="1:18" ht="12.75" customHeight="1" x14ac:dyDescent="0.25">
      <c r="A348" s="778"/>
      <c r="B348" s="777"/>
      <c r="C348" s="633" t="s">
        <v>73</v>
      </c>
      <c r="D348" s="633">
        <f>D330</f>
        <v>252595.93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ht="12.75" customHeight="1" x14ac:dyDescent="0.25">
      <c r="A349" s="617"/>
      <c r="D349" s="618"/>
      <c r="E349" s="618"/>
      <c r="F349" s="618"/>
      <c r="G349" s="618"/>
      <c r="H349" s="618"/>
      <c r="I349" s="618"/>
      <c r="J349" s="618"/>
      <c r="K349" s="618"/>
      <c r="L349" s="618"/>
      <c r="M349" s="618"/>
      <c r="N349" s="618"/>
      <c r="O349" s="618"/>
      <c r="P349" s="618"/>
      <c r="Q349" s="618"/>
    </row>
    <row r="350" spans="1:18" ht="12.75" customHeight="1" x14ac:dyDescent="0.25">
      <c r="A350" s="779" t="s">
        <v>327</v>
      </c>
      <c r="B350" s="777" t="s">
        <v>132</v>
      </c>
      <c r="C350" s="633" t="s">
        <v>70</v>
      </c>
      <c r="D350" s="720">
        <v>0</v>
      </c>
      <c r="E350" s="720">
        <v>0</v>
      </c>
      <c r="F350" s="720">
        <v>0</v>
      </c>
      <c r="G350" s="720">
        <v>0</v>
      </c>
      <c r="H350" s="720">
        <v>0</v>
      </c>
      <c r="I350" s="720">
        <v>0</v>
      </c>
      <c r="J350" s="720">
        <v>0</v>
      </c>
      <c r="K350" s="720">
        <v>0</v>
      </c>
      <c r="L350" s="720">
        <v>0</v>
      </c>
      <c r="M350" s="720">
        <v>0</v>
      </c>
      <c r="N350" s="720">
        <v>0</v>
      </c>
      <c r="O350" s="720">
        <v>0</v>
      </c>
      <c r="P350" s="720">
        <v>0</v>
      </c>
      <c r="Q350" s="720">
        <v>0</v>
      </c>
      <c r="R350" s="720">
        <v>0</v>
      </c>
    </row>
    <row r="351" spans="1:18" ht="12.75" customHeight="1" x14ac:dyDescent="0.25">
      <c r="A351" s="779"/>
      <c r="B351" s="777"/>
      <c r="C351" s="633" t="s">
        <v>73</v>
      </c>
      <c r="D351" s="720">
        <v>0</v>
      </c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</row>
    <row r="352" spans="1:18" ht="12.75" customHeight="1" x14ac:dyDescent="0.25">
      <c r="A352" s="617"/>
      <c r="D352" s="618"/>
      <c r="E352" s="618"/>
      <c r="F352" s="618"/>
      <c r="G352" s="618"/>
      <c r="H352" s="618"/>
      <c r="I352" s="618"/>
      <c r="J352" s="618"/>
      <c r="K352" s="618"/>
      <c r="L352" s="618"/>
      <c r="M352" s="618"/>
      <c r="N352" s="618"/>
      <c r="O352" s="618"/>
      <c r="P352" s="618"/>
      <c r="Q352" s="618"/>
    </row>
    <row r="353" spans="1:18" ht="12.75" customHeight="1" x14ac:dyDescent="0.25">
      <c r="A353" s="778" t="s">
        <v>119</v>
      </c>
      <c r="B353" s="777" t="s">
        <v>132</v>
      </c>
      <c r="C353" s="628" t="s">
        <v>70</v>
      </c>
      <c r="D353" s="628">
        <f>D337-P337</f>
        <v>-2556821.65</v>
      </c>
      <c r="E353" s="628">
        <f>E334</f>
        <v>-180140.81</v>
      </c>
      <c r="F353" s="628">
        <f t="shared" ref="F353:R353" si="13">F334</f>
        <v>-83191.600000000006</v>
      </c>
      <c r="G353" s="628">
        <f t="shared" si="13"/>
        <v>-45510.76</v>
      </c>
      <c r="H353" s="628">
        <f t="shared" si="13"/>
        <v>-675156.39</v>
      </c>
      <c r="I353" s="628">
        <f t="shared" si="13"/>
        <v>-17787.009999999998</v>
      </c>
      <c r="J353" s="628">
        <f t="shared" si="13"/>
        <v>-156022.82</v>
      </c>
      <c r="K353" s="628">
        <f t="shared" si="13"/>
        <v>-193662.25</v>
      </c>
      <c r="L353" s="628">
        <f t="shared" si="13"/>
        <v>-951196.66</v>
      </c>
      <c r="M353" s="628">
        <f t="shared" si="13"/>
        <v>-538374.67000000004</v>
      </c>
      <c r="N353" s="628">
        <f t="shared" si="13"/>
        <v>-29020.14</v>
      </c>
      <c r="O353" s="628">
        <f t="shared" si="13"/>
        <v>-29.11</v>
      </c>
      <c r="P353" s="628">
        <f t="shared" si="13"/>
        <v>0</v>
      </c>
      <c r="Q353" s="628">
        <f t="shared" si="13"/>
        <v>0</v>
      </c>
      <c r="R353" s="628">
        <f t="shared" si="13"/>
        <v>0</v>
      </c>
    </row>
    <row r="354" spans="1:18" ht="12.75" customHeight="1" x14ac:dyDescent="0.25">
      <c r="A354" s="778"/>
      <c r="B354" s="777"/>
      <c r="C354" s="628" t="s">
        <v>73</v>
      </c>
      <c r="D354" s="629">
        <f>D336</f>
        <v>313270.57</v>
      </c>
      <c r="E354" s="618"/>
      <c r="F354" s="618"/>
      <c r="G354" s="618"/>
      <c r="H354" s="618"/>
      <c r="I354" s="618"/>
      <c r="J354" s="618"/>
      <c r="K354" s="618"/>
      <c r="L354" s="618"/>
      <c r="M354" s="618"/>
      <c r="N354" s="618"/>
      <c r="O354" s="618"/>
      <c r="P354" s="618"/>
      <c r="Q354" s="618"/>
    </row>
    <row r="355" spans="1:18" ht="12.75" customHeight="1" x14ac:dyDescent="0.25">
      <c r="A355" s="617"/>
      <c r="D355" s="618"/>
      <c r="E355" s="618"/>
      <c r="F355" s="618"/>
      <c r="G355" s="618"/>
      <c r="H355" s="618"/>
      <c r="I355" s="618"/>
      <c r="J355" s="618"/>
      <c r="K355" s="618"/>
      <c r="L355" s="618"/>
      <c r="M355" s="618"/>
      <c r="N355" s="618"/>
      <c r="O355" s="618"/>
      <c r="P355" s="618"/>
      <c r="Q355" s="618"/>
    </row>
    <row r="356" spans="1:18" x14ac:dyDescent="0.25">
      <c r="A356" s="776" t="s">
        <v>161</v>
      </c>
      <c r="B356" s="777" t="s">
        <v>132</v>
      </c>
      <c r="C356" s="634" t="s">
        <v>70</v>
      </c>
      <c r="D356" s="634">
        <v>0</v>
      </c>
      <c r="E356" s="634">
        <v>0</v>
      </c>
      <c r="F356" s="634">
        <v>0</v>
      </c>
      <c r="G356" s="634">
        <v>0</v>
      </c>
      <c r="H356" s="634">
        <v>0</v>
      </c>
      <c r="I356" s="634">
        <v>0</v>
      </c>
      <c r="J356" s="634">
        <v>0</v>
      </c>
      <c r="K356" s="634">
        <v>0</v>
      </c>
      <c r="L356" s="634">
        <v>0</v>
      </c>
      <c r="M356" s="634">
        <v>0</v>
      </c>
      <c r="N356" s="634">
        <v>0</v>
      </c>
      <c r="O356" s="634">
        <v>0</v>
      </c>
      <c r="P356" s="634">
        <v>0</v>
      </c>
      <c r="Q356" s="634">
        <v>0</v>
      </c>
      <c r="R356" s="634">
        <v>0</v>
      </c>
    </row>
    <row r="357" spans="1:18" x14ac:dyDescent="0.25">
      <c r="A357" s="776"/>
      <c r="B357" s="777"/>
      <c r="C357" s="634" t="s">
        <v>73</v>
      </c>
      <c r="D357" s="634">
        <v>0</v>
      </c>
      <c r="E357" s="618"/>
      <c r="F357" s="618"/>
      <c r="G357" s="618"/>
      <c r="H357" s="618"/>
      <c r="I357" s="618"/>
      <c r="J357" s="618"/>
      <c r="K357" s="618"/>
      <c r="L357" s="618"/>
      <c r="M357" s="618"/>
      <c r="N357" s="618"/>
      <c r="O357" s="618"/>
      <c r="P357" s="618"/>
      <c r="Q357" s="618"/>
    </row>
    <row r="358" spans="1:18" s="635" customFormat="1" x14ac:dyDescent="0.25"/>
    <row r="361" spans="1:18" x14ac:dyDescent="0.25">
      <c r="D361" s="616">
        <f t="shared" ref="D361:R361" si="14">D66+D161+D192+D306+D341</f>
        <v>-37837627.649999999</v>
      </c>
      <c r="E361" s="616">
        <f t="shared" si="14"/>
        <v>-2641259.16</v>
      </c>
      <c r="F361" s="616">
        <f t="shared" si="14"/>
        <v>-1443788.02</v>
      </c>
      <c r="G361" s="616">
        <f t="shared" si="14"/>
        <v>-760887.66999999993</v>
      </c>
      <c r="H361" s="616">
        <f t="shared" si="14"/>
        <v>-9655953.8599999994</v>
      </c>
      <c r="I361" s="616">
        <f t="shared" si="14"/>
        <v>-341377.62</v>
      </c>
      <c r="J361" s="616">
        <f t="shared" si="14"/>
        <v>-2992083.5500000003</v>
      </c>
      <c r="K361" s="616">
        <f t="shared" si="14"/>
        <v>-3055944.3899999997</v>
      </c>
      <c r="L361" s="616">
        <f t="shared" si="14"/>
        <v>-14766458.870000001</v>
      </c>
      <c r="M361" s="616">
        <f t="shared" si="14"/>
        <v>-6323340.6400000006</v>
      </c>
      <c r="N361" s="616">
        <f t="shared" si="14"/>
        <v>-558867.69999999995</v>
      </c>
      <c r="O361" s="616">
        <f t="shared" si="14"/>
        <v>-148.49</v>
      </c>
      <c r="P361" s="616">
        <f t="shared" si="14"/>
        <v>0</v>
      </c>
      <c r="Q361" s="616">
        <f t="shared" si="14"/>
        <v>0</v>
      </c>
      <c r="R361" s="616">
        <f t="shared" si="14"/>
        <v>232.44</v>
      </c>
    </row>
    <row r="362" spans="1:18" x14ac:dyDescent="0.25">
      <c r="D362" s="616">
        <f>D67+D162+D193+D307+D342</f>
        <v>4702249.8800000008</v>
      </c>
    </row>
  </sheetData>
  <mergeCells count="60">
    <mergeCell ref="A75:A76"/>
    <mergeCell ref="B75:B76"/>
    <mergeCell ref="A170:A171"/>
    <mergeCell ref="B170:B171"/>
    <mergeCell ref="A201:A202"/>
    <mergeCell ref="B201:B202"/>
    <mergeCell ref="A78:A79"/>
    <mergeCell ref="B78:B79"/>
    <mergeCell ref="A81:A82"/>
    <mergeCell ref="B81:B82"/>
    <mergeCell ref="A161:A162"/>
    <mergeCell ref="B161:B162"/>
    <mergeCell ref="A164:A165"/>
    <mergeCell ref="B164:B165"/>
    <mergeCell ref="A167:A168"/>
    <mergeCell ref="B167:B168"/>
    <mergeCell ref="A66:A67"/>
    <mergeCell ref="B66:B67"/>
    <mergeCell ref="A69:A70"/>
    <mergeCell ref="B69:B70"/>
    <mergeCell ref="A72:A73"/>
    <mergeCell ref="B72:B73"/>
    <mergeCell ref="A173:A174"/>
    <mergeCell ref="B173:B174"/>
    <mergeCell ref="A176:A177"/>
    <mergeCell ref="B176:B177"/>
    <mergeCell ref="A192:A193"/>
    <mergeCell ref="B192:B193"/>
    <mergeCell ref="A195:A196"/>
    <mergeCell ref="B195:B196"/>
    <mergeCell ref="A198:A199"/>
    <mergeCell ref="B198:B199"/>
    <mergeCell ref="A204:A205"/>
    <mergeCell ref="B204:B205"/>
    <mergeCell ref="A207:A208"/>
    <mergeCell ref="B207:B208"/>
    <mergeCell ref="A306:A307"/>
    <mergeCell ref="B306:B307"/>
    <mergeCell ref="A309:A310"/>
    <mergeCell ref="B309:B310"/>
    <mergeCell ref="A312:A313"/>
    <mergeCell ref="B312:B313"/>
    <mergeCell ref="A318:A319"/>
    <mergeCell ref="B318:B319"/>
    <mergeCell ref="A315:A316"/>
    <mergeCell ref="B315:B316"/>
    <mergeCell ref="A321:A322"/>
    <mergeCell ref="B321:B322"/>
    <mergeCell ref="A341:A342"/>
    <mergeCell ref="B341:B342"/>
    <mergeCell ref="A356:A357"/>
    <mergeCell ref="B356:B357"/>
    <mergeCell ref="A344:A345"/>
    <mergeCell ref="B344:B345"/>
    <mergeCell ref="A347:A348"/>
    <mergeCell ref="B347:B348"/>
    <mergeCell ref="A353:A354"/>
    <mergeCell ref="B353:B354"/>
    <mergeCell ref="A350:A351"/>
    <mergeCell ref="B350:B351"/>
  </mergeCells>
  <conditionalFormatting sqref="D68:D82 D161:D177 D192:D208 D306:D322 D341:D35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0"/>
  <sheetViews>
    <sheetView topLeftCell="C25" zoomScale="90" zoomScaleNormal="90" workbookViewId="0">
      <selection activeCell="O46" sqref="O46"/>
    </sheetView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21875" bestFit="1" customWidth="1"/>
    <col min="5" max="5" width="15.77734375" bestFit="1" customWidth="1"/>
    <col min="6" max="6" width="16.21875" customWidth="1"/>
    <col min="7" max="7" width="15.44140625" bestFit="1" customWidth="1"/>
    <col min="8" max="8" width="15" bestFit="1" customWidth="1"/>
    <col min="9" max="9" width="15.21875" bestFit="1" customWidth="1"/>
    <col min="10" max="10" width="17" bestFit="1" customWidth="1"/>
    <col min="11" max="12" width="15.5546875" bestFit="1" customWidth="1"/>
    <col min="13" max="13" width="15.21875" bestFit="1" customWidth="1"/>
    <col min="14" max="14" width="17.777343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803959.68</v>
      </c>
      <c r="D3" s="90">
        <v>65039.95</v>
      </c>
      <c r="E3" s="90">
        <v>36337.019999999997</v>
      </c>
      <c r="F3" s="90">
        <v>19274.13</v>
      </c>
      <c r="G3" s="90">
        <v>155423.91</v>
      </c>
      <c r="H3" s="90">
        <v>5618.35</v>
      </c>
      <c r="I3" s="90">
        <v>0</v>
      </c>
      <c r="J3" s="90">
        <v>56003.23</v>
      </c>
      <c r="K3" s="90">
        <v>48167.15</v>
      </c>
      <c r="L3" s="90">
        <v>226758.45</v>
      </c>
      <c r="M3" s="90">
        <v>182170.76</v>
      </c>
      <c r="N3" s="90">
        <v>9166.69</v>
      </c>
      <c r="O3" s="90">
        <v>0.04</v>
      </c>
    </row>
    <row r="4" spans="1:16" ht="12.75" customHeight="1" x14ac:dyDescent="0.25">
      <c r="A4" s="376" t="s">
        <v>78</v>
      </c>
      <c r="B4" s="376" t="s">
        <v>70</v>
      </c>
      <c r="C4" s="377">
        <v>803959.68</v>
      </c>
      <c r="D4" s="377">
        <v>65039.95</v>
      </c>
      <c r="E4" s="377">
        <v>36337.019999999997</v>
      </c>
      <c r="F4" s="377">
        <v>19274.13</v>
      </c>
      <c r="G4" s="377">
        <v>155423.91</v>
      </c>
      <c r="H4" s="377">
        <v>5618.35</v>
      </c>
      <c r="I4" s="377">
        <v>0</v>
      </c>
      <c r="J4" s="377">
        <v>56003.23</v>
      </c>
      <c r="K4" s="377">
        <v>48167.15</v>
      </c>
      <c r="L4" s="377">
        <v>226758.45</v>
      </c>
      <c r="M4" s="377">
        <v>182170.76</v>
      </c>
      <c r="N4" s="377">
        <v>9166.69</v>
      </c>
      <c r="O4" s="377">
        <v>0.04</v>
      </c>
      <c r="P4" s="378"/>
    </row>
    <row r="5" spans="1:16" ht="12.75" customHeight="1" x14ac:dyDescent="0.25">
      <c r="B5" s="89" t="s">
        <v>73</v>
      </c>
      <c r="C5" s="90">
        <v>2996.3</v>
      </c>
      <c r="D5" s="90">
        <v>701.47</v>
      </c>
      <c r="E5" s="90">
        <v>403.84</v>
      </c>
      <c r="F5" s="90">
        <v>207.9</v>
      </c>
      <c r="G5" s="90">
        <v>-7189.94</v>
      </c>
      <c r="H5" s="90">
        <v>-331.56</v>
      </c>
      <c r="I5" s="90">
        <v>0</v>
      </c>
      <c r="J5" s="90">
        <v>-1228.7</v>
      </c>
      <c r="K5" s="90">
        <v>624.41</v>
      </c>
      <c r="L5" s="90">
        <v>3023.5</v>
      </c>
      <c r="M5" s="90">
        <v>7326.36</v>
      </c>
      <c r="N5" s="90">
        <v>-540.98</v>
      </c>
      <c r="O5" s="90">
        <v>0</v>
      </c>
    </row>
    <row r="6" spans="1:16" ht="12.75" customHeight="1" x14ac:dyDescent="0.25">
      <c r="A6" s="373" t="s">
        <v>79</v>
      </c>
      <c r="B6" s="373" t="s">
        <v>70</v>
      </c>
      <c r="C6" s="374">
        <v>2996.3</v>
      </c>
      <c r="D6" s="374">
        <v>701.47</v>
      </c>
      <c r="E6" s="374">
        <v>403.84</v>
      </c>
      <c r="F6" s="374">
        <v>207.9</v>
      </c>
      <c r="G6" s="374">
        <v>-7189.94</v>
      </c>
      <c r="H6" s="374">
        <v>-331.56</v>
      </c>
      <c r="I6" s="374">
        <v>0</v>
      </c>
      <c r="J6" s="374">
        <v>-1228.7</v>
      </c>
      <c r="K6" s="374">
        <v>624.41</v>
      </c>
      <c r="L6" s="374">
        <v>3023.5</v>
      </c>
      <c r="M6" s="374">
        <v>7326.36</v>
      </c>
      <c r="N6" s="374">
        <v>-540.98</v>
      </c>
      <c r="O6" s="374">
        <v>0</v>
      </c>
      <c r="P6" s="372"/>
    </row>
    <row r="7" spans="1:16" ht="12.75" customHeight="1" x14ac:dyDescent="0.25">
      <c r="A7" s="89" t="s">
        <v>70</v>
      </c>
      <c r="C7" s="90">
        <v>806955.98</v>
      </c>
      <c r="D7" s="90">
        <v>65741.42</v>
      </c>
      <c r="E7" s="90">
        <v>36740.86</v>
      </c>
      <c r="F7" s="90">
        <v>19482.03</v>
      </c>
      <c r="G7" s="90">
        <v>148233.97</v>
      </c>
      <c r="H7" s="90">
        <v>5286.79</v>
      </c>
      <c r="I7" s="90">
        <v>0</v>
      </c>
      <c r="J7" s="90">
        <v>54774.53</v>
      </c>
      <c r="K7" s="90">
        <v>48791.56</v>
      </c>
      <c r="L7" s="90">
        <v>229781.95</v>
      </c>
      <c r="M7" s="90">
        <v>189497.12</v>
      </c>
      <c r="N7" s="90">
        <v>8625.7099999999991</v>
      </c>
      <c r="O7" s="90">
        <v>0.04</v>
      </c>
    </row>
    <row r="8" spans="1:16" ht="12.75" customHeight="1" x14ac:dyDescent="0.25"/>
    <row r="9" spans="1:16" ht="12.75" customHeight="1" x14ac:dyDescent="0.25">
      <c r="B9" s="145" t="s">
        <v>70</v>
      </c>
      <c r="C9" s="99">
        <f>C7-I7</f>
        <v>806955.98</v>
      </c>
      <c r="D9" s="99">
        <f>D4</f>
        <v>65039.95</v>
      </c>
      <c r="E9" s="99">
        <f t="shared" ref="E9:P9" si="0">E4</f>
        <v>36337.019999999997</v>
      </c>
      <c r="F9" s="99">
        <f t="shared" si="0"/>
        <v>19274.13</v>
      </c>
      <c r="G9" s="99">
        <f t="shared" si="0"/>
        <v>155423.91</v>
      </c>
      <c r="H9" s="99">
        <f t="shared" si="0"/>
        <v>5618.35</v>
      </c>
      <c r="I9" s="99">
        <f t="shared" si="0"/>
        <v>0</v>
      </c>
      <c r="J9" s="99">
        <f t="shared" si="0"/>
        <v>56003.23</v>
      </c>
      <c r="K9" s="99">
        <f t="shared" si="0"/>
        <v>48167.15</v>
      </c>
      <c r="L9" s="99">
        <f t="shared" si="0"/>
        <v>226758.45</v>
      </c>
      <c r="M9" s="99">
        <f t="shared" si="0"/>
        <v>182170.76</v>
      </c>
      <c r="N9" s="99">
        <f t="shared" si="0"/>
        <v>9166.69</v>
      </c>
      <c r="O9" s="99">
        <f>O4</f>
        <v>0.04</v>
      </c>
      <c r="P9" s="99">
        <f t="shared" si="0"/>
        <v>0</v>
      </c>
    </row>
    <row r="10" spans="1:16" ht="12.75" customHeight="1" x14ac:dyDescent="0.25">
      <c r="B10" s="145" t="s">
        <v>73</v>
      </c>
      <c r="C10" s="99">
        <f>C6</f>
        <v>2996.3</v>
      </c>
      <c r="D10" s="150"/>
    </row>
    <row r="11" spans="1:16" x14ac:dyDescent="0.25">
      <c r="D11" s="150"/>
    </row>
    <row r="12" spans="1:16" x14ac:dyDescent="0.25">
      <c r="A12" s="94"/>
      <c r="B12" s="94"/>
      <c r="C12" s="146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</row>
    <row r="13" spans="1:16" x14ac:dyDescent="0.25">
      <c r="B13" s="97" t="s">
        <v>75</v>
      </c>
    </row>
    <row r="14" spans="1:16" ht="12.75" customHeight="1" x14ac:dyDescent="0.25">
      <c r="C14" s="89" t="s">
        <v>70</v>
      </c>
      <c r="D14" s="89" t="s">
        <v>64</v>
      </c>
      <c r="E14" s="89" t="s">
        <v>65</v>
      </c>
      <c r="F14" s="219" t="s">
        <v>164</v>
      </c>
      <c r="G14" s="89" t="s">
        <v>69</v>
      </c>
      <c r="H14" s="89" t="s">
        <v>68</v>
      </c>
      <c r="I14" s="89" t="s">
        <v>83</v>
      </c>
      <c r="J14" s="89" t="s">
        <v>66</v>
      </c>
      <c r="K14" s="89" t="s">
        <v>63</v>
      </c>
      <c r="L14" s="89" t="s">
        <v>61</v>
      </c>
      <c r="M14" s="89" t="s">
        <v>62</v>
      </c>
      <c r="N14" s="89" t="s">
        <v>67</v>
      </c>
      <c r="O14" s="89" t="s">
        <v>84</v>
      </c>
    </row>
    <row r="15" spans="1:16" ht="12.75" customHeight="1" x14ac:dyDescent="0.25">
      <c r="B15" t="s">
        <v>72</v>
      </c>
      <c r="C15" s="89">
        <v>931073.72</v>
      </c>
      <c r="D15" s="89">
        <v>42296.72</v>
      </c>
      <c r="E15" s="89">
        <v>23907.98</v>
      </c>
      <c r="F15" s="384">
        <v>12706.35</v>
      </c>
      <c r="G15" s="89">
        <v>265979.53000000003</v>
      </c>
      <c r="H15" s="89">
        <v>11995.53</v>
      </c>
      <c r="I15" s="89">
        <v>0</v>
      </c>
      <c r="J15" s="89">
        <v>66026.12</v>
      </c>
      <c r="K15" s="89">
        <v>73645.62</v>
      </c>
      <c r="L15" s="89">
        <v>345565.65</v>
      </c>
      <c r="M15" s="89">
        <v>81955.14</v>
      </c>
      <c r="N15" s="89">
        <v>6998.74</v>
      </c>
      <c r="O15" s="89">
        <v>-3.66</v>
      </c>
    </row>
    <row r="16" spans="1:16" ht="12.75" customHeight="1" x14ac:dyDescent="0.25">
      <c r="A16" s="376" t="s">
        <v>78</v>
      </c>
      <c r="B16" s="376" t="s">
        <v>70</v>
      </c>
      <c r="C16" s="377">
        <v>931073.72</v>
      </c>
      <c r="D16" s="377">
        <v>42296.72</v>
      </c>
      <c r="E16" s="377">
        <v>23907.98</v>
      </c>
      <c r="F16" s="377">
        <v>12706.35</v>
      </c>
      <c r="G16" s="377">
        <v>265979.53000000003</v>
      </c>
      <c r="H16" s="377">
        <v>11995.53</v>
      </c>
      <c r="I16" s="377">
        <v>0</v>
      </c>
      <c r="J16" s="377">
        <v>66026.12</v>
      </c>
      <c r="K16" s="377">
        <v>73645.62</v>
      </c>
      <c r="L16" s="377">
        <v>345565.65</v>
      </c>
      <c r="M16" s="377">
        <v>81955.14</v>
      </c>
      <c r="N16" s="377">
        <v>6998.74</v>
      </c>
      <c r="O16" s="377">
        <v>-3.66</v>
      </c>
      <c r="P16" s="378"/>
    </row>
    <row r="17" spans="1:16" ht="12.75" customHeight="1" x14ac:dyDescent="0.25">
      <c r="B17" s="89" t="s">
        <v>73</v>
      </c>
      <c r="C17" s="90">
        <v>-424218.36</v>
      </c>
      <c r="D17" s="90">
        <v>-25301.13</v>
      </c>
      <c r="E17" s="90">
        <v>-14256.81</v>
      </c>
      <c r="F17" s="90">
        <v>-7179.68</v>
      </c>
      <c r="G17" s="90">
        <v>-99943.77</v>
      </c>
      <c r="H17" s="90">
        <v>-3389</v>
      </c>
      <c r="I17" s="90">
        <v>0</v>
      </c>
      <c r="J17" s="90">
        <v>-52251.81</v>
      </c>
      <c r="K17" s="90">
        <v>-30693.42</v>
      </c>
      <c r="L17" s="90">
        <v>-136897.35</v>
      </c>
      <c r="M17" s="90">
        <v>-48943.73</v>
      </c>
      <c r="N17" s="90">
        <v>-5361.66</v>
      </c>
      <c r="O17" s="90">
        <v>0</v>
      </c>
    </row>
    <row r="18" spans="1:16" ht="12.75" customHeight="1" x14ac:dyDescent="0.25">
      <c r="A18" s="373" t="s">
        <v>79</v>
      </c>
      <c r="B18" s="373" t="s">
        <v>70</v>
      </c>
      <c r="C18" s="374">
        <v>-424218.36</v>
      </c>
      <c r="D18" s="374">
        <v>-25301.13</v>
      </c>
      <c r="E18" s="374">
        <v>-14256.81</v>
      </c>
      <c r="F18" s="374">
        <v>-7179.68</v>
      </c>
      <c r="G18" s="374">
        <v>-99943.77</v>
      </c>
      <c r="H18" s="374">
        <v>-3389</v>
      </c>
      <c r="I18" s="374">
        <v>0</v>
      </c>
      <c r="J18" s="374">
        <v>-52251.81</v>
      </c>
      <c r="K18" s="374">
        <v>-30693.42</v>
      </c>
      <c r="L18" s="374">
        <v>-136897.35</v>
      </c>
      <c r="M18" s="374">
        <v>-48943.73</v>
      </c>
      <c r="N18" s="374">
        <v>-5361.66</v>
      </c>
      <c r="O18" s="374">
        <v>0</v>
      </c>
      <c r="P18" s="372"/>
    </row>
    <row r="19" spans="1:16" ht="12.75" customHeight="1" x14ac:dyDescent="0.25">
      <c r="A19" s="89" t="s">
        <v>70</v>
      </c>
      <c r="C19" s="90">
        <v>506855.36</v>
      </c>
      <c r="D19" s="90">
        <v>16995.59</v>
      </c>
      <c r="E19" s="90">
        <v>9651.17</v>
      </c>
      <c r="F19" s="90">
        <v>5526.67</v>
      </c>
      <c r="G19" s="90">
        <v>166035.76</v>
      </c>
      <c r="H19" s="90">
        <v>8606.5300000000007</v>
      </c>
      <c r="I19" s="90">
        <v>0</v>
      </c>
      <c r="J19" s="90">
        <v>13774.31</v>
      </c>
      <c r="K19" s="90">
        <v>42952.2</v>
      </c>
      <c r="L19" s="90">
        <v>208668.3</v>
      </c>
      <c r="M19" s="90">
        <v>33011.410000000003</v>
      </c>
      <c r="N19" s="90">
        <v>1637.08</v>
      </c>
      <c r="O19" s="90">
        <v>-3.66</v>
      </c>
    </row>
    <row r="20" spans="1:16" ht="12.75" customHeight="1" x14ac:dyDescent="0.25">
      <c r="A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</row>
    <row r="21" spans="1:16" ht="12.75" customHeight="1" x14ac:dyDescent="0.25">
      <c r="B21" s="145" t="s">
        <v>70</v>
      </c>
      <c r="C21" s="99">
        <f>C19-I19</f>
        <v>506855.36</v>
      </c>
      <c r="D21" s="99">
        <f>D16</f>
        <v>42296.72</v>
      </c>
      <c r="E21" s="99">
        <f t="shared" ref="E21:P21" si="1">E16</f>
        <v>23907.98</v>
      </c>
      <c r="F21" s="99">
        <f t="shared" si="1"/>
        <v>12706.35</v>
      </c>
      <c r="G21" s="99">
        <f t="shared" si="1"/>
        <v>265979.53000000003</v>
      </c>
      <c r="H21" s="99">
        <f t="shared" si="1"/>
        <v>11995.53</v>
      </c>
      <c r="I21" s="99">
        <f t="shared" si="1"/>
        <v>0</v>
      </c>
      <c r="J21" s="99">
        <f t="shared" si="1"/>
        <v>66026.12</v>
      </c>
      <c r="K21" s="99">
        <f t="shared" si="1"/>
        <v>73645.62</v>
      </c>
      <c r="L21" s="99">
        <f t="shared" si="1"/>
        <v>345565.65</v>
      </c>
      <c r="M21" s="99">
        <f t="shared" si="1"/>
        <v>81955.14</v>
      </c>
      <c r="N21" s="99">
        <f t="shared" si="1"/>
        <v>6998.74</v>
      </c>
      <c r="O21" s="99">
        <f>O16</f>
        <v>-3.66</v>
      </c>
      <c r="P21" s="99">
        <f t="shared" si="1"/>
        <v>0</v>
      </c>
    </row>
    <row r="22" spans="1:16" ht="12.75" customHeight="1" x14ac:dyDescent="0.25">
      <c r="B22" s="145" t="s">
        <v>73</v>
      </c>
      <c r="C22" s="99">
        <f>C18</f>
        <v>-424218.36</v>
      </c>
    </row>
    <row r="24" spans="1:16" x14ac:dyDescent="0.25">
      <c r="A24" s="94"/>
      <c r="B24" s="94"/>
      <c r="C24" s="146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 x14ac:dyDescent="0.25">
      <c r="B25" s="97" t="s">
        <v>76</v>
      </c>
    </row>
    <row r="26" spans="1:16" ht="12.75" customHeight="1" x14ac:dyDescent="0.25">
      <c r="C26" s="89" t="s">
        <v>70</v>
      </c>
      <c r="D26" s="89" t="s">
        <v>64</v>
      </c>
      <c r="E26" s="89" t="s">
        <v>65</v>
      </c>
      <c r="F26" s="219" t="s">
        <v>164</v>
      </c>
      <c r="G26" s="89" t="s">
        <v>69</v>
      </c>
      <c r="H26" s="89" t="s">
        <v>68</v>
      </c>
      <c r="I26" s="89" t="s">
        <v>83</v>
      </c>
      <c r="J26" s="89" t="s">
        <v>66</v>
      </c>
      <c r="K26" s="89" t="s">
        <v>63</v>
      </c>
      <c r="L26" s="89" t="s">
        <v>61</v>
      </c>
      <c r="M26" s="89" t="s">
        <v>62</v>
      </c>
      <c r="N26" s="89" t="s">
        <v>67</v>
      </c>
      <c r="O26" s="89" t="s">
        <v>84</v>
      </c>
    </row>
    <row r="27" spans="1:16" ht="12.75" customHeight="1" x14ac:dyDescent="0.25">
      <c r="B27" s="89" t="s">
        <v>72</v>
      </c>
      <c r="C27" s="90">
        <v>114219.07</v>
      </c>
      <c r="D27" s="90">
        <v>6267.13</v>
      </c>
      <c r="E27" s="90">
        <v>3538.42</v>
      </c>
      <c r="F27" s="90">
        <v>1857.22</v>
      </c>
      <c r="G27" s="90">
        <v>42966.81</v>
      </c>
      <c r="H27" s="90">
        <v>743.08</v>
      </c>
      <c r="I27" s="90">
        <v>0</v>
      </c>
      <c r="J27" s="90">
        <v>6518.28</v>
      </c>
      <c r="K27" s="90">
        <v>6322.58</v>
      </c>
      <c r="L27" s="90">
        <v>29933.14</v>
      </c>
      <c r="M27" s="90">
        <v>14860.01</v>
      </c>
      <c r="N27" s="90">
        <v>1212.4000000000001</v>
      </c>
      <c r="O27" s="90">
        <v>0</v>
      </c>
    </row>
    <row r="28" spans="1:16" ht="12.75" customHeight="1" x14ac:dyDescent="0.25">
      <c r="A28" s="376" t="s">
        <v>78</v>
      </c>
      <c r="B28" s="376" t="s">
        <v>70</v>
      </c>
      <c r="C28" s="377">
        <v>114219.07</v>
      </c>
      <c r="D28" s="377">
        <v>6267.13</v>
      </c>
      <c r="E28" s="377">
        <v>3538.42</v>
      </c>
      <c r="F28" s="377">
        <v>1857.22</v>
      </c>
      <c r="G28" s="377">
        <v>42966.81</v>
      </c>
      <c r="H28" s="377">
        <v>743.08</v>
      </c>
      <c r="I28" s="377">
        <v>0</v>
      </c>
      <c r="J28" s="377">
        <v>6518.28</v>
      </c>
      <c r="K28" s="377">
        <v>6322.58</v>
      </c>
      <c r="L28" s="377">
        <v>29933.14</v>
      </c>
      <c r="M28" s="377">
        <v>14860.01</v>
      </c>
      <c r="N28" s="377">
        <v>1212.4000000000001</v>
      </c>
      <c r="O28" s="377">
        <v>0</v>
      </c>
      <c r="P28" s="378"/>
    </row>
    <row r="29" spans="1:16" ht="12.75" customHeight="1" x14ac:dyDescent="0.25">
      <c r="B29" s="89" t="s">
        <v>73</v>
      </c>
      <c r="C29" s="90">
        <v>4655.7700000000004</v>
      </c>
      <c r="D29" s="90">
        <v>1594.44</v>
      </c>
      <c r="E29" s="90">
        <v>900.22</v>
      </c>
      <c r="F29" s="90">
        <v>472.5</v>
      </c>
      <c r="G29" s="90">
        <v>-4328.45</v>
      </c>
      <c r="H29" s="90">
        <v>37.15</v>
      </c>
      <c r="I29" s="90">
        <v>0</v>
      </c>
      <c r="J29" s="90">
        <v>325.91000000000003</v>
      </c>
      <c r="K29" s="90">
        <v>316.13</v>
      </c>
      <c r="L29" s="90">
        <v>1496.66</v>
      </c>
      <c r="M29" s="90">
        <v>3780.59</v>
      </c>
      <c r="N29" s="90">
        <v>60.62</v>
      </c>
      <c r="O29" s="90">
        <v>0</v>
      </c>
    </row>
    <row r="30" spans="1:16" ht="12.75" customHeight="1" x14ac:dyDescent="0.25">
      <c r="A30" s="373" t="s">
        <v>79</v>
      </c>
      <c r="B30" s="373" t="s">
        <v>70</v>
      </c>
      <c r="C30" s="374">
        <v>4655.7700000000004</v>
      </c>
      <c r="D30" s="374">
        <v>1594.44</v>
      </c>
      <c r="E30" s="374">
        <v>900.22</v>
      </c>
      <c r="F30" s="374">
        <v>472.5</v>
      </c>
      <c r="G30" s="374">
        <v>-4328.45</v>
      </c>
      <c r="H30" s="374">
        <v>37.15</v>
      </c>
      <c r="I30" s="374">
        <v>0</v>
      </c>
      <c r="J30" s="374">
        <v>325.91000000000003</v>
      </c>
      <c r="K30" s="374">
        <v>316.13</v>
      </c>
      <c r="L30" s="374">
        <v>1496.66</v>
      </c>
      <c r="M30" s="374">
        <v>3780.59</v>
      </c>
      <c r="N30" s="374">
        <v>60.62</v>
      </c>
      <c r="O30" s="374">
        <v>0</v>
      </c>
      <c r="P30" s="372"/>
    </row>
    <row r="31" spans="1:16" ht="12.75" customHeight="1" x14ac:dyDescent="0.25">
      <c r="A31" s="89" t="s">
        <v>70</v>
      </c>
      <c r="C31" s="90">
        <v>118874.84</v>
      </c>
      <c r="D31" s="90">
        <v>7861.57</v>
      </c>
      <c r="E31" s="90">
        <v>4438.6400000000003</v>
      </c>
      <c r="F31" s="90">
        <v>2329.7199999999998</v>
      </c>
      <c r="G31" s="90">
        <v>38638.36</v>
      </c>
      <c r="H31" s="90">
        <v>780.23</v>
      </c>
      <c r="I31" s="90">
        <v>0</v>
      </c>
      <c r="J31" s="90">
        <v>6844.19</v>
      </c>
      <c r="K31" s="90">
        <v>6638.71</v>
      </c>
      <c r="L31" s="90">
        <v>31429.8</v>
      </c>
      <c r="M31" s="90">
        <v>18640.599999999999</v>
      </c>
      <c r="N31" s="90">
        <v>1273.02</v>
      </c>
      <c r="O31" s="90">
        <v>0</v>
      </c>
    </row>
    <row r="32" spans="1:16" ht="12.75" customHeight="1" x14ac:dyDescent="0.25">
      <c r="A32" s="89"/>
      <c r="C32" s="90"/>
      <c r="D32" s="90"/>
      <c r="E32" s="90"/>
      <c r="F32" s="90"/>
      <c r="G32" s="90"/>
      <c r="H32" s="90"/>
      <c r="I32" s="90"/>
      <c r="J32" s="90"/>
      <c r="L32" s="90"/>
      <c r="M32" s="90"/>
      <c r="N32" s="90"/>
      <c r="O32" s="90"/>
      <c r="P32" s="90"/>
    </row>
    <row r="33" spans="1:16" ht="12.75" customHeight="1" x14ac:dyDescent="0.25">
      <c r="B33" s="145" t="s">
        <v>70</v>
      </c>
      <c r="C33" s="99">
        <f>C31-I31</f>
        <v>118874.84</v>
      </c>
      <c r="D33" s="99">
        <f>D28</f>
        <v>6267.13</v>
      </c>
      <c r="E33" s="99">
        <f t="shared" ref="E33:P33" si="2">E28</f>
        <v>3538.42</v>
      </c>
      <c r="F33" s="99">
        <f t="shared" si="2"/>
        <v>1857.22</v>
      </c>
      <c r="G33" s="99">
        <f t="shared" si="2"/>
        <v>42966.81</v>
      </c>
      <c r="H33" s="99">
        <f t="shared" si="2"/>
        <v>743.08</v>
      </c>
      <c r="I33" s="99">
        <f t="shared" si="2"/>
        <v>0</v>
      </c>
      <c r="J33" s="99">
        <f t="shared" si="2"/>
        <v>6518.28</v>
      </c>
      <c r="K33" s="99">
        <f t="shared" si="2"/>
        <v>6322.58</v>
      </c>
      <c r="L33" s="99">
        <f t="shared" si="2"/>
        <v>29933.14</v>
      </c>
      <c r="M33" s="99">
        <f t="shared" si="2"/>
        <v>14860.01</v>
      </c>
      <c r="N33" s="99">
        <f t="shared" si="2"/>
        <v>1212.4000000000001</v>
      </c>
      <c r="O33" s="99">
        <f>O28</f>
        <v>0</v>
      </c>
      <c r="P33" s="99">
        <f t="shared" si="2"/>
        <v>0</v>
      </c>
    </row>
    <row r="34" spans="1:16" ht="12.75" customHeight="1" x14ac:dyDescent="0.25">
      <c r="B34" s="145" t="s">
        <v>73</v>
      </c>
      <c r="C34" s="99">
        <f>C30</f>
        <v>4655.7700000000004</v>
      </c>
    </row>
    <row r="36" spans="1:16" x14ac:dyDescent="0.25">
      <c r="A36" s="94"/>
      <c r="B36" s="94"/>
      <c r="C36" s="146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</row>
    <row r="37" spans="1:16" x14ac:dyDescent="0.25">
      <c r="B37" s="97" t="s">
        <v>88</v>
      </c>
    </row>
    <row r="38" spans="1:16" ht="12.75" customHeight="1" x14ac:dyDescent="0.25">
      <c r="C38" s="89" t="s">
        <v>70</v>
      </c>
      <c r="D38" s="89" t="s">
        <v>64</v>
      </c>
      <c r="E38" s="89" t="s">
        <v>65</v>
      </c>
      <c r="F38" s="219" t="s">
        <v>164</v>
      </c>
      <c r="G38" s="89" t="s">
        <v>69</v>
      </c>
      <c r="H38" s="89" t="s">
        <v>68</v>
      </c>
      <c r="I38" s="89" t="s">
        <v>83</v>
      </c>
      <c r="J38" s="89" t="s">
        <v>66</v>
      </c>
      <c r="K38" s="89" t="s">
        <v>63</v>
      </c>
      <c r="L38" s="89" t="s">
        <v>61</v>
      </c>
      <c r="M38" s="89" t="s">
        <v>62</v>
      </c>
      <c r="N38" s="89" t="s">
        <v>67</v>
      </c>
      <c r="O38" s="89" t="s">
        <v>84</v>
      </c>
    </row>
    <row r="39" spans="1:16" ht="12.75" customHeight="1" x14ac:dyDescent="0.25">
      <c r="B39" t="s">
        <v>72</v>
      </c>
      <c r="C39" s="89">
        <v>1030030.24</v>
      </c>
      <c r="D39" s="89">
        <v>30353.42</v>
      </c>
      <c r="E39" s="89">
        <v>17272.310000000001</v>
      </c>
      <c r="F39" s="384">
        <v>7260.85</v>
      </c>
      <c r="G39" s="89">
        <v>195770.56</v>
      </c>
      <c r="H39" s="89">
        <v>5001.67</v>
      </c>
      <c r="I39" s="89">
        <v>0</v>
      </c>
      <c r="J39" s="89">
        <v>31654.75</v>
      </c>
      <c r="K39" s="89">
        <v>16169.51</v>
      </c>
      <c r="L39" s="89">
        <v>630665.63</v>
      </c>
      <c r="M39" s="89">
        <v>92025.49</v>
      </c>
      <c r="N39" s="89">
        <v>3836.24</v>
      </c>
      <c r="O39" s="89">
        <v>19.809999999999999</v>
      </c>
    </row>
    <row r="40" spans="1:16" ht="12.75" customHeight="1" x14ac:dyDescent="0.25">
      <c r="B40" s="89" t="s">
        <v>81</v>
      </c>
      <c r="C40" s="90">
        <v>-5455.56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-5455.76</v>
      </c>
      <c r="M40" s="90">
        <v>0</v>
      </c>
      <c r="N40" s="90">
        <v>0</v>
      </c>
      <c r="O40" s="90">
        <v>0.2</v>
      </c>
    </row>
    <row r="41" spans="1:16" ht="12.75" customHeight="1" x14ac:dyDescent="0.25">
      <c r="A41" s="376" t="s">
        <v>78</v>
      </c>
      <c r="B41" s="376" t="s">
        <v>70</v>
      </c>
      <c r="C41" s="377">
        <v>1024574.68</v>
      </c>
      <c r="D41" s="377">
        <v>30353.42</v>
      </c>
      <c r="E41" s="377">
        <v>17272.310000000001</v>
      </c>
      <c r="F41" s="377">
        <v>7260.85</v>
      </c>
      <c r="G41" s="377">
        <v>195770.56</v>
      </c>
      <c r="H41" s="377">
        <v>5001.67</v>
      </c>
      <c r="I41" s="377">
        <v>0</v>
      </c>
      <c r="J41" s="377">
        <v>31654.75</v>
      </c>
      <c r="K41" s="377">
        <v>16169.51</v>
      </c>
      <c r="L41" s="377">
        <v>625209.87</v>
      </c>
      <c r="M41" s="377">
        <v>92025.49</v>
      </c>
      <c r="N41" s="377">
        <v>3836.24</v>
      </c>
      <c r="O41" s="377">
        <v>20.010000000000002</v>
      </c>
      <c r="P41" s="378"/>
    </row>
    <row r="42" spans="1:16" ht="12.75" customHeight="1" x14ac:dyDescent="0.25">
      <c r="B42" s="89" t="s">
        <v>73</v>
      </c>
      <c r="C42" s="90">
        <v>-706260.2</v>
      </c>
      <c r="D42" s="90">
        <v>-35225.22</v>
      </c>
      <c r="E42" s="90">
        <v>-19886.849999999999</v>
      </c>
      <c r="F42" s="90">
        <v>-10438.969999999999</v>
      </c>
      <c r="G42" s="90">
        <v>-172708.87</v>
      </c>
      <c r="H42" s="90">
        <v>-4226.24</v>
      </c>
      <c r="I42" s="90">
        <v>0</v>
      </c>
      <c r="J42" s="90">
        <v>-37074.28</v>
      </c>
      <c r="K42" s="90">
        <v>-53305.25</v>
      </c>
      <c r="L42" s="90">
        <v>-273257.90999999997</v>
      </c>
      <c r="M42" s="90">
        <v>-93241.08</v>
      </c>
      <c r="N42" s="90">
        <v>-6895.53</v>
      </c>
      <c r="O42" s="90">
        <v>0</v>
      </c>
    </row>
    <row r="43" spans="1:16" ht="12.75" customHeight="1" x14ac:dyDescent="0.25">
      <c r="A43" s="373" t="s">
        <v>79</v>
      </c>
      <c r="B43" s="373" t="s">
        <v>70</v>
      </c>
      <c r="C43" s="374">
        <v>-706260.2</v>
      </c>
      <c r="D43" s="374">
        <v>-35225.22</v>
      </c>
      <c r="E43" s="374">
        <v>-19886.849999999999</v>
      </c>
      <c r="F43" s="374">
        <v>-10438.969999999999</v>
      </c>
      <c r="G43" s="374">
        <v>-172708.87</v>
      </c>
      <c r="H43" s="374">
        <v>-4226.24</v>
      </c>
      <c r="I43" s="374">
        <v>0</v>
      </c>
      <c r="J43" s="374">
        <v>-37074.28</v>
      </c>
      <c r="K43" s="374">
        <v>-53305.25</v>
      </c>
      <c r="L43" s="374">
        <v>-273257.90999999997</v>
      </c>
      <c r="M43" s="374">
        <v>-93241.08</v>
      </c>
      <c r="N43" s="374">
        <v>-6895.53</v>
      </c>
      <c r="O43" s="374">
        <v>0</v>
      </c>
      <c r="P43" s="372"/>
    </row>
    <row r="44" spans="1:16" ht="12.75" customHeight="1" x14ac:dyDescent="0.25">
      <c r="A44" s="89" t="s">
        <v>70</v>
      </c>
      <c r="C44" s="90">
        <v>318314.48</v>
      </c>
      <c r="D44" s="90">
        <v>-4871.8</v>
      </c>
      <c r="E44" s="90">
        <v>-2614.54</v>
      </c>
      <c r="F44" s="90">
        <v>-3178.12</v>
      </c>
      <c r="G44" s="90">
        <v>23061.69</v>
      </c>
      <c r="H44" s="90">
        <v>775.43</v>
      </c>
      <c r="I44" s="90">
        <v>0</v>
      </c>
      <c r="J44" s="90">
        <v>-5419.53</v>
      </c>
      <c r="K44" s="90">
        <v>-37135.74</v>
      </c>
      <c r="L44" s="90">
        <v>351951.96</v>
      </c>
      <c r="M44" s="90">
        <v>-1215.5899999999999</v>
      </c>
      <c r="N44" s="90">
        <v>-3059.29</v>
      </c>
      <c r="O44" s="90">
        <v>20.010000000000002</v>
      </c>
    </row>
    <row r="45" spans="1:16" ht="12.75" customHeight="1" x14ac:dyDescent="0.25">
      <c r="A45" s="89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</row>
    <row r="46" spans="1:16" ht="12.75" customHeight="1" x14ac:dyDescent="0.25">
      <c r="B46" s="145" t="s">
        <v>70</v>
      </c>
      <c r="C46" s="99">
        <f>C44-I44</f>
        <v>318314.48</v>
      </c>
      <c r="D46" s="99">
        <f>D41</f>
        <v>30353.42</v>
      </c>
      <c r="E46" s="99">
        <f t="shared" ref="E46:P46" si="3">E41</f>
        <v>17272.310000000001</v>
      </c>
      <c r="F46" s="99">
        <f t="shared" si="3"/>
        <v>7260.85</v>
      </c>
      <c r="G46" s="99">
        <f t="shared" si="3"/>
        <v>195770.56</v>
      </c>
      <c r="H46" s="99">
        <f t="shared" si="3"/>
        <v>5001.67</v>
      </c>
      <c r="I46" s="99">
        <f t="shared" si="3"/>
        <v>0</v>
      </c>
      <c r="J46" s="99">
        <f t="shared" si="3"/>
        <v>31654.75</v>
      </c>
      <c r="K46" s="99">
        <f t="shared" si="3"/>
        <v>16169.51</v>
      </c>
      <c r="L46" s="99">
        <f t="shared" si="3"/>
        <v>625209.87</v>
      </c>
      <c r="M46" s="99">
        <f t="shared" si="3"/>
        <v>92025.49</v>
      </c>
      <c r="N46" s="99">
        <f t="shared" si="3"/>
        <v>3836.24</v>
      </c>
      <c r="O46" s="99">
        <f>O41</f>
        <v>20.010000000000002</v>
      </c>
      <c r="P46" s="99">
        <f t="shared" si="3"/>
        <v>0</v>
      </c>
    </row>
    <row r="47" spans="1:16" ht="12.75" customHeight="1" x14ac:dyDescent="0.25">
      <c r="B47" s="145" t="s">
        <v>73</v>
      </c>
      <c r="C47" s="99">
        <f>C43</f>
        <v>-706260.2</v>
      </c>
    </row>
    <row r="49" spans="1:16" x14ac:dyDescent="0.25">
      <c r="A49" s="94"/>
      <c r="B49" s="94"/>
      <c r="C49" s="146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</row>
    <row r="50" spans="1:16" x14ac:dyDescent="0.25">
      <c r="B50" s="97" t="s">
        <v>93</v>
      </c>
    </row>
    <row r="51" spans="1:16" ht="12.75" customHeight="1" x14ac:dyDescent="0.25">
      <c r="C51" s="89" t="s">
        <v>70</v>
      </c>
      <c r="D51" s="89" t="s">
        <v>64</v>
      </c>
      <c r="E51" s="89" t="s">
        <v>65</v>
      </c>
      <c r="F51" s="219" t="s">
        <v>164</v>
      </c>
      <c r="G51" s="89" t="s">
        <v>69</v>
      </c>
      <c r="H51" s="89" t="s">
        <v>68</v>
      </c>
      <c r="I51" t="s">
        <v>83</v>
      </c>
      <c r="J51" s="89" t="s">
        <v>66</v>
      </c>
      <c r="K51" s="89" t="s">
        <v>63</v>
      </c>
      <c r="L51" s="89" t="s">
        <v>61</v>
      </c>
      <c r="M51" s="89" t="s">
        <v>62</v>
      </c>
      <c r="N51" s="89" t="s">
        <v>67</v>
      </c>
      <c r="O51" s="89" t="s">
        <v>84</v>
      </c>
    </row>
    <row r="52" spans="1:16" ht="12.75" customHeight="1" x14ac:dyDescent="0.25">
      <c r="B52" s="89" t="s">
        <v>72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</row>
    <row r="53" spans="1:16" ht="12.75" customHeight="1" x14ac:dyDescent="0.25">
      <c r="B53" s="89" t="s">
        <v>81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</row>
    <row r="54" spans="1:16" ht="12.75" customHeight="1" x14ac:dyDescent="0.25">
      <c r="A54" s="376" t="s">
        <v>78</v>
      </c>
      <c r="B54" s="376" t="s">
        <v>70</v>
      </c>
      <c r="C54" s="377">
        <v>0</v>
      </c>
      <c r="D54" s="377">
        <v>0</v>
      </c>
      <c r="E54" s="377">
        <v>0</v>
      </c>
      <c r="F54" s="377">
        <v>0</v>
      </c>
      <c r="G54" s="377">
        <v>0</v>
      </c>
      <c r="H54" s="377">
        <v>0</v>
      </c>
      <c r="I54" s="378">
        <v>0</v>
      </c>
      <c r="J54" s="377">
        <v>0</v>
      </c>
      <c r="K54" s="377">
        <v>0</v>
      </c>
      <c r="L54" s="377">
        <v>0</v>
      </c>
      <c r="M54" s="377">
        <v>0</v>
      </c>
      <c r="N54" s="377">
        <v>0</v>
      </c>
      <c r="O54" s="377">
        <v>0</v>
      </c>
      <c r="P54" s="378"/>
    </row>
    <row r="55" spans="1:16" ht="12.75" customHeight="1" x14ac:dyDescent="0.25">
      <c r="B55" s="89" t="s">
        <v>73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A56" s="373" t="s">
        <v>79</v>
      </c>
      <c r="B56" s="373" t="s">
        <v>70</v>
      </c>
      <c r="C56" s="374">
        <v>0</v>
      </c>
      <c r="D56" s="374">
        <v>0</v>
      </c>
      <c r="E56" s="374">
        <v>0</v>
      </c>
      <c r="F56" s="374">
        <v>0</v>
      </c>
      <c r="G56" s="374">
        <v>0</v>
      </c>
      <c r="H56" s="374">
        <v>0</v>
      </c>
      <c r="I56" s="372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2"/>
    </row>
    <row r="57" spans="1:16" ht="12.75" customHeight="1" x14ac:dyDescent="0.25">
      <c r="A57" s="89" t="s">
        <v>70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9" spans="1:16" ht="12.75" customHeight="1" x14ac:dyDescent="0.25">
      <c r="B59" s="145" t="s">
        <v>70</v>
      </c>
      <c r="C59" s="99">
        <f>C57-I57</f>
        <v>0</v>
      </c>
      <c r="D59" s="99">
        <f>D54</f>
        <v>0</v>
      </c>
      <c r="E59" s="99">
        <f t="shared" ref="E59:P59" si="4">E54</f>
        <v>0</v>
      </c>
      <c r="F59" s="99">
        <f t="shared" si="4"/>
        <v>0</v>
      </c>
      <c r="G59" s="99">
        <f t="shared" si="4"/>
        <v>0</v>
      </c>
      <c r="H59" s="99">
        <f t="shared" si="4"/>
        <v>0</v>
      </c>
      <c r="I59" s="99">
        <f t="shared" si="4"/>
        <v>0</v>
      </c>
      <c r="J59" s="99">
        <f t="shared" si="4"/>
        <v>0</v>
      </c>
      <c r="K59" s="99">
        <f t="shared" si="4"/>
        <v>0</v>
      </c>
      <c r="L59" s="99">
        <f t="shared" si="4"/>
        <v>0</v>
      </c>
      <c r="M59" s="99">
        <f t="shared" si="4"/>
        <v>0</v>
      </c>
      <c r="N59" s="99">
        <f t="shared" si="4"/>
        <v>0</v>
      </c>
      <c r="O59" s="99">
        <f>O54</f>
        <v>0</v>
      </c>
      <c r="P59" s="99">
        <f t="shared" si="4"/>
        <v>0</v>
      </c>
    </row>
    <row r="60" spans="1:16" ht="12.75" customHeight="1" x14ac:dyDescent="0.25">
      <c r="B60" s="145" t="s">
        <v>73</v>
      </c>
      <c r="C60" s="99">
        <f>C56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9" activePane="bottomLeft" state="frozen"/>
      <selection activeCell="C50" sqref="C50"/>
      <selection pane="bottomLeft"/>
    </sheetView>
  </sheetViews>
  <sheetFormatPr baseColWidth="10" defaultRowHeight="13.2" x14ac:dyDescent="0.25"/>
  <cols>
    <col min="2" max="2" width="24.44140625" bestFit="1" customWidth="1"/>
    <col min="3" max="3" width="15.21875" style="144" bestFit="1" customWidth="1"/>
    <col min="4" max="4" width="23.21875" bestFit="1" customWidth="1"/>
    <col min="5" max="5" width="15.777343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21875" bestFit="1" customWidth="1"/>
    <col min="12" max="12" width="17" bestFit="1" customWidth="1"/>
    <col min="13" max="14" width="15.5546875" bestFit="1" customWidth="1"/>
    <col min="15" max="15" width="15.218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78" customFormat="1" ht="12.75" customHeight="1" x14ac:dyDescent="0.25">
      <c r="A56" s="376" t="s">
        <v>78</v>
      </c>
      <c r="B56" s="376" t="s">
        <v>70</v>
      </c>
      <c r="C56" s="377">
        <v>0</v>
      </c>
      <c r="D56" s="377">
        <v>0</v>
      </c>
      <c r="E56" s="377">
        <v>0</v>
      </c>
      <c r="F56" s="377">
        <v>0</v>
      </c>
      <c r="G56" s="377">
        <v>0</v>
      </c>
      <c r="H56" s="377">
        <v>0</v>
      </c>
      <c r="I56" s="378">
        <v>0</v>
      </c>
      <c r="J56" s="377">
        <v>0</v>
      </c>
      <c r="K56" s="377">
        <v>0</v>
      </c>
      <c r="L56" s="377">
        <v>0</v>
      </c>
      <c r="M56" s="377">
        <v>0</v>
      </c>
      <c r="N56" s="377">
        <v>0</v>
      </c>
      <c r="O56" s="377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2" customFormat="1" ht="12.75" customHeight="1" x14ac:dyDescent="0.25">
      <c r="A58" s="373" t="s">
        <v>79</v>
      </c>
      <c r="B58" s="373" t="s">
        <v>70</v>
      </c>
      <c r="C58" s="374">
        <v>0</v>
      </c>
      <c r="D58" s="374">
        <v>0</v>
      </c>
      <c r="E58" s="374">
        <v>0</v>
      </c>
      <c r="F58" s="374">
        <v>0</v>
      </c>
      <c r="G58" s="374">
        <v>0</v>
      </c>
      <c r="H58" s="374">
        <v>0</v>
      </c>
      <c r="I58" s="372">
        <v>0</v>
      </c>
      <c r="J58" s="374">
        <v>0</v>
      </c>
      <c r="K58" s="374">
        <v>0</v>
      </c>
      <c r="L58" s="374">
        <v>0</v>
      </c>
      <c r="M58" s="374">
        <v>0</v>
      </c>
      <c r="N58" s="374">
        <v>0</v>
      </c>
      <c r="O58" s="374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6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77734375" style="1" customWidth="1"/>
    <col min="14" max="14" width="19.21875" style="1" bestFit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8" width="16.77734375" style="1" customWidth="1"/>
    <col min="29" max="30" width="15.77734375" style="1" bestFit="1" customWidth="1"/>
    <col min="31" max="31" width="16.21875" style="1" customWidth="1"/>
    <col min="32" max="32" width="18.21875" style="1" customWidth="1"/>
    <col min="33" max="33" width="13.77734375" style="1" customWidth="1"/>
    <col min="34" max="34" width="3.44140625" style="1" customWidth="1"/>
    <col min="35" max="35" width="13.777343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2026082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46267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H7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NOTA'!C9</f>
        <v>806955.98</v>
      </c>
      <c r="E9" s="66">
        <f>'SALDOS POR NOTA'!D9</f>
        <v>65039.95</v>
      </c>
      <c r="F9" s="66">
        <f>'SALDOS POR NOTA'!E9</f>
        <v>36337.019999999997</v>
      </c>
      <c r="G9" s="66">
        <f>'SALDOS POR NOTA'!F9</f>
        <v>19274.13</v>
      </c>
      <c r="H9" s="66">
        <f>'SALDOS POR NOTA'!G9</f>
        <v>155423.91</v>
      </c>
      <c r="I9" s="66">
        <f>'SALDOS POR NOTA'!H9</f>
        <v>5618.35</v>
      </c>
      <c r="J9" s="66">
        <v>0</v>
      </c>
      <c r="K9" s="30">
        <f>D9-E9-F9-G9-H9-I9-J9</f>
        <v>525262.62</v>
      </c>
      <c r="L9" s="37">
        <v>0</v>
      </c>
      <c r="M9" s="30">
        <f>K9-L9</f>
        <v>525262.62</v>
      </c>
      <c r="N9" s="37">
        <f>'SALDOS POR NOTA'!I9</f>
        <v>0</v>
      </c>
      <c r="O9" s="30">
        <f>M9+N9</f>
        <v>525262.62</v>
      </c>
      <c r="Q9" s="4"/>
      <c r="S9" s="14">
        <v>1</v>
      </c>
      <c r="T9" s="61" t="s">
        <v>10</v>
      </c>
      <c r="U9" s="66">
        <f>'SALDOS POR NOTA'!J9</f>
        <v>56003.23</v>
      </c>
      <c r="V9" s="66">
        <f>'SALDOS POR NOTA'!K9</f>
        <v>48167.15</v>
      </c>
      <c r="W9" s="66">
        <f>'SALDOS POR NOTA'!L9</f>
        <v>226758.45</v>
      </c>
      <c r="X9" s="66">
        <f>'SALDOS POR NOTA'!M9</f>
        <v>182170.76</v>
      </c>
      <c r="Y9" s="66">
        <f>'SALDOS POR NOTA'!N9</f>
        <v>9166.69</v>
      </c>
      <c r="Z9" s="379">
        <f>L9*-1</f>
        <v>0</v>
      </c>
      <c r="AA9" s="75">
        <f>'SALDOS POR NOTA'!O9</f>
        <v>0.04</v>
      </c>
      <c r="AB9" s="37">
        <f>N9</f>
        <v>0</v>
      </c>
      <c r="AC9" s="66">
        <f>-J9+AD9</f>
        <v>2996.3</v>
      </c>
      <c r="AD9" s="66">
        <f>'SALDOS POR NOTA'!C10</f>
        <v>2996.3</v>
      </c>
      <c r="AE9" s="115">
        <f>SUM(U9:AC9)</f>
        <v>525262.62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NOTA'!C21</f>
        <v>506855.36</v>
      </c>
      <c r="E10" s="66">
        <f>'SALDOS POR NOTA'!D21</f>
        <v>42296.72</v>
      </c>
      <c r="F10" s="66">
        <f>'SALDOS POR NOTA'!E21</f>
        <v>23907.98</v>
      </c>
      <c r="G10" s="66">
        <f>'SALDOS POR NOTA'!F21</f>
        <v>12706.35</v>
      </c>
      <c r="H10" s="66">
        <f>'SALDOS POR NOTA'!G21</f>
        <v>265979.53000000003</v>
      </c>
      <c r="I10" s="66">
        <f>'SALDOS POR NOTA'!H21</f>
        <v>11995.53</v>
      </c>
      <c r="J10" s="66">
        <v>0</v>
      </c>
      <c r="K10" s="31">
        <f t="shared" ref="K10:K13" si="0">D10-E10-F10-G10-H10-I10-J10</f>
        <v>149969.25000000003</v>
      </c>
      <c r="L10" s="38">
        <v>0</v>
      </c>
      <c r="M10" s="31">
        <f>K10-L10</f>
        <v>149969.25000000003</v>
      </c>
      <c r="N10" s="37">
        <f>'SALDOS POR NOTA'!I21</f>
        <v>0</v>
      </c>
      <c r="O10" s="31">
        <f t="shared" ref="O10:O12" si="1">M10+N10</f>
        <v>149969.25000000003</v>
      </c>
      <c r="Q10" s="4"/>
      <c r="S10" s="16">
        <v>2</v>
      </c>
      <c r="T10" s="62" t="s">
        <v>11</v>
      </c>
      <c r="U10" s="66">
        <f>'SALDOS POR NOTA'!J21</f>
        <v>66026.12</v>
      </c>
      <c r="V10" s="66">
        <f>'SALDOS POR NOTA'!K21</f>
        <v>73645.62</v>
      </c>
      <c r="W10" s="66">
        <f>'SALDOS POR NOTA'!L21</f>
        <v>345565.65</v>
      </c>
      <c r="X10" s="66">
        <f>'SALDOS POR NOTA'!M21</f>
        <v>81955.14</v>
      </c>
      <c r="Y10" s="66">
        <f>'SALDOS POR NOTA'!N21</f>
        <v>6998.74</v>
      </c>
      <c r="Z10" s="38">
        <f>L10*-1</f>
        <v>0</v>
      </c>
      <c r="AA10" s="382">
        <f>'SALDOS POR NOTA'!O21</f>
        <v>-3.66</v>
      </c>
      <c r="AB10" s="37">
        <f>N10</f>
        <v>0</v>
      </c>
      <c r="AC10" s="66">
        <f t="shared" ref="AC10:AC13" si="2">-J10+AD10</f>
        <v>-424218.36</v>
      </c>
      <c r="AD10" s="66">
        <f>'SALDOS POR NOTA'!C22</f>
        <v>-424218.36</v>
      </c>
      <c r="AE10" s="116">
        <f>SUM(U10:AC10)</f>
        <v>149969.25</v>
      </c>
      <c r="AF10" s="118">
        <f>(AE10-O10)</f>
        <v>-2.9103830456733704E-11</v>
      </c>
      <c r="AG10" s="1" t="b">
        <f t="shared" ref="AG10:AG14" si="3">AF10=0</f>
        <v>0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NOTA'!C33</f>
        <v>118874.84</v>
      </c>
      <c r="E11" s="66">
        <f>'SALDOS POR NOTA'!D33</f>
        <v>6267.13</v>
      </c>
      <c r="F11" s="66">
        <f>'SALDOS POR NOTA'!E33</f>
        <v>3538.42</v>
      </c>
      <c r="G11" s="66">
        <f>'SALDOS POR NOTA'!F33</f>
        <v>1857.22</v>
      </c>
      <c r="H11" s="66">
        <f>'SALDOS POR NOTA'!G33</f>
        <v>42966.81</v>
      </c>
      <c r="I11" s="66">
        <f>'SALDOS POR NOTA'!H33</f>
        <v>743.08</v>
      </c>
      <c r="J11" s="66">
        <v>0</v>
      </c>
      <c r="K11" s="31">
        <f t="shared" si="0"/>
        <v>63502.179999999993</v>
      </c>
      <c r="L11" s="38">
        <v>0</v>
      </c>
      <c r="M11" s="31">
        <f>K11-L11</f>
        <v>63502.179999999993</v>
      </c>
      <c r="N11" s="37">
        <f>'SALDOS POR NOTA'!I33</f>
        <v>0</v>
      </c>
      <c r="O11" s="31">
        <f t="shared" si="1"/>
        <v>63502.179999999993</v>
      </c>
      <c r="Q11" s="4"/>
      <c r="S11" s="16">
        <v>3</v>
      </c>
      <c r="T11" s="62" t="s">
        <v>12</v>
      </c>
      <c r="U11" s="66">
        <f>'SALDOS POR NOTA'!J33</f>
        <v>6518.28</v>
      </c>
      <c r="V11" s="66">
        <f>'SALDOS POR NOTA'!K33</f>
        <v>6322.58</v>
      </c>
      <c r="W11" s="66">
        <f>'SALDOS POR NOTA'!L33</f>
        <v>29933.14</v>
      </c>
      <c r="X11" s="66">
        <f>'SALDOS POR NOTA'!M33</f>
        <v>14860.01</v>
      </c>
      <c r="Y11" s="66">
        <f>'SALDOS POR NOTA'!N33</f>
        <v>1212.4000000000001</v>
      </c>
      <c r="Z11" s="38">
        <f>L11*-1</f>
        <v>0</v>
      </c>
      <c r="AA11" s="382">
        <f>'SALDOS POR NOTA'!O33</f>
        <v>0</v>
      </c>
      <c r="AB11" s="37">
        <f>N11</f>
        <v>0</v>
      </c>
      <c r="AC11" s="66">
        <f t="shared" si="2"/>
        <v>4655.7700000000004</v>
      </c>
      <c r="AD11" s="66">
        <f>'SALDOS POR NOTA'!C34</f>
        <v>4655.7700000000004</v>
      </c>
      <c r="AE11" s="116">
        <f>SUM(U11:AC11)</f>
        <v>63502.180000000008</v>
      </c>
      <c r="AF11" s="118">
        <f>(AE11-O11)</f>
        <v>1.4551915228366852E-11</v>
      </c>
      <c r="AG11" s="1" t="b">
        <f t="shared" si="3"/>
        <v>0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NOTA'!C46</f>
        <v>318314.48</v>
      </c>
      <c r="E12" s="66">
        <f>'SALDOS POR NOTA'!D46</f>
        <v>30353.42</v>
      </c>
      <c r="F12" s="66">
        <f>'SALDOS POR NOTA'!E46</f>
        <v>17272.310000000001</v>
      </c>
      <c r="G12" s="66">
        <f>'SALDOS POR NOTA'!F46</f>
        <v>7260.85</v>
      </c>
      <c r="H12" s="66">
        <f>'SALDOS POR NOTA'!G46</f>
        <v>195770.56</v>
      </c>
      <c r="I12" s="66">
        <f>'SALDOS POR NOTA'!H46</f>
        <v>5001.67</v>
      </c>
      <c r="J12" s="66">
        <v>0</v>
      </c>
      <c r="K12" s="31">
        <f t="shared" si="0"/>
        <v>62655.670000000027</v>
      </c>
      <c r="L12" s="38">
        <v>0</v>
      </c>
      <c r="M12" s="31">
        <f>K12-L12</f>
        <v>62655.670000000027</v>
      </c>
      <c r="N12" s="37">
        <f>'SALDOS POR NOTA'!I46</f>
        <v>0</v>
      </c>
      <c r="O12" s="31">
        <f t="shared" si="1"/>
        <v>62655.670000000027</v>
      </c>
      <c r="Q12" s="4"/>
      <c r="S12" s="16">
        <v>4</v>
      </c>
      <c r="T12" s="62" t="s">
        <v>13</v>
      </c>
      <c r="U12" s="66">
        <f>'SALDOS POR NOTA'!J46</f>
        <v>31654.75</v>
      </c>
      <c r="V12" s="66">
        <f>'SALDOS POR NOTA'!K46</f>
        <v>16169.51</v>
      </c>
      <c r="W12" s="66">
        <f>'SALDOS POR NOTA'!L46</f>
        <v>625209.87</v>
      </c>
      <c r="X12" s="66">
        <f>'SALDOS POR NOTA'!M46</f>
        <v>92025.49</v>
      </c>
      <c r="Y12" s="66">
        <f>'SALDOS POR NOTA'!N46</f>
        <v>3836.24</v>
      </c>
      <c r="Z12" s="38">
        <f>L12*-1</f>
        <v>0</v>
      </c>
      <c r="AA12" s="382">
        <f>'SALDOS POR NOTA'!O46</f>
        <v>20.010000000000002</v>
      </c>
      <c r="AB12" s="37">
        <f>N12</f>
        <v>0</v>
      </c>
      <c r="AC12" s="66">
        <f t="shared" si="2"/>
        <v>-706260.2</v>
      </c>
      <c r="AD12" s="66">
        <f>'SALDOS POR NOTA'!C47</f>
        <v>-706260.2</v>
      </c>
      <c r="AE12" s="116">
        <f>SUM(U12:AC12)</f>
        <v>62655.670000000042</v>
      </c>
      <c r="AF12" s="118">
        <f>(AE12-O12)</f>
        <v>1.4551915228366852E-11</v>
      </c>
      <c r="AG12" s="1" t="b">
        <f t="shared" si="3"/>
        <v>0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NOTA'!C59</f>
        <v>0</v>
      </c>
      <c r="E13" s="66">
        <f>'SALDOS POR NOTA'!D59</f>
        <v>0</v>
      </c>
      <c r="F13" s="66">
        <f>'SALDOS POR NOTA'!E59</f>
        <v>0</v>
      </c>
      <c r="G13" s="66">
        <f>'SALDOS POR NOTA'!F59</f>
        <v>0</v>
      </c>
      <c r="H13" s="66">
        <f>'SALDOS POR NOTA'!G59</f>
        <v>0</v>
      </c>
      <c r="I13" s="66">
        <f>'SALDOS POR NOTA'!H59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NOTA'!I59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NOTA'!J59</f>
        <v>0</v>
      </c>
      <c r="V13" s="66">
        <f>'SALDOS POR NOTA'!K59</f>
        <v>0</v>
      </c>
      <c r="W13" s="66">
        <f>'SALDOS POR NOTA'!L59</f>
        <v>0</v>
      </c>
      <c r="X13" s="66">
        <f>'SALDOS POR NOTA'!M59</f>
        <v>0</v>
      </c>
      <c r="Y13" s="66">
        <f>'SALDOS POR NOTA'!N59</f>
        <v>0</v>
      </c>
      <c r="Z13" s="38">
        <f>L13*-1</f>
        <v>0</v>
      </c>
      <c r="AA13" s="383">
        <f>'SALDOS POR NOTA'!O59</f>
        <v>0</v>
      </c>
      <c r="AB13" s="37">
        <f>N13</f>
        <v>0</v>
      </c>
      <c r="AC13" s="66">
        <f t="shared" si="2"/>
        <v>0</v>
      </c>
      <c r="AD13" s="66">
        <f>'SALDOS POR NOTA'!C60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1751000.66</v>
      </c>
      <c r="E14" s="43">
        <f t="shared" ref="E14:N14" si="4">SUM(E9:E13)</f>
        <v>143957.22</v>
      </c>
      <c r="F14" s="43">
        <f t="shared" si="4"/>
        <v>81055.73</v>
      </c>
      <c r="G14" s="43">
        <f t="shared" si="4"/>
        <v>41098.550000000003</v>
      </c>
      <c r="H14" s="43">
        <f t="shared" si="4"/>
        <v>660140.81000000006</v>
      </c>
      <c r="I14" s="43">
        <f t="shared" si="4"/>
        <v>23358.630000000005</v>
      </c>
      <c r="J14" s="43">
        <f t="shared" si="4"/>
        <v>0</v>
      </c>
      <c r="K14" s="32">
        <f t="shared" si="4"/>
        <v>801389.72000000009</v>
      </c>
      <c r="L14" s="23">
        <f t="shared" si="4"/>
        <v>0</v>
      </c>
      <c r="M14" s="76">
        <f t="shared" si="4"/>
        <v>801389.72000000009</v>
      </c>
      <c r="N14" s="23">
        <f t="shared" si="4"/>
        <v>0</v>
      </c>
      <c r="O14" s="76">
        <f>SUM(O9:O13)</f>
        <v>801389.72000000009</v>
      </c>
      <c r="P14" s="2"/>
      <c r="Q14" s="4"/>
      <c r="S14" s="21"/>
      <c r="T14" s="22" t="s">
        <v>2</v>
      </c>
      <c r="U14" s="43">
        <f>SUM(U9:U13)</f>
        <v>160202.38</v>
      </c>
      <c r="V14" s="43">
        <f t="shared" ref="V14:AB14" si="5">SUM(V9:V13)</f>
        <v>144304.85999999999</v>
      </c>
      <c r="W14" s="43">
        <f t="shared" si="5"/>
        <v>1227467.1100000001</v>
      </c>
      <c r="X14" s="43">
        <f t="shared" si="5"/>
        <v>371011.4</v>
      </c>
      <c r="Y14" s="43">
        <f t="shared" si="5"/>
        <v>21214.07</v>
      </c>
      <c r="Z14" s="43">
        <f t="shared" si="5"/>
        <v>0</v>
      </c>
      <c r="AA14" s="381">
        <f>SUM(AA9:AA13)</f>
        <v>16.39</v>
      </c>
      <c r="AB14" s="43">
        <f t="shared" si="5"/>
        <v>0</v>
      </c>
      <c r="AC14" s="43">
        <f>SUM(AC9:AC13)</f>
        <v>-1122826.49</v>
      </c>
      <c r="AD14" s="43">
        <f>SUM(AD9:AD13)</f>
        <v>-1122826.49</v>
      </c>
      <c r="AE14" s="68">
        <f>SUM(AE9:AE13)</f>
        <v>801389.72000000009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1924199.82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2026082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46267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H26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NEGATIVA'!C61</f>
        <v>0</v>
      </c>
      <c r="E32" s="297">
        <f>'RETRIBUCION NEGATIVA'!D61</f>
        <v>0</v>
      </c>
      <c r="F32" s="297">
        <f>'RETRIBUCION NEGATIVA'!E61</f>
        <v>0</v>
      </c>
      <c r="G32" s="297">
        <f>'RETRIBUCION NEGATIVA'!F61</f>
        <v>0</v>
      </c>
      <c r="H32" s="297">
        <f>'RETRIBUCION NEGATIVA'!G61</f>
        <v>0</v>
      </c>
      <c r="I32" s="297">
        <f>'RETRIBUCION NEGATIVA'!H61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NEGATIVA'!I61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NEGATIVA'!J61</f>
        <v>0</v>
      </c>
      <c r="V32" s="296">
        <f>'RETRIBUCION NEGATIVA'!K61</f>
        <v>0</v>
      </c>
      <c r="W32" s="296">
        <f>'RETRIBUCION NEGATIVA'!L61</f>
        <v>0</v>
      </c>
      <c r="X32" s="296">
        <f>'RETRIBUCION NEGATIVA'!M61</f>
        <v>0</v>
      </c>
      <c r="Y32" s="296">
        <f>'RETRIBUCION NEGATIVA'!N61</f>
        <v>0</v>
      </c>
      <c r="Z32" s="319">
        <f>L32*-1</f>
        <v>0</v>
      </c>
      <c r="AA32" s="320">
        <f>'RETRIBUCION NEGATIVA'!O61</f>
        <v>0</v>
      </c>
      <c r="AB32" s="294">
        <f>N32</f>
        <v>0</v>
      </c>
      <c r="AC32" s="291">
        <f t="shared" si="9"/>
        <v>0</v>
      </c>
      <c r="AD32" s="291">
        <f>'RETRIBUCION NEGATIVA'!C62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2026082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46267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H45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806955.98</v>
      </c>
      <c r="E47" s="66">
        <f t="shared" ref="E47:F47" si="13">E9+E28</f>
        <v>65039.95</v>
      </c>
      <c r="F47" s="66">
        <f t="shared" si="13"/>
        <v>36337.019999999997</v>
      </c>
      <c r="G47" s="66">
        <f t="shared" ref="G47" si="14">G9+G28</f>
        <v>19274.13</v>
      </c>
      <c r="H47" s="66">
        <f t="shared" ref="H47:J51" si="15">H9+H28</f>
        <v>155423.91</v>
      </c>
      <c r="I47" s="66">
        <f t="shared" si="15"/>
        <v>5618.35</v>
      </c>
      <c r="J47" s="66">
        <f>J9+J28</f>
        <v>0</v>
      </c>
      <c r="K47" s="30">
        <f>D47-E47-F47-G47-H47-I47-J47</f>
        <v>525262.62</v>
      </c>
      <c r="L47" s="37">
        <v>0</v>
      </c>
      <c r="M47" s="30">
        <f>K47-L47</f>
        <v>525262.62</v>
      </c>
      <c r="N47" s="66">
        <f>N9+N28</f>
        <v>0</v>
      </c>
      <c r="O47" s="30">
        <f>M47+N47</f>
        <v>525262.62</v>
      </c>
      <c r="Q47" s="4"/>
      <c r="S47" s="14">
        <v>1</v>
      </c>
      <c r="T47" s="61" t="s">
        <v>10</v>
      </c>
      <c r="U47" s="140">
        <f t="shared" ref="U47:Y51" si="16">U9+U28</f>
        <v>56003.23</v>
      </c>
      <c r="V47" s="140">
        <f t="shared" si="16"/>
        <v>48167.15</v>
      </c>
      <c r="W47" s="140">
        <f t="shared" si="16"/>
        <v>226758.45</v>
      </c>
      <c r="X47" s="140">
        <f t="shared" si="16"/>
        <v>182170.76</v>
      </c>
      <c r="Y47" s="140">
        <f t="shared" si="16"/>
        <v>9166.69</v>
      </c>
      <c r="Z47" s="87">
        <f>-L47</f>
        <v>0</v>
      </c>
      <c r="AA47" s="75">
        <f t="shared" ref="AA47:AD51" si="17">AA9+AA28</f>
        <v>0.04</v>
      </c>
      <c r="AB47" s="75">
        <f>AB9+AB28</f>
        <v>0</v>
      </c>
      <c r="AC47" s="75">
        <f t="shared" si="17"/>
        <v>2996.3</v>
      </c>
      <c r="AD47" s="75">
        <f t="shared" si="17"/>
        <v>2996.3</v>
      </c>
      <c r="AE47" s="69">
        <f>SUM(U47:AC47)</f>
        <v>525262.62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506855.36</v>
      </c>
      <c r="E48" s="66">
        <f t="shared" si="18"/>
        <v>42296.72</v>
      </c>
      <c r="F48" s="66">
        <f t="shared" si="18"/>
        <v>23907.98</v>
      </c>
      <c r="G48" s="66">
        <f t="shared" ref="G48" si="19">G10+G29</f>
        <v>12706.35</v>
      </c>
      <c r="H48" s="66">
        <f t="shared" si="15"/>
        <v>265979.53000000003</v>
      </c>
      <c r="I48" s="66">
        <f t="shared" si="15"/>
        <v>11995.53</v>
      </c>
      <c r="J48" s="66">
        <f t="shared" si="15"/>
        <v>0</v>
      </c>
      <c r="K48" s="31">
        <f>D48-E48-F48-G48-H48-I48-J48</f>
        <v>149969.25000000003</v>
      </c>
      <c r="L48" s="38">
        <v>0</v>
      </c>
      <c r="M48" s="31">
        <f>K48-L48</f>
        <v>149969.25000000003</v>
      </c>
      <c r="N48" s="66">
        <f>N10+N29</f>
        <v>0</v>
      </c>
      <c r="O48" s="31">
        <f t="shared" ref="O48:O51" si="20">M48+N48</f>
        <v>149969.25000000003</v>
      </c>
      <c r="Q48" s="4"/>
      <c r="S48" s="16">
        <v>2</v>
      </c>
      <c r="T48" s="62" t="s">
        <v>11</v>
      </c>
      <c r="U48" s="82">
        <f t="shared" si="16"/>
        <v>66026.12</v>
      </c>
      <c r="V48" s="82">
        <f t="shared" si="16"/>
        <v>73645.62</v>
      </c>
      <c r="W48" s="82">
        <f t="shared" si="16"/>
        <v>345565.65</v>
      </c>
      <c r="X48" s="82">
        <f t="shared" si="16"/>
        <v>81955.14</v>
      </c>
      <c r="Y48" s="82">
        <f t="shared" si="16"/>
        <v>6998.74</v>
      </c>
      <c r="Z48" s="88">
        <f>-L48</f>
        <v>0</v>
      </c>
      <c r="AA48" s="67">
        <f>AA10+AA29</f>
        <v>-3.66</v>
      </c>
      <c r="AB48" s="67">
        <f>AB10+AB29</f>
        <v>0</v>
      </c>
      <c r="AC48" s="67">
        <f t="shared" si="17"/>
        <v>-424218.36</v>
      </c>
      <c r="AD48" s="67">
        <f t="shared" si="17"/>
        <v>-424218.36</v>
      </c>
      <c r="AE48" s="70">
        <f>SUM(U48:AC48)</f>
        <v>149969.25</v>
      </c>
      <c r="AF48" s="118">
        <f>(AE48-O48)</f>
        <v>-2.9103830456733704E-11</v>
      </c>
      <c r="AG48" s="1" t="b">
        <f t="shared" ref="AG48:AG52" si="21">AF48=0</f>
        <v>0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118874.84</v>
      </c>
      <c r="E49" s="66">
        <f t="shared" si="18"/>
        <v>6267.13</v>
      </c>
      <c r="F49" s="66">
        <f t="shared" si="18"/>
        <v>3538.42</v>
      </c>
      <c r="G49" s="66">
        <f t="shared" ref="G49" si="22">G11+G30</f>
        <v>1857.22</v>
      </c>
      <c r="H49" s="66">
        <f t="shared" si="15"/>
        <v>42966.81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63502.179999999993</v>
      </c>
      <c r="L49" s="38">
        <v>0</v>
      </c>
      <c r="M49" s="31">
        <f>K49-L49</f>
        <v>63502.179999999993</v>
      </c>
      <c r="N49" s="66">
        <f>N11+N30</f>
        <v>0</v>
      </c>
      <c r="O49" s="31">
        <f t="shared" si="20"/>
        <v>63502.179999999993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6322.58</v>
      </c>
      <c r="W49" s="82">
        <f t="shared" si="16"/>
        <v>29933.14</v>
      </c>
      <c r="X49" s="82">
        <f t="shared" si="16"/>
        <v>14860.01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4655.7700000000004</v>
      </c>
      <c r="AD49" s="67">
        <f t="shared" si="17"/>
        <v>4655.7700000000004</v>
      </c>
      <c r="AE49" s="70">
        <f t="shared" ref="AE49:AE51" si="24">SUM(U49:AC49)</f>
        <v>63502.180000000008</v>
      </c>
      <c r="AF49" s="118">
        <f>(AE49-O49)</f>
        <v>1.4551915228366852E-11</v>
      </c>
      <c r="AG49" s="1" t="b">
        <f t="shared" si="21"/>
        <v>0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318314.48</v>
      </c>
      <c r="E50" s="66">
        <f t="shared" si="18"/>
        <v>30353.42</v>
      </c>
      <c r="F50" s="66">
        <f t="shared" si="18"/>
        <v>17272.310000000001</v>
      </c>
      <c r="G50" s="66">
        <f t="shared" ref="G50" si="25">G12+G31</f>
        <v>7260.85</v>
      </c>
      <c r="H50" s="66">
        <f t="shared" si="15"/>
        <v>195770.56</v>
      </c>
      <c r="I50" s="66">
        <f t="shared" si="15"/>
        <v>5001.67</v>
      </c>
      <c r="J50" s="66">
        <f t="shared" si="15"/>
        <v>0</v>
      </c>
      <c r="K50" s="31">
        <f t="shared" si="23"/>
        <v>62655.670000000027</v>
      </c>
      <c r="L50" s="38">
        <v>0</v>
      </c>
      <c r="M50" s="31">
        <f>K50-L50</f>
        <v>62655.670000000027</v>
      </c>
      <c r="N50" s="66">
        <f>N12+N31</f>
        <v>0</v>
      </c>
      <c r="O50" s="31">
        <f t="shared" si="20"/>
        <v>62655.670000000027</v>
      </c>
      <c r="Q50" s="4"/>
      <c r="S50" s="16">
        <v>4</v>
      </c>
      <c r="T50" s="62" t="s">
        <v>13</v>
      </c>
      <c r="U50" s="82">
        <f t="shared" si="16"/>
        <v>31654.75</v>
      </c>
      <c r="V50" s="82">
        <f t="shared" si="16"/>
        <v>16169.51</v>
      </c>
      <c r="W50" s="82">
        <f t="shared" si="16"/>
        <v>625209.87</v>
      </c>
      <c r="X50" s="82">
        <f t="shared" si="16"/>
        <v>92025.49</v>
      </c>
      <c r="Y50" s="82">
        <f t="shared" si="16"/>
        <v>3836.24</v>
      </c>
      <c r="Z50" s="88">
        <f>-L50</f>
        <v>0</v>
      </c>
      <c r="AA50" s="67">
        <f>AA12+AA31</f>
        <v>20.010000000000002</v>
      </c>
      <c r="AB50" s="67">
        <f t="shared" si="17"/>
        <v>0</v>
      </c>
      <c r="AC50" s="67">
        <f t="shared" si="17"/>
        <v>-706260.2</v>
      </c>
      <c r="AD50" s="67">
        <f t="shared" si="17"/>
        <v>-706260.2</v>
      </c>
      <c r="AE50" s="70">
        <f t="shared" si="24"/>
        <v>62655.670000000042</v>
      </c>
      <c r="AF50" s="118">
        <f>(AE50-O50)</f>
        <v>1.4551915228366852E-11</v>
      </c>
      <c r="AG50" s="1" t="b">
        <f t="shared" si="21"/>
        <v>0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1751000.66</v>
      </c>
      <c r="E52" s="43">
        <f t="shared" si="27"/>
        <v>143957.22</v>
      </c>
      <c r="F52" s="43">
        <f t="shared" si="27"/>
        <v>81055.73</v>
      </c>
      <c r="G52" s="43">
        <f t="shared" si="27"/>
        <v>41098.550000000003</v>
      </c>
      <c r="H52" s="43">
        <f t="shared" si="27"/>
        <v>660140.81000000006</v>
      </c>
      <c r="I52" s="43">
        <f t="shared" si="27"/>
        <v>23358.630000000005</v>
      </c>
      <c r="J52" s="43">
        <f t="shared" si="27"/>
        <v>0</v>
      </c>
      <c r="K52" s="32">
        <f t="shared" si="27"/>
        <v>801389.72000000009</v>
      </c>
      <c r="L52" s="23">
        <f t="shared" si="27"/>
        <v>0</v>
      </c>
      <c r="M52" s="76">
        <f t="shared" si="27"/>
        <v>801389.72000000009</v>
      </c>
      <c r="N52" s="23">
        <f t="shared" si="27"/>
        <v>0</v>
      </c>
      <c r="O52" s="76">
        <f t="shared" si="27"/>
        <v>801389.72000000009</v>
      </c>
      <c r="P52" s="2"/>
      <c r="Q52" s="4"/>
      <c r="S52" s="21"/>
      <c r="T52" s="22" t="s">
        <v>2</v>
      </c>
      <c r="U52" s="43">
        <f>SUM(U47:U51)</f>
        <v>160202.38</v>
      </c>
      <c r="V52" s="43">
        <f t="shared" ref="V52:AE52" si="28">SUM(V47:V51)</f>
        <v>144304.85999999999</v>
      </c>
      <c r="W52" s="43">
        <f t="shared" si="28"/>
        <v>1227467.1100000001</v>
      </c>
      <c r="X52" s="43">
        <f t="shared" si="28"/>
        <v>371011.4</v>
      </c>
      <c r="Y52" s="43">
        <f t="shared" si="28"/>
        <v>21214.07</v>
      </c>
      <c r="Z52" s="43">
        <f t="shared" si="28"/>
        <v>0</v>
      </c>
      <c r="AA52" s="43">
        <f>SUM(AA47:AA51)</f>
        <v>16.39</v>
      </c>
      <c r="AB52" s="43">
        <f t="shared" si="28"/>
        <v>0</v>
      </c>
      <c r="AC52" s="43">
        <f>SUM(AC47:AC51)</f>
        <v>-1122826.49</v>
      </c>
      <c r="AD52" s="43">
        <f>SUM(AD47:AD51)</f>
        <v>-1122826.49</v>
      </c>
      <c r="AE52" s="68">
        <f t="shared" si="28"/>
        <v>801389.72000000009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1924199.82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zoomScaleNormal="100" workbookViewId="0"/>
  </sheetViews>
  <sheetFormatPr baseColWidth="10" defaultRowHeight="13.8" x14ac:dyDescent="0.3"/>
  <cols>
    <col min="1" max="1" width="2.77734375" customWidth="1"/>
    <col min="2" max="2" width="17.44140625" bestFit="1" customWidth="1"/>
    <col min="3" max="3" width="4.77734375" style="151" bestFit="1" customWidth="1"/>
    <col min="4" max="4" width="42.77734375" style="151" bestFit="1" customWidth="1"/>
    <col min="5" max="5" width="9" customWidth="1"/>
    <col min="6" max="6" width="15.77734375" customWidth="1"/>
    <col min="7" max="7" width="17.44140625" bestFit="1" customWidth="1"/>
    <col min="8" max="8" width="14.21875" customWidth="1"/>
    <col min="9" max="9" width="16.21875" bestFit="1" customWidth="1"/>
    <col min="10" max="10" width="16.77734375" customWidth="1"/>
    <col min="11" max="11" width="17.5546875" customWidth="1"/>
    <col min="12" max="12" width="15.5546875" bestFit="1" customWidth="1"/>
    <col min="13" max="13" width="15.77734375" bestFit="1" customWidth="1"/>
    <col min="14" max="14" width="17" customWidth="1"/>
    <col min="15" max="15" width="17.77734375" customWidth="1"/>
    <col min="16" max="16" width="16.77734375" customWidth="1"/>
    <col min="17" max="17" width="18" customWidth="1"/>
    <col min="18" max="18" width="14.21875" bestFit="1" customWidth="1"/>
    <col min="19" max="19" width="15.77734375" bestFit="1" customWidth="1"/>
    <col min="20" max="20" width="14.218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276</v>
      </c>
      <c r="G2" s="582" t="s">
        <v>277</v>
      </c>
      <c r="H2" s="583" t="s">
        <v>278</v>
      </c>
      <c r="I2" s="583" t="s">
        <v>279</v>
      </c>
      <c r="J2" s="583" t="s">
        <v>280</v>
      </c>
      <c r="K2" s="582" t="s">
        <v>281</v>
      </c>
      <c r="L2" s="582" t="s">
        <v>282</v>
      </c>
      <c r="M2" s="583" t="s">
        <v>283</v>
      </c>
      <c r="N2" s="583" t="s">
        <v>284</v>
      </c>
      <c r="O2" s="583" t="s">
        <v>285</v>
      </c>
      <c r="P2" s="761" t="s">
        <v>286</v>
      </c>
      <c r="Q2" s="583" t="s">
        <v>287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288</v>
      </c>
      <c r="G3" s="585" t="s">
        <v>289</v>
      </c>
      <c r="H3" s="586" t="s">
        <v>290</v>
      </c>
      <c r="I3" s="587" t="s">
        <v>291</v>
      </c>
      <c r="J3" s="584" t="s">
        <v>292</v>
      </c>
      <c r="K3" s="585" t="s">
        <v>293</v>
      </c>
      <c r="L3" s="586" t="s">
        <v>294</v>
      </c>
      <c r="M3" s="587" t="s">
        <v>295</v>
      </c>
      <c r="N3" s="584" t="s">
        <v>296</v>
      </c>
      <c r="O3" s="585" t="s">
        <v>297</v>
      </c>
      <c r="P3" s="586" t="s">
        <v>298</v>
      </c>
      <c r="Q3" s="587" t="s">
        <v>299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0">
        <f>SUM(F9:G9)</f>
        <v>1719872614</v>
      </c>
      <c r="G10" s="781"/>
      <c r="H10" s="780">
        <f>SUM(H9:I9)</f>
        <v>1719872614</v>
      </c>
      <c r="I10" s="781"/>
      <c r="J10" s="780">
        <f>SUM(J9:K9)</f>
        <v>1719872614</v>
      </c>
      <c r="K10" s="781"/>
      <c r="L10" s="780">
        <f>SUM(L9:M9)</f>
        <v>1719872614</v>
      </c>
      <c r="M10" s="781"/>
      <c r="N10" s="780">
        <f>SUM(N9:O9)</f>
        <v>1719872614</v>
      </c>
      <c r="O10" s="781"/>
      <c r="P10" s="780">
        <f>SUM(P9:Q9)</f>
        <v>1719872614</v>
      </c>
      <c r="Q10" s="781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300</v>
      </c>
      <c r="G13" s="582" t="s">
        <v>301</v>
      </c>
      <c r="H13" s="768" t="s">
        <v>302</v>
      </c>
      <c r="I13" s="583" t="s">
        <v>303</v>
      </c>
      <c r="J13" s="583" t="s">
        <v>304</v>
      </c>
      <c r="K13" s="582" t="s">
        <v>305</v>
      </c>
      <c r="L13" s="582" t="s">
        <v>306</v>
      </c>
      <c r="M13" s="583" t="s">
        <v>307</v>
      </c>
      <c r="N13" s="583" t="s">
        <v>308</v>
      </c>
      <c r="O13" s="582" t="s">
        <v>309</v>
      </c>
      <c r="P13" s="582" t="s">
        <v>310</v>
      </c>
      <c r="Q13" s="583" t="s">
        <v>311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312</v>
      </c>
      <c r="G14" s="585" t="s">
        <v>313</v>
      </c>
      <c r="H14" s="586" t="s">
        <v>314</v>
      </c>
      <c r="I14" s="587" t="s">
        <v>315</v>
      </c>
      <c r="J14" s="584" t="s">
        <v>316</v>
      </c>
      <c r="K14" s="585" t="s">
        <v>317</v>
      </c>
      <c r="L14" s="586" t="s">
        <v>318</v>
      </c>
      <c r="M14" s="587" t="s">
        <v>319</v>
      </c>
      <c r="N14" s="584" t="s">
        <v>320</v>
      </c>
      <c r="O14" s="585" t="s">
        <v>321</v>
      </c>
      <c r="P14" s="586" t="s">
        <v>322</v>
      </c>
      <c r="Q14" s="587" t="s">
        <v>323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0">
        <f>SUM(F20:G20)</f>
        <v>1719872614</v>
      </c>
      <c r="G21" s="781">
        <v>1191383498</v>
      </c>
      <c r="H21" s="780">
        <f>SUM(H20:I20)</f>
        <v>1719872614</v>
      </c>
      <c r="I21" s="781">
        <v>1191383498</v>
      </c>
      <c r="J21" s="780">
        <f>SUM(J20:K20)</f>
        <v>1719872614</v>
      </c>
      <c r="K21" s="781">
        <v>1191383498</v>
      </c>
      <c r="L21" s="780">
        <f>SUM(L20:M20)</f>
        <v>1719872614</v>
      </c>
      <c r="M21" s="781">
        <v>1191383498</v>
      </c>
      <c r="N21" s="780">
        <f>SUM(N20:O20)</f>
        <v>1719872614</v>
      </c>
      <c r="O21" s="781">
        <v>1191383498</v>
      </c>
      <c r="P21" s="780">
        <f>SUM(P20:Q20)</f>
        <v>1719872614</v>
      </c>
      <c r="Q21" s="781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269</v>
      </c>
      <c r="L25" s="152" t="s">
        <v>3</v>
      </c>
      <c r="M25" s="644" t="s">
        <v>267</v>
      </c>
      <c r="N25" s="644" t="s">
        <v>268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H15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21875" style="389" customWidth="1"/>
    <col min="4" max="4" width="15.21875" style="389" customWidth="1"/>
    <col min="5" max="5" width="16" style="389" customWidth="1"/>
    <col min="6" max="7" width="14.77734375" style="389" customWidth="1"/>
    <col min="8" max="9" width="16" style="389" customWidth="1"/>
    <col min="10" max="10" width="17.5546875" style="389" customWidth="1"/>
    <col min="11" max="11" width="3.77734375" style="389" customWidth="1"/>
    <col min="12" max="12" width="2.77734375" style="389" customWidth="1"/>
    <col min="13" max="13" width="4.5546875" style="389" customWidth="1"/>
    <col min="14" max="14" width="11.21875" style="389" customWidth="1"/>
    <col min="15" max="15" width="37.5546875" style="389" bestFit="1" customWidth="1"/>
    <col min="16" max="16" width="19.21875" style="389" customWidth="1"/>
    <col min="17" max="17" width="17.77734375" style="389" customWidth="1"/>
    <col min="18" max="18" width="16.44140625" style="389" customWidth="1"/>
    <col min="19" max="19" width="17.21875" style="389" customWidth="1"/>
    <col min="20" max="20" width="15.77734375" style="389" customWidth="1"/>
    <col min="21" max="21" width="16.21875" style="389" customWidth="1"/>
    <col min="22" max="22" width="13.21875" style="391" customWidth="1"/>
    <col min="23" max="23" width="13.77734375" style="389" customWidth="1"/>
    <col min="24" max="24" width="3.44140625" style="389" customWidth="1"/>
    <col min="25" max="25" width="13.77734375" style="389" bestFit="1" customWidth="1"/>
    <col min="26" max="27" width="11.44140625" style="389"/>
    <col min="28" max="28" width="15.777343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46250</v>
      </c>
      <c r="G10" s="408"/>
      <c r="H10" s="397" t="s">
        <v>28</v>
      </c>
      <c r="I10" s="457">
        <f>'CONSOLIDADO_TOTAL RECAUDO'!K102</f>
        <v>46265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R1'!F80*$D$24</f>
        <v>9123.9</v>
      </c>
      <c r="E12" s="424">
        <f>'Reporte Componentes R1'!G80*$D$24</f>
        <v>625.08000000000004</v>
      </c>
      <c r="F12" s="425">
        <f>'Reporte Componentes R1'!H80*$D$24</f>
        <v>265.56</v>
      </c>
      <c r="G12" s="425">
        <f>'Reporte Componentes R1'!I80*$D$24</f>
        <v>115.95</v>
      </c>
      <c r="H12" s="425">
        <f>'Reporte Componentes R1'!J80*$D$24</f>
        <v>1600.92</v>
      </c>
      <c r="I12" s="425">
        <f>'Reporte Componentes R1'!K80*$D$24</f>
        <v>103.46</v>
      </c>
      <c r="J12" s="426">
        <f t="shared" ref="J12:J16" si="0">D12-E12-F12-G12-H12-I12</f>
        <v>6412.93</v>
      </c>
      <c r="L12" s="428"/>
      <c r="N12" s="422">
        <v>1</v>
      </c>
      <c r="O12" s="423" t="s">
        <v>10</v>
      </c>
      <c r="P12" s="429">
        <f>'Reporte Componentes R1'!M80*$P$24</f>
        <v>907.42</v>
      </c>
      <c r="Q12" s="430">
        <f>'Reporte Componentes R1'!N80*$P$24</f>
        <v>759.41</v>
      </c>
      <c r="R12" s="430">
        <f>'Reporte Componentes R1'!O80*$P$24</f>
        <v>3031.34</v>
      </c>
      <c r="S12" s="430">
        <f>'Reporte Componentes R1'!P80*$P$24</f>
        <v>1545.97</v>
      </c>
      <c r="T12" s="430">
        <f>'Reporte Componentes R1'!Q80*$P$24</f>
        <v>168.79</v>
      </c>
      <c r="U12" s="464">
        <f>SUM(P12:T12)</f>
        <v>6412.93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R1'!F224*$D$24</f>
        <v>1443509.98</v>
      </c>
      <c r="E13" s="425">
        <f>'Reporte Componentes R1'!G224*$D$24</f>
        <v>126107.3</v>
      </c>
      <c r="F13" s="425">
        <f>'Reporte Componentes R1'!H224*$D$24</f>
        <v>53574.14</v>
      </c>
      <c r="G13" s="425">
        <f>'Reporte Componentes R1'!I224*$D$24</f>
        <v>23396.67</v>
      </c>
      <c r="H13" s="425">
        <f>'Reporte Componentes R1'!J224*$D$24</f>
        <v>289490.34000000003</v>
      </c>
      <c r="I13" s="425">
        <f>'Reporte Componentes R1'!K224*$D$24</f>
        <v>12050.94</v>
      </c>
      <c r="J13" s="426">
        <f t="shared" si="0"/>
        <v>938890.59000000008</v>
      </c>
      <c r="L13" s="428"/>
      <c r="N13" s="432">
        <v>2</v>
      </c>
      <c r="O13" s="433" t="s">
        <v>11</v>
      </c>
      <c r="P13" s="434">
        <f>'Reporte Componentes R1'!M224*$P$24</f>
        <v>105713.14</v>
      </c>
      <c r="Q13" s="435">
        <f>'Reporte Componentes R1'!N224*$P$24</f>
        <v>132509.9</v>
      </c>
      <c r="R13" s="435">
        <f>'Reporte Componentes R1'!O224*$P$24</f>
        <v>445101.84</v>
      </c>
      <c r="S13" s="435">
        <f>'Reporte Componentes R1'!P224*$P$24</f>
        <v>235902.28</v>
      </c>
      <c r="T13" s="435">
        <f>'Reporte Componentes R1'!Q224*$P$24</f>
        <v>19663.43</v>
      </c>
      <c r="U13" s="463">
        <f>SUM(P13:T13)</f>
        <v>938890.59000000008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R1'!F355*$D$24</f>
        <v>4456.1099999999997</v>
      </c>
      <c r="E14" s="424">
        <f>'Reporte Componentes R1'!G355*$D$24</f>
        <v>384.61</v>
      </c>
      <c r="F14" s="424">
        <f>'Reporte Componentes R1'!H355*$D$24</f>
        <v>163.4</v>
      </c>
      <c r="G14" s="424">
        <f>'Reporte Componentes R1'!I355*$D$24</f>
        <v>71.36</v>
      </c>
      <c r="H14" s="424">
        <f>'Reporte Componentes R1'!J355*$D$24</f>
        <v>870.46</v>
      </c>
      <c r="I14" s="424">
        <f>'Reporte Componentes R1'!K355*$D$24</f>
        <v>35.94</v>
      </c>
      <c r="J14" s="426">
        <f t="shared" si="0"/>
        <v>2930.3399999999992</v>
      </c>
      <c r="L14" s="428"/>
      <c r="N14" s="432">
        <v>3</v>
      </c>
      <c r="O14" s="433" t="s">
        <v>12</v>
      </c>
      <c r="P14" s="434">
        <f>'Reporte Componentes R1'!M355*$P$24</f>
        <v>315.20999999999998</v>
      </c>
      <c r="Q14" s="435">
        <f>'Reporte Componentes R1'!N355*$P$24</f>
        <v>395.2</v>
      </c>
      <c r="R14" s="435">
        <f>'Reporte Componentes R1'!O355*$P$24</f>
        <v>1327.09</v>
      </c>
      <c r="S14" s="435">
        <f>'Reporte Componentes R1'!P355*$P$24</f>
        <v>834.22</v>
      </c>
      <c r="T14" s="435">
        <f>'Reporte Componentes R1'!Q355*$P$24</f>
        <v>58.62</v>
      </c>
      <c r="U14" s="463">
        <f>SUM(P14:T14)</f>
        <v>2930.34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R1'!F486*$D$24</f>
        <v>51713.94</v>
      </c>
      <c r="E15" s="425">
        <f>'Reporte Componentes R1'!G486*$D$24</f>
        <v>4225.07</v>
      </c>
      <c r="F15" s="425">
        <f>'Reporte Componentes R1'!H486*$D$24</f>
        <v>1794.94</v>
      </c>
      <c r="G15" s="425">
        <f>'Reporte Componentes R1'!I486*$D$24</f>
        <v>783.85</v>
      </c>
      <c r="H15" s="425">
        <f>'Reporte Componentes R1'!J486*$D$24</f>
        <v>9523.33</v>
      </c>
      <c r="I15" s="425">
        <f>'Reporte Componentes R1'!K486*$D$24</f>
        <v>387.6</v>
      </c>
      <c r="J15" s="426">
        <f t="shared" si="0"/>
        <v>34999.15</v>
      </c>
      <c r="L15" s="428"/>
      <c r="N15" s="432">
        <v>4</v>
      </c>
      <c r="O15" s="433" t="s">
        <v>13</v>
      </c>
      <c r="P15" s="434">
        <f>'Reporte Componentes R1'!M486*$P$24</f>
        <v>3399.75</v>
      </c>
      <c r="Q15" s="435">
        <f>'Reporte Componentes R1'!N486*$P$24</f>
        <v>4326.8900000000003</v>
      </c>
      <c r="R15" s="435">
        <f>'Reporte Componentes R1'!O486*$P$24</f>
        <v>15874.06</v>
      </c>
      <c r="S15" s="435">
        <f>'Reporte Componentes R1'!P486*$P$24</f>
        <v>10765.99</v>
      </c>
      <c r="T15" s="435">
        <f>'Reporte Componentes R1'!Q486*$P$24</f>
        <v>632.46</v>
      </c>
      <c r="U15" s="463">
        <f>SUM(P15:T15)</f>
        <v>34999.15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R1'!F584*$D$24</f>
        <v>4485.01</v>
      </c>
      <c r="E16" s="439">
        <f>'Reporte Componentes R1'!G584*$D$24</f>
        <v>355.56</v>
      </c>
      <c r="F16" s="439">
        <f>'Reporte Componentes R1'!H584*$D$24</f>
        <v>151.05000000000001</v>
      </c>
      <c r="G16" s="439">
        <f>'Reporte Componentes R1'!I584*$D$24</f>
        <v>65.98</v>
      </c>
      <c r="H16" s="439">
        <f>'Reporte Componentes R1'!J584*$D$24</f>
        <v>769.61</v>
      </c>
      <c r="I16" s="439">
        <f>'Reporte Componentes R1'!K584*$D$24</f>
        <v>47.44</v>
      </c>
      <c r="J16" s="426">
        <f t="shared" si="0"/>
        <v>3095.3699999999994</v>
      </c>
      <c r="L16" s="428"/>
      <c r="N16" s="436">
        <v>5</v>
      </c>
      <c r="O16" s="437" t="s">
        <v>14</v>
      </c>
      <c r="P16" s="438">
        <f>'Reporte Componentes R1'!M584*$P$24</f>
        <v>415.95</v>
      </c>
      <c r="Q16" s="439">
        <f>'Reporte Componentes R1'!N584*$P$24</f>
        <v>348.63</v>
      </c>
      <c r="R16" s="439">
        <f>'Reporte Componentes R1'!O584*$P$24</f>
        <v>1274.28</v>
      </c>
      <c r="S16" s="439">
        <f>'Reporte Componentes R1'!P584*$P$24</f>
        <v>979.14</v>
      </c>
      <c r="T16" s="439">
        <f>'Reporte Componentes R1'!Q584*$P$24</f>
        <v>77.37</v>
      </c>
      <c r="U16" s="467">
        <f>SUM(P16:T16)</f>
        <v>3095.37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1513288.94</v>
      </c>
      <c r="E17" s="442">
        <f t="shared" si="3"/>
        <v>131697.62</v>
      </c>
      <c r="F17" s="442">
        <f t="shared" si="3"/>
        <v>55949.090000000004</v>
      </c>
      <c r="G17" s="442">
        <f t="shared" si="3"/>
        <v>24433.809999999998</v>
      </c>
      <c r="H17" s="442">
        <f t="shared" si="3"/>
        <v>302254.66000000003</v>
      </c>
      <c r="I17" s="442">
        <f t="shared" si="3"/>
        <v>12625.380000000001</v>
      </c>
      <c r="J17" s="443">
        <f t="shared" si="3"/>
        <v>986328.38000000012</v>
      </c>
      <c r="K17" s="444"/>
      <c r="L17" s="428"/>
      <c r="N17" s="440"/>
      <c r="O17" s="441" t="s">
        <v>2</v>
      </c>
      <c r="P17" s="445">
        <f>SUM(P12:P16)</f>
        <v>110751.47</v>
      </c>
      <c r="Q17" s="445">
        <f t="shared" ref="Q17:U17" si="4">SUM(Q12:Q16)</f>
        <v>138340.03000000003</v>
      </c>
      <c r="R17" s="445">
        <f t="shared" si="4"/>
        <v>466608.6100000001</v>
      </c>
      <c r="S17" s="445">
        <f t="shared" si="4"/>
        <v>250027.6</v>
      </c>
      <c r="T17" s="445">
        <f t="shared" si="4"/>
        <v>20600.669999999998</v>
      </c>
      <c r="U17" s="462">
        <f t="shared" si="4"/>
        <v>986328.38000000012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986328.38000000012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str">
        <f>+IF(MAX(J12:J17)&gt;500000,"VALIDAR",TRUE)</f>
        <v>VALIDAR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zoomScale="85" zoomScaleNormal="85" workbookViewId="0">
      <selection activeCell="G10" sqref="G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77734375" style="1" customWidth="1"/>
    <col min="13" max="13" width="20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4.77734375" style="271" bestFit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38" width="11.44140625" style="1"/>
    <col min="39" max="39" width="15.777343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46250</v>
      </c>
      <c r="J7" s="2" t="s">
        <v>28</v>
      </c>
      <c r="K7" s="9"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R1'!F50</f>
        <v>18298670992.959999</v>
      </c>
      <c r="E9" s="292">
        <f>'Reporte Componentes R1'!G50</f>
        <v>975168318.9799999</v>
      </c>
      <c r="F9" s="292">
        <f>'Reporte Componentes R1'!H50</f>
        <v>549964900.38000011</v>
      </c>
      <c r="G9" s="292">
        <f>'Reporte Componentes R1'!I50</f>
        <v>289277493.44</v>
      </c>
      <c r="H9" s="292">
        <f>'Reporte Componentes R1'!J50</f>
        <v>4184901566.3099999</v>
      </c>
      <c r="I9" s="292">
        <f>'Reporte Componentes R1'!K50</f>
        <v>156471975.66999999</v>
      </c>
      <c r="J9" s="288">
        <f>'BCE SC POR FACT.'!F3</f>
        <v>-3610213749.2700005</v>
      </c>
      <c r="K9" s="293">
        <f>D9-E9-F9-G9-H9-I9-J9</f>
        <v>15753100487.449999</v>
      </c>
      <c r="L9" s="294">
        <f>INTERVENTORIA!H15</f>
        <v>189185988</v>
      </c>
      <c r="M9" s="293">
        <f>K9-L9</f>
        <v>15563914499.449999</v>
      </c>
      <c r="N9" s="387">
        <f>'Reporte Componentes R1'!L50</f>
        <v>37024818.560000002</v>
      </c>
      <c r="O9" s="293">
        <f>M9+N9</f>
        <v>15600939318.009998</v>
      </c>
      <c r="Q9" s="306"/>
      <c r="S9" s="303">
        <v>1</v>
      </c>
      <c r="T9" s="304" t="s">
        <v>10</v>
      </c>
      <c r="U9" s="307">
        <f>'Reporte Componentes R1'!M50</f>
        <v>1375600565.29</v>
      </c>
      <c r="V9" s="308">
        <f>'Reporte Componentes R1'!N50</f>
        <v>1309295248.8099999</v>
      </c>
      <c r="W9" s="308">
        <f>'Reporte Componentes R1'!O50</f>
        <v>6195688181.1399994</v>
      </c>
      <c r="X9" s="308">
        <f>'Reporte Componentes R1'!P50</f>
        <v>2648686441.6400003</v>
      </c>
      <c r="Y9" s="309">
        <f>'Reporte Componentes R1'!Q50</f>
        <v>255428968.33000001</v>
      </c>
      <c r="Z9" s="310">
        <f>L9*-1</f>
        <v>-189185988</v>
      </c>
      <c r="AA9" s="311">
        <f>'Reporte Componentes R1'!R50+'Reporte Componentes R1'!U50+'Reporte Componentes R1'!V50</f>
        <v>2108.08</v>
      </c>
      <c r="AB9" s="312">
        <f>N9</f>
        <v>37024818.560000002</v>
      </c>
      <c r="AC9" s="320">
        <f>'Reporte Componentes R1'!T50+'Reporte Componentes R1'!W50+'Reporte Componentes R1'!X50+'Reporte Componentes R1'!Y50+'Reporte Componentes R1'!Z50+'Reporte Componentes R1'!S50</f>
        <v>194.35</v>
      </c>
      <c r="AD9" s="291">
        <f>-J9+AE9</f>
        <v>3968398779.8100004</v>
      </c>
      <c r="AE9" s="291">
        <f>'Reporte Componentes R1'!F51</f>
        <v>358185030.54000002</v>
      </c>
      <c r="AF9" s="313">
        <f>SUM(U9:AD9)</f>
        <v>15600939318.010002</v>
      </c>
      <c r="AG9" s="521">
        <f>(AF9-O9)</f>
        <v>3.814697265625E-6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R1'!F194</f>
        <v>21464288731.779999</v>
      </c>
      <c r="E10" s="292">
        <f>'Reporte Componentes R1'!G194</f>
        <v>1647696228.2</v>
      </c>
      <c r="F10" s="292">
        <f>'Reporte Componentes R1'!H194</f>
        <v>919559517.10000002</v>
      </c>
      <c r="G10" s="292">
        <f>'Reporte Componentes R1'!I194</f>
        <v>480375084.91999996</v>
      </c>
      <c r="H10" s="292">
        <f>'Reporte Componentes R1'!J194</f>
        <v>6801272496.21</v>
      </c>
      <c r="I10" s="292">
        <f>'Reporte Componentes R1'!K194</f>
        <v>225303627.91</v>
      </c>
      <c r="J10" s="288">
        <f>'BCE SC POR FACT.'!F4</f>
        <v>-4289876341.3299999</v>
      </c>
      <c r="K10" s="295">
        <f>D10-E10-F10-G10-H10-I10-J10</f>
        <v>15679958118.770002</v>
      </c>
      <c r="L10" s="294">
        <f>INTERVENTORIA!H16</f>
        <v>266580256</v>
      </c>
      <c r="M10" s="295">
        <f>K10-L10</f>
        <v>15413377862.770002</v>
      </c>
      <c r="N10" s="294">
        <f>'Reporte Componentes R1'!L194</f>
        <v>65675504</v>
      </c>
      <c r="O10" s="295">
        <f>M10+N10</f>
        <v>15479053366.770002</v>
      </c>
      <c r="Q10" s="306"/>
      <c r="S10" s="314">
        <v>2</v>
      </c>
      <c r="T10" s="315" t="s">
        <v>11</v>
      </c>
      <c r="U10" s="316">
        <f>'Reporte Componentes R1'!M194</f>
        <v>1977146088.6799998</v>
      </c>
      <c r="V10" s="317">
        <f>'Reporte Componentes R1'!N194</f>
        <v>1975059968.9699998</v>
      </c>
      <c r="W10" s="317">
        <f>'Reporte Componentes R1'!O194</f>
        <v>9299120497.4699993</v>
      </c>
      <c r="X10" s="317">
        <f>'Reporte Componentes R1'!P194</f>
        <v>3231286663.4099998</v>
      </c>
      <c r="Y10" s="318">
        <f>'Reporte Componentes R1'!Q194</f>
        <v>368123186.15999997</v>
      </c>
      <c r="Z10" s="319">
        <f>L10*-1</f>
        <v>-266580256</v>
      </c>
      <c r="AA10" s="320">
        <f>'Reporte Componentes R1'!R194+'Reporte Componentes R1'!U194+'Reporte Componentes R1'!V194</f>
        <v>-219558.69</v>
      </c>
      <c r="AB10" s="321">
        <f>N10</f>
        <v>65675504</v>
      </c>
      <c r="AC10" s="320">
        <f>'Reporte Componentes R1'!T194+'Reporte Componentes R1'!W194+'Reporte Componentes R1'!X194+'Reporte Componentes R1'!Y194+'Reporte Componentes R1'!Z194+'Reporte Componentes R1'!S194</f>
        <v>39.319999999999993</v>
      </c>
      <c r="AD10" s="291">
        <f t="shared" ref="AD10:AD13" si="0">-J10+AE10</f>
        <v>-1170558766.5500002</v>
      </c>
      <c r="AE10" s="291">
        <f>'Reporte Componentes R1'!F195</f>
        <v>-5460435107.8800001</v>
      </c>
      <c r="AF10" s="322">
        <f>SUM(U10:AD10)</f>
        <v>15479053366.769997</v>
      </c>
      <c r="AG10" s="522">
        <f>(AF10-O10)</f>
        <v>-5.7220458984375E-6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R1'!F325</f>
        <v>16345751509.859999</v>
      </c>
      <c r="E11" s="292">
        <f>'Reporte Componentes R1'!G325</f>
        <v>1144017034.3900001</v>
      </c>
      <c r="F11" s="292">
        <f>'Reporte Componentes R1'!H325</f>
        <v>645065979.00999999</v>
      </c>
      <c r="G11" s="292">
        <f>'Reporte Componentes R1'!I325</f>
        <v>338767939.36000001</v>
      </c>
      <c r="H11" s="292">
        <f>'Reporte Componentes R1'!J325</f>
        <v>4557871459.4499998</v>
      </c>
      <c r="I11" s="292">
        <f>'Reporte Componentes R1'!K325</f>
        <v>127229665.55</v>
      </c>
      <c r="J11" s="288">
        <f>'BCE SC POR FACT.'!F5</f>
        <v>-829262233.29999995</v>
      </c>
      <c r="K11" s="295">
        <f>D11-E11-F11-G11-H11-I11-J11</f>
        <v>10362061665.399998</v>
      </c>
      <c r="L11" s="294">
        <f>INTERVENTORIA!H17</f>
        <v>154788536</v>
      </c>
      <c r="M11" s="295">
        <f>K11-L11</f>
        <v>10207273129.399998</v>
      </c>
      <c r="N11" s="294">
        <f>'Reporte Componentes R1'!L325</f>
        <v>37341348.909999996</v>
      </c>
      <c r="O11" s="295">
        <f>M11+N11</f>
        <v>10244614478.309998</v>
      </c>
      <c r="Q11" s="306"/>
      <c r="S11" s="314">
        <v>3</v>
      </c>
      <c r="T11" s="315" t="s">
        <v>12</v>
      </c>
      <c r="U11" s="316">
        <f>'Reporte Componentes R1'!M325</f>
        <v>1115703887.6900001</v>
      </c>
      <c r="V11" s="317">
        <f>'Reporte Componentes R1'!N325</f>
        <v>1088497143.76</v>
      </c>
      <c r="W11" s="317">
        <f>'Reporte Componentes R1'!O325</f>
        <v>5145930685.6800003</v>
      </c>
      <c r="X11" s="317">
        <f>'Reporte Componentes R1'!P325</f>
        <v>2706404939.6700001</v>
      </c>
      <c r="Y11" s="318">
        <f>'Reporte Componentes R1'!Q325</f>
        <v>207627549.78</v>
      </c>
      <c r="Z11" s="319">
        <f>L11*-1</f>
        <v>-154788536</v>
      </c>
      <c r="AA11" s="320">
        <f>'Reporte Componentes R1'!R325+'Reporte Componentes R1'!U325+'Reporte Componentes R1'!V325</f>
        <v>116676.53</v>
      </c>
      <c r="AB11" s="321">
        <f>N11</f>
        <v>37341348.909999996</v>
      </c>
      <c r="AC11" s="320">
        <f>'Reporte Componentes R1'!T325+'Reporte Componentes R1'!W325+'Reporte Componentes R1'!X325+'Reporte Componentes R1'!Y325+'Reporte Componentes R1'!Z325+'Reporte Componentes R1'!S325</f>
        <v>-3973599.15</v>
      </c>
      <c r="AD11" s="291">
        <f t="shared" si="0"/>
        <v>101754381.43999994</v>
      </c>
      <c r="AE11" s="291">
        <f>'Reporte Componentes R1'!F326</f>
        <v>-727507851.86000001</v>
      </c>
      <c r="AF11" s="322">
        <f t="shared" ref="AF11:AF13" si="2">SUM(U11:AD11)</f>
        <v>10244614478.310001</v>
      </c>
      <c r="AG11" s="522">
        <f>(AF11-O11)</f>
        <v>3.814697265625E-6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R1'!F456</f>
        <v>8272288782.5500011</v>
      </c>
      <c r="E12" s="292">
        <f>'Reporte Componentes R1'!G456</f>
        <v>511314470.41000003</v>
      </c>
      <c r="F12" s="292">
        <f>'Reporte Componentes R1'!H456</f>
        <v>286712393.74000001</v>
      </c>
      <c r="G12" s="292">
        <f>'Reporte Componentes R1'!I456</f>
        <v>151168196.95000002</v>
      </c>
      <c r="H12" s="292">
        <f>'Reporte Componentes R1'!J456</f>
        <v>2089510770.3900001</v>
      </c>
      <c r="I12" s="292">
        <f>'Reporte Componentes R1'!K456</f>
        <v>72385158.550000012</v>
      </c>
      <c r="J12" s="288">
        <f>'BCE SC POR FACT.'!F6</f>
        <v>-706235925.21000028</v>
      </c>
      <c r="K12" s="295">
        <f>D12-E12-F12-G12-H12-I12-J12</f>
        <v>5867433717.7200012</v>
      </c>
      <c r="L12" s="294">
        <f>INTERVENTORIA!H18</f>
        <v>120391083</v>
      </c>
      <c r="M12" s="295">
        <f>K12-L12</f>
        <v>5747042634.7200012</v>
      </c>
      <c r="N12" s="294">
        <f>'Reporte Componentes R1'!L456</f>
        <v>11217476.99</v>
      </c>
      <c r="O12" s="295">
        <f>M12+N12</f>
        <v>5758260111.710001</v>
      </c>
      <c r="Q12" s="306"/>
      <c r="S12" s="314">
        <v>4</v>
      </c>
      <c r="T12" s="315" t="s">
        <v>13</v>
      </c>
      <c r="U12" s="316">
        <f>'Reporte Componentes R1'!M456</f>
        <v>634354846.37</v>
      </c>
      <c r="V12" s="317">
        <f>'Reporte Componentes R1'!N456</f>
        <v>627979626.99000001</v>
      </c>
      <c r="W12" s="317">
        <f>'Reporte Componentes R1'!O456</f>
        <v>3181390484.3699999</v>
      </c>
      <c r="X12" s="317">
        <f>'Reporte Componentes R1'!P456</f>
        <v>1354897293</v>
      </c>
      <c r="Y12" s="318">
        <f>'Reporte Componentes R1'!Q456</f>
        <v>118130389.36</v>
      </c>
      <c r="Z12" s="319">
        <f>L12*-1</f>
        <v>-120391083</v>
      </c>
      <c r="AA12" s="320">
        <f>'Reporte Componentes R1'!R456+'Reporte Componentes R1'!U456+'Reporte Componentes R1'!V456</f>
        <v>-12115.9</v>
      </c>
      <c r="AB12" s="321">
        <f>N12</f>
        <v>11217476.99</v>
      </c>
      <c r="AC12" s="320">
        <f>'Reporte Componentes R1'!T456+'Reporte Componentes R1'!W456+'Reporte Componentes R1'!X456+'Reporte Componentes R1'!Y456+'Reporte Componentes R1'!Z456+'Reporte Componentes R1'!S456</f>
        <v>-35.569999999999993</v>
      </c>
      <c r="AD12" s="291">
        <f t="shared" si="0"/>
        <v>-49306770.899999738</v>
      </c>
      <c r="AE12" s="291">
        <f>'Reporte Componentes R1'!F457</f>
        <v>-755542696.11000001</v>
      </c>
      <c r="AF12" s="322">
        <f t="shared" si="2"/>
        <v>5758260111.71</v>
      </c>
      <c r="AG12" s="522">
        <f>(AF12-O12)</f>
        <v>-9.5367431640625E-7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R1'!F554</f>
        <v>12105458586.040001</v>
      </c>
      <c r="E13" s="297">
        <f>'Reporte Componentes R1'!G554</f>
        <v>723047388.29000008</v>
      </c>
      <c r="F13" s="297">
        <f>'Reporte Componentes R1'!H554</f>
        <v>406879034.08999997</v>
      </c>
      <c r="G13" s="297">
        <f>'Reporte Componentes R1'!I554</f>
        <v>213999755.02000001</v>
      </c>
      <c r="H13" s="297">
        <f>'Reporte Componentes R1'!J554</f>
        <v>3003713817.75</v>
      </c>
      <c r="I13" s="297">
        <f>'Reporte Componentes R1'!K554</f>
        <v>109275800.14</v>
      </c>
      <c r="J13" s="289">
        <f>'BCE SC POR FACT.'!F7</f>
        <v>-23403941.309999943</v>
      </c>
      <c r="K13" s="295">
        <f>D13-E13-F13-G13-H13-I13-J13</f>
        <v>7671946732.0599995</v>
      </c>
      <c r="L13" s="294">
        <f>INTERVENTORIA!H19</f>
        <v>128990446</v>
      </c>
      <c r="M13" s="298">
        <f>K13-L13</f>
        <v>7542956286.0599995</v>
      </c>
      <c r="N13" s="299">
        <f>'Reporte Componentes R1'!L554</f>
        <v>10318778.960000001</v>
      </c>
      <c r="O13" s="298">
        <f>M13+N13</f>
        <v>7553275065.0199995</v>
      </c>
      <c r="Q13" s="306"/>
      <c r="S13" s="324">
        <v>5</v>
      </c>
      <c r="T13" s="325" t="s">
        <v>14</v>
      </c>
      <c r="U13" s="296">
        <f>'Reporte Componentes R1'!M554</f>
        <v>958208188.13</v>
      </c>
      <c r="V13" s="297">
        <f>'Reporte Componentes R1'!N554</f>
        <v>930731829.63999999</v>
      </c>
      <c r="W13" s="297">
        <f>'Reporte Componentes R1'!O554</f>
        <v>4826525739.9700003</v>
      </c>
      <c r="X13" s="297">
        <f>'Reporte Componentes R1'!P554</f>
        <v>2185821876.5799999</v>
      </c>
      <c r="Y13" s="289">
        <f>'Reporte Componentes R1'!Q554</f>
        <v>178370795.38999999</v>
      </c>
      <c r="Z13" s="319">
        <f>L13*-1</f>
        <v>-128990446</v>
      </c>
      <c r="AA13" s="320">
        <f>'Reporte Componentes R1'!R554+'Reporte Componentes R1'!U554+'Reporte Componentes R1'!V554</f>
        <v>-105785.99</v>
      </c>
      <c r="AB13" s="321">
        <f>N13</f>
        <v>10318778.960000001</v>
      </c>
      <c r="AC13" s="320">
        <f>'Reporte Componentes R1'!T554+'Reporte Componentes R1'!W554+'Reporte Componentes R1'!X554+'Reporte Componentes R1'!Y554+'Reporte Componentes R1'!Z554+'Reporte Componentes R1'!S554</f>
        <v>-29.2</v>
      </c>
      <c r="AD13" s="291">
        <f t="shared" si="0"/>
        <v>-1407605882.46</v>
      </c>
      <c r="AE13" s="291">
        <f>'Reporte Componentes R1'!F555</f>
        <v>-1431009823.77</v>
      </c>
      <c r="AF13" s="322">
        <f t="shared" si="2"/>
        <v>7553275065.0199976</v>
      </c>
      <c r="AG13" s="523">
        <f>(AF13-O13)</f>
        <v>-1.9073486328125E-6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76486458603.190002</v>
      </c>
      <c r="E14" s="290">
        <f t="shared" ref="E14:O14" si="3">SUM(E9:E13)</f>
        <v>5001243440.2699995</v>
      </c>
      <c r="F14" s="290">
        <f t="shared" si="3"/>
        <v>2808181824.3200002</v>
      </c>
      <c r="G14" s="290">
        <f t="shared" ref="G14" si="4">SUM(G9:G13)</f>
        <v>1473588469.6899998</v>
      </c>
      <c r="H14" s="290">
        <f t="shared" si="3"/>
        <v>20637270110.110001</v>
      </c>
      <c r="I14" s="290">
        <f t="shared" si="3"/>
        <v>690666227.82000005</v>
      </c>
      <c r="J14" s="290">
        <f t="shared" si="3"/>
        <v>-9458992190.4200001</v>
      </c>
      <c r="K14" s="300">
        <f>SUM(K9:K13)</f>
        <v>55334500721.399994</v>
      </c>
      <c r="L14" s="301">
        <f>SUM(L9:L13)</f>
        <v>859936309</v>
      </c>
      <c r="M14" s="302">
        <f t="shared" si="3"/>
        <v>54474564412.399994</v>
      </c>
      <c r="N14" s="301">
        <f t="shared" si="3"/>
        <v>161577927.42000002</v>
      </c>
      <c r="O14" s="302">
        <f t="shared" si="3"/>
        <v>54636142339.819992</v>
      </c>
      <c r="P14" s="329"/>
      <c r="Q14" s="306"/>
      <c r="S14" s="327"/>
      <c r="T14" s="328" t="s">
        <v>2</v>
      </c>
      <c r="U14" s="330">
        <f>SUM(U9:U13)</f>
        <v>6061013576.1599998</v>
      </c>
      <c r="V14" s="330">
        <f t="shared" ref="V14:AF14" si="5">SUM(V9:V13)</f>
        <v>5931563818.1700001</v>
      </c>
      <c r="W14" s="330">
        <f t="shared" si="5"/>
        <v>28648655588.630001</v>
      </c>
      <c r="X14" s="330">
        <f t="shared" si="5"/>
        <v>12127097214.300001</v>
      </c>
      <c r="Y14" s="330">
        <f t="shared" si="5"/>
        <v>1127680889.02</v>
      </c>
      <c r="Z14" s="290">
        <f t="shared" si="5"/>
        <v>-859936309</v>
      </c>
      <c r="AA14" s="290">
        <f t="shared" si="5"/>
        <v>-218675.97000000003</v>
      </c>
      <c r="AB14" s="290">
        <f t="shared" si="5"/>
        <v>161577927.42000002</v>
      </c>
      <c r="AC14" s="290">
        <f>SUM(AC9:AC13)</f>
        <v>-3973430.25</v>
      </c>
      <c r="AD14" s="290">
        <f>SUM(AD9:AD13)</f>
        <v>1442681741.3400006</v>
      </c>
      <c r="AE14" s="290">
        <f>SUM(AE9:AE13)</f>
        <v>-8016310449.0799999</v>
      </c>
      <c r="AF14" s="331">
        <f t="shared" si="5"/>
        <v>54636142339.819992</v>
      </c>
      <c r="AG14" s="524">
        <f>SUM(AG9:AG13)</f>
        <v>-9.5367431640625E-7</v>
      </c>
      <c r="AH14" s="305" t="b">
        <f>INT(AG14)=0</f>
        <v>0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53896011086.279999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R2'!E43</f>
        <v>79360902.189999983</v>
      </c>
      <c r="E28" s="292">
        <f>'Rem. Anticipos R2'!F43</f>
        <v>5590132.4699999997</v>
      </c>
      <c r="F28" s="292">
        <f>'Rem. Anticipos R2'!G43</f>
        <v>3085443.82</v>
      </c>
      <c r="G28" s="292">
        <f>'Rem. Anticipos R2'!H43</f>
        <v>1743640.53</v>
      </c>
      <c r="H28" s="292">
        <f>'Rem. Anticipos R2'!I43</f>
        <v>15777874.890000001</v>
      </c>
      <c r="I28" s="292">
        <f>'Rem. Anticipos R2'!J43</f>
        <v>589229.72</v>
      </c>
      <c r="J28" s="288">
        <v>0</v>
      </c>
      <c r="K28" s="293">
        <f>D28-E28-F28-G28-H28-I28-J28</f>
        <v>52574580.75999999</v>
      </c>
      <c r="L28" s="294">
        <v>0</v>
      </c>
      <c r="M28" s="293">
        <f>K28-L28</f>
        <v>52574580.75999999</v>
      </c>
      <c r="N28" s="294">
        <f>'Rem. Anticipos R2'!K43</f>
        <v>144941.68</v>
      </c>
      <c r="O28" s="293">
        <f>M28+N28</f>
        <v>52719522.43999999</v>
      </c>
      <c r="Q28" s="306"/>
      <c r="S28" s="303">
        <v>1</v>
      </c>
      <c r="T28" s="304" t="s">
        <v>10</v>
      </c>
      <c r="U28" s="307">
        <f>'Rem. Anticipos R2'!L43</f>
        <v>6377827.8300000001</v>
      </c>
      <c r="V28" s="308">
        <f>'Rem. Anticipos R2'!M43</f>
        <v>8360896.0099999998</v>
      </c>
      <c r="W28" s="308">
        <f>'Rem. Anticipos R2'!N43</f>
        <v>35374496.630000003</v>
      </c>
      <c r="X28" s="308">
        <f>'Rem. Anticipos R2'!O43</f>
        <v>15436886.08</v>
      </c>
      <c r="Y28" s="308">
        <f>'Rem. Anticipos R2'!P43</f>
        <v>927072.64</v>
      </c>
      <c r="Z28" s="310">
        <f>L28*-1</f>
        <v>0</v>
      </c>
      <c r="AA28" s="311">
        <f>'Rem. Anticipos R2'!Q43</f>
        <v>69485.02</v>
      </c>
      <c r="AB28" s="294">
        <f>N28</f>
        <v>144941.68</v>
      </c>
      <c r="AC28" s="311">
        <f>'Rem. Anticipos R2'!R43</f>
        <v>0</v>
      </c>
      <c r="AD28" s="291">
        <f>-J28+AE28</f>
        <v>-13972083.449999999</v>
      </c>
      <c r="AE28" s="291">
        <f>'Rem. Anticipos R2'!E44</f>
        <v>-13972083.449999999</v>
      </c>
      <c r="AF28" s="313">
        <f>SUM(U28:AD28)</f>
        <v>52719522.439999998</v>
      </c>
      <c r="AG28" s="521">
        <f>(AF28-O28)</f>
        <v>7.4505805969238281E-9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R2'!E140</f>
        <v>148164912.38999999</v>
      </c>
      <c r="E29" s="292">
        <f>'Rem. Anticipos R2'!F140</f>
        <v>18197851.609999999</v>
      </c>
      <c r="F29" s="292">
        <f>'Rem. Anticipos R2'!G140</f>
        <v>9901639.3599999994</v>
      </c>
      <c r="G29" s="292">
        <f>'Rem. Anticipos R2'!H140</f>
        <v>4813082.21</v>
      </c>
      <c r="H29" s="292">
        <f>'Rem. Anticipos R2'!I140</f>
        <v>38300538.359999999</v>
      </c>
      <c r="I29" s="292">
        <f>'Rem. Anticipos R2'!J140</f>
        <v>1265131.07</v>
      </c>
      <c r="J29" s="288">
        <v>0</v>
      </c>
      <c r="K29" s="295">
        <f>D29-E29-F29-G29-H29-I29-J29</f>
        <v>75686669.780000001</v>
      </c>
      <c r="L29" s="294">
        <v>0</v>
      </c>
      <c r="M29" s="295">
        <f>K29-L29</f>
        <v>75686669.780000001</v>
      </c>
      <c r="N29" s="294">
        <f>'Rem. Anticipos R2'!K140</f>
        <v>28554.959999999999</v>
      </c>
      <c r="O29" s="295">
        <f t="shared" ref="O29:O32" si="6">M29+N29</f>
        <v>75715224.739999995</v>
      </c>
      <c r="Q29" s="306"/>
      <c r="S29" s="314">
        <v>2</v>
      </c>
      <c r="T29" s="315" t="s">
        <v>11</v>
      </c>
      <c r="U29" s="316">
        <f>'Rem. Anticipos R2'!L140</f>
        <v>10563073.32</v>
      </c>
      <c r="V29" s="317">
        <f>'Rem. Anticipos R2'!M140</f>
        <v>11549549.74</v>
      </c>
      <c r="W29" s="317">
        <f>'Rem. Anticipos R2'!N140</f>
        <v>44129171.520000003</v>
      </c>
      <c r="X29" s="317">
        <f>'Rem. Anticipos R2'!O140</f>
        <v>43057493.840000004</v>
      </c>
      <c r="Y29" s="318">
        <f>'Rem. Anticipos R2'!P140</f>
        <v>1515890.7</v>
      </c>
      <c r="Z29" s="319">
        <f>L29*-1</f>
        <v>0</v>
      </c>
      <c r="AA29" s="320">
        <f>'Rem. Anticipos R2'!Q140</f>
        <v>143.91</v>
      </c>
      <c r="AB29" s="294">
        <f>N29</f>
        <v>28554.959999999999</v>
      </c>
      <c r="AC29" s="320">
        <f>'Rem. Anticipos R2'!R140</f>
        <v>0</v>
      </c>
      <c r="AD29" s="291">
        <f>-J29+AE29</f>
        <v>-35128653.25</v>
      </c>
      <c r="AE29" s="291">
        <f>'Rem. Anticipos R2'!E141</f>
        <v>-35128653.25</v>
      </c>
      <c r="AF29" s="322">
        <f>SUM(U29:AD29)</f>
        <v>75715224.74000001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R2'!E257</f>
        <v>27806864.970000003</v>
      </c>
      <c r="E30" s="292">
        <f>'Rem. Anticipos R2'!F257</f>
        <v>1765770.14</v>
      </c>
      <c r="F30" s="292">
        <f>'Rem. Anticipos R2'!G257</f>
        <v>991068.55</v>
      </c>
      <c r="G30" s="292">
        <f>'Rem. Anticipos R2'!H257</f>
        <v>522289.1</v>
      </c>
      <c r="H30" s="292">
        <f>'Rem. Anticipos R2'!I257</f>
        <v>7371762.1399999997</v>
      </c>
      <c r="I30" s="292">
        <f>'Rem. Anticipos R2'!J257</f>
        <v>270953.78999999998</v>
      </c>
      <c r="J30" s="288">
        <v>0</v>
      </c>
      <c r="K30" s="295">
        <f t="shared" ref="K30:K31" si="8">D30-E30-F30-G30-H30-I30-J30</f>
        <v>16885021.25</v>
      </c>
      <c r="L30" s="294">
        <v>0</v>
      </c>
      <c r="M30" s="295">
        <f>K30-L30</f>
        <v>16885021.25</v>
      </c>
      <c r="N30" s="294">
        <f>'Rem. Anticipos R2'!K257</f>
        <v>156736.31</v>
      </c>
      <c r="O30" s="295">
        <f t="shared" si="6"/>
        <v>17041757.559999999</v>
      </c>
      <c r="Q30" s="306"/>
      <c r="S30" s="314">
        <v>3</v>
      </c>
      <c r="T30" s="315" t="s">
        <v>12</v>
      </c>
      <c r="U30" s="316">
        <f>'Rem. Anticipos R2'!L257</f>
        <v>2092606.04</v>
      </c>
      <c r="V30" s="317">
        <f>'Rem. Anticipos R2'!M257</f>
        <v>2311442.2400000002</v>
      </c>
      <c r="W30" s="317">
        <f>'Rem. Anticipos R2'!N257</f>
        <v>10561391.98</v>
      </c>
      <c r="X30" s="317">
        <f>'Rem. Anticipos R2'!O257</f>
        <v>4830144.4400000004</v>
      </c>
      <c r="Y30" s="318">
        <f>'Rem. Anticipos R2'!P257</f>
        <v>357286.91</v>
      </c>
      <c r="Z30" s="319">
        <f>L30*-1</f>
        <v>0</v>
      </c>
      <c r="AA30" s="320">
        <f>'Rem. Anticipos R2'!Q257</f>
        <v>-61.37</v>
      </c>
      <c r="AB30" s="294">
        <f>N30</f>
        <v>156736.31</v>
      </c>
      <c r="AC30" s="320">
        <f>'Rem. Anticipos R2'!R257</f>
        <v>0</v>
      </c>
      <c r="AD30" s="291">
        <f t="shared" ref="AD30:AD32" si="9">-J30+AE30</f>
        <v>-3267788.99</v>
      </c>
      <c r="AE30" s="291">
        <f>'Rem. Anticipos R2'!E258</f>
        <v>-3267788.99</v>
      </c>
      <c r="AF30" s="322">
        <f>SUM(U30:AD30)</f>
        <v>17041757.560000002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R2'!E360</f>
        <v>111117935.44000001</v>
      </c>
      <c r="E31" s="292">
        <f>'Rem. Anticipos R2'!F360</f>
        <v>9279153.1400000006</v>
      </c>
      <c r="F31" s="292">
        <f>'Rem. Anticipos R2'!G360</f>
        <v>5189442.74</v>
      </c>
      <c r="G31" s="292">
        <f>'Rem. Anticipos R2'!H360</f>
        <v>2412201.7799999998</v>
      </c>
      <c r="H31" s="292">
        <f>'Rem. Anticipos R2'!I360</f>
        <v>27609479.16</v>
      </c>
      <c r="I31" s="292">
        <f>'Rem. Anticipos R2'!J360</f>
        <v>984542.62</v>
      </c>
      <c r="J31" s="288">
        <v>0</v>
      </c>
      <c r="K31" s="295">
        <f t="shared" si="8"/>
        <v>65643116.000000022</v>
      </c>
      <c r="L31" s="294">
        <v>0</v>
      </c>
      <c r="M31" s="295">
        <f>K31-L31</f>
        <v>65643116.000000022</v>
      </c>
      <c r="N31" s="294">
        <f>'Rem. Anticipos R2'!K360</f>
        <v>95764.91</v>
      </c>
      <c r="O31" s="295">
        <f t="shared" si="6"/>
        <v>65738880.910000019</v>
      </c>
      <c r="Q31" s="306"/>
      <c r="S31" s="314">
        <v>4</v>
      </c>
      <c r="T31" s="315" t="s">
        <v>13</v>
      </c>
      <c r="U31" s="316">
        <f>'Rem. Anticipos R2'!L360</f>
        <v>8797727.5999999996</v>
      </c>
      <c r="V31" s="317">
        <f>'Rem. Anticipos R2'!M360</f>
        <v>8327012.2599999998</v>
      </c>
      <c r="W31" s="317">
        <f>'Rem. Anticipos R2'!N360</f>
        <v>37437706.75</v>
      </c>
      <c r="X31" s="317">
        <f>'Rem. Anticipos R2'!O360</f>
        <v>25385806.98</v>
      </c>
      <c r="Y31" s="318">
        <f>'Rem. Anticipos R2'!P360</f>
        <v>1263833.1100000001</v>
      </c>
      <c r="Z31" s="319">
        <f>L31*-1</f>
        <v>0</v>
      </c>
      <c r="AA31" s="320">
        <f>'Rem. Anticipos R2'!Q360</f>
        <v>-217.62</v>
      </c>
      <c r="AB31" s="294">
        <f>N31</f>
        <v>95764.91</v>
      </c>
      <c r="AC31" s="320">
        <f>'Rem. Anticipos R2'!R360</f>
        <v>0</v>
      </c>
      <c r="AD31" s="291">
        <f t="shared" si="9"/>
        <v>-15568753.08</v>
      </c>
      <c r="AE31" s="291">
        <f>'Rem. Anticipos R2'!E361</f>
        <v>-15568753.08</v>
      </c>
      <c r="AF31" s="322">
        <f>SUM(U31:AD31)</f>
        <v>65738880.909999996</v>
      </c>
      <c r="AG31" s="522">
        <f t="shared" si="10"/>
        <v>-2.2351741790771484E-8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R2'!E440</f>
        <v>34963153.780000001</v>
      </c>
      <c r="E32" s="297">
        <f>'Rem. Anticipos R2'!F440</f>
        <v>2546995.13</v>
      </c>
      <c r="F32" s="297">
        <f>'Rem. Anticipos R2'!G440</f>
        <v>1435012.96</v>
      </c>
      <c r="G32" s="297">
        <f>'Rem. Anticipos R2'!H440</f>
        <v>691553.71</v>
      </c>
      <c r="H32" s="297">
        <f>'Rem. Anticipos R2'!I440</f>
        <v>6730923.0999999996</v>
      </c>
      <c r="I32" s="297">
        <f>'Rem. Anticipos R2'!J440</f>
        <v>264456.01</v>
      </c>
      <c r="J32" s="289">
        <v>0</v>
      </c>
      <c r="K32" s="295">
        <f>D32-E32-F32-G32-H32-I32-J32</f>
        <v>23294212.870000001</v>
      </c>
      <c r="L32" s="294">
        <v>0</v>
      </c>
      <c r="M32" s="298">
        <f>K32-L32</f>
        <v>23294212.870000001</v>
      </c>
      <c r="N32" s="299">
        <f>'Rem. Anticipos R2'!K440</f>
        <v>855801.18</v>
      </c>
      <c r="O32" s="298">
        <f t="shared" si="6"/>
        <v>24150014.050000001</v>
      </c>
      <c r="Q32" s="306"/>
      <c r="S32" s="324">
        <v>5</v>
      </c>
      <c r="T32" s="325" t="s">
        <v>14</v>
      </c>
      <c r="U32" s="296">
        <f>'Rem. Anticipos R2'!L440</f>
        <v>1758367.23</v>
      </c>
      <c r="V32" s="297">
        <f>'Rem. Anticipos R2'!M440</f>
        <v>1742050.52</v>
      </c>
      <c r="W32" s="297">
        <f>'Rem. Anticipos R2'!N440</f>
        <v>8920088.5199999996</v>
      </c>
      <c r="X32" s="297">
        <f>'Rem. Anticipos R2'!O440</f>
        <v>7619607.4000000004</v>
      </c>
      <c r="Y32" s="289">
        <f>'Rem. Anticipos R2'!P440</f>
        <v>337866.91</v>
      </c>
      <c r="Z32" s="319">
        <f>L32*-1</f>
        <v>0</v>
      </c>
      <c r="AA32" s="320">
        <f>'Rem. Anticipos R2'!Q440</f>
        <v>-165.4</v>
      </c>
      <c r="AB32" s="294">
        <f>N32</f>
        <v>855801.18</v>
      </c>
      <c r="AC32" s="320">
        <f>'Rem. Anticipos R2'!R440</f>
        <v>0</v>
      </c>
      <c r="AD32" s="291">
        <f t="shared" si="9"/>
        <v>2916397.69</v>
      </c>
      <c r="AE32" s="291">
        <f>'Rem. Anticipos R2'!E441</f>
        <v>2916397.69</v>
      </c>
      <c r="AF32" s="322">
        <f>SUM(U32:AD32)</f>
        <v>24150014.050000004</v>
      </c>
      <c r="AG32" s="523">
        <f>(AF32-O32)</f>
        <v>3.7252902984619141E-9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401413768.76999998</v>
      </c>
      <c r="E33" s="290">
        <f>SUM(E28:E32)</f>
        <v>37379902.490000002</v>
      </c>
      <c r="F33" s="290">
        <f t="shared" ref="F33:O33" si="11">SUM(F28:F32)</f>
        <v>20602607.43</v>
      </c>
      <c r="G33" s="290">
        <f t="shared" ref="G33" si="12">SUM(G28:G32)</f>
        <v>10182767.329999998</v>
      </c>
      <c r="H33" s="290">
        <f t="shared" si="11"/>
        <v>95790577.649999991</v>
      </c>
      <c r="I33" s="290">
        <f t="shared" si="11"/>
        <v>3374313.21</v>
      </c>
      <c r="J33" s="290">
        <f t="shared" si="11"/>
        <v>0</v>
      </c>
      <c r="K33" s="300">
        <f t="shared" si="11"/>
        <v>234083600.66000003</v>
      </c>
      <c r="L33" s="301">
        <f t="shared" si="11"/>
        <v>0</v>
      </c>
      <c r="M33" s="302">
        <f t="shared" si="11"/>
        <v>234083600.66000003</v>
      </c>
      <c r="N33" s="301">
        <f t="shared" si="11"/>
        <v>1281799.04</v>
      </c>
      <c r="O33" s="302">
        <f t="shared" si="11"/>
        <v>235365399.70000002</v>
      </c>
      <c r="P33" s="329"/>
      <c r="Q33" s="306"/>
      <c r="S33" s="327"/>
      <c r="T33" s="328" t="s">
        <v>2</v>
      </c>
      <c r="U33" s="330">
        <f>SUM(U28:U32)</f>
        <v>29589602.02</v>
      </c>
      <c r="V33" s="330">
        <f t="shared" ref="V33:AF33" si="13">SUM(V28:V32)</f>
        <v>32290950.77</v>
      </c>
      <c r="W33" s="330">
        <f t="shared" si="13"/>
        <v>136422855.40000001</v>
      </c>
      <c r="X33" s="330">
        <f t="shared" si="13"/>
        <v>96329938.74000001</v>
      </c>
      <c r="Y33" s="330">
        <f t="shared" si="13"/>
        <v>4401950.2700000005</v>
      </c>
      <c r="Z33" s="290">
        <f t="shared" si="13"/>
        <v>0</v>
      </c>
      <c r="AA33" s="290">
        <f t="shared" si="13"/>
        <v>69184.540000000023</v>
      </c>
      <c r="AB33" s="290">
        <f t="shared" si="13"/>
        <v>1281799.04</v>
      </c>
      <c r="AC33" s="290">
        <f t="shared" ref="AC33" si="14">SUM(AC28:AC32)</f>
        <v>0</v>
      </c>
      <c r="AD33" s="290">
        <f>SUM(AD28:AD32)</f>
        <v>-65020881.080000013</v>
      </c>
      <c r="AE33" s="290">
        <f>SUM(AE28:AE32)</f>
        <v>-65020881.080000013</v>
      </c>
      <c r="AF33" s="331">
        <f t="shared" si="13"/>
        <v>235365399.70000002</v>
      </c>
      <c r="AG33" s="524">
        <f t="shared" ref="AG33" si="15">SUM(AG28:AG32)</f>
        <v>7.4505805969238281E-9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299035297.19999999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R1'!F52</f>
        <v>63570</v>
      </c>
      <c r="E47" s="292">
        <f>'Reporte Componentes R1'!G52</f>
        <v>2242.46</v>
      </c>
      <c r="F47" s="292">
        <f>'Reporte Componentes R1'!H52</f>
        <v>1266.0899999999999</v>
      </c>
      <c r="G47" s="292">
        <f>'Reporte Componentes R1'!I52</f>
        <v>664.53</v>
      </c>
      <c r="H47" s="292">
        <f>'Reporte Componentes R1'!J52</f>
        <v>10026.01</v>
      </c>
      <c r="I47" s="292">
        <f>'Reporte Componentes R1'!K52</f>
        <v>372.31</v>
      </c>
      <c r="J47" s="288">
        <v>0</v>
      </c>
      <c r="K47" s="293">
        <f>D47-E47-F47-G47-H47-I47-J47</f>
        <v>48998.600000000006</v>
      </c>
      <c r="L47" s="294">
        <v>0</v>
      </c>
      <c r="M47" s="293">
        <f>K47-L47</f>
        <v>48998.600000000006</v>
      </c>
      <c r="N47" s="294">
        <f>'Reporte Componentes R1'!L52</f>
        <v>0</v>
      </c>
      <c r="O47" s="293">
        <f>M47+N47</f>
        <v>48998.600000000006</v>
      </c>
      <c r="Q47" s="306"/>
      <c r="S47" s="303">
        <v>1</v>
      </c>
      <c r="T47" s="304" t="s">
        <v>10</v>
      </c>
      <c r="U47" s="307">
        <f>'Reporte Componentes R1'!M52</f>
        <v>3265.88</v>
      </c>
      <c r="V47" s="308">
        <f>'Reporte Componentes R1'!N52</f>
        <v>3109.1</v>
      </c>
      <c r="W47" s="308">
        <f>'Reporte Componentes R1'!O52</f>
        <v>14722.61</v>
      </c>
      <c r="X47" s="308">
        <f>'Reporte Componentes R1'!P52</f>
        <v>6097.75</v>
      </c>
      <c r="Y47" s="309">
        <f>'Reporte Componentes R1'!Q52</f>
        <v>607.45000000000005</v>
      </c>
      <c r="Z47" s="310">
        <f>-L47</f>
        <v>0</v>
      </c>
      <c r="AA47" s="320">
        <f>'Reporte Componentes R1'!R52+'Reporte Componentes R1'!V52+'Reporte Componentes R1'!U52</f>
        <v>-4.7699999999999996</v>
      </c>
      <c r="AB47" s="294">
        <f>N47</f>
        <v>0</v>
      </c>
      <c r="AC47" s="311">
        <f>'Reporte Componentes R1'!T52+'Reporte Componentes R1'!W52+'Reporte Componentes R1'!X52+'Reporte Componentes R1'!Y52+'Reporte Componentes R1'!Z52+'Reporte Componentes R1'!S52</f>
        <v>0</v>
      </c>
      <c r="AD47" s="291">
        <f>-J47+AE47</f>
        <v>21200.58</v>
      </c>
      <c r="AE47" s="291">
        <f>'Reporte Componentes R1'!F53</f>
        <v>21200.58</v>
      </c>
      <c r="AF47" s="313">
        <f>SUM(U47:AD47)</f>
        <v>48998.600000000006</v>
      </c>
      <c r="AG47" s="52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R1'!F196</f>
        <v>221630</v>
      </c>
      <c r="E48" s="292">
        <f>'Reporte Componentes R1'!G196</f>
        <v>13093.19</v>
      </c>
      <c r="F48" s="292">
        <f>'Reporte Componentes R1'!H196</f>
        <v>7370.27</v>
      </c>
      <c r="G48" s="292">
        <f>'Reporte Componentes R1'!I196</f>
        <v>5041.79</v>
      </c>
      <c r="H48" s="292">
        <f>'Reporte Componentes R1'!J196</f>
        <v>30894.49</v>
      </c>
      <c r="I48" s="292">
        <f>'Reporte Componentes R1'!K196</f>
        <v>1299.19</v>
      </c>
      <c r="J48" s="288">
        <v>0</v>
      </c>
      <c r="K48" s="295">
        <f t="shared" ref="K48:K51" si="16">D48-E48-F48-G48-H48-I48-J48</f>
        <v>163931.07</v>
      </c>
      <c r="L48" s="294">
        <v>0</v>
      </c>
      <c r="M48" s="295">
        <f>K48-L48</f>
        <v>163931.07</v>
      </c>
      <c r="N48" s="294">
        <f>'Reporte Componentes R1'!L196</f>
        <v>0</v>
      </c>
      <c r="O48" s="295">
        <f t="shared" ref="O48:O51" si="17">M48+N48</f>
        <v>163931.07</v>
      </c>
      <c r="Q48" s="306"/>
      <c r="S48" s="314">
        <v>2</v>
      </c>
      <c r="T48" s="315" t="s">
        <v>11</v>
      </c>
      <c r="U48" s="316">
        <f>'Reporte Componentes R1'!M196</f>
        <v>8109.96</v>
      </c>
      <c r="V48" s="317">
        <f>'Reporte Componentes R1'!N196</f>
        <v>11107.28</v>
      </c>
      <c r="W48" s="317">
        <f>'Reporte Componentes R1'!O196</f>
        <v>52502.44</v>
      </c>
      <c r="X48" s="317">
        <f>'Reporte Componentes R1'!P196</f>
        <v>24418.29</v>
      </c>
      <c r="Y48" s="318">
        <f>'Reporte Componentes R1'!Q196</f>
        <v>2596.5700000000002</v>
      </c>
      <c r="Z48" s="319">
        <f>-L48</f>
        <v>0</v>
      </c>
      <c r="AA48" s="320">
        <f>'Reporte Componentes R1'!R196+'Reporte Componentes R1'!V196+'Reporte Componentes R1'!U196</f>
        <v>-0.28000000000000003</v>
      </c>
      <c r="AB48" s="294">
        <f>N48</f>
        <v>0</v>
      </c>
      <c r="AC48" s="320">
        <f>'Reporte Componentes R1'!T196+'Reporte Componentes R1'!W196+'Reporte Componentes R1'!X196+'Reporte Componentes R1'!Y196+'Reporte Componentes R1'!Z196+'Reporte Componentes R1'!S196</f>
        <v>0</v>
      </c>
      <c r="AD48" s="291">
        <f t="shared" ref="AD48:AD51" si="18">-J48+AE48</f>
        <v>65196.81</v>
      </c>
      <c r="AE48" s="291">
        <f>'Reporte Componentes R1'!F197</f>
        <v>65196.81</v>
      </c>
      <c r="AF48" s="322">
        <f>SUM(U48:AD48)</f>
        <v>163931.07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R1'!F327</f>
        <v>0</v>
      </c>
      <c r="E49" s="292">
        <f>'Reporte Componentes R1'!G327</f>
        <v>0</v>
      </c>
      <c r="F49" s="292">
        <f>'Reporte Componentes R1'!H327</f>
        <v>0</v>
      </c>
      <c r="G49" s="292">
        <f>'Reporte Componentes R1'!I327</f>
        <v>0</v>
      </c>
      <c r="H49" s="292">
        <f>'Reporte Componentes R1'!J327</f>
        <v>0</v>
      </c>
      <c r="I49" s="292">
        <f>'Reporte Componentes R1'!K327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R1'!L327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R1'!M327</f>
        <v>0</v>
      </c>
      <c r="V49" s="317">
        <f>'Reporte Componentes R1'!N327</f>
        <v>0</v>
      </c>
      <c r="W49" s="317">
        <f>'Reporte Componentes R1'!O327</f>
        <v>0</v>
      </c>
      <c r="X49" s="317">
        <f>'Reporte Componentes R1'!P327</f>
        <v>0</v>
      </c>
      <c r="Y49" s="318">
        <f>'Reporte Componentes R1'!Q327</f>
        <v>0</v>
      </c>
      <c r="Z49" s="319">
        <f>-L49</f>
        <v>0</v>
      </c>
      <c r="AA49" s="320">
        <f>'Reporte Componentes R1'!R327+'Reporte Componentes R1'!V327+'Reporte Componentes R1'!U327</f>
        <v>0</v>
      </c>
      <c r="AB49" s="294">
        <f>N49</f>
        <v>0</v>
      </c>
      <c r="AC49" s="320">
        <f>'Reporte Componentes R1'!T327+'Reporte Componentes R1'!W327+'Reporte Componentes R1'!X327+'Reporte Componentes R1'!Y327+'Reporte Componentes R1'!Z327+'Reporte Componentes R1'!S327</f>
        <v>0</v>
      </c>
      <c r="AD49" s="291">
        <f t="shared" si="18"/>
        <v>0</v>
      </c>
      <c r="AE49" s="291">
        <f>'Reporte Componentes R1'!F328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R1'!F458</f>
        <v>4030410</v>
      </c>
      <c r="E50" s="292">
        <f>'Reporte Componentes R1'!G458</f>
        <v>234259.57</v>
      </c>
      <c r="F50" s="292">
        <f>'Reporte Componentes R1'!H458</f>
        <v>135887.63</v>
      </c>
      <c r="G50" s="292">
        <f>'Reporte Componentes R1'!I458</f>
        <v>70012.649999999994</v>
      </c>
      <c r="H50" s="292">
        <f>'Reporte Componentes R1'!J458</f>
        <v>941307.97</v>
      </c>
      <c r="I50" s="292">
        <f>'Reporte Componentes R1'!K458</f>
        <v>31280.22</v>
      </c>
      <c r="J50" s="288">
        <v>0</v>
      </c>
      <c r="K50" s="295">
        <f t="shared" si="16"/>
        <v>2617661.9600000004</v>
      </c>
      <c r="L50" s="294">
        <v>0</v>
      </c>
      <c r="M50" s="295">
        <f>K50-L50</f>
        <v>2617661.9600000004</v>
      </c>
      <c r="N50" s="294">
        <f>'Reporte Componentes R1'!L458</f>
        <v>0</v>
      </c>
      <c r="O50" s="295">
        <f t="shared" si="17"/>
        <v>2617661.9600000004</v>
      </c>
      <c r="Q50" s="306"/>
      <c r="S50" s="314">
        <v>4</v>
      </c>
      <c r="T50" s="315" t="s">
        <v>13</v>
      </c>
      <c r="U50" s="316">
        <f>'Reporte Componentes R1'!M458</f>
        <v>274387.94</v>
      </c>
      <c r="V50" s="317">
        <f>'Reporte Componentes R1'!N458</f>
        <v>297006.06</v>
      </c>
      <c r="W50" s="317">
        <f>'Reporte Componentes R1'!O458</f>
        <v>1496102.44</v>
      </c>
      <c r="X50" s="317">
        <f>'Reporte Componentes R1'!P458</f>
        <v>622968.34</v>
      </c>
      <c r="Y50" s="318">
        <f>'Reporte Componentes R1'!Q458</f>
        <v>51035.97</v>
      </c>
      <c r="Z50" s="319">
        <f>-L50</f>
        <v>0</v>
      </c>
      <c r="AA50" s="320">
        <f>'Reporte Componentes R1'!R458+'Reporte Componentes R1'!V458+'Reporte Componentes R1'!U458</f>
        <v>2.0299999999999998</v>
      </c>
      <c r="AB50" s="294">
        <f>N50</f>
        <v>0</v>
      </c>
      <c r="AC50" s="320">
        <f>'Reporte Componentes R1'!T458+'Reporte Componentes R1'!W458+'Reporte Componentes R1'!X458+'Reporte Componentes R1'!Y458+'Reporte Componentes R1'!Z458+'Reporte Componentes R1'!S458</f>
        <v>0</v>
      </c>
      <c r="AD50" s="291">
        <f t="shared" si="18"/>
        <v>-123840.82</v>
      </c>
      <c r="AE50" s="291">
        <f>'Reporte Componentes R1'!F459</f>
        <v>-123840.82</v>
      </c>
      <c r="AF50" s="322">
        <f t="shared" si="20"/>
        <v>2617661.96</v>
      </c>
      <c r="AG50" s="522">
        <f t="shared" si="21"/>
        <v>-4.6566128730773926E-10</v>
      </c>
      <c r="AH50" s="305" t="b">
        <f t="shared" si="19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R1'!F556</f>
        <v>1249810</v>
      </c>
      <c r="E51" s="297">
        <f>'Reporte Componentes R1'!G556</f>
        <v>89451.49</v>
      </c>
      <c r="F51" s="297">
        <f>'Reporte Componentes R1'!H556</f>
        <v>50203.360000000001</v>
      </c>
      <c r="G51" s="297">
        <f>'Reporte Componentes R1'!I556</f>
        <v>26464.2</v>
      </c>
      <c r="H51" s="297">
        <f>'Reporte Componentes R1'!J556</f>
        <v>371981.73</v>
      </c>
      <c r="I51" s="297">
        <f>'Reporte Componentes R1'!K556</f>
        <v>13370.78</v>
      </c>
      <c r="J51" s="289">
        <v>0</v>
      </c>
      <c r="K51" s="295">
        <f t="shared" si="16"/>
        <v>698338.44</v>
      </c>
      <c r="L51" s="294">
        <v>0</v>
      </c>
      <c r="M51" s="298">
        <f>K51-L51</f>
        <v>698338.44</v>
      </c>
      <c r="N51" s="299">
        <f>'Reporte Componentes R1'!L556</f>
        <v>0</v>
      </c>
      <c r="O51" s="298">
        <f t="shared" si="17"/>
        <v>698338.44</v>
      </c>
      <c r="Q51" s="306"/>
      <c r="S51" s="324">
        <v>5</v>
      </c>
      <c r="T51" s="325" t="s">
        <v>14</v>
      </c>
      <c r="U51" s="296">
        <f>'Reporte Componentes R1'!M556</f>
        <v>117292.3</v>
      </c>
      <c r="V51" s="297">
        <f>'Reporte Componentes R1'!N556</f>
        <v>115277.54</v>
      </c>
      <c r="W51" s="297">
        <f>'Reporte Componentes R1'!O556</f>
        <v>591928.6</v>
      </c>
      <c r="X51" s="297">
        <f>'Reporte Componentes R1'!P556</f>
        <v>268663.03999999998</v>
      </c>
      <c r="Y51" s="289">
        <f>'Reporte Componentes R1'!Q556</f>
        <v>21816.48</v>
      </c>
      <c r="Z51" s="319">
        <f>-L51</f>
        <v>0</v>
      </c>
      <c r="AA51" s="320">
        <f>'Reporte Componentes R1'!R556+'Reporte Componentes R1'!V556+'Reporte Componentes R1'!U556</f>
        <v>57.02</v>
      </c>
      <c r="AB51" s="294">
        <f>N51</f>
        <v>0</v>
      </c>
      <c r="AC51" s="320">
        <f>'Reporte Componentes R1'!T556+'Reporte Componentes R1'!W556+'Reporte Componentes R1'!X556+'Reporte Componentes R1'!Y556+'Reporte Componentes R1'!Z556+'Reporte Componentes R1'!S556</f>
        <v>0</v>
      </c>
      <c r="AD51" s="291">
        <f t="shared" si="18"/>
        <v>-416696.54</v>
      </c>
      <c r="AE51" s="291">
        <f>'Reporte Componentes R1'!F557</f>
        <v>-416696.54</v>
      </c>
      <c r="AF51" s="322">
        <f t="shared" si="20"/>
        <v>698338.44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5565420</v>
      </c>
      <c r="E52" s="290">
        <f t="shared" si="22"/>
        <v>339046.71</v>
      </c>
      <c r="F52" s="290">
        <f t="shared" si="22"/>
        <v>194727.34999999998</v>
      </c>
      <c r="G52" s="290">
        <f t="shared" ref="G52" si="23">SUM(G47:G51)</f>
        <v>102183.17</v>
      </c>
      <c r="H52" s="290">
        <f t="shared" si="22"/>
        <v>1354210.2</v>
      </c>
      <c r="I52" s="290">
        <f t="shared" si="22"/>
        <v>46322.5</v>
      </c>
      <c r="J52" s="290">
        <f t="shared" si="22"/>
        <v>0</v>
      </c>
      <c r="K52" s="300">
        <f t="shared" si="22"/>
        <v>3528930.0700000003</v>
      </c>
      <c r="L52" s="301">
        <f t="shared" si="22"/>
        <v>0</v>
      </c>
      <c r="M52" s="302">
        <f t="shared" si="22"/>
        <v>3528930.0700000003</v>
      </c>
      <c r="N52" s="301">
        <f t="shared" si="22"/>
        <v>0</v>
      </c>
      <c r="O52" s="302">
        <f t="shared" si="22"/>
        <v>3528930.0700000003</v>
      </c>
      <c r="P52" s="329"/>
      <c r="Q52" s="306"/>
      <c r="S52" s="327"/>
      <c r="T52" s="328" t="s">
        <v>2</v>
      </c>
      <c r="U52" s="330">
        <f>SUM(U47:U51)</f>
        <v>403056.08</v>
      </c>
      <c r="V52" s="330">
        <f t="shared" ref="V52:AG52" si="24">SUM(V47:V51)</f>
        <v>426499.98</v>
      </c>
      <c r="W52" s="330">
        <f t="shared" si="24"/>
        <v>2155256.09</v>
      </c>
      <c r="X52" s="330">
        <f t="shared" si="24"/>
        <v>922147.41999999993</v>
      </c>
      <c r="Y52" s="330">
        <f t="shared" si="24"/>
        <v>76056.47</v>
      </c>
      <c r="Z52" s="290">
        <f t="shared" si="24"/>
        <v>0</v>
      </c>
      <c r="AA52" s="290">
        <f t="shared" si="24"/>
        <v>54</v>
      </c>
      <c r="AB52" s="290">
        <f t="shared" si="24"/>
        <v>0</v>
      </c>
      <c r="AC52" s="290">
        <f t="shared" si="24"/>
        <v>0</v>
      </c>
      <c r="AD52" s="290">
        <f>SUM(AD47:AD51)</f>
        <v>-454139.97</v>
      </c>
      <c r="AE52" s="290">
        <f>SUM(AE47:AE51)</f>
        <v>-454139.97</v>
      </c>
      <c r="AF52" s="331">
        <f t="shared" si="24"/>
        <v>3528930.07</v>
      </c>
      <c r="AG52" s="524">
        <f t="shared" si="24"/>
        <v>-4.6566128730773926E-10</v>
      </c>
      <c r="AH52" s="305" t="b">
        <f>INT(AG52)=0</f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3983016.04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R4'!D66</f>
        <v>-73090</v>
      </c>
      <c r="E66" s="292">
        <f>'Reversion Pagos R4'!E66</f>
        <v>-2974.76</v>
      </c>
      <c r="F66" s="292">
        <f>'Reversion Pagos R4'!F66</f>
        <v>-1679.55</v>
      </c>
      <c r="G66" s="292">
        <f>'Reversion Pagos R4'!G66</f>
        <v>-881.55</v>
      </c>
      <c r="H66" s="292">
        <f>'Reversion Pagos R4'!H66</f>
        <v>-11542.33</v>
      </c>
      <c r="I66" s="292">
        <f>'Reversion Pagos R4'!I66</f>
        <v>-391.85</v>
      </c>
      <c r="J66" s="288">
        <v>0</v>
      </c>
      <c r="K66" s="293">
        <f>D66-E66-F66-G66-H66-I66-J66</f>
        <v>-55619.96</v>
      </c>
      <c r="L66" s="294">
        <v>0</v>
      </c>
      <c r="M66" s="293">
        <f>K66-L66</f>
        <v>-55619.96</v>
      </c>
      <c r="N66" s="294">
        <f>'Reversion Pagos R4'!P66</f>
        <v>0</v>
      </c>
      <c r="O66" s="293">
        <f>M66+N66</f>
        <v>-55619.96</v>
      </c>
      <c r="Q66" s="306"/>
      <c r="S66" s="303">
        <v>1</v>
      </c>
      <c r="T66" s="304" t="s">
        <v>10</v>
      </c>
      <c r="U66" s="307">
        <f>'Reversion Pagos R4'!J66</f>
        <v>-3437.25</v>
      </c>
      <c r="V66" s="308">
        <f>'Reversion Pagos R4'!K66</f>
        <v>-3322.9</v>
      </c>
      <c r="W66" s="308">
        <f>'Reversion Pagos R4'!L66</f>
        <v>-15733.99</v>
      </c>
      <c r="X66" s="308">
        <f>'Reversion Pagos R4'!M66</f>
        <v>-8124.53</v>
      </c>
      <c r="Y66" s="308">
        <f>'Reversion Pagos R4'!N66</f>
        <v>-639.32000000000005</v>
      </c>
      <c r="Z66" s="310">
        <f>-L66</f>
        <v>0</v>
      </c>
      <c r="AA66" s="320">
        <f>'Reversion Pagos R4'!O66</f>
        <v>2.23</v>
      </c>
      <c r="AB66" s="294">
        <f>N66</f>
        <v>0</v>
      </c>
      <c r="AC66" s="320">
        <f>+'Reversion Pagos R4'!Q66+'Reversion Pagos R4'!R66</f>
        <v>0</v>
      </c>
      <c r="AD66" s="291">
        <f>-J66+AE66</f>
        <v>-24364.2</v>
      </c>
      <c r="AE66" s="291">
        <f>'Reversion Pagos R4'!D67</f>
        <v>-24364.2</v>
      </c>
      <c r="AF66" s="313">
        <f>SUM(U66:AD66)</f>
        <v>-55619.96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R4'!D161</f>
        <v>-13472482</v>
      </c>
      <c r="E67" s="292">
        <f>'Reversion Pagos R4'!E161</f>
        <v>-1036260.14</v>
      </c>
      <c r="F67" s="292">
        <f>'Reversion Pagos R4'!F161</f>
        <v>-579395.95000000007</v>
      </c>
      <c r="G67" s="292">
        <f>'Reversion Pagos R4'!G161</f>
        <v>-306288.98</v>
      </c>
      <c r="H67" s="292">
        <f>'Reversion Pagos R4'!H161</f>
        <v>-3205201.4699999997</v>
      </c>
      <c r="I67" s="292">
        <f>'Reversion Pagos R4'!I161</f>
        <v>-117270.82</v>
      </c>
      <c r="J67" s="288">
        <v>0</v>
      </c>
      <c r="K67" s="295">
        <f t="shared" ref="K67:K70" si="25">D67-E67-F67-G67-H67-I67-J67</f>
        <v>-8228064.6399999997</v>
      </c>
      <c r="L67" s="294">
        <v>0</v>
      </c>
      <c r="M67" s="295">
        <f>K67-L67</f>
        <v>-8228064.6399999997</v>
      </c>
      <c r="N67" s="294">
        <f>'Reversion Pagos R4'!P161</f>
        <v>0</v>
      </c>
      <c r="O67" s="295">
        <f t="shared" ref="O67:O70" si="26">M67+N67</f>
        <v>-8228064.6399999997</v>
      </c>
      <c r="Q67" s="306"/>
      <c r="S67" s="314">
        <v>2</v>
      </c>
      <c r="T67" s="315" t="s">
        <v>11</v>
      </c>
      <c r="U67" s="316">
        <f>'Reversion Pagos R4'!J161</f>
        <v>-1021860.6</v>
      </c>
      <c r="V67" s="317">
        <f>'Reversion Pagos R4'!K161</f>
        <v>-1015840.95</v>
      </c>
      <c r="W67" s="317">
        <f>'Reversion Pagos R4'!L161</f>
        <v>-4740681.76</v>
      </c>
      <c r="X67" s="317">
        <f>'Reversion Pagos R4'!M161</f>
        <v>-2057044.02</v>
      </c>
      <c r="Y67" s="318">
        <f>'Reversion Pagos R4'!N161</f>
        <v>-191335.25</v>
      </c>
      <c r="Z67" s="319">
        <f t="shared" ref="Z67:Z70" si="27">-L67</f>
        <v>0</v>
      </c>
      <c r="AA67" s="320">
        <f>'Reversion Pagos R4'!O161</f>
        <v>-39.68</v>
      </c>
      <c r="AB67" s="294">
        <f t="shared" ref="AB67:AB70" si="28">N67</f>
        <v>0</v>
      </c>
      <c r="AC67" s="320">
        <f>+'Reversion Pagos R4'!Q161+'Reversion Pagos R4'!R161</f>
        <v>0</v>
      </c>
      <c r="AD67" s="291">
        <f>-J67+AE67</f>
        <v>798737.62</v>
      </c>
      <c r="AE67" s="291">
        <f>'Reversion Pagos R4'!D162</f>
        <v>798737.62</v>
      </c>
      <c r="AF67" s="322">
        <f>SUM(U67:AD67)</f>
        <v>-8228064.6399999997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R4'!D192</f>
        <v>-4617354</v>
      </c>
      <c r="E68" s="292">
        <f>'Reversion Pagos R4'!E192</f>
        <v>-268346.34000000003</v>
      </c>
      <c r="F68" s="292">
        <f>'Reversion Pagos R4'!F192</f>
        <v>-152554.12</v>
      </c>
      <c r="G68" s="292">
        <f>'Reversion Pagos R4'!G192</f>
        <v>-80139.33</v>
      </c>
      <c r="H68" s="292">
        <f>'Reversion Pagos R4'!H192</f>
        <v>-1327068</v>
      </c>
      <c r="I68" s="292">
        <f>'Reversion Pagos R4'!I192</f>
        <v>-47383.24</v>
      </c>
      <c r="J68" s="288">
        <v>0</v>
      </c>
      <c r="K68" s="295">
        <f t="shared" si="25"/>
        <v>-2741862.9699999997</v>
      </c>
      <c r="L68" s="294">
        <v>0</v>
      </c>
      <c r="M68" s="295">
        <f>K68-L68</f>
        <v>-2741862.9699999997</v>
      </c>
      <c r="N68" s="294">
        <f>'Reversion Pagos R4'!P192</f>
        <v>0</v>
      </c>
      <c r="O68" s="295">
        <f t="shared" si="26"/>
        <v>-2741862.9699999997</v>
      </c>
      <c r="Q68" s="306"/>
      <c r="S68" s="314">
        <v>3</v>
      </c>
      <c r="T68" s="315" t="s">
        <v>12</v>
      </c>
      <c r="U68" s="316">
        <f>'Reversion Pagos R4'!J192</f>
        <v>-411968.93</v>
      </c>
      <c r="V68" s="317">
        <f>'Reversion Pagos R4'!K192</f>
        <v>-406761.05</v>
      </c>
      <c r="W68" s="317">
        <f>'Reversion Pagos R4'!L192</f>
        <v>-1917246.25</v>
      </c>
      <c r="X68" s="317">
        <f>'Reversion Pagos R4'!M192</f>
        <v>-624532.34</v>
      </c>
      <c r="Y68" s="318">
        <f>'Reversion Pagos R4'!N192</f>
        <v>-77512.179999999993</v>
      </c>
      <c r="Z68" s="319">
        <f t="shared" si="27"/>
        <v>0</v>
      </c>
      <c r="AA68" s="320">
        <f>'Reversion Pagos R4'!O192</f>
        <v>-75.61</v>
      </c>
      <c r="AB68" s="294">
        <f t="shared" si="28"/>
        <v>0</v>
      </c>
      <c r="AC68" s="320">
        <f>+'Reversion Pagos R4'!Q192+'Reversion Pagos R4'!R192</f>
        <v>0</v>
      </c>
      <c r="AD68" s="291">
        <f t="shared" ref="AD68:AD69" si="30">-J68+AE68</f>
        <v>696233.39</v>
      </c>
      <c r="AE68" s="291">
        <f>'Reversion Pagos R4'!D193</f>
        <v>696233.39</v>
      </c>
      <c r="AF68" s="322">
        <f t="shared" ref="AF68:AF70" si="31">SUM(U68:AD68)</f>
        <v>-2741862.9699999997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R4'!D306</f>
        <v>-15663330</v>
      </c>
      <c r="E69" s="292">
        <f>'Reversion Pagos R4'!E306</f>
        <v>-1059006.9099999999</v>
      </c>
      <c r="F69" s="292">
        <f>'Reversion Pagos R4'!F306</f>
        <v>-573631.78</v>
      </c>
      <c r="G69" s="292">
        <f>'Reversion Pagos R4'!G306</f>
        <v>-300218.3</v>
      </c>
      <c r="H69" s="292">
        <f>'Reversion Pagos R4'!H306</f>
        <v>-4067879.9400000004</v>
      </c>
      <c r="I69" s="292">
        <f>'Reversion Pagos R4'!I306</f>
        <v>-144753.44</v>
      </c>
      <c r="J69" s="288">
        <v>0</v>
      </c>
      <c r="K69" s="295">
        <f t="shared" si="25"/>
        <v>-9517839.6300000008</v>
      </c>
      <c r="L69" s="294">
        <v>0</v>
      </c>
      <c r="M69" s="295">
        <f>K69-L69</f>
        <v>-9517839.6300000008</v>
      </c>
      <c r="N69" s="294">
        <f>'Reversion Pagos R4'!P306</f>
        <v>0</v>
      </c>
      <c r="O69" s="295">
        <f t="shared" si="26"/>
        <v>-9517839.6300000008</v>
      </c>
      <c r="Q69" s="306"/>
      <c r="S69" s="314">
        <v>4</v>
      </c>
      <c r="T69" s="315" t="s">
        <v>13</v>
      </c>
      <c r="U69" s="316">
        <f>'Reversion Pagos R4'!J306</f>
        <v>-1277818.75</v>
      </c>
      <c r="V69" s="317">
        <f>'Reversion Pagos R4'!K306</f>
        <v>-1321433.75</v>
      </c>
      <c r="W69" s="317">
        <f>'Reversion Pagos R4'!L306</f>
        <v>-6533412.2400000002</v>
      </c>
      <c r="X69" s="317">
        <f>'Reversion Pagos R4'!M306</f>
        <v>-2813333.23</v>
      </c>
      <c r="Y69" s="318">
        <f>'Reversion Pagos R4'!N306</f>
        <v>-237859.31</v>
      </c>
      <c r="Z69" s="319">
        <f t="shared" si="27"/>
        <v>0</v>
      </c>
      <c r="AA69" s="320">
        <f>'Reversion Pagos R4'!O306</f>
        <v>8.64</v>
      </c>
      <c r="AB69" s="294">
        <f t="shared" si="28"/>
        <v>0</v>
      </c>
      <c r="AC69" s="320">
        <f>+'Reversion Pagos R4'!Q306+'Reversion Pagos R4'!R306</f>
        <v>232.44</v>
      </c>
      <c r="AD69" s="291">
        <f t="shared" si="30"/>
        <v>2665776.5700000003</v>
      </c>
      <c r="AE69" s="291">
        <f>'Reversion Pagos R4'!D307</f>
        <v>2665776.5700000003</v>
      </c>
      <c r="AF69" s="322">
        <f>SUM(U69:AD69)</f>
        <v>-9517839.6300000008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R4'!D341</f>
        <v>-4011371.65</v>
      </c>
      <c r="E70" s="297">
        <f>'Reversion Pagos R4'!E341</f>
        <v>-274671.01</v>
      </c>
      <c r="F70" s="297">
        <f>'Reversion Pagos R4'!F341</f>
        <v>-136526.62</v>
      </c>
      <c r="G70" s="297">
        <f>'Reversion Pagos R4'!G341</f>
        <v>-73359.510000000009</v>
      </c>
      <c r="H70" s="297">
        <f>'Reversion Pagos R4'!H341</f>
        <v>-1044262.12</v>
      </c>
      <c r="I70" s="297">
        <f>'Reversion Pagos R4'!I341</f>
        <v>-31578.269999999997</v>
      </c>
      <c r="J70" s="289">
        <v>0</v>
      </c>
      <c r="K70" s="295">
        <f t="shared" si="25"/>
        <v>-2450974.1199999996</v>
      </c>
      <c r="L70" s="294">
        <v>0</v>
      </c>
      <c r="M70" s="298">
        <f>K70-L70</f>
        <v>-2450974.1199999996</v>
      </c>
      <c r="N70" s="294">
        <f>'Reversion Pagos R4'!P341</f>
        <v>0</v>
      </c>
      <c r="O70" s="298">
        <f t="shared" si="26"/>
        <v>-2450974.1199999996</v>
      </c>
      <c r="Q70" s="306"/>
      <c r="S70" s="324">
        <v>5</v>
      </c>
      <c r="T70" s="325" t="s">
        <v>14</v>
      </c>
      <c r="U70" s="296">
        <f>'Reversion Pagos R4'!J341</f>
        <v>-276998.02</v>
      </c>
      <c r="V70" s="297">
        <f>'Reversion Pagos R4'!K341</f>
        <v>-308585.74</v>
      </c>
      <c r="W70" s="297">
        <f>'Reversion Pagos R4'!L341</f>
        <v>-1559384.63</v>
      </c>
      <c r="X70" s="297">
        <f>'Reversion Pagos R4'!M341</f>
        <v>-820306.52</v>
      </c>
      <c r="Y70" s="289">
        <f>'Reversion Pagos R4'!N341</f>
        <v>-51521.64</v>
      </c>
      <c r="Z70" s="319">
        <f t="shared" si="27"/>
        <v>0</v>
      </c>
      <c r="AA70" s="320">
        <f>'Reversion Pagos R4'!O341</f>
        <v>-44.07</v>
      </c>
      <c r="AB70" s="294">
        <f t="shared" si="28"/>
        <v>0</v>
      </c>
      <c r="AC70" s="320">
        <f>+'Reversion Pagos R4'!Q341+'Reversion Pagos R4'!R341</f>
        <v>0</v>
      </c>
      <c r="AD70" s="291">
        <f>-J70+AE70</f>
        <v>565866.5</v>
      </c>
      <c r="AE70" s="291">
        <f>'Reversion Pagos R4'!D342</f>
        <v>565866.5</v>
      </c>
      <c r="AF70" s="322">
        <f t="shared" si="31"/>
        <v>-2450974.1199999996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-37837627.649999999</v>
      </c>
      <c r="E71" s="290">
        <f t="shared" si="33"/>
        <v>-2641259.16</v>
      </c>
      <c r="F71" s="290">
        <f t="shared" si="33"/>
        <v>-1443788.02</v>
      </c>
      <c r="G71" s="290">
        <f t="shared" ref="G71" si="34">SUM(G66:G70)</f>
        <v>-760887.66999999993</v>
      </c>
      <c r="H71" s="290">
        <f t="shared" si="33"/>
        <v>-9655953.8599999994</v>
      </c>
      <c r="I71" s="290">
        <f t="shared" si="33"/>
        <v>-341377.62</v>
      </c>
      <c r="J71" s="290">
        <f t="shared" si="33"/>
        <v>0</v>
      </c>
      <c r="K71" s="300">
        <f t="shared" si="33"/>
        <v>-22994361.320000004</v>
      </c>
      <c r="L71" s="301">
        <f t="shared" si="33"/>
        <v>0</v>
      </c>
      <c r="M71" s="302">
        <f t="shared" si="33"/>
        <v>-22994361.320000004</v>
      </c>
      <c r="N71" s="301">
        <f t="shared" si="33"/>
        <v>0</v>
      </c>
      <c r="O71" s="302">
        <f t="shared" si="33"/>
        <v>-22994361.320000004</v>
      </c>
      <c r="P71" s="329"/>
      <c r="Q71" s="306"/>
      <c r="S71" s="327"/>
      <c r="T71" s="328" t="s">
        <v>2</v>
      </c>
      <c r="U71" s="330">
        <f>SUM(U66:U70)</f>
        <v>-2992083.5500000003</v>
      </c>
      <c r="V71" s="330">
        <f t="shared" ref="V71:AF71" si="35">SUM(V66:V70)</f>
        <v>-3055944.3899999997</v>
      </c>
      <c r="W71" s="330">
        <f t="shared" si="35"/>
        <v>-14766458.870000001</v>
      </c>
      <c r="X71" s="330">
        <f t="shared" si="35"/>
        <v>-6323340.6400000006</v>
      </c>
      <c r="Y71" s="330">
        <f t="shared" si="35"/>
        <v>-558867.69999999995</v>
      </c>
      <c r="Z71" s="290">
        <f t="shared" si="35"/>
        <v>0</v>
      </c>
      <c r="AA71" s="290">
        <f>SUM(AA66:AA70)</f>
        <v>-148.49</v>
      </c>
      <c r="AB71" s="290">
        <f t="shared" si="35"/>
        <v>0</v>
      </c>
      <c r="AC71" s="290">
        <f t="shared" ref="AC71" si="36">SUM(AC66:AC70)</f>
        <v>232.44</v>
      </c>
      <c r="AD71" s="290">
        <f>SUM(AD66:AD70)</f>
        <v>4702249.8800000008</v>
      </c>
      <c r="AE71" s="290">
        <f>SUM(AE66:AE70)</f>
        <v>4702249.8800000008</v>
      </c>
      <c r="AF71" s="331">
        <f t="shared" si="35"/>
        <v>-22994361.320000004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-27696695.150000002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806955.98</v>
      </c>
      <c r="E85" s="292">
        <f>'AJUSTES - SF-T'!E47</f>
        <v>65039.95</v>
      </c>
      <c r="F85" s="292">
        <f>'AJUSTES - SF-T'!F47</f>
        <v>36337.019999999997</v>
      </c>
      <c r="G85" s="292">
        <f>'AJUSTES - SF-T'!G47</f>
        <v>19274.13</v>
      </c>
      <c r="H85" s="292">
        <f>'AJUSTES - SF-T'!H47</f>
        <v>155423.91</v>
      </c>
      <c r="I85" s="292">
        <f>'AJUSTES - SF-T'!I47</f>
        <v>5618.35</v>
      </c>
      <c r="J85" s="288">
        <f>'AJUSTES - SF-T'!J47</f>
        <v>0</v>
      </c>
      <c r="K85" s="293">
        <f>D85-E85-F85-G85-H85-I85-J85</f>
        <v>525262.62</v>
      </c>
      <c r="L85" s="294">
        <v>0</v>
      </c>
      <c r="M85" s="293">
        <f>K85-L85</f>
        <v>525262.62</v>
      </c>
      <c r="N85" s="294">
        <f>'AJUSTES - SF-T'!N47</f>
        <v>0</v>
      </c>
      <c r="O85" s="293">
        <f>M85+N85</f>
        <v>525262.62</v>
      </c>
      <c r="Q85" s="306"/>
      <c r="S85" s="303">
        <v>1</v>
      </c>
      <c r="T85" s="304" t="s">
        <v>10</v>
      </c>
      <c r="U85" s="307">
        <f>'AJUSTES - SF-T'!U47</f>
        <v>56003.23</v>
      </c>
      <c r="V85" s="308">
        <f>'AJUSTES - SF-T'!V47</f>
        <v>48167.15</v>
      </c>
      <c r="W85" s="308">
        <f>'AJUSTES - SF-T'!W47</f>
        <v>226758.45</v>
      </c>
      <c r="X85" s="308">
        <f>'AJUSTES - SF-T'!X47</f>
        <v>182170.76</v>
      </c>
      <c r="Y85" s="309">
        <f>'AJUSTES - SF-T'!Y47</f>
        <v>9166.69</v>
      </c>
      <c r="Z85" s="310">
        <f>-L85</f>
        <v>0</v>
      </c>
      <c r="AA85" s="311">
        <f>'AJUSTES - SF-T'!AA47</f>
        <v>0.04</v>
      </c>
      <c r="AB85" s="294">
        <f>N85</f>
        <v>0</v>
      </c>
      <c r="AC85" s="311">
        <v>0</v>
      </c>
      <c r="AD85" s="604">
        <f>-J85+AE85</f>
        <v>2996.3</v>
      </c>
      <c r="AE85" s="291">
        <f>'AJUSTES - SF-T'!AD47</f>
        <v>2996.3</v>
      </c>
      <c r="AF85" s="313">
        <f>SUM(U85:AD85)</f>
        <v>525262.62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506855.36</v>
      </c>
      <c r="E86" s="292">
        <f>'AJUSTES - SF-T'!E48</f>
        <v>42296.72</v>
      </c>
      <c r="F86" s="292">
        <f>'AJUSTES - SF-T'!F48</f>
        <v>23907.98</v>
      </c>
      <c r="G86" s="292">
        <f>'AJUSTES - SF-T'!G48</f>
        <v>12706.35</v>
      </c>
      <c r="H86" s="292">
        <f>'AJUSTES - SF-T'!H48</f>
        <v>265979.53000000003</v>
      </c>
      <c r="I86" s="292">
        <f>'AJUSTES - SF-T'!I48</f>
        <v>11995.53</v>
      </c>
      <c r="J86" s="288">
        <f>'AJUSTES - SF-T'!J48</f>
        <v>0</v>
      </c>
      <c r="K86" s="295">
        <f t="shared" ref="K86:K89" si="38">D86-E86-F86-G86-H86-I86-J86</f>
        <v>149969.25000000003</v>
      </c>
      <c r="L86" s="294">
        <v>0</v>
      </c>
      <c r="M86" s="295">
        <f>K86-L86</f>
        <v>149969.25000000003</v>
      </c>
      <c r="N86" s="294">
        <f>'AJUSTES - SF-T'!N48</f>
        <v>0</v>
      </c>
      <c r="O86" s="295">
        <f t="shared" ref="O86:O89" si="39">M86+N86</f>
        <v>149969.25000000003</v>
      </c>
      <c r="Q86" s="306"/>
      <c r="S86" s="314">
        <v>2</v>
      </c>
      <c r="T86" s="315" t="s">
        <v>11</v>
      </c>
      <c r="U86" s="316">
        <f>'AJUSTES - SF-T'!U48</f>
        <v>66026.12</v>
      </c>
      <c r="V86" s="317">
        <f>'AJUSTES - SF-T'!V48</f>
        <v>73645.62</v>
      </c>
      <c r="W86" s="317">
        <f>'AJUSTES - SF-T'!W48</f>
        <v>345565.65</v>
      </c>
      <c r="X86" s="317">
        <f>'AJUSTES - SF-T'!X48</f>
        <v>81955.14</v>
      </c>
      <c r="Y86" s="318">
        <f>'AJUSTES - SF-T'!Y48</f>
        <v>6998.74</v>
      </c>
      <c r="Z86" s="319">
        <f>-L86</f>
        <v>0</v>
      </c>
      <c r="AA86" s="320">
        <f>'AJUSTES - SF-T'!AA48</f>
        <v>-3.66</v>
      </c>
      <c r="AB86" s="294">
        <f>N86</f>
        <v>0</v>
      </c>
      <c r="AC86" s="605">
        <v>0</v>
      </c>
      <c r="AD86" s="604">
        <f t="shared" ref="AD86:AD89" si="40">-J86+AE86</f>
        <v>-424218.36</v>
      </c>
      <c r="AE86" s="291">
        <f>'AJUSTES - SF-T'!AD48</f>
        <v>-424218.36</v>
      </c>
      <c r="AF86" s="322">
        <f>SUM(U86:AD86)</f>
        <v>149969.25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118874.84</v>
      </c>
      <c r="E87" s="292">
        <f>'AJUSTES - SF-T'!E49</f>
        <v>6267.13</v>
      </c>
      <c r="F87" s="292">
        <f>'AJUSTES - SF-T'!F49</f>
        <v>3538.42</v>
      </c>
      <c r="G87" s="292">
        <f>'AJUSTES - SF-T'!G49</f>
        <v>1857.22</v>
      </c>
      <c r="H87" s="292">
        <f>'AJUSTES - SF-T'!H49</f>
        <v>42966.81</v>
      </c>
      <c r="I87" s="292">
        <f>'AJUSTES - SF-T'!I49</f>
        <v>743.08</v>
      </c>
      <c r="J87" s="288">
        <f>'AJUSTES - SF-T'!J49</f>
        <v>0</v>
      </c>
      <c r="K87" s="295">
        <f t="shared" si="38"/>
        <v>63502.179999999993</v>
      </c>
      <c r="L87" s="294">
        <v>0</v>
      </c>
      <c r="M87" s="295">
        <f>K87-L87</f>
        <v>63502.179999999993</v>
      </c>
      <c r="N87" s="294">
        <f>'AJUSTES - SF-T'!N49</f>
        <v>0</v>
      </c>
      <c r="O87" s="295">
        <f t="shared" si="39"/>
        <v>63502.179999999993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6322.58</v>
      </c>
      <c r="W87" s="317">
        <f>'AJUSTES - SF-T'!W49</f>
        <v>29933.14</v>
      </c>
      <c r="X87" s="317">
        <f>'AJUSTES - SF-T'!X49</f>
        <v>14860.01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4655.7700000000004</v>
      </c>
      <c r="AE87" s="291">
        <f>'AJUSTES - SF-T'!AD49</f>
        <v>4655.7700000000004</v>
      </c>
      <c r="AF87" s="322">
        <f t="shared" ref="AF87:AF89" si="42">SUM(U87:AD87)</f>
        <v>63502.180000000008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318314.48</v>
      </c>
      <c r="E88" s="292">
        <f>'AJUSTES - SF-T'!E50</f>
        <v>30353.42</v>
      </c>
      <c r="F88" s="292">
        <f>'AJUSTES - SF-T'!F50</f>
        <v>17272.310000000001</v>
      </c>
      <c r="G88" s="292">
        <f>'AJUSTES - SF-T'!G50</f>
        <v>7260.85</v>
      </c>
      <c r="H88" s="292">
        <f>'AJUSTES - SF-T'!H50</f>
        <v>195770.56</v>
      </c>
      <c r="I88" s="292">
        <f>'AJUSTES - SF-T'!I50</f>
        <v>5001.67</v>
      </c>
      <c r="J88" s="288">
        <f>'AJUSTES - SF-T'!J50</f>
        <v>0</v>
      </c>
      <c r="K88" s="295">
        <f t="shared" si="38"/>
        <v>62655.670000000027</v>
      </c>
      <c r="L88" s="294">
        <v>0</v>
      </c>
      <c r="M88" s="295">
        <f>K88-L88</f>
        <v>62655.670000000027</v>
      </c>
      <c r="N88" s="294">
        <f>'AJUSTES - SF-T'!N50</f>
        <v>0</v>
      </c>
      <c r="O88" s="295">
        <f t="shared" si="39"/>
        <v>62655.670000000027</v>
      </c>
      <c r="Q88" s="306"/>
      <c r="S88" s="314">
        <v>4</v>
      </c>
      <c r="T88" s="315" t="s">
        <v>13</v>
      </c>
      <c r="U88" s="316">
        <f>'AJUSTES - SF-T'!U50</f>
        <v>31654.75</v>
      </c>
      <c r="V88" s="317">
        <f>'AJUSTES - SF-T'!V50</f>
        <v>16169.51</v>
      </c>
      <c r="W88" s="317">
        <f>'AJUSTES - SF-T'!W50</f>
        <v>625209.87</v>
      </c>
      <c r="X88" s="317">
        <f>'AJUSTES - SF-T'!X50</f>
        <v>92025.49</v>
      </c>
      <c r="Y88" s="318">
        <f>'AJUSTES - SF-T'!Y50</f>
        <v>3836.24</v>
      </c>
      <c r="Z88" s="319">
        <f>-L88</f>
        <v>0</v>
      </c>
      <c r="AA88" s="320">
        <f>'AJUSTES - SF-T'!AA50</f>
        <v>20.010000000000002</v>
      </c>
      <c r="AB88" s="294">
        <f>N88</f>
        <v>0</v>
      </c>
      <c r="AC88" s="320">
        <v>0</v>
      </c>
      <c r="AD88" s="604">
        <f t="shared" si="40"/>
        <v>-706260.2</v>
      </c>
      <c r="AE88" s="291">
        <f>'AJUSTES - SF-T'!AD50</f>
        <v>-706260.2</v>
      </c>
      <c r="AF88" s="322">
        <f t="shared" si="42"/>
        <v>62655.670000000042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1751000.66</v>
      </c>
      <c r="E90" s="290">
        <f t="shared" ref="E90:O90" si="43">SUM(E85:E89)</f>
        <v>143957.22</v>
      </c>
      <c r="F90" s="290">
        <f t="shared" si="43"/>
        <v>81055.73</v>
      </c>
      <c r="G90" s="290">
        <f t="shared" ref="G90" si="44">SUM(G85:G89)</f>
        <v>41098.550000000003</v>
      </c>
      <c r="H90" s="290">
        <f t="shared" si="43"/>
        <v>660140.81000000006</v>
      </c>
      <c r="I90" s="290">
        <f t="shared" si="43"/>
        <v>23358.630000000005</v>
      </c>
      <c r="J90" s="290">
        <f t="shared" si="43"/>
        <v>0</v>
      </c>
      <c r="K90" s="300">
        <f t="shared" si="43"/>
        <v>801389.72000000009</v>
      </c>
      <c r="L90" s="301">
        <f t="shared" si="43"/>
        <v>0</v>
      </c>
      <c r="M90" s="302">
        <f t="shared" si="43"/>
        <v>801389.72000000009</v>
      </c>
      <c r="N90" s="301">
        <f t="shared" si="43"/>
        <v>0</v>
      </c>
      <c r="O90" s="302">
        <f t="shared" si="43"/>
        <v>801389.72000000009</v>
      </c>
      <c r="P90" s="329"/>
      <c r="Q90" s="306"/>
      <c r="S90" s="327"/>
      <c r="T90" s="328" t="s">
        <v>2</v>
      </c>
      <c r="U90" s="330">
        <f>SUM(U85:U89)</f>
        <v>160202.38</v>
      </c>
      <c r="V90" s="330">
        <f t="shared" ref="V90:AG90" si="45">SUM(V85:V89)</f>
        <v>144304.85999999999</v>
      </c>
      <c r="W90" s="330">
        <f t="shared" si="45"/>
        <v>1227467.1100000001</v>
      </c>
      <c r="X90" s="330">
        <f t="shared" si="45"/>
        <v>371011.4</v>
      </c>
      <c r="Y90" s="330">
        <f t="shared" si="45"/>
        <v>21214.07</v>
      </c>
      <c r="Z90" s="290">
        <f t="shared" si="45"/>
        <v>0</v>
      </c>
      <c r="AA90" s="290">
        <f t="shared" si="45"/>
        <v>16.39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-1122826.49</v>
      </c>
      <c r="AE90" s="290">
        <f t="shared" si="45"/>
        <v>-1122826.49</v>
      </c>
      <c r="AF90" s="331">
        <f t="shared" si="45"/>
        <v>801389.72000000009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1924199.82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46267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18378829331.129997</v>
      </c>
      <c r="E104" s="292">
        <f t="shared" si="47"/>
        <v>980822759.10000002</v>
      </c>
      <c r="F104" s="292">
        <f t="shared" si="47"/>
        <v>553086267.76000023</v>
      </c>
      <c r="G104" s="292">
        <f t="shared" ref="G104" si="48">G9+G28+G47+G66+G85</f>
        <v>291040191.07999992</v>
      </c>
      <c r="H104" s="292">
        <f t="shared" ref="H104:J108" si="49">H9+H28+H47+H66+H85</f>
        <v>4200833348.79</v>
      </c>
      <c r="I104" s="292">
        <f t="shared" si="49"/>
        <v>157066804.19999999</v>
      </c>
      <c r="J104" s="288">
        <f t="shared" si="49"/>
        <v>-3610213749.2700005</v>
      </c>
      <c r="K104" s="293">
        <f>D104-E104-F104-G104-H104-I104-J104</f>
        <v>15806193709.469997</v>
      </c>
      <c r="L104" s="294">
        <f>L9+L28+L47+L66+L85</f>
        <v>189185988</v>
      </c>
      <c r="M104" s="293">
        <f>K104-L104</f>
        <v>15617007721.469997</v>
      </c>
      <c r="N104" s="294">
        <f>N9+N28+N47+N66+N85</f>
        <v>37169760.240000002</v>
      </c>
      <c r="O104" s="293">
        <f>M104+N104</f>
        <v>15654177481.709997</v>
      </c>
      <c r="Q104" s="306"/>
      <c r="S104" s="303">
        <v>1</v>
      </c>
      <c r="T104" s="304" t="s">
        <v>10</v>
      </c>
      <c r="U104" s="307">
        <f t="shared" ref="U104:AB108" si="50">U9+U28+U47+U66+U85</f>
        <v>1382034224.98</v>
      </c>
      <c r="V104" s="308">
        <f t="shared" si="50"/>
        <v>1317704098.1699998</v>
      </c>
      <c r="W104" s="308">
        <f t="shared" si="50"/>
        <v>6231288424.8399992</v>
      </c>
      <c r="X104" s="308">
        <f t="shared" si="50"/>
        <v>2664303471.7000003</v>
      </c>
      <c r="Y104" s="309">
        <f t="shared" si="50"/>
        <v>256365175.78999999</v>
      </c>
      <c r="Z104" s="310">
        <f t="shared" si="50"/>
        <v>-189185988</v>
      </c>
      <c r="AA104" s="311">
        <f>AA9+AA28+AA47+AA66+AA85</f>
        <v>71590.599999999991</v>
      </c>
      <c r="AB104" s="294">
        <f t="shared" si="50"/>
        <v>37169760.240000002</v>
      </c>
      <c r="AC104" s="311">
        <f>AC9+AC28+AC47+AC66+AC85</f>
        <v>194.35</v>
      </c>
      <c r="AD104" s="291">
        <f>-J104+AE104</f>
        <v>3954426529.0400004</v>
      </c>
      <c r="AE104" s="291">
        <f>AE9+AE28+AE47+AE66+AE85</f>
        <v>344212779.77000004</v>
      </c>
      <c r="AF104" s="313">
        <f>SUM(U104:AD104)</f>
        <v>15654177481.710001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21599709647.529999</v>
      </c>
      <c r="E105" s="292">
        <f>E10+E29+E48+E67+E86</f>
        <v>1664913209.5799999</v>
      </c>
      <c r="F105" s="292">
        <f t="shared" si="47"/>
        <v>928913038.75999999</v>
      </c>
      <c r="G105" s="292">
        <f t="shared" ref="G105" si="51">G10+G29+G48+G67+G86</f>
        <v>484899626.28999996</v>
      </c>
      <c r="H105" s="292">
        <f t="shared" si="49"/>
        <v>6836664707.1199989</v>
      </c>
      <c r="I105" s="292">
        <f t="shared" si="49"/>
        <v>226464782.88</v>
      </c>
      <c r="J105" s="288">
        <f t="shared" si="49"/>
        <v>-4289876341.3299999</v>
      </c>
      <c r="K105" s="295">
        <f t="shared" ref="K105:K108" si="52">D105-E105-F105-G105-H105-I105-J105</f>
        <v>15747730624.23</v>
      </c>
      <c r="L105" s="294">
        <f>L10+L29+L48+L67+L86</f>
        <v>266580256</v>
      </c>
      <c r="M105" s="295">
        <f>K105-L105</f>
        <v>15481150368.23</v>
      </c>
      <c r="N105" s="294">
        <f>N10+N29+N48+N67+N86</f>
        <v>65704058.960000001</v>
      </c>
      <c r="O105" s="295">
        <f t="shared" ref="O105:O108" si="53">M105+N105</f>
        <v>15546854427.189999</v>
      </c>
      <c r="Q105" s="306"/>
      <c r="S105" s="314">
        <v>2</v>
      </c>
      <c r="T105" s="315" t="s">
        <v>11</v>
      </c>
      <c r="U105" s="316">
        <f t="shared" si="50"/>
        <v>1986761437.4799998</v>
      </c>
      <c r="V105" s="317">
        <f t="shared" si="50"/>
        <v>1985678430.6599996</v>
      </c>
      <c r="W105" s="317">
        <f t="shared" si="50"/>
        <v>9338907055.3199997</v>
      </c>
      <c r="X105" s="317">
        <f t="shared" si="50"/>
        <v>3272393486.6599998</v>
      </c>
      <c r="Y105" s="318">
        <f t="shared" si="50"/>
        <v>369457336.91999996</v>
      </c>
      <c r="Z105" s="319">
        <f t="shared" si="50"/>
        <v>-266580256</v>
      </c>
      <c r="AA105" s="320">
        <f>AA10+AA29+AA48+AA67+AA86</f>
        <v>-219458.4</v>
      </c>
      <c r="AB105" s="294">
        <f t="shared" si="50"/>
        <v>65704058.960000001</v>
      </c>
      <c r="AC105" s="320">
        <f>AC10+AC29+AC48+AC67+AC86</f>
        <v>39.319999999999993</v>
      </c>
      <c r="AD105" s="291">
        <f t="shared" ref="AD105:AD107" si="54">-J105+AE105</f>
        <v>-1205247703.7299995</v>
      </c>
      <c r="AE105" s="291">
        <f>AE10+AE29+AE48+AE67+AE86</f>
        <v>-5495124045.0599995</v>
      </c>
      <c r="AF105" s="322">
        <f>SUM(U105:AD105)</f>
        <v>15546854427.189999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16369059895.669998</v>
      </c>
      <c r="E106" s="292">
        <f t="shared" si="47"/>
        <v>1145520725.3200004</v>
      </c>
      <c r="F106" s="292">
        <f t="shared" si="47"/>
        <v>645908031.8599999</v>
      </c>
      <c r="G106" s="292">
        <f t="shared" ref="G106" si="56">G11+G30+G49+G68+G87</f>
        <v>339211946.35000008</v>
      </c>
      <c r="H106" s="292">
        <f t="shared" si="49"/>
        <v>4563959120.4000006</v>
      </c>
      <c r="I106" s="292">
        <f t="shared" si="49"/>
        <v>127453979.18000001</v>
      </c>
      <c r="J106" s="288">
        <f t="shared" si="49"/>
        <v>-829262233.29999995</v>
      </c>
      <c r="K106" s="295">
        <f t="shared" si="52"/>
        <v>10376268325.859997</v>
      </c>
      <c r="L106" s="294">
        <f>L11+L30+L49+L68+L87</f>
        <v>154788536</v>
      </c>
      <c r="M106" s="295">
        <f>K106-L106</f>
        <v>10221479789.859997</v>
      </c>
      <c r="N106" s="294">
        <f>N11+N30+N49+N68+N87</f>
        <v>37498085.219999999</v>
      </c>
      <c r="O106" s="295">
        <f t="shared" si="53"/>
        <v>10258977875.079996</v>
      </c>
      <c r="Q106" s="306"/>
      <c r="S106" s="314">
        <v>3</v>
      </c>
      <c r="T106" s="315" t="s">
        <v>12</v>
      </c>
      <c r="U106" s="316">
        <f t="shared" si="50"/>
        <v>1117391043.0799999</v>
      </c>
      <c r="V106" s="317">
        <f t="shared" si="50"/>
        <v>1090408147.53</v>
      </c>
      <c r="W106" s="317">
        <f t="shared" si="50"/>
        <v>5154604764.5500002</v>
      </c>
      <c r="X106" s="317">
        <f t="shared" si="50"/>
        <v>2710625411.7800002</v>
      </c>
      <c r="Y106" s="318">
        <f t="shared" si="50"/>
        <v>207908536.91</v>
      </c>
      <c r="Z106" s="319">
        <f t="shared" si="50"/>
        <v>-154788536</v>
      </c>
      <c r="AA106" s="320">
        <f>AA11+AA30+AA49+AA68+AA87</f>
        <v>116539.55</v>
      </c>
      <c r="AB106" s="294">
        <f t="shared" si="50"/>
        <v>37498085.219999999</v>
      </c>
      <c r="AC106" s="320">
        <f>AC11+AC30+AC49+AC68+AC87</f>
        <v>-3973599.15</v>
      </c>
      <c r="AD106" s="291">
        <f t="shared" si="54"/>
        <v>99187481.609999895</v>
      </c>
      <c r="AE106" s="291">
        <f>AE11+AE30+AE49+AE68+AE87</f>
        <v>-730074751.69000006</v>
      </c>
      <c r="AF106" s="322">
        <f>SUM(U106:AD106)</f>
        <v>10258977875.08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8372092112.4700003</v>
      </c>
      <c r="E107" s="292">
        <f t="shared" ref="E107:F108" si="58">E12+E31+E50+E69+E88</f>
        <v>519799229.63</v>
      </c>
      <c r="F107" s="292">
        <f t="shared" si="58"/>
        <v>291481364.64000005</v>
      </c>
      <c r="G107" s="292">
        <f t="shared" ref="G107" si="59">G12+G31+G50+G69+G88</f>
        <v>153357453.93000001</v>
      </c>
      <c r="H107" s="292">
        <f t="shared" si="49"/>
        <v>2114189448.1400001</v>
      </c>
      <c r="I107" s="292">
        <f t="shared" si="49"/>
        <v>73261229.62000002</v>
      </c>
      <c r="J107" s="288">
        <f t="shared" si="49"/>
        <v>-706235925.21000028</v>
      </c>
      <c r="K107" s="295">
        <f t="shared" si="52"/>
        <v>5926239311.7199993</v>
      </c>
      <c r="L107" s="294">
        <f>L12+L31+L50+L69+L88</f>
        <v>120391083</v>
      </c>
      <c r="M107" s="295">
        <f>K107-L107</f>
        <v>5805848228.7199993</v>
      </c>
      <c r="N107" s="294">
        <f>N12+N31+N50+N69+N88</f>
        <v>11313241.9</v>
      </c>
      <c r="O107" s="295">
        <f>M107+N107</f>
        <v>5817161470.6199989</v>
      </c>
      <c r="Q107" s="306"/>
      <c r="S107" s="314">
        <v>4</v>
      </c>
      <c r="T107" s="315" t="s">
        <v>13</v>
      </c>
      <c r="U107" s="316">
        <f t="shared" si="50"/>
        <v>642180797.91000009</v>
      </c>
      <c r="V107" s="317">
        <f t="shared" si="50"/>
        <v>635298381.06999993</v>
      </c>
      <c r="W107" s="317">
        <f t="shared" si="50"/>
        <v>3214416091.1900001</v>
      </c>
      <c r="X107" s="317">
        <f t="shared" si="50"/>
        <v>1378184760.5799999</v>
      </c>
      <c r="Y107" s="318">
        <f t="shared" si="50"/>
        <v>119211235.36999999</v>
      </c>
      <c r="Z107" s="319">
        <f t="shared" si="50"/>
        <v>-120391083</v>
      </c>
      <c r="AA107" s="320">
        <f>AA12+AA31+AA50+AA69+AA88</f>
        <v>-12302.84</v>
      </c>
      <c r="AB107" s="294">
        <f t="shared" si="50"/>
        <v>11313241.9</v>
      </c>
      <c r="AC107" s="320">
        <f>AC12+AC31+AC50+AC69+AC88</f>
        <v>196.87</v>
      </c>
      <c r="AD107" s="291">
        <f t="shared" si="54"/>
        <v>-63039848.429999828</v>
      </c>
      <c r="AE107" s="291">
        <f>AE12+AE31+AE50+AE69+AE88</f>
        <v>-769275773.6400001</v>
      </c>
      <c r="AF107" s="322">
        <f>SUM(U107:AD107)</f>
        <v>5817161470.6199989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12137660178.170002</v>
      </c>
      <c r="E108" s="297">
        <f t="shared" si="58"/>
        <v>725409163.9000001</v>
      </c>
      <c r="F108" s="297">
        <f t="shared" si="58"/>
        <v>408227723.78999996</v>
      </c>
      <c r="G108" s="297">
        <f t="shared" ref="G108" si="60">G13+G32+G51+G70+G89</f>
        <v>214644413.42000002</v>
      </c>
      <c r="H108" s="297">
        <f t="shared" si="49"/>
        <v>3009772460.46</v>
      </c>
      <c r="I108" s="297">
        <f t="shared" si="49"/>
        <v>109522048.66000001</v>
      </c>
      <c r="J108" s="289">
        <f t="shared" si="49"/>
        <v>-23403941.309999943</v>
      </c>
      <c r="K108" s="295">
        <f t="shared" si="52"/>
        <v>7693488309.2500038</v>
      </c>
      <c r="L108" s="294">
        <f>L13+L32+L51+L70+L89</f>
        <v>128990446</v>
      </c>
      <c r="M108" s="298">
        <f>K108-L108</f>
        <v>7564497863.2500038</v>
      </c>
      <c r="N108" s="299">
        <f>N13+N32+N51+N70+N89</f>
        <v>11174580.140000001</v>
      </c>
      <c r="O108" s="298">
        <f t="shared" si="53"/>
        <v>7575672443.3900042</v>
      </c>
      <c r="Q108" s="306"/>
      <c r="S108" s="324">
        <v>5</v>
      </c>
      <c r="T108" s="325" t="s">
        <v>14</v>
      </c>
      <c r="U108" s="296">
        <f t="shared" si="50"/>
        <v>959806849.63999999</v>
      </c>
      <c r="V108" s="297">
        <f t="shared" si="50"/>
        <v>932280571.95999992</v>
      </c>
      <c r="W108" s="297">
        <f t="shared" si="50"/>
        <v>4834478372.460001</v>
      </c>
      <c r="X108" s="297">
        <f t="shared" si="50"/>
        <v>2192889840.5</v>
      </c>
      <c r="Y108" s="289">
        <f t="shared" si="50"/>
        <v>178678957.13999999</v>
      </c>
      <c r="Z108" s="319">
        <f t="shared" si="50"/>
        <v>-128990446</v>
      </c>
      <c r="AA108" s="320">
        <f>AA13+AA32+AA51+AA70+AA89</f>
        <v>-105938.44</v>
      </c>
      <c r="AB108" s="294">
        <f t="shared" si="50"/>
        <v>11174580.140000001</v>
      </c>
      <c r="AC108" s="320">
        <f>AC13+AC32+AC51+AC70+AC89</f>
        <v>-29.2</v>
      </c>
      <c r="AD108" s="291">
        <f>-J108+AE108</f>
        <v>-1404540314.8099999</v>
      </c>
      <c r="AE108" s="291">
        <f>AE13+AE32+AE51+AE70+AE89</f>
        <v>-1427944256.1199999</v>
      </c>
      <c r="AF108" s="322">
        <f>SUM(U108:AD108)</f>
        <v>7575672443.3899994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76857351164.970001</v>
      </c>
      <c r="E109" s="290">
        <f t="shared" si="61"/>
        <v>5036465087.5300007</v>
      </c>
      <c r="F109" s="290">
        <f t="shared" si="61"/>
        <v>2827616426.8099999</v>
      </c>
      <c r="G109" s="290">
        <f t="shared" ref="G109" si="62">SUM(G104:G108)</f>
        <v>1483153631.0700002</v>
      </c>
      <c r="H109" s="290">
        <f t="shared" si="61"/>
        <v>20725419084.91</v>
      </c>
      <c r="I109" s="290">
        <f t="shared" si="61"/>
        <v>693768844.53999996</v>
      </c>
      <c r="J109" s="290">
        <f t="shared" si="61"/>
        <v>-9458992190.4200001</v>
      </c>
      <c r="K109" s="300">
        <f t="shared" si="61"/>
        <v>55549920280.529999</v>
      </c>
      <c r="L109" s="301">
        <f t="shared" si="61"/>
        <v>859936309</v>
      </c>
      <c r="M109" s="302">
        <f t="shared" si="61"/>
        <v>54689983971.529999</v>
      </c>
      <c r="N109" s="301">
        <f t="shared" si="61"/>
        <v>162859726.46000004</v>
      </c>
      <c r="O109" s="302">
        <f>SUM(O104:O108)</f>
        <v>54852843697.989998</v>
      </c>
      <c r="P109" s="329"/>
      <c r="Q109" s="306"/>
      <c r="S109" s="327"/>
      <c r="T109" s="328" t="s">
        <v>2</v>
      </c>
      <c r="U109" s="330">
        <f>SUM(U104:U108)</f>
        <v>6088174353.0900002</v>
      </c>
      <c r="V109" s="330">
        <f t="shared" ref="V109:AF109" si="63">SUM(V104:V108)</f>
        <v>5961369629.3899994</v>
      </c>
      <c r="W109" s="330">
        <f t="shared" si="63"/>
        <v>28773694708.360001</v>
      </c>
      <c r="X109" s="330">
        <f t="shared" si="63"/>
        <v>12218396971.220001</v>
      </c>
      <c r="Y109" s="330">
        <f t="shared" si="63"/>
        <v>1131621242.1299999</v>
      </c>
      <c r="Z109" s="290">
        <f t="shared" si="63"/>
        <v>-859936309</v>
      </c>
      <c r="AA109" s="290">
        <f>SUM(AA104:AA108)</f>
        <v>-149569.52999999997</v>
      </c>
      <c r="AB109" s="290">
        <f t="shared" si="63"/>
        <v>162859726.46000004</v>
      </c>
      <c r="AC109" s="290">
        <f>SUM(AC104:AC108)</f>
        <v>-3973197.81</v>
      </c>
      <c r="AD109" s="290">
        <f t="shared" si="63"/>
        <v>1380786143.6800013</v>
      </c>
      <c r="AE109" s="290">
        <f>SUM(AE104:AE108)</f>
        <v>-8078206046.7399998</v>
      </c>
      <c r="AF109" s="331">
        <f t="shared" si="63"/>
        <v>54852843697.990005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54173256904.189995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60357214.480000004</v>
      </c>
      <c r="E125" s="309">
        <v>0</v>
      </c>
      <c r="G125" s="336">
        <f>D47+N47</f>
        <v>63570</v>
      </c>
      <c r="H125" s="310">
        <f>D28+N28</f>
        <v>79505843.86999999</v>
      </c>
      <c r="I125" s="309">
        <f>D85+N85</f>
        <v>806955.98</v>
      </c>
      <c r="J125" s="309">
        <f>D66+N66</f>
        <v>-73090</v>
      </c>
      <c r="K125" s="309">
        <f>'ANTICIPOS USUARIOS'!C12</f>
        <v>76340</v>
      </c>
      <c r="L125" s="309">
        <f>-'ANTICIPOS USUARIOS'!C21</f>
        <v>66820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189766707.22</v>
      </c>
      <c r="E126" s="288">
        <v>0</v>
      </c>
      <c r="G126" s="339">
        <f>D48+N48</f>
        <v>221630</v>
      </c>
      <c r="H126" s="340">
        <f>D29+N29</f>
        <v>148193467.34999999</v>
      </c>
      <c r="I126" s="288">
        <f>D86+N86</f>
        <v>506855.36</v>
      </c>
      <c r="J126" s="288">
        <f>D67+N67</f>
        <v>-13472482</v>
      </c>
      <c r="K126" s="288">
        <f>'ANTICIPOS USUARIOS'!C13</f>
        <v>2593540</v>
      </c>
      <c r="L126" s="288">
        <f>-'ANTICIPOS USUARIOS'!C22</f>
        <v>79350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31138071.23</v>
      </c>
      <c r="E127" s="288">
        <v>0</v>
      </c>
      <c r="G127" s="339">
        <f>D49+N49</f>
        <v>0</v>
      </c>
      <c r="H127" s="340">
        <f>D30+N30</f>
        <v>27963601.280000001</v>
      </c>
      <c r="I127" s="288">
        <f>D87+N87</f>
        <v>118874.84</v>
      </c>
      <c r="J127" s="288">
        <f t="shared" ref="J127:J129" si="64">D68+N68</f>
        <v>-4617354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99417988.460000008</v>
      </c>
      <c r="E128" s="288">
        <v>0</v>
      </c>
      <c r="G128" s="339">
        <f>D50+N50</f>
        <v>4030410</v>
      </c>
      <c r="H128" s="340">
        <f>D31+N31</f>
        <v>111213700.35000001</v>
      </c>
      <c r="I128" s="288">
        <f>D88+N88</f>
        <v>318314.48</v>
      </c>
      <c r="J128" s="288">
        <f t="shared" si="64"/>
        <v>-15663330</v>
      </c>
      <c r="K128" s="288">
        <f>'ANTICIPOS USUARIOS'!C15</f>
        <v>8227070</v>
      </c>
      <c r="L128" s="288">
        <f>-'ANTICIPOS USUARIOS'!C24</f>
        <v>36570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39219856</v>
      </c>
      <c r="E129" s="344">
        <v>0</v>
      </c>
      <c r="G129" s="339">
        <f>D51+N51</f>
        <v>1249810</v>
      </c>
      <c r="H129" s="340">
        <f>D32+N32</f>
        <v>35818954.960000001</v>
      </c>
      <c r="I129" s="288">
        <f>D89+N89</f>
        <v>0</v>
      </c>
      <c r="J129" s="288">
        <f t="shared" si="64"/>
        <v>-4011371.65</v>
      </c>
      <c r="K129" s="288">
        <f>'ANTICIPOS USUARIOS'!C16</f>
        <v>2298610</v>
      </c>
      <c r="L129" s="288">
        <f>-'ANTICIPOS USUARIOS'!C25</f>
        <v>1057608.3500000001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419899837.38999999</v>
      </c>
      <c r="E131" s="350">
        <f>SUM(E125:E130)</f>
        <v>0</v>
      </c>
      <c r="F131" s="351"/>
      <c r="G131" s="350">
        <f t="shared" ref="G131" si="65">SUM(G125:G129)</f>
        <v>5565420</v>
      </c>
      <c r="H131" s="350">
        <f>SUM(H125:H130)</f>
        <v>402695567.80999994</v>
      </c>
      <c r="I131" s="350">
        <f>SUM(I125:I130)</f>
        <v>1751000.66</v>
      </c>
      <c r="J131" s="350">
        <f>SUM(J125:J130)</f>
        <v>-37837627.649999999</v>
      </c>
      <c r="K131" s="350">
        <f>SUM(K125:K130)</f>
        <v>13195560</v>
      </c>
      <c r="L131" s="350">
        <f>SUM(L125:L130)</f>
        <v>1240348.3500000001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18476356305.849998</v>
      </c>
      <c r="E142" s="110">
        <f>'Recaudo EAAB Reciprocidad'!F21+'Recaudo EAAB + Ciud Limp'!F21+'Recaudo Directa Occidente'!F21+'Recaudo ENEL'!F21+'Recaudo ENERBIT'!F21</f>
        <v>18396053026</v>
      </c>
      <c r="F142" s="110">
        <f>D28+N28</f>
        <v>79505843.86999999</v>
      </c>
      <c r="G142" s="110">
        <f>D66+N66</f>
        <v>-73090</v>
      </c>
      <c r="H142" s="110">
        <f>D85+N85</f>
        <v>806955.98</v>
      </c>
      <c r="I142" s="110">
        <f>('REPORTE RECAUDO x BANCO'!E62+'REPORTE RECAUDO x BANCO'!E63+'REPORTE RECAUDO x BANCO'!E75)</f>
        <v>0</v>
      </c>
      <c r="J142" s="110">
        <f t="shared" ref="J142:K146" si="66">G125</f>
        <v>63570</v>
      </c>
      <c r="K142" s="111">
        <f t="shared" si="66"/>
        <v>79505843.86999999</v>
      </c>
      <c r="L142" s="597">
        <f>D142-E142-F142-G142-J142-H142-I142</f>
        <v>-1.5157274901866913E-6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21855180413.709999</v>
      </c>
      <c r="E143" s="18">
        <f>'Recaudo EAAB Reciprocidad'!F22+'Recaudo EAAB + Ciud Limp'!F22+'Recaudo Directa Occidente'!F22+'Recaudo ENEL'!F22+'Recaudo ENERBIT'!F22</f>
        <v>21718071163</v>
      </c>
      <c r="F143" s="18">
        <f>D29+N29</f>
        <v>148193467.34999999</v>
      </c>
      <c r="G143" s="18">
        <f>D67+N67</f>
        <v>-13472482</v>
      </c>
      <c r="H143" s="18">
        <f>D86+N86</f>
        <v>506855.36</v>
      </c>
      <c r="I143" s="18">
        <f>('REPORTE RECAUDO x BANCO'!E64+'REPORTE RECAUDO x BANCO'!E65+'REPORTE RECAUDO x BANCO'!E66+'REPORTE RECAUDO x BANCO'!E76)</f>
        <v>1659780</v>
      </c>
      <c r="J143" s="18">
        <f>G126</f>
        <v>221630</v>
      </c>
      <c r="K143" s="83">
        <f>H126</f>
        <v>148193467.34999999</v>
      </c>
      <c r="L143" s="597">
        <f>D143-E143-F143-G143-J143-H143-I143</f>
        <v>-9.0943649411201477E-7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16437696052.119997</v>
      </c>
      <c r="E144" s="18">
        <f>'Recaudo EAAB Reciprocidad'!F23+'Recaudo EAAB + Ciud Limp'!F23+'Recaudo Directa Occidente'!F23+'Recaudo ENEL'!F23+'Recaudo ENERBIT'!F23</f>
        <v>16413458350</v>
      </c>
      <c r="F144" s="18">
        <f>D30+N30</f>
        <v>27963601.280000001</v>
      </c>
      <c r="G144" s="18">
        <f>D68+N68</f>
        <v>-4617354</v>
      </c>
      <c r="H144" s="18">
        <f>D87+N87</f>
        <v>118874.84</v>
      </c>
      <c r="I144" s="18">
        <f>('REPORTE RECAUDO x BANCO'!E67+'REPORTE RECAUDO x BANCO'!E68+'REPORTE RECAUDO x BANCO'!E77)</f>
        <v>772580</v>
      </c>
      <c r="J144" s="18">
        <f>G127</f>
        <v>0</v>
      </c>
      <c r="K144" s="83">
        <f t="shared" si="66"/>
        <v>27963601.280000001</v>
      </c>
      <c r="L144" s="597">
        <f>D144-E144-F144-G144-J144-H144-I144</f>
        <v>-2.9766233637928963E-6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8482823342.8299999</v>
      </c>
      <c r="E145" s="18">
        <f>'Recaudo EAAB Reciprocidad'!F24+'Recaudo EAAB + Ciud Limp'!F24+'Recaudo Directa Occidente'!F24+'Recaudo ENEL'!F24+'Recaudo ENERBIT'!F24</f>
        <v>8382490988</v>
      </c>
      <c r="F145" s="18">
        <f>D31+N31</f>
        <v>111213700.35000001</v>
      </c>
      <c r="G145" s="18">
        <f>D69+N69</f>
        <v>-15663330</v>
      </c>
      <c r="H145" s="18">
        <f>D88+N88</f>
        <v>318314.48</v>
      </c>
      <c r="I145" s="18">
        <f>('REPORTE RECAUDO x BANCO'!E69+'REPORTE RECAUDO x BANCO'!E70+'REPORTE RECAUDO x BANCO'!E71+'REPORTE RECAUDO x BANCO'!E78)</f>
        <v>433260</v>
      </c>
      <c r="J145" s="18">
        <f t="shared" si="66"/>
        <v>4030410</v>
      </c>
      <c r="K145" s="83">
        <f>H128</f>
        <v>111213700.35000001</v>
      </c>
      <c r="L145" s="597">
        <f t="shared" ref="L145:L147" si="68">D145-E145-F145-G145-J145-H145-I145</f>
        <v>-8.5216015577316284E-8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12188054614.310001</v>
      </c>
      <c r="E146" s="18">
        <f>'Recaudo EAAB Reciprocidad'!F25+'Recaudo EAAB + Ciud Limp'!F25+'Recaudo Directa Occidente'!F25+'Recaudo ENEL'!F25+'Recaudo ENERBIT'!F25</f>
        <v>12154489771</v>
      </c>
      <c r="F146" s="134">
        <f>D32+N32</f>
        <v>35818954.960000001</v>
      </c>
      <c r="G146" s="134">
        <f>D70+N70</f>
        <v>-4011371.65</v>
      </c>
      <c r="H146" s="134">
        <f>D89+N89</f>
        <v>0</v>
      </c>
      <c r="I146" s="134">
        <f>('REPORTE RECAUDO x BANCO'!E72+'REPORTE RECAUDO x BANCO'!E73+'REPORTE RECAUDO x BANCO'!E79)</f>
        <v>507450</v>
      </c>
      <c r="J146" s="134">
        <f t="shared" si="66"/>
        <v>1249810</v>
      </c>
      <c r="K146" s="136">
        <f t="shared" si="66"/>
        <v>35818954.960000001</v>
      </c>
      <c r="L146" s="597">
        <f t="shared" si="68"/>
        <v>1.3723038136959076E-6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77440110728.819992</v>
      </c>
      <c r="E147" s="47">
        <f>SUM(E142:E146)</f>
        <v>77064563298</v>
      </c>
      <c r="F147" s="47">
        <f t="shared" ref="F147:K147" si="69">SUM(F142:F146)</f>
        <v>402695567.80999994</v>
      </c>
      <c r="G147" s="47">
        <f t="shared" si="69"/>
        <v>-37837627.649999999</v>
      </c>
      <c r="H147" s="47">
        <f>SUM(H142:H146)</f>
        <v>1751000.66</v>
      </c>
      <c r="I147" s="47">
        <f t="shared" si="69"/>
        <v>3373070</v>
      </c>
      <c r="J147" s="47">
        <f t="shared" si="69"/>
        <v>5565420</v>
      </c>
      <c r="K147" s="47">
        <f t="shared" si="69"/>
        <v>402695567.80999994</v>
      </c>
      <c r="L147" s="597">
        <f t="shared" si="68"/>
        <v>-7.8789889812469482E-6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G38" sqref="G38"/>
    </sheetView>
  </sheetViews>
  <sheetFormatPr baseColWidth="10" defaultRowHeight="13.2" x14ac:dyDescent="0.25"/>
  <cols>
    <col min="1" max="1" width="3" customWidth="1"/>
    <col min="2" max="2" width="4.21875" bestFit="1" customWidth="1"/>
    <col min="3" max="4" width="16.777343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18396053026</v>
      </c>
      <c r="D3" s="292">
        <f>'CONSOLIDADO_TOTAL RECAUDO'!G125</f>
        <v>63570</v>
      </c>
      <c r="E3" s="292">
        <f>'CONSOLIDADO_TOTAL RECAUDO'!D28+'CONSOLIDADO_TOTAL RECAUDO'!N28</f>
        <v>79505843.86999999</v>
      </c>
      <c r="F3" s="292">
        <f>'CONSOLIDADO_TOTAL RECAUDO'!I142</f>
        <v>0</v>
      </c>
      <c r="G3" s="292">
        <f>'CONSOLIDADO_TOTAL RECAUDO'!H142</f>
        <v>806955.98</v>
      </c>
      <c r="H3" s="340">
        <f>SUM(C3:G3)</f>
        <v>18476429395.849998</v>
      </c>
      <c r="I3" s="291">
        <f>'CONSOLIDADO_TOTAL RECAUDO'!D104</f>
        <v>18378829331.129997</v>
      </c>
      <c r="J3" s="292">
        <f>'CONSOLIDADO_TOTAL RECAUDO'!N104</f>
        <v>37169760.240000002</v>
      </c>
      <c r="K3" s="292">
        <f>'CONSOLIDADO_TOTAL RECAUDO'!D125</f>
        <v>60357214.480000004</v>
      </c>
      <c r="L3" s="353">
        <f>'CONSOLIDADO_TOTAL RECAUDO'!E125</f>
        <v>0</v>
      </c>
      <c r="M3" s="292">
        <f>-'CONSOLIDADO_TOTAL RECAUDO'!D66-'CONSOLIDADO_TOTAL RECAUDO'!N66</f>
        <v>73090</v>
      </c>
      <c r="N3" s="288">
        <f>SUM(I3:M3)</f>
        <v>18476429395.849998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21718071163</v>
      </c>
      <c r="D4" s="292">
        <f>'CONSOLIDADO_TOTAL RECAUDO'!G126</f>
        <v>221630</v>
      </c>
      <c r="E4" s="292">
        <f>'CONSOLIDADO_TOTAL RECAUDO'!D29+'CONSOLIDADO_TOTAL RECAUDO'!N29</f>
        <v>148193467.34999999</v>
      </c>
      <c r="F4" s="292">
        <f>'CONSOLIDADO_TOTAL RECAUDO'!I143</f>
        <v>1659780</v>
      </c>
      <c r="G4" s="292">
        <f>'CONSOLIDADO_TOTAL RECAUDO'!H143</f>
        <v>506855.36</v>
      </c>
      <c r="H4" s="340">
        <f t="shared" ref="H4:H8" si="1">SUM(C4:G4)</f>
        <v>21868652895.709999</v>
      </c>
      <c r="I4" s="291">
        <f>'CONSOLIDADO_TOTAL RECAUDO'!D105</f>
        <v>21599709647.529999</v>
      </c>
      <c r="J4" s="292">
        <f>'CONSOLIDADO_TOTAL RECAUDO'!N105</f>
        <v>65704058.960000001</v>
      </c>
      <c r="K4" s="292">
        <f>'CONSOLIDADO_TOTAL RECAUDO'!D126</f>
        <v>189766707.22</v>
      </c>
      <c r="L4" s="353">
        <f>'CONSOLIDADO_TOTAL RECAUDO'!E126</f>
        <v>0</v>
      </c>
      <c r="M4" s="292">
        <f>-'CONSOLIDADO_TOTAL RECAUDO'!D67-'CONSOLIDADO_TOTAL RECAUDO'!N67</f>
        <v>13472482</v>
      </c>
      <c r="N4" s="318">
        <f>SUM(I4:M4)</f>
        <v>21868652895.709999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16413458350</v>
      </c>
      <c r="D5" s="292">
        <f>'CONSOLIDADO_TOTAL RECAUDO'!G127</f>
        <v>0</v>
      </c>
      <c r="E5" s="292">
        <f>'CONSOLIDADO_TOTAL RECAUDO'!D30+'CONSOLIDADO_TOTAL RECAUDO'!N30</f>
        <v>27963601.280000001</v>
      </c>
      <c r="F5" s="292">
        <f>'CONSOLIDADO_TOTAL RECAUDO'!I144</f>
        <v>772580</v>
      </c>
      <c r="G5" s="292">
        <f>'CONSOLIDADO_TOTAL RECAUDO'!H144</f>
        <v>118874.84</v>
      </c>
      <c r="H5" s="340">
        <f t="shared" si="1"/>
        <v>16442313406.120001</v>
      </c>
      <c r="I5" s="291">
        <f>'CONSOLIDADO_TOTAL RECAUDO'!D106</f>
        <v>16369059895.669998</v>
      </c>
      <c r="J5" s="292">
        <f>'CONSOLIDADO_TOTAL RECAUDO'!N106</f>
        <v>37498085.219999999</v>
      </c>
      <c r="K5" s="292">
        <f>'CONSOLIDADO_TOTAL RECAUDO'!D127</f>
        <v>31138071.23</v>
      </c>
      <c r="L5" s="353">
        <f>'CONSOLIDADO_TOTAL RECAUDO'!E127</f>
        <v>0</v>
      </c>
      <c r="M5" s="292">
        <f>-'CONSOLIDADO_TOTAL RECAUDO'!D68-'CONSOLIDADO_TOTAL RECAUDO'!N68</f>
        <v>4617354</v>
      </c>
      <c r="N5" s="318">
        <f>SUM(I5:M5)</f>
        <v>16442313406.119997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8382490988</v>
      </c>
      <c r="D6" s="292">
        <f>'CONSOLIDADO_TOTAL RECAUDO'!G128</f>
        <v>4030410</v>
      </c>
      <c r="E6" s="292">
        <f>'CONSOLIDADO_TOTAL RECAUDO'!D31+'CONSOLIDADO_TOTAL RECAUDO'!N31</f>
        <v>111213700.35000001</v>
      </c>
      <c r="F6" s="292">
        <f>'CONSOLIDADO_TOTAL RECAUDO'!I145</f>
        <v>433260</v>
      </c>
      <c r="G6" s="292">
        <f>'CONSOLIDADO_TOTAL RECAUDO'!H145</f>
        <v>318314.48</v>
      </c>
      <c r="H6" s="340">
        <f t="shared" si="1"/>
        <v>8498486672.8299999</v>
      </c>
      <c r="I6" s="291">
        <f>'CONSOLIDADO_TOTAL RECAUDO'!D107</f>
        <v>8372092112.4700003</v>
      </c>
      <c r="J6" s="292">
        <f>'CONSOLIDADO_TOTAL RECAUDO'!N107</f>
        <v>11313241.9</v>
      </c>
      <c r="K6" s="292">
        <f>'CONSOLIDADO_TOTAL RECAUDO'!D128</f>
        <v>99417988.460000008</v>
      </c>
      <c r="L6" s="353">
        <f>'CONSOLIDADO_TOTAL RECAUDO'!E128</f>
        <v>0</v>
      </c>
      <c r="M6" s="292">
        <f>-'CONSOLIDADO_TOTAL RECAUDO'!D69-'CONSOLIDADO_TOTAL RECAUDO'!N69</f>
        <v>15663330</v>
      </c>
      <c r="N6" s="318">
        <f t="shared" ref="N6:N7" si="3">SUM(I6:M6)</f>
        <v>8498486672.8299999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12154489771</v>
      </c>
      <c r="D7" s="292">
        <f>'CONSOLIDADO_TOTAL RECAUDO'!G129</f>
        <v>1249810</v>
      </c>
      <c r="E7" s="292">
        <f>'CONSOLIDADO_TOTAL RECAUDO'!D32+'CONSOLIDADO_TOTAL RECAUDO'!N32</f>
        <v>35818954.960000001</v>
      </c>
      <c r="F7" s="292">
        <f>'CONSOLIDADO_TOTAL RECAUDO'!I146</f>
        <v>507450</v>
      </c>
      <c r="G7" s="292">
        <f>'CONSOLIDADO_TOTAL RECAUDO'!H146</f>
        <v>0</v>
      </c>
      <c r="H7" s="340">
        <f>SUM(C7:G7)</f>
        <v>12192065985.959999</v>
      </c>
      <c r="I7" s="291">
        <f>'CONSOLIDADO_TOTAL RECAUDO'!D108</f>
        <v>12137660178.170002</v>
      </c>
      <c r="J7" s="292">
        <f>'CONSOLIDADO_TOTAL RECAUDO'!N108</f>
        <v>11174580.140000001</v>
      </c>
      <c r="K7" s="292">
        <f>'CONSOLIDADO_TOTAL RECAUDO'!D129</f>
        <v>39219856</v>
      </c>
      <c r="L7" s="353">
        <f>'CONSOLIDADO_TOTAL RECAUDO'!E129</f>
        <v>0</v>
      </c>
      <c r="M7" s="292">
        <f>-'CONSOLIDADO_TOTAL RECAUDO'!D70-'CONSOLIDADO_TOTAL RECAUDO'!N70</f>
        <v>4011371.65</v>
      </c>
      <c r="N7" s="318">
        <f t="shared" si="3"/>
        <v>12192065985.960001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77064563298</v>
      </c>
      <c r="D9" s="290">
        <f t="shared" ref="D9:L9" si="4">SUM(D3:D8)</f>
        <v>5565420</v>
      </c>
      <c r="E9" s="290">
        <f t="shared" si="4"/>
        <v>402695567.80999994</v>
      </c>
      <c r="F9" s="290">
        <f t="shared" si="4"/>
        <v>3373070</v>
      </c>
      <c r="G9" s="290">
        <f t="shared" si="4"/>
        <v>1751000.66</v>
      </c>
      <c r="H9" s="290">
        <f>SUM(H3:H8)</f>
        <v>77477948356.470001</v>
      </c>
      <c r="I9" s="290">
        <f t="shared" si="4"/>
        <v>76857351164.970001</v>
      </c>
      <c r="J9" s="290">
        <f t="shared" si="4"/>
        <v>162859726.46000004</v>
      </c>
      <c r="K9" s="290">
        <f t="shared" si="4"/>
        <v>419899837.38999999</v>
      </c>
      <c r="L9" s="290">
        <f t="shared" si="4"/>
        <v>0</v>
      </c>
      <c r="M9" s="290">
        <f>SUM(M3:M8)</f>
        <v>37837627.649999999</v>
      </c>
      <c r="N9" s="290">
        <f>SUM(N3:N8)</f>
        <v>77477948356.470001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77064563298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270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27905570</v>
      </c>
      <c r="E20" s="695">
        <f>VALIDACION_RECIP!D9</f>
        <v>232870</v>
      </c>
      <c r="F20" s="695">
        <f>VALIDACION_RECIP!E9</f>
        <v>34916932.200000003</v>
      </c>
      <c r="G20" s="695">
        <f>VALIDACION_RECIP!F9</f>
        <v>0</v>
      </c>
      <c r="H20" s="695">
        <f>VALIDACION_RECIP!G9</f>
        <v>825169.84</v>
      </c>
      <c r="I20" s="695">
        <f>VALIDACION_RECIP!H9</f>
        <v>63880542.039999999</v>
      </c>
      <c r="J20" s="695">
        <f>VALIDACION_RECIP!I9</f>
        <v>49138692.039999999</v>
      </c>
      <c r="K20" s="695">
        <f>VALIDACION_RECIP!J9</f>
        <v>0</v>
      </c>
      <c r="L20" s="695">
        <f>VALIDACION_RECIP!K9</f>
        <v>14192310</v>
      </c>
      <c r="M20" s="695">
        <f>VALIDACION_RECIP!L9</f>
        <v>0</v>
      </c>
      <c r="N20" s="695">
        <f>VALIDACION_RECIP!M9</f>
        <v>549540</v>
      </c>
      <c r="O20" s="695">
        <f>VALIDACION_RECIP!N9</f>
        <v>63880542.039999999</v>
      </c>
    </row>
    <row r="21" spans="3:18" x14ac:dyDescent="0.25">
      <c r="C21" s="167" t="s">
        <v>155</v>
      </c>
      <c r="D21" s="695">
        <f>VALIDACION_ENEL!C9</f>
        <v>71118604894</v>
      </c>
      <c r="E21" s="695">
        <f>VALIDACION_ENEL!D9</f>
        <v>3903018</v>
      </c>
      <c r="F21" s="695">
        <f>VALIDACION_ENEL!E9</f>
        <v>178082883.82000002</v>
      </c>
      <c r="G21" s="695">
        <f>VALIDACION_ENEL!F9</f>
        <v>3373070</v>
      </c>
      <c r="H21" s="695">
        <f>VALIDACION_ENEL!G9</f>
        <v>925830.82</v>
      </c>
      <c r="I21" s="695">
        <f>VALIDACION_ENEL!H9</f>
        <v>71304889696.639999</v>
      </c>
      <c r="J21" s="695">
        <f>VALIDACION_ENEL!I9</f>
        <v>71018833230.5</v>
      </c>
      <c r="K21" s="695">
        <f>VALIDACION_ENEL!J9</f>
        <v>75684145.919999987</v>
      </c>
      <c r="L21" s="695">
        <f>VALIDACION_ENEL!K9</f>
        <v>176140888.22</v>
      </c>
      <c r="M21" s="695">
        <f>VALIDACION_ENEL!L9</f>
        <v>0</v>
      </c>
      <c r="N21" s="695">
        <f>VALIDACION_ENEL!M9</f>
        <v>34231432</v>
      </c>
      <c r="O21" s="695">
        <f>VALIDACION_ENEL!N9</f>
        <v>71304889696.639999</v>
      </c>
    </row>
    <row r="22" spans="3:18" x14ac:dyDescent="0.25">
      <c r="C22" s="759" t="s">
        <v>327</v>
      </c>
      <c r="D22" s="695">
        <f>VALIDACION_ENERBIT!C9</f>
        <v>32556620</v>
      </c>
      <c r="E22" s="695">
        <f>VALIDACION_ENERBIT!D9</f>
        <v>0</v>
      </c>
      <c r="F22" s="695">
        <f>VALIDACION_ENERBIT!E9</f>
        <v>6055022.9500000002</v>
      </c>
      <c r="G22" s="695">
        <f>VALIDACION_ENERBIT!F9</f>
        <v>0</v>
      </c>
      <c r="H22" s="695">
        <f>VALIDACION_ENERBIT!G9</f>
        <v>0</v>
      </c>
      <c r="I22" s="695">
        <f>VALIDACION_ENERBIT!H9</f>
        <v>38611642.950000003</v>
      </c>
      <c r="J22" s="695">
        <f>VALIDACION_ENERBIT!I9</f>
        <v>34839232.950000003</v>
      </c>
      <c r="K22" s="695">
        <f>VALIDACION_ENERBIT!J9</f>
        <v>0</v>
      </c>
      <c r="L22" s="695">
        <f>VALIDACION_ENERBIT!K9</f>
        <v>3772410</v>
      </c>
      <c r="M22" s="695">
        <f>VALIDACION_ENERBIT!L9</f>
        <v>0</v>
      </c>
      <c r="N22" s="695">
        <f>VALIDACION_ENERBIT!M9</f>
        <v>0</v>
      </c>
      <c r="O22" s="695">
        <f>VALIDACION_ENERBIT!N9</f>
        <v>38611642.950000003</v>
      </c>
    </row>
    <row r="23" spans="3:18" x14ac:dyDescent="0.25">
      <c r="C23" s="212" t="s">
        <v>119</v>
      </c>
      <c r="D23" s="695">
        <f>VALIDACION_OCCIDENTE!C9</f>
        <v>5885496214</v>
      </c>
      <c r="E23" s="695">
        <f>VALIDACION_OCCIDENTE!D9</f>
        <v>1429532</v>
      </c>
      <c r="F23" s="695">
        <f>VALIDACION_OCCIDENTE!E9</f>
        <v>183640728.84</v>
      </c>
      <c r="G23" s="695">
        <f>VALIDACION_OCCIDENTE!F9</f>
        <v>0</v>
      </c>
      <c r="H23" s="695">
        <f>VALIDACION_OCCIDENTE!G9</f>
        <v>0</v>
      </c>
      <c r="I23" s="695">
        <f>VALIDACION_OCCIDENTE!H9</f>
        <v>6070566474.8399992</v>
      </c>
      <c r="J23" s="695">
        <f>VALIDACION_OCCIDENTE!I9</f>
        <v>5754540009.4799995</v>
      </c>
      <c r="K23" s="695">
        <f>VALIDACION_OCCIDENTE!J9</f>
        <v>87175580.539999992</v>
      </c>
      <c r="L23" s="695">
        <f>VALIDACION_OCCIDENTE!K9</f>
        <v>225794229.16999999</v>
      </c>
      <c r="M23" s="695">
        <f>VALIDACION_OCCIDENTE!L9</f>
        <v>0</v>
      </c>
      <c r="N23" s="695">
        <f>VALIDACION_OCCIDENTE!M9</f>
        <v>3056655.65</v>
      </c>
      <c r="O23" s="695">
        <f>VALIDACION_OCCIDENTE!N9</f>
        <v>6070566474.8399992</v>
      </c>
    </row>
    <row r="24" spans="3:18" x14ac:dyDescent="0.25">
      <c r="D24" s="702">
        <f>SUM(D20:D23)</f>
        <v>77064563298</v>
      </c>
      <c r="E24" s="141">
        <f>SUM(E20:E23)</f>
        <v>5565420</v>
      </c>
      <c r="F24" s="141">
        <f>SUM(F20:F23)</f>
        <v>402695567.81000006</v>
      </c>
      <c r="G24" s="141">
        <f>SUM(G20:G23)</f>
        <v>3373070</v>
      </c>
      <c r="H24" s="141">
        <f t="shared" ref="H24:O24" si="5">SUM(H20:H23)</f>
        <v>1751000.66</v>
      </c>
      <c r="I24" s="141">
        <f t="shared" si="5"/>
        <v>77477948356.469986</v>
      </c>
      <c r="J24" s="141">
        <f t="shared" si="5"/>
        <v>76857351164.969986</v>
      </c>
      <c r="K24" s="141">
        <f t="shared" si="5"/>
        <v>162859726.45999998</v>
      </c>
      <c r="L24" s="141">
        <f t="shared" si="5"/>
        <v>419899837.38999999</v>
      </c>
      <c r="M24" s="141">
        <f t="shared" si="5"/>
        <v>0</v>
      </c>
      <c r="N24" s="141">
        <f t="shared" si="5"/>
        <v>37837627.649999999</v>
      </c>
      <c r="O24" s="141">
        <f t="shared" si="5"/>
        <v>77477948356.469986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271</v>
      </c>
    </row>
    <row r="28" spans="3:18" ht="57" customHeight="1" thickBot="1" x14ac:dyDescent="0.3">
      <c r="D28" s="11" t="s">
        <v>4</v>
      </c>
      <c r="E28" s="12" t="s">
        <v>7</v>
      </c>
      <c r="F28" s="12" t="s">
        <v>275</v>
      </c>
      <c r="G28" s="12" t="s">
        <v>191</v>
      </c>
      <c r="I28" s="12" t="s">
        <v>38</v>
      </c>
      <c r="J28" s="85" t="s">
        <v>273</v>
      </c>
      <c r="K28" s="65" t="s">
        <v>47</v>
      </c>
      <c r="L28" s="370" t="s">
        <v>56</v>
      </c>
      <c r="M28" s="73" t="s">
        <v>274</v>
      </c>
      <c r="N28" s="73" t="s">
        <v>172</v>
      </c>
      <c r="O28" s="28" t="s">
        <v>129</v>
      </c>
      <c r="P28" s="12" t="s">
        <v>191</v>
      </c>
      <c r="Q28" s="12" t="s">
        <v>272</v>
      </c>
    </row>
    <row r="29" spans="3:18" x14ac:dyDescent="0.25">
      <c r="C29" t="s">
        <v>203</v>
      </c>
      <c r="D29" s="695">
        <f>'REMUNERACION Reciprocidad EAAB'!D109</f>
        <v>49138692.039999999</v>
      </c>
      <c r="E29" s="695">
        <f>'REMUNERACION Reciprocidad EAAB'!N109</f>
        <v>0</v>
      </c>
      <c r="F29" s="695">
        <f>D29+E29</f>
        <v>49138692.039999999</v>
      </c>
      <c r="G29" s="703">
        <f>D20-F29</f>
        <v>-21233122.039999999</v>
      </c>
      <c r="H29" s="695"/>
      <c r="I29" s="695">
        <f>'REMUNERACION Reciprocidad EAAB'!D131</f>
        <v>14192310</v>
      </c>
      <c r="J29" s="695"/>
      <c r="K29" s="695">
        <f>'REMUNERACION Reciprocidad EAAB'!G131</f>
        <v>232870</v>
      </c>
      <c r="L29" s="695">
        <f>'REMUNERACION Reciprocidad EAAB'!H131</f>
        <v>34916932.200000003</v>
      </c>
      <c r="M29" s="695">
        <f>'REMUNERACION Reciprocidad EAAB'!I131</f>
        <v>825169.84</v>
      </c>
      <c r="N29" s="695">
        <f>+'REMUNERACION Reciprocidad EAAB'!J131</f>
        <v>-549540</v>
      </c>
      <c r="O29" s="695">
        <f>'REMUNERACION Reciprocidad EAAB'!I147</f>
        <v>0</v>
      </c>
      <c r="P29" s="703">
        <f>I29+J29-K29-L29-M29-N29-O29</f>
        <v>-21233122.040000003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71018833230.5</v>
      </c>
      <c r="E30" s="695">
        <f>REMUNERACION_ENEL!N109</f>
        <v>75684145.919999987</v>
      </c>
      <c r="F30" s="695">
        <f>D30+E30</f>
        <v>71094517376.419998</v>
      </c>
      <c r="G30" s="705">
        <f>D21-F30</f>
        <v>24087517.580001831</v>
      </c>
      <c r="H30" s="695"/>
      <c r="I30" s="695">
        <f>REMUNERACION_ENEL!D131</f>
        <v>176140888.22</v>
      </c>
      <c r="J30" s="695"/>
      <c r="K30" s="695">
        <f>REMUNERACION_ENEL!G131</f>
        <v>3903018</v>
      </c>
      <c r="L30" s="695">
        <f>REMUNERACION_ENEL!H131</f>
        <v>178082883.82000002</v>
      </c>
      <c r="M30" s="695">
        <f>REMUNERACION_ENEL!I131</f>
        <v>925830.82</v>
      </c>
      <c r="N30" s="695">
        <f>REMUNERACION_ENEL!J131</f>
        <v>-34231432</v>
      </c>
      <c r="O30" s="695">
        <f>REMUNERACION_ENEL!I147</f>
        <v>3373070</v>
      </c>
      <c r="P30" s="703">
        <f>I30+J30-K30-L30-M30-N30-O30</f>
        <v>24087517.579999976</v>
      </c>
      <c r="Q30" s="704">
        <f>G30-P30</f>
        <v>1.8551945686340332E-6</v>
      </c>
      <c r="R30" s="141"/>
    </row>
    <row r="31" spans="3:18" x14ac:dyDescent="0.25">
      <c r="C31" s="759" t="s">
        <v>327</v>
      </c>
      <c r="D31" s="695">
        <f>REMUNERACION_ENERBIT!D109</f>
        <v>34839232.950000003</v>
      </c>
      <c r="E31" s="695">
        <f>REMUNERACION_ENERBIT!N109</f>
        <v>0</v>
      </c>
      <c r="F31" s="695">
        <f>D31+E31</f>
        <v>34839232.950000003</v>
      </c>
      <c r="G31" s="705">
        <f>D22-F31</f>
        <v>-2282612.950000003</v>
      </c>
      <c r="H31" s="695"/>
      <c r="I31" s="695">
        <f>REMUNERACION_ENERBIT!D131</f>
        <v>3772410</v>
      </c>
      <c r="J31" s="695"/>
      <c r="K31" s="695">
        <f>REMUNERACION_ENERBIT!G131</f>
        <v>0</v>
      </c>
      <c r="L31" s="695">
        <f>REMUNERACION_ENERBIT!H131</f>
        <v>6055022.9500000002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-2282612.9500000002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5754540009.4799995</v>
      </c>
      <c r="E32" s="695">
        <f>'REMUNERACION_OCCIDENTE_ Directa'!N109</f>
        <v>87175580.539999992</v>
      </c>
      <c r="F32" s="695">
        <f>D32+E32</f>
        <v>5841715590.0199995</v>
      </c>
      <c r="G32" s="705">
        <f>D23-F32</f>
        <v>43780623.980000496</v>
      </c>
      <c r="H32" s="695"/>
      <c r="I32" s="695">
        <f>'REMUNERACION_OCCIDENTE_ Directa'!D131</f>
        <v>225794229.16999999</v>
      </c>
      <c r="J32" s="695">
        <f>'CONSOLIDADO_TOTAL RECAUDO'!E131</f>
        <v>0</v>
      </c>
      <c r="K32" s="695">
        <f>'REMUNERACION_OCCIDENTE_ Directa'!G131</f>
        <v>1429532</v>
      </c>
      <c r="L32" s="695">
        <f>'REMUNERACION_OCCIDENTE_ Directa'!H131</f>
        <v>183640728.84</v>
      </c>
      <c r="M32" s="695">
        <f>'REMUNERACION_OCCIDENTE_ Directa'!I131</f>
        <v>0</v>
      </c>
      <c r="N32" s="695">
        <f>'REMUNERACION_OCCIDENTE_ Directa'!J131</f>
        <v>-3056655.65</v>
      </c>
      <c r="O32" s="695">
        <f>'REMUNERACION_OCCIDENTE_ Directa'!I147</f>
        <v>0</v>
      </c>
      <c r="P32" s="703">
        <f t="shared" ref="P32" si="9">I32+J32-K32-L32-M32-N32-O32</f>
        <v>43780623.979999982</v>
      </c>
      <c r="Q32" s="704">
        <f t="shared" si="8"/>
        <v>5.1409006118774414E-7</v>
      </c>
      <c r="R32" s="141"/>
    </row>
    <row r="33" spans="4:17" x14ac:dyDescent="0.25">
      <c r="D33" s="695">
        <f>SUM(D29:D32)</f>
        <v>76857351164.969986</v>
      </c>
      <c r="E33" s="695">
        <f>SUM(E29:E32)</f>
        <v>162859726.45999998</v>
      </c>
      <c r="F33" s="706">
        <f>SUM(F29:F32)</f>
        <v>77020210891.429993</v>
      </c>
      <c r="G33" s="707">
        <f>D24-F33</f>
        <v>44352406.570007324</v>
      </c>
      <c r="H33" s="695"/>
      <c r="I33" s="695">
        <f>SUM(I29:I32)</f>
        <v>419899837.38999999</v>
      </c>
      <c r="J33" s="695">
        <f>SUM(J29:J32)</f>
        <v>0</v>
      </c>
      <c r="K33" s="695">
        <f>SUM(K29:K32)</f>
        <v>5565420</v>
      </c>
      <c r="L33" s="695">
        <f t="shared" ref="L33:N33" si="10">SUM(L29:L32)</f>
        <v>402695567.81000006</v>
      </c>
      <c r="M33" s="695">
        <f t="shared" si="10"/>
        <v>1751000.66</v>
      </c>
      <c r="N33" s="695">
        <f t="shared" si="10"/>
        <v>-37837627.649999999</v>
      </c>
      <c r="O33" s="695">
        <f>SUM(O29:O32)</f>
        <v>3373070</v>
      </c>
      <c r="P33" s="708">
        <f>SUM(P29:P32)</f>
        <v>44352406.569999956</v>
      </c>
      <c r="Q33" s="704">
        <f>SUM(Q29:Q32)</f>
        <v>2.3692846298217773E-6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-7.368624210357666E-6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4.77734375" style="1" bestFit="1" customWidth="1"/>
    <col min="5" max="5" width="15.44140625" style="1" bestFit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1.218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46267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46250</v>
      </c>
      <c r="H7" s="45"/>
      <c r="I7" s="45"/>
      <c r="J7" s="555" t="s">
        <v>28</v>
      </c>
      <c r="K7" s="557">
        <f>'CONSOLIDADO_TOTAL RECAUDO'!K102</f>
        <v>46265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18378829331.129997</v>
      </c>
      <c r="E9" s="66">
        <f>'CONSOLIDADO_TOTAL RECAUDO'!E104</f>
        <v>980822759.10000002</v>
      </c>
      <c r="F9" s="66">
        <f>'CONSOLIDADO_TOTAL RECAUDO'!F104</f>
        <v>553086267.76000023</v>
      </c>
      <c r="G9" s="66">
        <f>'CONSOLIDADO_TOTAL RECAUDO'!G104</f>
        <v>291040191.07999992</v>
      </c>
      <c r="H9" s="66">
        <f>'CONSOLIDADO_TOTAL RECAUDO'!H104</f>
        <v>4200833348.79</v>
      </c>
      <c r="I9" s="66">
        <f>'CONSOLIDADO_TOTAL RECAUDO'!I104</f>
        <v>157066804.19999999</v>
      </c>
      <c r="J9" s="66">
        <f>'CONSOLIDADO_TOTAL RECAUDO'!J104</f>
        <v>-3610213749.2700005</v>
      </c>
      <c r="K9" s="30">
        <f>D9-E9-F9-G9-H9-I9-J9</f>
        <v>15806193709.469997</v>
      </c>
      <c r="L9" s="66">
        <f>'CONSOLIDADO_TOTAL RECAUDO'!L104</f>
        <v>189185988</v>
      </c>
      <c r="M9" s="30">
        <f>K9-L9</f>
        <v>15617007721.469997</v>
      </c>
      <c r="N9" s="66">
        <f>'CONSOLIDADO_TOTAL RECAUDO'!N104</f>
        <v>37169760.240000002</v>
      </c>
      <c r="O9" s="30">
        <f>M9+N9</f>
        <v>15654177481.709997</v>
      </c>
      <c r="Q9" s="4"/>
      <c r="S9" s="14">
        <v>1</v>
      </c>
      <c r="T9" s="61" t="s">
        <v>10</v>
      </c>
      <c r="U9" s="66">
        <f>'CONSOLIDADO_TOTAL RECAUDO'!U104</f>
        <v>1382034224.98</v>
      </c>
      <c r="V9" s="66">
        <f>'CONSOLIDADO_TOTAL RECAUDO'!V104</f>
        <v>1317704098.1699998</v>
      </c>
      <c r="W9" s="66">
        <f>'CONSOLIDADO_TOTAL RECAUDO'!W104</f>
        <v>6231288424.8399992</v>
      </c>
      <c r="X9" s="66">
        <f>'CONSOLIDADO_TOTAL RECAUDO'!X104</f>
        <v>2664303471.7000003</v>
      </c>
      <c r="Y9" s="66">
        <f>'CONSOLIDADO_TOTAL RECAUDO'!Y104</f>
        <v>256365175.78999999</v>
      </c>
      <c r="Z9" s="66">
        <f>'CONSOLIDADO_TOTAL RECAUDO'!Z104</f>
        <v>-189185988</v>
      </c>
      <c r="AA9" s="66">
        <f>'CONSOLIDADO_TOTAL RECAUDO'!AA104</f>
        <v>71590.599999999991</v>
      </c>
      <c r="AB9" s="66">
        <f>'CONSOLIDADO_TOTAL RECAUDO'!AB104</f>
        <v>37169760.240000002</v>
      </c>
      <c r="AC9" s="66">
        <f>'CONSOLIDADO_TOTAL RECAUDO'!AC104</f>
        <v>194.35</v>
      </c>
      <c r="AD9" s="66">
        <f>'CONSOLIDADO_TOTAL RECAUDO'!AD104</f>
        <v>3954426529.0400004</v>
      </c>
      <c r="AE9" s="66">
        <f>'CONSOLIDADO_TOTAL RECAUDO'!AE104</f>
        <v>344212779.77000004</v>
      </c>
      <c r="AF9" s="69">
        <f>SUM(U9:AD9)</f>
        <v>15654177481.710001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21599709647.529999</v>
      </c>
      <c r="E10" s="66">
        <f>'CONSOLIDADO_TOTAL RECAUDO'!E105</f>
        <v>1664913209.5799999</v>
      </c>
      <c r="F10" s="66">
        <f>'CONSOLIDADO_TOTAL RECAUDO'!F105</f>
        <v>928913038.75999999</v>
      </c>
      <c r="G10" s="66">
        <f>'CONSOLIDADO_TOTAL RECAUDO'!G105</f>
        <v>484899626.28999996</v>
      </c>
      <c r="H10" s="66">
        <f>'CONSOLIDADO_TOTAL RECAUDO'!H105</f>
        <v>6836664707.1199989</v>
      </c>
      <c r="I10" s="66">
        <f>'CONSOLIDADO_TOTAL RECAUDO'!I105</f>
        <v>226464782.88</v>
      </c>
      <c r="J10" s="66">
        <f>'CONSOLIDADO_TOTAL RECAUDO'!J105</f>
        <v>-4289876341.3299999</v>
      </c>
      <c r="K10" s="31">
        <f t="shared" ref="K10:K13" si="0">D10-E10-F10-G10-H10-I10-J10</f>
        <v>15747730624.23</v>
      </c>
      <c r="L10" s="66">
        <f>'CONSOLIDADO_TOTAL RECAUDO'!L105</f>
        <v>266580256</v>
      </c>
      <c r="M10" s="31">
        <f>K10-L10</f>
        <v>15481150368.23</v>
      </c>
      <c r="N10" s="66">
        <f>'CONSOLIDADO_TOTAL RECAUDO'!N105</f>
        <v>65704058.960000001</v>
      </c>
      <c r="O10" s="31">
        <f t="shared" ref="O10:O13" si="1">M10+N10</f>
        <v>15546854427.189999</v>
      </c>
      <c r="Q10" s="4"/>
      <c r="S10" s="16">
        <v>2</v>
      </c>
      <c r="T10" s="62" t="s">
        <v>11</v>
      </c>
      <c r="U10" s="66">
        <f>'CONSOLIDADO_TOTAL RECAUDO'!U105</f>
        <v>1986761437.4799998</v>
      </c>
      <c r="V10" s="66">
        <f>'CONSOLIDADO_TOTAL RECAUDO'!V105</f>
        <v>1985678430.6599996</v>
      </c>
      <c r="W10" s="66">
        <f>'CONSOLIDADO_TOTAL RECAUDO'!W105</f>
        <v>9338907055.3199997</v>
      </c>
      <c r="X10" s="66">
        <f>'CONSOLIDADO_TOTAL RECAUDO'!X105</f>
        <v>3272393486.6599998</v>
      </c>
      <c r="Y10" s="66">
        <f>'CONSOLIDADO_TOTAL RECAUDO'!Y105</f>
        <v>369457336.91999996</v>
      </c>
      <c r="Z10" s="66">
        <f>'CONSOLIDADO_TOTAL RECAUDO'!Z105</f>
        <v>-266580256</v>
      </c>
      <c r="AA10" s="66">
        <f>'CONSOLIDADO_TOTAL RECAUDO'!AA105</f>
        <v>-219458.4</v>
      </c>
      <c r="AB10" s="66">
        <f>'CONSOLIDADO_TOTAL RECAUDO'!AB105</f>
        <v>65704058.960000001</v>
      </c>
      <c r="AC10" s="66">
        <f>'CONSOLIDADO_TOTAL RECAUDO'!AC105</f>
        <v>39.319999999999993</v>
      </c>
      <c r="AD10" s="66">
        <f>'CONSOLIDADO_TOTAL RECAUDO'!AD105</f>
        <v>-1205247703.7299995</v>
      </c>
      <c r="AE10" s="66">
        <f>'CONSOLIDADO_TOTAL RECAUDO'!AE105</f>
        <v>-5495124045.0599995</v>
      </c>
      <c r="AF10" s="70">
        <f>SUM(U10:AD10)</f>
        <v>15546854427.189999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16369059895.669998</v>
      </c>
      <c r="E11" s="66">
        <f>'CONSOLIDADO_TOTAL RECAUDO'!E106</f>
        <v>1145520725.3200004</v>
      </c>
      <c r="F11" s="66">
        <f>'CONSOLIDADO_TOTAL RECAUDO'!F106</f>
        <v>645908031.8599999</v>
      </c>
      <c r="G11" s="66">
        <f>'CONSOLIDADO_TOTAL RECAUDO'!G106</f>
        <v>339211946.35000008</v>
      </c>
      <c r="H11" s="66">
        <f>'CONSOLIDADO_TOTAL RECAUDO'!H106</f>
        <v>4563959120.4000006</v>
      </c>
      <c r="I11" s="66">
        <f>'CONSOLIDADO_TOTAL RECAUDO'!I106</f>
        <v>127453979.18000001</v>
      </c>
      <c r="J11" s="66">
        <f>'CONSOLIDADO_TOTAL RECAUDO'!J106</f>
        <v>-829262233.29999995</v>
      </c>
      <c r="K11" s="31">
        <f t="shared" si="0"/>
        <v>10376268325.859997</v>
      </c>
      <c r="L11" s="66">
        <f>'CONSOLIDADO_TOTAL RECAUDO'!L106</f>
        <v>154788536</v>
      </c>
      <c r="M11" s="31">
        <f>K11-L11</f>
        <v>10221479789.859997</v>
      </c>
      <c r="N11" s="66">
        <f>'CONSOLIDADO_TOTAL RECAUDO'!N106</f>
        <v>37498085.219999999</v>
      </c>
      <c r="O11" s="31">
        <f t="shared" si="1"/>
        <v>10258977875.079996</v>
      </c>
      <c r="Q11" s="4"/>
      <c r="S11" s="16">
        <v>3</v>
      </c>
      <c r="T11" s="62" t="s">
        <v>12</v>
      </c>
      <c r="U11" s="66">
        <f>'CONSOLIDADO_TOTAL RECAUDO'!U106</f>
        <v>1117391043.0799999</v>
      </c>
      <c r="V11" s="66">
        <f>'CONSOLIDADO_TOTAL RECAUDO'!V106</f>
        <v>1090408147.53</v>
      </c>
      <c r="W11" s="66">
        <f>'CONSOLIDADO_TOTAL RECAUDO'!W106</f>
        <v>5154604764.5500002</v>
      </c>
      <c r="X11" s="66">
        <f>'CONSOLIDADO_TOTAL RECAUDO'!X106</f>
        <v>2710625411.7800002</v>
      </c>
      <c r="Y11" s="66">
        <f>'CONSOLIDADO_TOTAL RECAUDO'!Y106</f>
        <v>207908536.91</v>
      </c>
      <c r="Z11" s="66">
        <f>'CONSOLIDADO_TOTAL RECAUDO'!Z106</f>
        <v>-154788536</v>
      </c>
      <c r="AA11" s="66">
        <f>'CONSOLIDADO_TOTAL RECAUDO'!AA106</f>
        <v>116539.55</v>
      </c>
      <c r="AB11" s="66">
        <f>'CONSOLIDADO_TOTAL RECAUDO'!AB106</f>
        <v>37498085.219999999</v>
      </c>
      <c r="AC11" s="66">
        <f>'CONSOLIDADO_TOTAL RECAUDO'!AC106</f>
        <v>-3973599.15</v>
      </c>
      <c r="AD11" s="66">
        <f>'CONSOLIDADO_TOTAL RECAUDO'!AD106</f>
        <v>99187481.609999895</v>
      </c>
      <c r="AE11" s="66">
        <f>'CONSOLIDADO_TOTAL RECAUDO'!AE106</f>
        <v>-730074751.69000006</v>
      </c>
      <c r="AF11" s="70">
        <f>SUM(U11:AD11)</f>
        <v>10258977875.08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8372092112.4700003</v>
      </c>
      <c r="E12" s="66">
        <f>'CONSOLIDADO_TOTAL RECAUDO'!E107</f>
        <v>519799229.63</v>
      </c>
      <c r="F12" s="66">
        <f>'CONSOLIDADO_TOTAL RECAUDO'!F107</f>
        <v>291481364.64000005</v>
      </c>
      <c r="G12" s="66">
        <f>'CONSOLIDADO_TOTAL RECAUDO'!G107</f>
        <v>153357453.93000001</v>
      </c>
      <c r="H12" s="66">
        <f>'CONSOLIDADO_TOTAL RECAUDO'!H107</f>
        <v>2114189448.1400001</v>
      </c>
      <c r="I12" s="66">
        <f>'CONSOLIDADO_TOTAL RECAUDO'!I107</f>
        <v>73261229.62000002</v>
      </c>
      <c r="J12" s="66">
        <f>'CONSOLIDADO_TOTAL RECAUDO'!J107</f>
        <v>-706235925.21000028</v>
      </c>
      <c r="K12" s="31">
        <f t="shared" si="0"/>
        <v>5926239311.7199993</v>
      </c>
      <c r="L12" s="66">
        <f>'CONSOLIDADO_TOTAL RECAUDO'!L107</f>
        <v>120391083</v>
      </c>
      <c r="M12" s="31">
        <f>K12-L12</f>
        <v>5805848228.7199993</v>
      </c>
      <c r="N12" s="66">
        <f>'CONSOLIDADO_TOTAL RECAUDO'!N107</f>
        <v>11313241.9</v>
      </c>
      <c r="O12" s="31">
        <f t="shared" si="1"/>
        <v>5817161470.6199989</v>
      </c>
      <c r="Q12" s="4"/>
      <c r="S12" s="16">
        <v>4</v>
      </c>
      <c r="T12" s="62" t="s">
        <v>13</v>
      </c>
      <c r="U12" s="66">
        <f>'CONSOLIDADO_TOTAL RECAUDO'!U107</f>
        <v>642180797.91000009</v>
      </c>
      <c r="V12" s="66">
        <f>'CONSOLIDADO_TOTAL RECAUDO'!V107</f>
        <v>635298381.06999993</v>
      </c>
      <c r="W12" s="66">
        <f>'CONSOLIDADO_TOTAL RECAUDO'!W107</f>
        <v>3214416091.1900001</v>
      </c>
      <c r="X12" s="66">
        <f>'CONSOLIDADO_TOTAL RECAUDO'!X107</f>
        <v>1378184760.5799999</v>
      </c>
      <c r="Y12" s="66">
        <f>'CONSOLIDADO_TOTAL RECAUDO'!Y107</f>
        <v>119211235.36999999</v>
      </c>
      <c r="Z12" s="66">
        <f>'CONSOLIDADO_TOTAL RECAUDO'!Z107</f>
        <v>-120391083</v>
      </c>
      <c r="AA12" s="66">
        <f>'CONSOLIDADO_TOTAL RECAUDO'!AA107</f>
        <v>-12302.84</v>
      </c>
      <c r="AB12" s="66">
        <f>'CONSOLIDADO_TOTAL RECAUDO'!AB107</f>
        <v>11313241.9</v>
      </c>
      <c r="AC12" s="66">
        <f>'CONSOLIDADO_TOTAL RECAUDO'!AC107</f>
        <v>196.87</v>
      </c>
      <c r="AD12" s="66">
        <f>'CONSOLIDADO_TOTAL RECAUDO'!AD107</f>
        <v>-63039848.429999828</v>
      </c>
      <c r="AE12" s="66">
        <f>'CONSOLIDADO_TOTAL RECAUDO'!AE107</f>
        <v>-769275773.6400001</v>
      </c>
      <c r="AF12" s="70">
        <f>SUM(U12:AD12)</f>
        <v>5817161470.6199989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12137660178.170002</v>
      </c>
      <c r="E13" s="66">
        <f>'CONSOLIDADO_TOTAL RECAUDO'!E108</f>
        <v>725409163.9000001</v>
      </c>
      <c r="F13" s="66">
        <f>'CONSOLIDADO_TOTAL RECAUDO'!F108</f>
        <v>408227723.78999996</v>
      </c>
      <c r="G13" s="66">
        <f>'CONSOLIDADO_TOTAL RECAUDO'!G108</f>
        <v>214644413.42000002</v>
      </c>
      <c r="H13" s="66">
        <f>'CONSOLIDADO_TOTAL RECAUDO'!H108</f>
        <v>3009772460.46</v>
      </c>
      <c r="I13" s="66">
        <f>'CONSOLIDADO_TOTAL RECAUDO'!I108</f>
        <v>109522048.66000001</v>
      </c>
      <c r="J13" s="66">
        <f>'CONSOLIDADO_TOTAL RECAUDO'!J108</f>
        <v>-23403941.309999943</v>
      </c>
      <c r="K13" s="31">
        <f t="shared" si="0"/>
        <v>7693488309.2500038</v>
      </c>
      <c r="L13" s="66">
        <f>'CONSOLIDADO_TOTAL RECAUDO'!L108</f>
        <v>128990446</v>
      </c>
      <c r="M13" s="40">
        <f>K13-L13</f>
        <v>7564497863.2500038</v>
      </c>
      <c r="N13" s="66">
        <f>'CONSOLIDADO_TOTAL RECAUDO'!N108</f>
        <v>11174580.140000001</v>
      </c>
      <c r="O13" s="40">
        <f t="shared" si="1"/>
        <v>7575672443.3900042</v>
      </c>
      <c r="Q13" s="4"/>
      <c r="S13" s="19">
        <v>5</v>
      </c>
      <c r="T13" s="63" t="s">
        <v>14</v>
      </c>
      <c r="U13" s="66">
        <f>'CONSOLIDADO_TOTAL RECAUDO'!U108</f>
        <v>959806849.63999999</v>
      </c>
      <c r="V13" s="66">
        <f>'CONSOLIDADO_TOTAL RECAUDO'!V108</f>
        <v>932280571.95999992</v>
      </c>
      <c r="W13" s="66">
        <f>'CONSOLIDADO_TOTAL RECAUDO'!W108</f>
        <v>4834478372.460001</v>
      </c>
      <c r="X13" s="66">
        <f>'CONSOLIDADO_TOTAL RECAUDO'!X108</f>
        <v>2192889840.5</v>
      </c>
      <c r="Y13" s="66">
        <f>'CONSOLIDADO_TOTAL RECAUDO'!Y108</f>
        <v>178678957.13999999</v>
      </c>
      <c r="Z13" s="66">
        <f>'CONSOLIDADO_TOTAL RECAUDO'!Z108</f>
        <v>-128990446</v>
      </c>
      <c r="AA13" s="66">
        <f>'CONSOLIDADO_TOTAL RECAUDO'!AA108</f>
        <v>-105938.44</v>
      </c>
      <c r="AB13" s="66">
        <f>'CONSOLIDADO_TOTAL RECAUDO'!AB108</f>
        <v>11174580.140000001</v>
      </c>
      <c r="AC13" s="66">
        <f>'CONSOLIDADO_TOTAL RECAUDO'!AC108</f>
        <v>-29.2</v>
      </c>
      <c r="AD13" s="66">
        <f>'CONSOLIDADO_TOTAL RECAUDO'!AD108</f>
        <v>-1404540314.8099999</v>
      </c>
      <c r="AE13" s="66">
        <f>'CONSOLIDADO_TOTAL RECAUDO'!AE108</f>
        <v>-1427944256.1199999</v>
      </c>
      <c r="AF13" s="70">
        <f>SUM(U13:AD13)</f>
        <v>7575672443.3899994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76857351164.970001</v>
      </c>
      <c r="E14" s="43">
        <f t="shared" si="3"/>
        <v>5036465087.5300007</v>
      </c>
      <c r="F14" s="43">
        <f t="shared" si="3"/>
        <v>2827616426.8099999</v>
      </c>
      <c r="G14" s="43">
        <f t="shared" si="3"/>
        <v>1483153631.0700002</v>
      </c>
      <c r="H14" s="43">
        <f t="shared" si="3"/>
        <v>20725419084.91</v>
      </c>
      <c r="I14" s="43">
        <f t="shared" si="3"/>
        <v>693768844.53999996</v>
      </c>
      <c r="J14" s="43">
        <f t="shared" si="3"/>
        <v>-9458992190.4200001</v>
      </c>
      <c r="K14" s="32">
        <f t="shared" si="3"/>
        <v>55549920280.529999</v>
      </c>
      <c r="L14" s="23">
        <f t="shared" si="3"/>
        <v>859936309</v>
      </c>
      <c r="M14" s="76">
        <f t="shared" si="3"/>
        <v>54689983971.529999</v>
      </c>
      <c r="N14" s="23">
        <f t="shared" si="3"/>
        <v>162859726.46000004</v>
      </c>
      <c r="O14" s="76">
        <f t="shared" si="3"/>
        <v>54852843697.989998</v>
      </c>
      <c r="P14" s="2"/>
      <c r="Q14" s="4"/>
      <c r="S14" s="21"/>
      <c r="T14" s="22" t="s">
        <v>2</v>
      </c>
      <c r="U14" s="43">
        <f>SUM(U9:U13)</f>
        <v>6088174353.0900002</v>
      </c>
      <c r="V14" s="43">
        <f t="shared" ref="V14:AG14" si="4">SUM(V9:V13)</f>
        <v>5961369629.3899994</v>
      </c>
      <c r="W14" s="43">
        <f t="shared" si="4"/>
        <v>28773694708.360001</v>
      </c>
      <c r="X14" s="43">
        <f t="shared" si="4"/>
        <v>12218396971.220001</v>
      </c>
      <c r="Y14" s="43">
        <f t="shared" si="4"/>
        <v>1131621242.1299999</v>
      </c>
      <c r="Z14" s="43">
        <f t="shared" si="4"/>
        <v>-859936309</v>
      </c>
      <c r="AA14" s="43">
        <f t="shared" si="4"/>
        <v>-149569.52999999997</v>
      </c>
      <c r="AB14" s="43">
        <f t="shared" si="4"/>
        <v>162859726.46000004</v>
      </c>
      <c r="AC14" s="43">
        <f t="shared" si="4"/>
        <v>-3973197.81</v>
      </c>
      <c r="AD14" s="43">
        <f t="shared" ref="AD14" si="5">SUM(AD9:AD13)</f>
        <v>1380786143.6800013</v>
      </c>
      <c r="AE14" s="43">
        <f>SUM(AE9:AE13)</f>
        <v>-8078206046.7399998</v>
      </c>
      <c r="AF14" s="68">
        <f t="shared" si="4"/>
        <v>54852843697.990005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54173256904.189995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46250</v>
      </c>
      <c r="J27" s="2" t="s">
        <v>28</v>
      </c>
      <c r="K27" s="9">
        <f>'CONSOLIDADO_TOTAL RECAUDO'!K122</f>
        <v>46265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60357214.480000004</v>
      </c>
      <c r="E30" s="111">
        <f>'CONSOLIDADO_TOTAL RECAUDO'!E125</f>
        <v>0</v>
      </c>
      <c r="G30" s="140">
        <f>'CONSOLIDADO_TOTAL RECAUDO'!G125</f>
        <v>63570</v>
      </c>
      <c r="H30" s="110">
        <f>'CONSOLIDADO_TOTAL RECAUDO'!H125</f>
        <v>79505843.86999999</v>
      </c>
      <c r="I30" s="111">
        <f>'CONSOLIDADO_TOTAL RECAUDO'!I125</f>
        <v>806955.98</v>
      </c>
      <c r="J30" s="111">
        <f>'CONSOLIDADO_TOTAL RECAUDO'!J125</f>
        <v>-73090</v>
      </c>
      <c r="K30" s="111">
        <f>'CONSOLIDADO_TOTAL RECAUDO'!K125</f>
        <v>76340</v>
      </c>
      <c r="L30" s="111">
        <f>'CONSOLIDADO_TOTAL RECAUDO'!L125</f>
        <v>66820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189766707.22</v>
      </c>
      <c r="E31" s="74">
        <f>'CONSOLIDADO_TOTAL RECAUDO'!E126</f>
        <v>0</v>
      </c>
      <c r="G31" s="82">
        <f>'CONSOLIDADO_TOTAL RECAUDO'!G126</f>
        <v>221630</v>
      </c>
      <c r="H31" s="18">
        <f>'CONSOLIDADO_TOTAL RECAUDO'!H126</f>
        <v>148193467.34999999</v>
      </c>
      <c r="I31" s="83">
        <f>'CONSOLIDADO_TOTAL RECAUDO'!I126</f>
        <v>506855.36</v>
      </c>
      <c r="J31" s="83">
        <f>'CONSOLIDADO_TOTAL RECAUDO'!J126</f>
        <v>-13472482</v>
      </c>
      <c r="K31" s="83">
        <f>'CONSOLIDADO_TOTAL RECAUDO'!K126</f>
        <v>2593540</v>
      </c>
      <c r="L31" s="83">
        <f>'CONSOLIDADO_TOTAL RECAUDO'!L126</f>
        <v>79350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31138071.23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27963601.280000001</v>
      </c>
      <c r="I32" s="83">
        <f>'CONSOLIDADO_TOTAL RECAUDO'!I127</f>
        <v>118874.84</v>
      </c>
      <c r="J32" s="83">
        <f>'CONSOLIDADO_TOTAL RECAUDO'!J127</f>
        <v>-4617354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99417988.460000008</v>
      </c>
      <c r="E33" s="74">
        <f>'CONSOLIDADO_TOTAL RECAUDO'!E128</f>
        <v>0</v>
      </c>
      <c r="G33" s="82">
        <f>'CONSOLIDADO_TOTAL RECAUDO'!G128</f>
        <v>4030410</v>
      </c>
      <c r="H33" s="18">
        <f>'CONSOLIDADO_TOTAL RECAUDO'!H128</f>
        <v>111213700.35000001</v>
      </c>
      <c r="I33" s="83">
        <f>'CONSOLIDADO_TOTAL RECAUDO'!I128</f>
        <v>318314.48</v>
      </c>
      <c r="J33" s="83">
        <f>'CONSOLIDADO_TOTAL RECAUDO'!J128</f>
        <v>-15663330</v>
      </c>
      <c r="K33" s="83">
        <f>'CONSOLIDADO_TOTAL RECAUDO'!K128</f>
        <v>8227070</v>
      </c>
      <c r="L33" s="83">
        <f>'CONSOLIDADO_TOTAL RECAUDO'!L128</f>
        <v>36570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39219856</v>
      </c>
      <c r="E34" s="139">
        <f>'CONSOLIDADO_TOTAL RECAUDO'!E129</f>
        <v>0</v>
      </c>
      <c r="G34" s="82">
        <f>'CONSOLIDADO_TOTAL RECAUDO'!G129</f>
        <v>1249810</v>
      </c>
      <c r="H34" s="18">
        <f>'CONSOLIDADO_TOTAL RECAUDO'!H129</f>
        <v>35818954.960000001</v>
      </c>
      <c r="I34" s="83">
        <f>'CONSOLIDADO_TOTAL RECAUDO'!I129</f>
        <v>0</v>
      </c>
      <c r="J34" s="83">
        <f>'CONSOLIDADO_TOTAL RECAUDO'!J129</f>
        <v>-4011371.65</v>
      </c>
      <c r="K34" s="83">
        <f>'CONSOLIDADO_TOTAL RECAUDO'!K129</f>
        <v>2298610</v>
      </c>
      <c r="L34" s="83">
        <f>'CONSOLIDADO_TOTAL RECAUDO'!L129</f>
        <v>1057608.3500000001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419899837.38999999</v>
      </c>
      <c r="E36" s="107">
        <f>'CONSOLIDADO_TOTAL RECAUDO'!E131</f>
        <v>0</v>
      </c>
      <c r="F36" s="45"/>
      <c r="G36" s="107">
        <f t="shared" ref="G36" si="7">SUM(G30:G34)</f>
        <v>5565420</v>
      </c>
      <c r="H36" s="107">
        <f t="shared" ref="H36:L36" si="8">SUM(H30:H34)</f>
        <v>402695567.80999994</v>
      </c>
      <c r="I36" s="107">
        <f t="shared" si="8"/>
        <v>1751000.66</v>
      </c>
      <c r="J36" s="107">
        <f t="shared" ref="J36" si="9">SUM(J30:J34)</f>
        <v>-37837627.649999999</v>
      </c>
      <c r="K36" s="107">
        <f t="shared" si="8"/>
        <v>13195560</v>
      </c>
      <c r="L36" s="107">
        <f t="shared" si="8"/>
        <v>1240348.3500000001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6" zoomScaleNormal="100" workbookViewId="0">
      <selection activeCell="D109" sqref="D109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77734375" style="1" customWidth="1"/>
    <col min="13" max="13" width="18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R1'!F55</f>
        <v>0</v>
      </c>
      <c r="E9" s="292">
        <f>'Reporte Componentes R1'!G55</f>
        <v>0</v>
      </c>
      <c r="F9" s="292">
        <f>'Reporte Componentes R1'!H55</f>
        <v>0</v>
      </c>
      <c r="G9" s="292">
        <f>'Reporte Componentes R1'!I55</f>
        <v>0</v>
      </c>
      <c r="H9" s="292">
        <f>'Reporte Componentes R1'!J55</f>
        <v>0</v>
      </c>
      <c r="I9" s="292">
        <f>'Reporte Componentes R1'!K55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R1'!L55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R1'!M55</f>
        <v>0</v>
      </c>
      <c r="V9" s="308">
        <f>'Reporte Componentes R1'!N55</f>
        <v>0</v>
      </c>
      <c r="W9" s="308">
        <f>'Reporte Componentes R1'!O55</f>
        <v>0</v>
      </c>
      <c r="X9" s="308">
        <f>'Reporte Componentes R1'!P55</f>
        <v>0</v>
      </c>
      <c r="Y9" s="309">
        <f>'Reporte Componentes R1'!Q55</f>
        <v>0</v>
      </c>
      <c r="Z9" s="310">
        <f>L9*-1</f>
        <v>0</v>
      </c>
      <c r="AA9" s="311">
        <f>'Reporte Componentes R1'!R55+'Reporte Componentes R1'!V55+'Reporte Componentes R1'!U55</f>
        <v>0</v>
      </c>
      <c r="AB9" s="294">
        <f>N9</f>
        <v>0</v>
      </c>
      <c r="AC9" s="311">
        <f>'Reporte Componentes R1'!T55+'Reporte Componentes R1'!W55+'Reporte Componentes R1'!X55+'Reporte Componentes R1'!Y55+'Reporte Componentes R1'!Z55+'Reporte Componentes R1'!S55</f>
        <v>0</v>
      </c>
      <c r="AD9" s="291">
        <f>-J9+AE9</f>
        <v>0</v>
      </c>
      <c r="AE9" s="291">
        <f>'Reporte Componentes R1'!F56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R1'!F199</f>
        <v>9350210</v>
      </c>
      <c r="E10" s="292">
        <f>'Reporte Componentes R1'!G199</f>
        <v>674298.87</v>
      </c>
      <c r="F10" s="292">
        <f>'Reporte Componentes R1'!H199</f>
        <v>363283.8</v>
      </c>
      <c r="G10" s="292">
        <f>'Reporte Componentes R1'!I199</f>
        <v>198423.45</v>
      </c>
      <c r="H10" s="292">
        <f>'Reporte Componentes R1'!J199</f>
        <v>2854188.37</v>
      </c>
      <c r="I10" s="292">
        <f>'Reporte Componentes R1'!K199</f>
        <v>93554.43</v>
      </c>
      <c r="J10" s="288">
        <v>0</v>
      </c>
      <c r="K10" s="295">
        <f t="shared" ref="K10:K13" si="0">D10-E10-F10-G10-H10-I10-J10</f>
        <v>5166461.080000001</v>
      </c>
      <c r="L10" s="294">
        <v>0</v>
      </c>
      <c r="M10" s="295">
        <f>K10-L10</f>
        <v>5166461.080000001</v>
      </c>
      <c r="N10" s="294">
        <f>'Reporte Componentes R1'!L199</f>
        <v>0</v>
      </c>
      <c r="O10" s="295">
        <f t="shared" ref="O10:O12" si="1">M10+N10</f>
        <v>5166461.080000001</v>
      </c>
      <c r="Q10" s="306"/>
      <c r="S10" s="314">
        <v>2</v>
      </c>
      <c r="T10" s="315" t="s">
        <v>11</v>
      </c>
      <c r="U10" s="316">
        <f>'Reporte Componentes R1'!M199</f>
        <v>827663.97</v>
      </c>
      <c r="V10" s="317">
        <f>'Reporte Componentes R1'!N199</f>
        <v>868510.13</v>
      </c>
      <c r="W10" s="317">
        <f>'Reporte Componentes R1'!O199</f>
        <v>4110292.67</v>
      </c>
      <c r="X10" s="317">
        <f>'Reporte Componentes R1'!P199</f>
        <v>1339659.1100000001</v>
      </c>
      <c r="Y10" s="318">
        <f>'Reporte Componentes R1'!Q199</f>
        <v>155210.39000000001</v>
      </c>
      <c r="Z10" s="319">
        <f>L10*-1</f>
        <v>0</v>
      </c>
      <c r="AA10" s="320">
        <f>'Reporte Componentes R1'!R199+'Reporte Componentes R1'!V199+'Reporte Componentes R1'!U199</f>
        <v>-47.74</v>
      </c>
      <c r="AB10" s="294">
        <f>N10</f>
        <v>0</v>
      </c>
      <c r="AC10" s="320">
        <f>'Reporte Componentes R1'!T199+'Reporte Componentes R1'!W199+'Reporte Componentes R1'!X199+'Reporte Componentes R1'!Y199+'Reporte Componentes R1'!Z199++'Reporte Componentes R1'!S199</f>
        <v>-0.12</v>
      </c>
      <c r="AD10" s="291">
        <f t="shared" ref="AD10:AD13" si="2">-J10+AE10</f>
        <v>-2134827.33</v>
      </c>
      <c r="AE10" s="291">
        <f>'Reporte Componentes R1'!F200</f>
        <v>-2134827.33</v>
      </c>
      <c r="AF10" s="322">
        <f>SUM(U10:AD10)</f>
        <v>5166461.0799999991</v>
      </c>
      <c r="AG10" s="522">
        <f>(AF10-O10)</f>
        <v>-1.862645149230957E-9</v>
      </c>
      <c r="AH10" s="1" t="b">
        <f t="shared" ref="AH10:AH14" si="3">INT(AG10)=0</f>
        <v>0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R1'!F330</f>
        <v>0</v>
      </c>
      <c r="E11" s="292">
        <f>'Reporte Componentes R1'!G330</f>
        <v>0</v>
      </c>
      <c r="F11" s="292">
        <f>'Reporte Componentes R1'!H330</f>
        <v>0</v>
      </c>
      <c r="G11" s="292">
        <f>'Reporte Componentes R1'!I330</f>
        <v>0</v>
      </c>
      <c r="H11" s="292">
        <f>'Reporte Componentes R1'!J330</f>
        <v>0</v>
      </c>
      <c r="I11" s="292">
        <f>'Reporte Componentes R1'!K330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R1'!M330</f>
        <v>0</v>
      </c>
      <c r="V11" s="317">
        <f>'Reporte Componentes R1'!N330</f>
        <v>0</v>
      </c>
      <c r="W11" s="317">
        <f>'Reporte Componentes R1'!O330</f>
        <v>0</v>
      </c>
      <c r="X11" s="317">
        <f>'Reporte Componentes R1'!P330</f>
        <v>0</v>
      </c>
      <c r="Y11" s="318">
        <f>'Reporte Componentes R1'!Q330</f>
        <v>0</v>
      </c>
      <c r="Z11" s="319">
        <f>L11*-1</f>
        <v>0</v>
      </c>
      <c r="AA11" s="320">
        <f>'Reporte Componentes R1'!R330+'Reporte Componentes R1'!V330+'Reporte Componentes R1'!U330</f>
        <v>0</v>
      </c>
      <c r="AB11" s="294">
        <f>N11</f>
        <v>0</v>
      </c>
      <c r="AC11" s="320">
        <f>'Reporte Componentes R1'!T330+'Reporte Componentes R1'!W330+'Reporte Componentes R1'!X330+'Reporte Componentes R1'!Y330+'Reporte Componentes R1'!Z330++'Reporte Componentes R1'!S330</f>
        <v>0</v>
      </c>
      <c r="AD11" s="291">
        <f t="shared" si="2"/>
        <v>0</v>
      </c>
      <c r="AE11" s="291">
        <f>'Reporte Componentes R1'!F331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R1'!F461</f>
        <v>4363050</v>
      </c>
      <c r="E12" s="292">
        <f>'Reporte Componentes R1'!G461</f>
        <v>230841.65</v>
      </c>
      <c r="F12" s="292">
        <f>'Reporte Componentes R1'!H461</f>
        <v>124285.63</v>
      </c>
      <c r="G12" s="292">
        <f>'Reporte Componentes R1'!I461</f>
        <v>67258.31</v>
      </c>
      <c r="H12" s="292">
        <f>'Reporte Componentes R1'!J461</f>
        <v>867058.94</v>
      </c>
      <c r="I12" s="292">
        <f>'Reporte Componentes R1'!K461</f>
        <v>32277.11</v>
      </c>
      <c r="J12" s="288">
        <v>0</v>
      </c>
      <c r="K12" s="295">
        <f t="shared" si="0"/>
        <v>3041328.3600000003</v>
      </c>
      <c r="L12" s="294">
        <v>0</v>
      </c>
      <c r="M12" s="295">
        <f>K12-L12</f>
        <v>3041328.3600000003</v>
      </c>
      <c r="N12" s="294">
        <f>'Reporte Componentes R1'!L461</f>
        <v>0</v>
      </c>
      <c r="O12" s="295">
        <f t="shared" si="1"/>
        <v>3041328.3600000003</v>
      </c>
      <c r="Q12" s="306"/>
      <c r="S12" s="314">
        <v>4</v>
      </c>
      <c r="T12" s="315" t="s">
        <v>13</v>
      </c>
      <c r="U12" s="316">
        <f>'Reporte Componentes R1'!M461</f>
        <v>284231</v>
      </c>
      <c r="V12" s="317">
        <f>'Reporte Componentes R1'!N461</f>
        <v>296649.74</v>
      </c>
      <c r="W12" s="317">
        <f>'Reporte Componentes R1'!O461</f>
        <v>1497455.27</v>
      </c>
      <c r="X12" s="317">
        <f>'Reporte Componentes R1'!P461</f>
        <v>616044.74</v>
      </c>
      <c r="Y12" s="318">
        <f>'Reporte Componentes R1'!Q461</f>
        <v>52678.34</v>
      </c>
      <c r="Z12" s="319">
        <f>L12*-1</f>
        <v>0</v>
      </c>
      <c r="AA12" s="320">
        <f>'Reporte Componentes R1'!R461+'Reporte Componentes R1'!V461+'Reporte Componentes R1'!U461</f>
        <v>1.42</v>
      </c>
      <c r="AB12" s="294">
        <f>N12</f>
        <v>0</v>
      </c>
      <c r="AC12" s="320">
        <f>'Reporte Componentes R1'!T461+'Reporte Componentes R1'!W461+'Reporte Componentes R1'!X461+'Reporte Componentes R1'!Y461+'Reporte Componentes R1'!Z461++'Reporte Componentes R1'!S461</f>
        <v>0</v>
      </c>
      <c r="AD12" s="291">
        <f t="shared" si="2"/>
        <v>294267.84999999998</v>
      </c>
      <c r="AE12" s="291">
        <f>'Reporte Componentes R1'!F462</f>
        <v>294267.84999999998</v>
      </c>
      <c r="AF12" s="322">
        <f t="shared" si="4"/>
        <v>3041328.36</v>
      </c>
      <c r="AG12" s="522">
        <f>(AF12-O12)</f>
        <v>-4.6566128730773926E-10</v>
      </c>
      <c r="AH12" s="1" t="b">
        <f t="shared" si="3"/>
        <v>0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R1'!F559</f>
        <v>0</v>
      </c>
      <c r="E13" s="297">
        <f>'Reporte Componentes R1'!G559</f>
        <v>0</v>
      </c>
      <c r="F13" s="297">
        <f>'Reporte Componentes R1'!H559</f>
        <v>0</v>
      </c>
      <c r="G13" s="297">
        <f>'Reporte Componentes R1'!I559</f>
        <v>0</v>
      </c>
      <c r="H13" s="297">
        <f>'Reporte Componentes R1'!J559</f>
        <v>0</v>
      </c>
      <c r="I13" s="297">
        <f>'Reporte Componentes R1'!K559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R1'!L559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R1'!M559</f>
        <v>0</v>
      </c>
      <c r="V13" s="297">
        <f>'Reporte Componentes R1'!N559</f>
        <v>0</v>
      </c>
      <c r="W13" s="297">
        <f>'Reporte Componentes R1'!O559</f>
        <v>0</v>
      </c>
      <c r="X13" s="297">
        <f>'Reporte Componentes R1'!P559</f>
        <v>0</v>
      </c>
      <c r="Y13" s="289">
        <f>'Reporte Componentes R1'!Q559</f>
        <v>0</v>
      </c>
      <c r="Z13" s="319">
        <f>L13*-1</f>
        <v>0</v>
      </c>
      <c r="AA13" s="320">
        <f>'Reporte Componentes R1'!R559+'Reporte Componentes R1'!V559+'Reporte Componentes R1'!U559</f>
        <v>0</v>
      </c>
      <c r="AB13" s="294">
        <f>N13</f>
        <v>0</v>
      </c>
      <c r="AC13" s="320">
        <f>'Reporte Componentes R1'!T559+'Reporte Componentes R1'!W559+'Reporte Componentes R1'!X559+'Reporte Componentes R1'!Y559+'Reporte Componentes R1'!Z559+'Reporte Componentes R1'!S559</f>
        <v>0</v>
      </c>
      <c r="AD13" s="291">
        <f t="shared" si="2"/>
        <v>0</v>
      </c>
      <c r="AE13" s="291">
        <f>'Reporte Componentes R1'!F560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13713260</v>
      </c>
      <c r="E14" s="290">
        <f t="shared" ref="E14:O14" si="5">SUM(E9:E13)</f>
        <v>905140.52</v>
      </c>
      <c r="F14" s="290">
        <f t="shared" si="5"/>
        <v>487569.43</v>
      </c>
      <c r="G14" s="290">
        <f t="shared" si="5"/>
        <v>265681.76</v>
      </c>
      <c r="H14" s="290">
        <f t="shared" si="5"/>
        <v>3721247.31</v>
      </c>
      <c r="I14" s="290">
        <f t="shared" si="5"/>
        <v>125831.54</v>
      </c>
      <c r="J14" s="290">
        <f t="shared" si="5"/>
        <v>0</v>
      </c>
      <c r="K14" s="300">
        <f t="shared" si="5"/>
        <v>8207789.4400000013</v>
      </c>
      <c r="L14" s="301">
        <f>SUM(L9:L13)</f>
        <v>0</v>
      </c>
      <c r="M14" s="302">
        <f t="shared" si="5"/>
        <v>8207789.4400000013</v>
      </c>
      <c r="N14" s="301">
        <f t="shared" si="5"/>
        <v>0</v>
      </c>
      <c r="O14" s="302">
        <f t="shared" si="5"/>
        <v>8207789.4400000013</v>
      </c>
      <c r="P14" s="329"/>
      <c r="Q14" s="306"/>
      <c r="S14" s="327"/>
      <c r="T14" s="328" t="s">
        <v>2</v>
      </c>
      <c r="U14" s="330">
        <f>SUM(U9:U13)</f>
        <v>1111894.97</v>
      </c>
      <c r="V14" s="330">
        <f t="shared" ref="V14:AF14" si="6">SUM(V9:V13)</f>
        <v>1165159.8700000001</v>
      </c>
      <c r="W14" s="330">
        <f t="shared" si="6"/>
        <v>5607747.9399999995</v>
      </c>
      <c r="X14" s="330">
        <f t="shared" si="6"/>
        <v>1955703.85</v>
      </c>
      <c r="Y14" s="330">
        <f t="shared" si="6"/>
        <v>207888.73</v>
      </c>
      <c r="Z14" s="290">
        <f t="shared" si="6"/>
        <v>0</v>
      </c>
      <c r="AA14" s="290">
        <f t="shared" si="6"/>
        <v>-46.32</v>
      </c>
      <c r="AB14" s="290">
        <f t="shared" si="6"/>
        <v>0</v>
      </c>
      <c r="AC14" s="290">
        <f t="shared" si="6"/>
        <v>-0.12</v>
      </c>
      <c r="AD14" s="290">
        <f>SUM(AD9:AD13)</f>
        <v>-1840559.48</v>
      </c>
      <c r="AE14" s="290">
        <f>SUM(AE9:AE13)</f>
        <v>-1840559.48</v>
      </c>
      <c r="AF14" s="331">
        <f t="shared" si="6"/>
        <v>8207789.4399999995</v>
      </c>
      <c r="AG14" s="524">
        <f>SUM(AG9:AG13)</f>
        <v>-2.3283064365386963E-9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10048395.359999999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R2'!E46</f>
        <v>0</v>
      </c>
      <c r="E28" s="292">
        <f>'Rem. Anticipos R2'!F46</f>
        <v>0</v>
      </c>
      <c r="F28" s="292">
        <f>'Rem. Anticipos R2'!G46</f>
        <v>0</v>
      </c>
      <c r="G28" s="292">
        <f>'Rem. Anticipos R2'!H46</f>
        <v>0</v>
      </c>
      <c r="H28" s="292">
        <f>'Rem. Anticipos R2'!I46</f>
        <v>0</v>
      </c>
      <c r="I28" s="292">
        <f>'Rem. Anticipos R2'!J46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R2'!L46</f>
        <v>0</v>
      </c>
      <c r="V28" s="308">
        <f>'Rem. Anticipos R2'!M46</f>
        <v>0</v>
      </c>
      <c r="W28" s="308">
        <f>'Rem. Anticipos R2'!N46</f>
        <v>0</v>
      </c>
      <c r="X28" s="308">
        <f>'Rem. Anticipos R2'!O46</f>
        <v>0</v>
      </c>
      <c r="Y28" s="309">
        <f>'Rem. Anticipos R2'!P46</f>
        <v>0</v>
      </c>
      <c r="Z28" s="310">
        <f>L28*-1</f>
        <v>0</v>
      </c>
      <c r="AA28" s="311">
        <f>'Rem. Anticipos R2'!Q46</f>
        <v>0</v>
      </c>
      <c r="AB28" s="294">
        <f>N28</f>
        <v>0</v>
      </c>
      <c r="AC28" s="311">
        <f>'Rem. Anticipos R2'!R46</f>
        <v>0</v>
      </c>
      <c r="AD28" s="291">
        <f>-J28+AE28</f>
        <v>0</v>
      </c>
      <c r="AE28" s="291">
        <f>'Rem. Anticipos R2'!E47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R2'!E143</f>
        <v>17903228.469999999</v>
      </c>
      <c r="E29" s="292">
        <f>'Rem. Anticipos R2'!F143</f>
        <v>1735175.53</v>
      </c>
      <c r="F29" s="292">
        <f>'Rem. Anticipos R2'!G143</f>
        <v>957641.01</v>
      </c>
      <c r="G29" s="292">
        <f>'Rem. Anticipos R2'!H143</f>
        <v>344928.16</v>
      </c>
      <c r="H29" s="292">
        <f>'Rem. Anticipos R2'!I143</f>
        <v>7915134.7000000002</v>
      </c>
      <c r="I29" s="292">
        <f>'Rem. Anticipos R2'!J143</f>
        <v>261759.29</v>
      </c>
      <c r="J29" s="288">
        <v>0</v>
      </c>
      <c r="K29" s="295">
        <f t="shared" ref="K29:K31" si="7">D29-E29-F29-G29-H29-I29-J29</f>
        <v>6688589.7799999993</v>
      </c>
      <c r="L29" s="294">
        <v>0</v>
      </c>
      <c r="M29" s="295">
        <f>K29-L29</f>
        <v>6688589.7799999993</v>
      </c>
      <c r="N29" s="294">
        <f>'Rem. Anticipos R2'!K143</f>
        <v>0</v>
      </c>
      <c r="O29" s="295">
        <f t="shared" ref="O29:O32" si="8">M29+N29</f>
        <v>6688589.7799999993</v>
      </c>
      <c r="Q29" s="306"/>
      <c r="S29" s="314">
        <v>2</v>
      </c>
      <c r="T29" s="315" t="s">
        <v>11</v>
      </c>
      <c r="U29" s="316">
        <f>'Rem. Anticipos R2'!L143</f>
        <v>2264502.37</v>
      </c>
      <c r="V29" s="317">
        <f>'Rem. Anticipos R2'!M143</f>
        <v>2280643.08</v>
      </c>
      <c r="W29" s="317">
        <f>'Rem. Anticipos R2'!N143</f>
        <v>8523032.7699999996</v>
      </c>
      <c r="X29" s="317">
        <f>'Rem. Anticipos R2'!O143</f>
        <v>3437376.95</v>
      </c>
      <c r="Y29" s="318">
        <f>'Rem. Anticipos R2'!P143</f>
        <v>310809.12</v>
      </c>
      <c r="Z29" s="319">
        <f>L29*-1</f>
        <v>0</v>
      </c>
      <c r="AA29" s="320">
        <f>'Rem. Anticipos R2'!Q143</f>
        <v>-20.43</v>
      </c>
      <c r="AB29" s="294">
        <f>N29</f>
        <v>0</v>
      </c>
      <c r="AC29" s="320">
        <f>'Rem. Anticipos R2'!R143</f>
        <v>0</v>
      </c>
      <c r="AD29" s="291">
        <f>-J29+AE29</f>
        <v>-10127754.08</v>
      </c>
      <c r="AE29" s="291">
        <f>'Rem. Anticipos R2'!E144</f>
        <v>-10127754.08</v>
      </c>
      <c r="AF29" s="322">
        <f>SUM(U29:AD29)</f>
        <v>6688589.7799999993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R2'!E260</f>
        <v>0</v>
      </c>
      <c r="E30" s="292">
        <f>'Rem. Anticipos R2'!F260</f>
        <v>0</v>
      </c>
      <c r="F30" s="292">
        <f>'Rem. Anticipos R2'!G260</f>
        <v>0</v>
      </c>
      <c r="G30" s="292">
        <f>'Rem. Anticipos R2'!H260</f>
        <v>0</v>
      </c>
      <c r="H30" s="292">
        <f>'Rem. Anticipos R2'!I260</f>
        <v>0</v>
      </c>
      <c r="I30" s="292">
        <f>'Rem. Anticipos R2'!J260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R2'!K260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R2'!L260</f>
        <v>0</v>
      </c>
      <c r="V30" s="317">
        <f>'Rem. Anticipos R2'!M260</f>
        <v>0</v>
      </c>
      <c r="W30" s="317">
        <f>'Rem. Anticipos R2'!N260</f>
        <v>0</v>
      </c>
      <c r="X30" s="317">
        <f>'Rem. Anticipos R2'!O260</f>
        <v>0</v>
      </c>
      <c r="Y30" s="318">
        <f>'Rem. Anticipos R2'!P260</f>
        <v>0</v>
      </c>
      <c r="Z30" s="319">
        <f>L30*-1</f>
        <v>0</v>
      </c>
      <c r="AA30" s="320">
        <f>'Rem. Anticipos R2'!Q260</f>
        <v>0</v>
      </c>
      <c r="AB30" s="294">
        <f>N30</f>
        <v>0</v>
      </c>
      <c r="AC30" s="320">
        <f>'Rem. Anticipos R2'!R260</f>
        <v>0</v>
      </c>
      <c r="AD30" s="291">
        <f t="shared" ref="AD30:AD32" si="10">-J30+AE30</f>
        <v>0</v>
      </c>
      <c r="AE30" s="291">
        <f>'Rem. Anticipos R2'!E261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R2'!E363</f>
        <v>17013703.73</v>
      </c>
      <c r="E31" s="292">
        <f>'Rem. Anticipos R2'!F363</f>
        <v>1158083.71</v>
      </c>
      <c r="F31" s="292">
        <f>'Rem. Anticipos R2'!G363</f>
        <v>646853.26</v>
      </c>
      <c r="G31" s="292">
        <f>'Rem. Anticipos R2'!H363</f>
        <v>248814.64</v>
      </c>
      <c r="H31" s="292">
        <f>'Rem. Anticipos R2'!I363</f>
        <v>4512127.5200000005</v>
      </c>
      <c r="I31" s="292">
        <f>'Rem. Anticipos R2'!J363</f>
        <v>140797.65000000002</v>
      </c>
      <c r="J31" s="288">
        <v>0</v>
      </c>
      <c r="K31" s="295">
        <f t="shared" si="7"/>
        <v>10307026.949999997</v>
      </c>
      <c r="L31" s="294">
        <v>0</v>
      </c>
      <c r="M31" s="295">
        <f>K31-L31</f>
        <v>10307026.949999997</v>
      </c>
      <c r="N31" s="294">
        <f>'Rem. Anticipos R2'!K363</f>
        <v>0</v>
      </c>
      <c r="O31" s="295">
        <f t="shared" si="8"/>
        <v>10307026.949999997</v>
      </c>
      <c r="Q31" s="306"/>
      <c r="S31" s="314">
        <v>4</v>
      </c>
      <c r="T31" s="315" t="s">
        <v>13</v>
      </c>
      <c r="U31" s="316">
        <f>'Rem. Anticipos R2'!L363</f>
        <v>1319074.46</v>
      </c>
      <c r="V31" s="317">
        <f>'Rem. Anticipos R2'!M363</f>
        <v>1270088.3</v>
      </c>
      <c r="W31" s="317">
        <f>'Rem. Anticipos R2'!N363</f>
        <v>5388626.9100000001</v>
      </c>
      <c r="X31" s="317">
        <f>'Rem. Anticipos R2'!O363</f>
        <v>3113361.78</v>
      </c>
      <c r="Y31" s="318">
        <f>'Rem. Anticipos R2'!P363</f>
        <v>163053.33000000002</v>
      </c>
      <c r="Z31" s="319">
        <f>L31*-1</f>
        <v>0</v>
      </c>
      <c r="AA31" s="320">
        <f>'Rem. Anticipos R2'!Q363</f>
        <v>13.58</v>
      </c>
      <c r="AB31" s="294">
        <f>N31</f>
        <v>0</v>
      </c>
      <c r="AC31" s="320">
        <f>'Rem. Anticipos R2'!R363</f>
        <v>0</v>
      </c>
      <c r="AD31" s="291">
        <f t="shared" si="10"/>
        <v>-947191.41</v>
      </c>
      <c r="AE31" s="291">
        <f>'Rem. Anticipos R2'!E364</f>
        <v>-947191.41</v>
      </c>
      <c r="AF31" s="322">
        <f>SUM(U31:AD31)</f>
        <v>10307026.949999999</v>
      </c>
      <c r="AG31" s="522">
        <f t="shared" si="11"/>
        <v>1.862645149230957E-9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R2'!E443</f>
        <v>0</v>
      </c>
      <c r="E32" s="297">
        <f>'Rem. Anticipos R2'!F443</f>
        <v>0</v>
      </c>
      <c r="F32" s="297">
        <f>'Rem. Anticipos R2'!G443</f>
        <v>0</v>
      </c>
      <c r="G32" s="297">
        <f>'Rem. Anticipos R2'!H443</f>
        <v>0</v>
      </c>
      <c r="H32" s="297">
        <f>'Rem. Anticipos R2'!I443</f>
        <v>0</v>
      </c>
      <c r="I32" s="297">
        <f>'Rem. Anticipos R2'!J443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R2'!L443</f>
        <v>0</v>
      </c>
      <c r="V32" s="297">
        <f>'Rem. Anticipos R2'!M443</f>
        <v>0</v>
      </c>
      <c r="W32" s="297">
        <f>'Rem. Anticipos R2'!N443</f>
        <v>0</v>
      </c>
      <c r="X32" s="297">
        <f>'Rem. Anticipos R2'!O443</f>
        <v>0</v>
      </c>
      <c r="Y32" s="289">
        <f>'Rem. Anticipos R2'!P443</f>
        <v>0</v>
      </c>
      <c r="Z32" s="319">
        <f>L32*-1</f>
        <v>0</v>
      </c>
      <c r="AA32" s="320">
        <f>'Rem. Anticipos R2'!Q443</f>
        <v>0</v>
      </c>
      <c r="AB32" s="294">
        <f>N32</f>
        <v>0</v>
      </c>
      <c r="AC32" s="320">
        <f>'Rem. Anticipos R2'!R443</f>
        <v>0</v>
      </c>
      <c r="AD32" s="291">
        <f t="shared" si="10"/>
        <v>0</v>
      </c>
      <c r="AE32" s="291">
        <f>'Rem. Anticipos R2'!E444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34916932.200000003</v>
      </c>
      <c r="E33" s="290">
        <f>SUM(E28:E32)</f>
        <v>2893259.24</v>
      </c>
      <c r="F33" s="290">
        <f t="shared" ref="F33:O33" si="12">SUM(F28:F32)</f>
        <v>1604494.27</v>
      </c>
      <c r="G33" s="290">
        <f t="shared" si="12"/>
        <v>593742.80000000005</v>
      </c>
      <c r="H33" s="290">
        <f t="shared" si="12"/>
        <v>12427262.220000001</v>
      </c>
      <c r="I33" s="290">
        <f t="shared" si="12"/>
        <v>402556.94000000006</v>
      </c>
      <c r="J33" s="290">
        <f t="shared" si="12"/>
        <v>0</v>
      </c>
      <c r="K33" s="300">
        <f t="shared" si="12"/>
        <v>16995616.729999997</v>
      </c>
      <c r="L33" s="301">
        <f t="shared" si="12"/>
        <v>0</v>
      </c>
      <c r="M33" s="302">
        <f t="shared" si="12"/>
        <v>16995616.729999997</v>
      </c>
      <c r="N33" s="301">
        <f t="shared" si="12"/>
        <v>0</v>
      </c>
      <c r="O33" s="302">
        <f t="shared" si="12"/>
        <v>16995616.729999997</v>
      </c>
      <c r="P33" s="329"/>
      <c r="Q33" s="306"/>
      <c r="S33" s="327"/>
      <c r="T33" s="328" t="s">
        <v>2</v>
      </c>
      <c r="U33" s="330">
        <f>SUM(U28:U32)</f>
        <v>3583576.83</v>
      </c>
      <c r="V33" s="330">
        <f t="shared" ref="V33:AG33" si="13">SUM(V28:V32)</f>
        <v>3550731.38</v>
      </c>
      <c r="W33" s="330">
        <f t="shared" si="13"/>
        <v>13911659.68</v>
      </c>
      <c r="X33" s="330">
        <f t="shared" si="13"/>
        <v>6550738.7300000004</v>
      </c>
      <c r="Y33" s="330">
        <f t="shared" si="13"/>
        <v>473862.45</v>
      </c>
      <c r="Z33" s="290">
        <f t="shared" si="13"/>
        <v>0</v>
      </c>
      <c r="AA33" s="290">
        <f t="shared" si="13"/>
        <v>-6.85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-11074945.49</v>
      </c>
      <c r="AE33" s="290">
        <f>SUM(AE28:AE32)</f>
        <v>-11074945.49</v>
      </c>
      <c r="AF33" s="331">
        <f t="shared" si="13"/>
        <v>16995616.729999997</v>
      </c>
      <c r="AG33" s="524">
        <f t="shared" si="13"/>
        <v>1.862645149230957E-9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28070569.07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R1'!F57</f>
        <v>0</v>
      </c>
      <c r="E47" s="292">
        <f>'Reporte Componentes R1'!G57</f>
        <v>0</v>
      </c>
      <c r="F47" s="292">
        <f>'Reporte Componentes R1'!H57</f>
        <v>0</v>
      </c>
      <c r="G47" s="292">
        <f>'Reporte Componentes R1'!I57</f>
        <v>0</v>
      </c>
      <c r="H47" s="292">
        <f>'Reporte Componentes R1'!J57</f>
        <v>0</v>
      </c>
      <c r="I47" s="292">
        <f>'Reporte Componentes R1'!K57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R1'!L57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R1'!M57</f>
        <v>0</v>
      </c>
      <c r="V47" s="308">
        <f>'Reporte Componentes R1'!N57</f>
        <v>0</v>
      </c>
      <c r="W47" s="308">
        <f>'Reporte Componentes R1'!O57</f>
        <v>0</v>
      </c>
      <c r="X47" s="308">
        <f>'Reporte Componentes R1'!P57</f>
        <v>0</v>
      </c>
      <c r="Y47" s="309">
        <f>'Reporte Componentes R1'!Q57</f>
        <v>0</v>
      </c>
      <c r="Z47" s="310">
        <f>-L47</f>
        <v>0</v>
      </c>
      <c r="AA47" s="311">
        <f>'Reporte Componentes R1'!R57+'Reporte Componentes R1'!V57+'Reporte Componentes R1'!U57</f>
        <v>0</v>
      </c>
      <c r="AB47" s="294">
        <f>N47</f>
        <v>0</v>
      </c>
      <c r="AC47" s="311">
        <f>'Reporte Componentes R1'!T57+'Reporte Componentes R1'!W57+'Reporte Componentes R1'!X57+'Reporte Componentes R1'!Y57+'Reporte Componentes R1'!Z57+'Reporte Componentes R1'!S57</f>
        <v>0</v>
      </c>
      <c r="AD47" s="291">
        <f>-J47+AE47</f>
        <v>0</v>
      </c>
      <c r="AE47" s="291">
        <f>'Reporte Componentes R1'!F58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R1'!F201</f>
        <v>0</v>
      </c>
      <c r="E48" s="292">
        <f>'Reporte Componentes R1'!G201</f>
        <v>0</v>
      </c>
      <c r="F48" s="292">
        <f>'Reporte Componentes R1'!H201</f>
        <v>0</v>
      </c>
      <c r="G48" s="292">
        <f>'Reporte Componentes R1'!I201</f>
        <v>0</v>
      </c>
      <c r="H48" s="292">
        <f>'Reporte Componentes R1'!J201</f>
        <v>0</v>
      </c>
      <c r="I48" s="292">
        <f>'Reporte Componentes R1'!K201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R1'!L201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R1'!M201</f>
        <v>0</v>
      </c>
      <c r="V48" s="317">
        <f>'Reporte Componentes R1'!N201</f>
        <v>0</v>
      </c>
      <c r="W48" s="317">
        <f>'Reporte Componentes R1'!O201</f>
        <v>0</v>
      </c>
      <c r="X48" s="317">
        <f>'Reporte Componentes R1'!P201</f>
        <v>0</v>
      </c>
      <c r="Y48" s="318">
        <f>'Reporte Componentes R1'!Q201</f>
        <v>0</v>
      </c>
      <c r="Z48" s="319">
        <f>-L48</f>
        <v>0</v>
      </c>
      <c r="AA48" s="320">
        <f>'Reporte Componentes R1'!R201+'Reporte Componentes R1'!V201+'Reporte Componentes R1'!U201</f>
        <v>0</v>
      </c>
      <c r="AB48" s="294">
        <f>N48</f>
        <v>0</v>
      </c>
      <c r="AC48" s="320">
        <f>'Reporte Componentes R1'!T201+'Reporte Componentes R1'!W201+'Reporte Componentes R1'!X201+'Reporte Componentes R1'!Y201+'Reporte Componentes R1'!Z201+'Reporte Componentes R1'!S201</f>
        <v>0</v>
      </c>
      <c r="AD48" s="291">
        <f t="shared" ref="AD48:AD51" si="18">-J48+AE48</f>
        <v>0</v>
      </c>
      <c r="AE48" s="291">
        <f>'Reporte Componentes R1'!F202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R1'!F332</f>
        <v>0</v>
      </c>
      <c r="E49" s="292">
        <f>'Reporte Componentes R1'!G332</f>
        <v>0</v>
      </c>
      <c r="F49" s="292">
        <f>'Reporte Componentes R1'!H332</f>
        <v>0</v>
      </c>
      <c r="G49" s="292">
        <f>'Reporte Componentes R1'!I332</f>
        <v>0</v>
      </c>
      <c r="H49" s="292">
        <f>'Reporte Componentes R1'!J332</f>
        <v>0</v>
      </c>
      <c r="I49" s="292">
        <f>'Reporte Componentes R1'!K332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R1'!L332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R1'!M332</f>
        <v>0</v>
      </c>
      <c r="V49" s="317">
        <f>'Reporte Componentes R1'!N332</f>
        <v>0</v>
      </c>
      <c r="W49" s="317">
        <f>'Reporte Componentes R1'!O332</f>
        <v>0</v>
      </c>
      <c r="X49" s="317">
        <f>'Reporte Componentes R1'!P332</f>
        <v>0</v>
      </c>
      <c r="Y49" s="318">
        <f>'Reporte Componentes R1'!Q332</f>
        <v>0</v>
      </c>
      <c r="Z49" s="319">
        <f>-L49</f>
        <v>0</v>
      </c>
      <c r="AA49" s="320">
        <f>'Reporte Componentes R1'!R332+'Reporte Componentes R1'!V332+'Reporte Componentes R1'!U332</f>
        <v>0</v>
      </c>
      <c r="AB49" s="294">
        <f>N49</f>
        <v>0</v>
      </c>
      <c r="AC49" s="320">
        <f>'Reporte Componentes R1'!T332+'Reporte Componentes R1'!W332+'Reporte Componentes R1'!X332+'Reporte Componentes R1'!Y332+'Reporte Componentes R1'!Z332+'Reporte Componentes R1'!S332</f>
        <v>0</v>
      </c>
      <c r="AD49" s="291">
        <f t="shared" si="18"/>
        <v>0</v>
      </c>
      <c r="AE49" s="291">
        <f>'Reporte Componentes R1'!F333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R1'!F463</f>
        <v>232870</v>
      </c>
      <c r="E50" s="292">
        <f>'Reporte Componentes R1'!G463</f>
        <v>22301.05</v>
      </c>
      <c r="F50" s="292">
        <f>'Reporte Componentes R1'!H463</f>
        <v>12603.99</v>
      </c>
      <c r="G50" s="292">
        <f>'Reporte Componentes R1'!I463</f>
        <v>6666.04</v>
      </c>
      <c r="H50" s="292">
        <f>'Reporte Componentes R1'!J463</f>
        <v>34196.559999999998</v>
      </c>
      <c r="I50" s="292">
        <f>'Reporte Componentes R1'!K463</f>
        <v>993.54</v>
      </c>
      <c r="J50" s="288">
        <v>0</v>
      </c>
      <c r="K50" s="295">
        <f t="shared" si="16"/>
        <v>156108.82</v>
      </c>
      <c r="L50" s="294">
        <v>0</v>
      </c>
      <c r="M50" s="295">
        <f>K50-L50</f>
        <v>156108.82</v>
      </c>
      <c r="N50" s="294">
        <f>'Reporte Componentes R1'!L463</f>
        <v>0</v>
      </c>
      <c r="O50" s="295">
        <f t="shared" si="17"/>
        <v>156108.82</v>
      </c>
      <c r="Q50" s="306"/>
      <c r="S50" s="314">
        <v>4</v>
      </c>
      <c r="T50" s="315" t="s">
        <v>13</v>
      </c>
      <c r="U50" s="316">
        <f>'Reporte Componentes R1'!M463</f>
        <v>8715.31</v>
      </c>
      <c r="V50" s="317">
        <f>'Reporte Componentes R1'!N463</f>
        <v>10643.83</v>
      </c>
      <c r="W50" s="317">
        <f>'Reporte Componentes R1'!O463</f>
        <v>52998.59</v>
      </c>
      <c r="X50" s="317">
        <f>'Reporte Componentes R1'!P463</f>
        <v>59544.78</v>
      </c>
      <c r="Y50" s="318">
        <f>'Reporte Componentes R1'!Q463</f>
        <v>1621.05</v>
      </c>
      <c r="Z50" s="319">
        <f>-L50</f>
        <v>0</v>
      </c>
      <c r="AA50" s="320">
        <f>'Reporte Componentes R1'!R463+'Reporte Componentes R1'!V463+'Reporte Componentes R1'!U463</f>
        <v>-3.87</v>
      </c>
      <c r="AB50" s="294">
        <f>N50</f>
        <v>0</v>
      </c>
      <c r="AC50" s="320">
        <f>'Reporte Componentes R1'!T463+'Reporte Componentes R1'!W463+'Reporte Componentes R1'!X463+'Reporte Componentes R1'!Y463+'Reporte Componentes R1'!Z463+'Reporte Componentes R1'!S463</f>
        <v>0</v>
      </c>
      <c r="AD50" s="291">
        <f t="shared" si="18"/>
        <v>22589.13</v>
      </c>
      <c r="AE50" s="291">
        <f>'Reporte Componentes R1'!F464</f>
        <v>22589.13</v>
      </c>
      <c r="AF50" s="322">
        <f t="shared" si="19"/>
        <v>156108.82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R1'!F561</f>
        <v>0</v>
      </c>
      <c r="E51" s="297">
        <f>'Reporte Componentes R1'!G561</f>
        <v>0</v>
      </c>
      <c r="F51" s="297">
        <f>'Reporte Componentes R1'!H561</f>
        <v>0</v>
      </c>
      <c r="G51" s="297">
        <f>'Reporte Componentes R1'!I561</f>
        <v>0</v>
      </c>
      <c r="H51" s="297">
        <f>'Reporte Componentes R1'!J561</f>
        <v>0</v>
      </c>
      <c r="I51" s="297">
        <f>'Reporte Componentes R1'!K561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R1'!L561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R1'!M561</f>
        <v>0</v>
      </c>
      <c r="V51" s="297">
        <f>'Reporte Componentes R1'!N561</f>
        <v>0</v>
      </c>
      <c r="W51" s="297">
        <f>'Reporte Componentes R1'!O561</f>
        <v>0</v>
      </c>
      <c r="X51" s="297">
        <f>'Reporte Componentes R1'!P561</f>
        <v>0</v>
      </c>
      <c r="Y51" s="289">
        <f>'Reporte Componentes R1'!Q561</f>
        <v>0</v>
      </c>
      <c r="Z51" s="319">
        <f>-L51</f>
        <v>0</v>
      </c>
      <c r="AA51" s="320">
        <f>'Reporte Componentes R1'!R561+'Reporte Componentes R1'!V561+'Reporte Componentes R1'!U561</f>
        <v>0</v>
      </c>
      <c r="AB51" s="294">
        <f>N51</f>
        <v>0</v>
      </c>
      <c r="AC51" s="320">
        <f>'Reporte Componentes R1'!T561+'Reporte Componentes R1'!W561+'Reporte Componentes R1'!X561+'Reporte Componentes R1'!Y561+'Reporte Componentes R1'!Z561+'Reporte Componentes R1'!S561</f>
        <v>0</v>
      </c>
      <c r="AD51" s="291">
        <f t="shared" si="18"/>
        <v>0</v>
      </c>
      <c r="AE51" s="291">
        <f>'Reporte Componentes R1'!F562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232870</v>
      </c>
      <c r="E52" s="290">
        <f t="shared" si="21"/>
        <v>22301.05</v>
      </c>
      <c r="F52" s="290">
        <f t="shared" si="21"/>
        <v>12603.99</v>
      </c>
      <c r="G52" s="290">
        <f t="shared" ref="G52" si="22">SUM(G47:G51)</f>
        <v>6666.04</v>
      </c>
      <c r="H52" s="290">
        <f t="shared" si="21"/>
        <v>34196.559999999998</v>
      </c>
      <c r="I52" s="290">
        <f t="shared" si="21"/>
        <v>993.54</v>
      </c>
      <c r="J52" s="290">
        <f t="shared" si="21"/>
        <v>0</v>
      </c>
      <c r="K52" s="300">
        <f t="shared" si="21"/>
        <v>156108.82</v>
      </c>
      <c r="L52" s="301">
        <f t="shared" si="21"/>
        <v>0</v>
      </c>
      <c r="M52" s="302">
        <f t="shared" si="21"/>
        <v>156108.82</v>
      </c>
      <c r="N52" s="301">
        <f t="shared" si="21"/>
        <v>0</v>
      </c>
      <c r="O52" s="302">
        <f t="shared" si="21"/>
        <v>156108.82</v>
      </c>
      <c r="P52" s="329"/>
      <c r="Q52" s="306"/>
      <c r="S52" s="327"/>
      <c r="T52" s="328" t="s">
        <v>2</v>
      </c>
      <c r="U52" s="330">
        <f>SUM(U47:U51)</f>
        <v>8715.31</v>
      </c>
      <c r="V52" s="330">
        <f t="shared" ref="V52:AG52" si="23">SUM(V47:V51)</f>
        <v>10643.83</v>
      </c>
      <c r="W52" s="330">
        <f t="shared" si="23"/>
        <v>52998.59</v>
      </c>
      <c r="X52" s="330">
        <f t="shared" si="23"/>
        <v>59544.78</v>
      </c>
      <c r="Y52" s="330">
        <f t="shared" si="23"/>
        <v>1621.05</v>
      </c>
      <c r="Z52" s="290">
        <f t="shared" si="23"/>
        <v>0</v>
      </c>
      <c r="AA52" s="290">
        <f t="shared" si="23"/>
        <v>-3.87</v>
      </c>
      <c r="AB52" s="290">
        <f t="shared" si="23"/>
        <v>0</v>
      </c>
      <c r="AC52" s="290">
        <f t="shared" si="23"/>
        <v>0</v>
      </c>
      <c r="AD52" s="290">
        <f>SUM(AD47:AD51)</f>
        <v>22589.13</v>
      </c>
      <c r="AE52" s="290">
        <f>SUM(AE47:AE51)</f>
        <v>22589.13</v>
      </c>
      <c r="AF52" s="331">
        <f t="shared" si="23"/>
        <v>156108.82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133523.56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R4'!D69</f>
        <v>0</v>
      </c>
      <c r="E66" s="292">
        <f>'Reversion Pagos R4'!E69</f>
        <v>0</v>
      </c>
      <c r="F66" s="292">
        <f>'Reversion Pagos R4'!F69</f>
        <v>0</v>
      </c>
      <c r="G66" s="292">
        <f>'Reversion Pagos R4'!G69</f>
        <v>0</v>
      </c>
      <c r="H66" s="292">
        <f>'Reversion Pagos R4'!H69</f>
        <v>0</v>
      </c>
      <c r="I66" s="292">
        <f>'Reversion Pagos R4'!I69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R4'!P69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R4'!J69</f>
        <v>0</v>
      </c>
      <c r="V66" s="308">
        <f>'Reversion Pagos R4'!K69</f>
        <v>0</v>
      </c>
      <c r="W66" s="308">
        <f>'Reversion Pagos R4'!L69</f>
        <v>0</v>
      </c>
      <c r="X66" s="308">
        <f>'Reversion Pagos R4'!M69</f>
        <v>0</v>
      </c>
      <c r="Y66" s="309">
        <f>'Reversion Pagos R4'!N69</f>
        <v>0</v>
      </c>
      <c r="Z66" s="310">
        <f>-L66</f>
        <v>0</v>
      </c>
      <c r="AA66" s="320">
        <f>'Reversion Pagos R4'!O69</f>
        <v>0</v>
      </c>
      <c r="AB66" s="294">
        <f>N66</f>
        <v>0</v>
      </c>
      <c r="AC66" s="320">
        <f>+'Reversion Pagos R4'!Q69+'Reversion Pagos R4'!R69</f>
        <v>0</v>
      </c>
      <c r="AD66" s="291">
        <f>-J66+AE66</f>
        <v>0</v>
      </c>
      <c r="AE66" s="291">
        <f>'Reversion Pagos R4'!D70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R4'!D164</f>
        <v>0</v>
      </c>
      <c r="E67" s="292">
        <f>'Reversion Pagos R4'!E164</f>
        <v>0</v>
      </c>
      <c r="F67" s="292">
        <f>'Reversion Pagos R4'!F164</f>
        <v>0</v>
      </c>
      <c r="G67" s="292">
        <f>'Reversion Pagos R4'!G164</f>
        <v>0</v>
      </c>
      <c r="H67" s="292">
        <f>'Reversion Pagos R4'!H164</f>
        <v>0</v>
      </c>
      <c r="I67" s="292">
        <f>'Reversion Pagos R4'!I164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R4'!P164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R4'!J164</f>
        <v>0</v>
      </c>
      <c r="V67" s="317">
        <f>'Reversion Pagos R4'!K164</f>
        <v>0</v>
      </c>
      <c r="W67" s="317">
        <f>'Reversion Pagos R4'!L164</f>
        <v>0</v>
      </c>
      <c r="X67" s="317">
        <f>'Reversion Pagos R4'!M164</f>
        <v>0</v>
      </c>
      <c r="Y67" s="318">
        <f>'Reversion Pagos R4'!N164</f>
        <v>0</v>
      </c>
      <c r="Z67" s="319">
        <f t="shared" ref="Z67:Z70" si="27">-L67</f>
        <v>0</v>
      </c>
      <c r="AA67" s="320">
        <f>'Reversion Pagos R4'!O164</f>
        <v>0</v>
      </c>
      <c r="AB67" s="294">
        <f t="shared" ref="AB67:AB70" si="28">N67</f>
        <v>0</v>
      </c>
      <c r="AC67" s="320">
        <f>+'Reversion Pagos R4'!Q164+'Reversion Pagos R4'!R164</f>
        <v>0</v>
      </c>
      <c r="AD67" s="291">
        <f t="shared" ref="AD67:AD70" si="29">-J67+AE67</f>
        <v>0</v>
      </c>
      <c r="AE67" s="291">
        <f>'Reversion Pagos R4'!D165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R4'!D195</f>
        <v>0</v>
      </c>
      <c r="E68" s="292">
        <f>'Reversion Pagos R4'!E195</f>
        <v>0</v>
      </c>
      <c r="F68" s="292">
        <f>'Reversion Pagos R4'!F195</f>
        <v>0</v>
      </c>
      <c r="G68" s="292">
        <f>'Reversion Pagos R4'!G195</f>
        <v>0</v>
      </c>
      <c r="H68" s="292">
        <f>'Reversion Pagos R4'!H195</f>
        <v>0</v>
      </c>
      <c r="I68" s="292">
        <f>'Reversion Pagos R4'!I195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R4'!P195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R4'!J195</f>
        <v>0</v>
      </c>
      <c r="V68" s="317">
        <f>'Reversion Pagos R4'!K195</f>
        <v>0</v>
      </c>
      <c r="W68" s="317">
        <f>'Reversion Pagos R4'!L195</f>
        <v>0</v>
      </c>
      <c r="X68" s="317">
        <f>'Reversion Pagos R4'!M195</f>
        <v>0</v>
      </c>
      <c r="Y68" s="318">
        <f>'Reversion Pagos R4'!N195</f>
        <v>0</v>
      </c>
      <c r="Z68" s="319">
        <f t="shared" si="27"/>
        <v>0</v>
      </c>
      <c r="AA68" s="320">
        <f>'Reversion Pagos R4'!O195</f>
        <v>0</v>
      </c>
      <c r="AB68" s="294">
        <f t="shared" si="28"/>
        <v>0</v>
      </c>
      <c r="AC68" s="320">
        <f>+'Reversion Pagos R4'!Q195+'Reversion Pagos R4'!R195</f>
        <v>0</v>
      </c>
      <c r="AD68" s="291">
        <f t="shared" si="29"/>
        <v>0</v>
      </c>
      <c r="AE68" s="291">
        <f>'Reversion Pagos R4'!D196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R4'!D309</f>
        <v>-549540</v>
      </c>
      <c r="E69" s="292">
        <f>'Reversion Pagos R4'!E309</f>
        <v>-37307.18</v>
      </c>
      <c r="F69" s="292">
        <f>'Reversion Pagos R4'!F309</f>
        <v>-19442.77</v>
      </c>
      <c r="G69" s="292">
        <f>'Reversion Pagos R4'!G309</f>
        <v>-11255.68</v>
      </c>
      <c r="H69" s="292">
        <f>'Reversion Pagos R4'!H309</f>
        <v>-125117.61</v>
      </c>
      <c r="I69" s="292">
        <f>'Reversion Pagos R4'!I309</f>
        <v>-3102.88</v>
      </c>
      <c r="J69" s="288">
        <v>0</v>
      </c>
      <c r="K69" s="295">
        <f t="shared" si="25"/>
        <v>-353313.88</v>
      </c>
      <c r="L69" s="294">
        <v>0</v>
      </c>
      <c r="M69" s="295">
        <f>K69-L69</f>
        <v>-353313.88</v>
      </c>
      <c r="N69" s="294">
        <f>'Reversion Pagos R4'!P309</f>
        <v>0</v>
      </c>
      <c r="O69" s="295">
        <f t="shared" si="26"/>
        <v>-353313.88</v>
      </c>
      <c r="Q69" s="306"/>
      <c r="S69" s="314">
        <v>4</v>
      </c>
      <c r="T69" s="315" t="s">
        <v>13</v>
      </c>
      <c r="U69" s="316">
        <f>'Reversion Pagos R4'!J309</f>
        <v>-27218.67</v>
      </c>
      <c r="V69" s="317">
        <f>'Reversion Pagos R4'!K309</f>
        <v>-39044.879999999997</v>
      </c>
      <c r="W69" s="317">
        <f>'Reversion Pagos R4'!L309</f>
        <v>-198437.24</v>
      </c>
      <c r="X69" s="317">
        <f>'Reversion Pagos R4'!M309</f>
        <v>-99201.18</v>
      </c>
      <c r="Y69" s="318">
        <f>'Reversion Pagos R4'!N309</f>
        <v>-5062.6499999999996</v>
      </c>
      <c r="Z69" s="319">
        <f t="shared" si="27"/>
        <v>0</v>
      </c>
      <c r="AA69" s="320">
        <f>'Reversion Pagos R4'!O309</f>
        <v>6.56</v>
      </c>
      <c r="AB69" s="294">
        <f t="shared" si="28"/>
        <v>0</v>
      </c>
      <c r="AC69" s="320">
        <f>+'Reversion Pagos R4'!Q309+'Reversion Pagos R4'!R309</f>
        <v>0</v>
      </c>
      <c r="AD69" s="291">
        <f t="shared" si="29"/>
        <v>15644.18</v>
      </c>
      <c r="AE69" s="291">
        <f>'Reversion Pagos R4'!D310</f>
        <v>15644.18</v>
      </c>
      <c r="AF69" s="322">
        <f>SUM(U69:AD69)</f>
        <v>-353313.88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R4'!D344</f>
        <v>0</v>
      </c>
      <c r="E70" s="297">
        <f>'Reversion Pagos R4'!E344</f>
        <v>0</v>
      </c>
      <c r="F70" s="297">
        <f>'Reversion Pagos R4'!F344</f>
        <v>0</v>
      </c>
      <c r="G70" s="297">
        <f>'Reversion Pagos R4'!G344</f>
        <v>0</v>
      </c>
      <c r="H70" s="297">
        <f>'Reversion Pagos R4'!H344</f>
        <v>0</v>
      </c>
      <c r="I70" s="297">
        <f>'Reversion Pagos R4'!I344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R4'!P344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R4'!J344</f>
        <v>0</v>
      </c>
      <c r="V70" s="297">
        <f>'Reversion Pagos R4'!K344</f>
        <v>0</v>
      </c>
      <c r="W70" s="297">
        <f>'Reversion Pagos R4'!L344</f>
        <v>0</v>
      </c>
      <c r="X70" s="297">
        <f>'Reversion Pagos R4'!M344</f>
        <v>0</v>
      </c>
      <c r="Y70" s="289">
        <f>'Reversion Pagos R4'!N344</f>
        <v>0</v>
      </c>
      <c r="Z70" s="319">
        <f t="shared" si="27"/>
        <v>0</v>
      </c>
      <c r="AA70" s="320">
        <f>'Reversion Pagos R4'!O344</f>
        <v>0</v>
      </c>
      <c r="AB70" s="294">
        <f t="shared" si="28"/>
        <v>0</v>
      </c>
      <c r="AC70" s="320">
        <f>+'Reversion Pagos R4'!Q344+'Reversion Pagos R4'!R344</f>
        <v>0</v>
      </c>
      <c r="AD70" s="291">
        <f t="shared" si="29"/>
        <v>0</v>
      </c>
      <c r="AE70" s="291">
        <f>'Reversion Pagos R4'!D345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-549540</v>
      </c>
      <c r="E71" s="290">
        <f t="shared" si="32"/>
        <v>-37307.18</v>
      </c>
      <c r="F71" s="290">
        <f t="shared" si="32"/>
        <v>-19442.77</v>
      </c>
      <c r="G71" s="290">
        <f t="shared" si="32"/>
        <v>-11255.68</v>
      </c>
      <c r="H71" s="290">
        <f t="shared" si="32"/>
        <v>-125117.61</v>
      </c>
      <c r="I71" s="290">
        <f t="shared" si="32"/>
        <v>-3102.88</v>
      </c>
      <c r="J71" s="290">
        <f t="shared" si="32"/>
        <v>0</v>
      </c>
      <c r="K71" s="300">
        <f t="shared" si="32"/>
        <v>-353313.88</v>
      </c>
      <c r="L71" s="301">
        <f t="shared" si="32"/>
        <v>0</v>
      </c>
      <c r="M71" s="302">
        <f t="shared" si="32"/>
        <v>-353313.88</v>
      </c>
      <c r="N71" s="301">
        <f t="shared" si="32"/>
        <v>0</v>
      </c>
      <c r="O71" s="302">
        <f t="shared" si="32"/>
        <v>-353313.88</v>
      </c>
      <c r="P71" s="329"/>
      <c r="Q71" s="306"/>
      <c r="S71" s="327"/>
      <c r="T71" s="328" t="s">
        <v>2</v>
      </c>
      <c r="U71" s="330">
        <f>SUM(U66:U70)</f>
        <v>-27218.67</v>
      </c>
      <c r="V71" s="330">
        <f t="shared" ref="V71:AG71" si="33">SUM(V66:V70)</f>
        <v>-39044.879999999997</v>
      </c>
      <c r="W71" s="330">
        <f t="shared" si="33"/>
        <v>-198437.24</v>
      </c>
      <c r="X71" s="330">
        <f t="shared" si="33"/>
        <v>-99201.18</v>
      </c>
      <c r="Y71" s="330">
        <f t="shared" si="33"/>
        <v>-5062.6499999999996</v>
      </c>
      <c r="Z71" s="290">
        <f t="shared" si="33"/>
        <v>0</v>
      </c>
      <c r="AA71" s="290">
        <f>SUM(AA66:AA70)</f>
        <v>6.56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15644.18</v>
      </c>
      <c r="AE71" s="290">
        <f>SUM(AE66:AE70)</f>
        <v>15644.18</v>
      </c>
      <c r="AF71" s="331">
        <f t="shared" si="33"/>
        <v>-353313.88</v>
      </c>
      <c r="AG71" s="524">
        <f t="shared" si="33"/>
        <v>0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-368964.62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506855.36</v>
      </c>
      <c r="E86" s="292">
        <f>'AJUSTES - SF-T'!E48</f>
        <v>42296.72</v>
      </c>
      <c r="F86" s="292">
        <f>'AJUSTES - SF-T'!F48</f>
        <v>23907.98</v>
      </c>
      <c r="G86" s="292">
        <f>'AJUSTES - SF-T'!G48</f>
        <v>12706.35</v>
      </c>
      <c r="H86" s="292">
        <f>'AJUSTES - SF-T'!H48</f>
        <v>265979.53000000003</v>
      </c>
      <c r="I86" s="292">
        <f>'AJUSTES - SF-T'!I48</f>
        <v>11995.53</v>
      </c>
      <c r="J86" s="288">
        <f>'AJUSTES - SF-T'!J48</f>
        <v>0</v>
      </c>
      <c r="K86" s="295">
        <f t="shared" ref="K86:K89" si="36">D86-E86-F86-G86-H86-I86-J86</f>
        <v>149969.25000000003</v>
      </c>
      <c r="L86" s="294">
        <v>0</v>
      </c>
      <c r="M86" s="295">
        <f>K86-L86</f>
        <v>149969.25000000003</v>
      </c>
      <c r="N86" s="294">
        <f>'AJUSTES - SF-T'!N48</f>
        <v>0</v>
      </c>
      <c r="O86" s="295">
        <f t="shared" ref="O86:O89" si="37">M86+N86</f>
        <v>149969.25000000003</v>
      </c>
      <c r="Q86" s="306"/>
      <c r="S86" s="314">
        <v>2</v>
      </c>
      <c r="T86" s="315" t="s">
        <v>11</v>
      </c>
      <c r="U86" s="316">
        <f>'AJUSTES - SF-T'!U48</f>
        <v>66026.12</v>
      </c>
      <c r="V86" s="317">
        <f>'AJUSTES - SF-T'!V48</f>
        <v>73645.62</v>
      </c>
      <c r="W86" s="317">
        <f>'AJUSTES - SF-T'!W48</f>
        <v>345565.65</v>
      </c>
      <c r="X86" s="317">
        <f>'AJUSTES - SF-T'!X48</f>
        <v>81955.14</v>
      </c>
      <c r="Y86" s="318">
        <f>'AJUSTES - SF-T'!Y48</f>
        <v>6998.74</v>
      </c>
      <c r="Z86" s="319">
        <f>-L86</f>
        <v>0</v>
      </c>
      <c r="AA86" s="320">
        <f>'AJUSTES - SF-T'!AA48</f>
        <v>-3.66</v>
      </c>
      <c r="AB86" s="294">
        <f>N86</f>
        <v>0</v>
      </c>
      <c r="AC86" s="320">
        <v>0</v>
      </c>
      <c r="AD86" s="291">
        <f t="shared" ref="AD86:AD88" si="38">-J86+AE86</f>
        <v>-424218.36</v>
      </c>
      <c r="AE86" s="291">
        <f>'AJUSTES - SF-T'!AD48</f>
        <v>-424218.36</v>
      </c>
      <c r="AF86" s="322">
        <f>SUM(U86:AD86)</f>
        <v>149969.25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318314.48</v>
      </c>
      <c r="E88" s="292">
        <f>'AJUSTES - SF-T'!E50</f>
        <v>30353.42</v>
      </c>
      <c r="F88" s="292">
        <f>'AJUSTES - SF-T'!F50</f>
        <v>17272.310000000001</v>
      </c>
      <c r="G88" s="292">
        <f>'AJUSTES - SF-T'!G50</f>
        <v>7260.85</v>
      </c>
      <c r="H88" s="292">
        <f>'AJUSTES - SF-T'!H50</f>
        <v>195770.56</v>
      </c>
      <c r="I88" s="292">
        <f>'AJUSTES - SF-T'!I50</f>
        <v>5001.67</v>
      </c>
      <c r="J88" s="288">
        <f>'AJUSTES - SF-T'!J50</f>
        <v>0</v>
      </c>
      <c r="K88" s="295">
        <f t="shared" si="36"/>
        <v>62655.670000000027</v>
      </c>
      <c r="L88" s="294">
        <v>0</v>
      </c>
      <c r="M88" s="295">
        <f>K88-L88</f>
        <v>62655.670000000027</v>
      </c>
      <c r="N88" s="294">
        <f>'AJUSTES - SF-T'!N50</f>
        <v>0</v>
      </c>
      <c r="O88" s="295">
        <f t="shared" si="37"/>
        <v>62655.670000000027</v>
      </c>
      <c r="Q88" s="306"/>
      <c r="S88" s="314">
        <v>4</v>
      </c>
      <c r="T88" s="315" t="s">
        <v>13</v>
      </c>
      <c r="U88" s="316">
        <f>'AJUSTES - SF-T'!U50</f>
        <v>31654.75</v>
      </c>
      <c r="V88" s="317">
        <f>'AJUSTES - SF-T'!V50</f>
        <v>16169.51</v>
      </c>
      <c r="W88" s="317">
        <f>'AJUSTES - SF-T'!W50</f>
        <v>625209.87</v>
      </c>
      <c r="X88" s="317">
        <f>'AJUSTES - SF-T'!X50</f>
        <v>92025.49</v>
      </c>
      <c r="Y88" s="318">
        <f>'AJUSTES - SF-T'!Y50</f>
        <v>3836.24</v>
      </c>
      <c r="Z88" s="319">
        <f>-L88</f>
        <v>0</v>
      </c>
      <c r="AA88" s="320">
        <f>'AJUSTES - SF-T'!AA50</f>
        <v>20.010000000000002</v>
      </c>
      <c r="AB88" s="294">
        <f>N88</f>
        <v>0</v>
      </c>
      <c r="AC88" s="320">
        <v>0</v>
      </c>
      <c r="AD88" s="291">
        <f t="shared" si="38"/>
        <v>-706260.2</v>
      </c>
      <c r="AE88" s="291">
        <f>'AJUSTES - SF-T'!AD50</f>
        <v>-706260.2</v>
      </c>
      <c r="AF88" s="322">
        <f t="shared" si="39"/>
        <v>62655.670000000042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825169.84</v>
      </c>
      <c r="E90" s="290">
        <f t="shared" si="40"/>
        <v>72650.14</v>
      </c>
      <c r="F90" s="290">
        <f t="shared" si="40"/>
        <v>41180.29</v>
      </c>
      <c r="G90" s="290">
        <f t="shared" si="40"/>
        <v>19967.2</v>
      </c>
      <c r="H90" s="290">
        <f t="shared" si="40"/>
        <v>461750.09</v>
      </c>
      <c r="I90" s="290">
        <f t="shared" si="40"/>
        <v>16997.2</v>
      </c>
      <c r="J90" s="290">
        <f t="shared" si="40"/>
        <v>0</v>
      </c>
      <c r="K90" s="300">
        <f t="shared" si="40"/>
        <v>212624.92000000004</v>
      </c>
      <c r="L90" s="301">
        <f t="shared" si="40"/>
        <v>0</v>
      </c>
      <c r="M90" s="302">
        <f t="shared" si="40"/>
        <v>212624.92000000004</v>
      </c>
      <c r="N90" s="301">
        <f t="shared" si="40"/>
        <v>0</v>
      </c>
      <c r="O90" s="302">
        <f t="shared" si="40"/>
        <v>212624.92000000004</v>
      </c>
      <c r="P90" s="329"/>
      <c r="Q90" s="306"/>
      <c r="S90" s="327"/>
      <c r="T90" s="328" t="s">
        <v>2</v>
      </c>
      <c r="U90" s="330">
        <f>SUM(U85:U89)</f>
        <v>97680.87</v>
      </c>
      <c r="V90" s="330">
        <f t="shared" ref="V90:AG90" si="41">SUM(V85:V89)</f>
        <v>89815.12999999999</v>
      </c>
      <c r="W90" s="330">
        <f t="shared" si="41"/>
        <v>970775.52</v>
      </c>
      <c r="X90" s="330">
        <f t="shared" si="41"/>
        <v>173980.63</v>
      </c>
      <c r="Y90" s="330">
        <f t="shared" si="41"/>
        <v>10834.98</v>
      </c>
      <c r="Z90" s="290">
        <f t="shared" si="41"/>
        <v>0</v>
      </c>
      <c r="AA90" s="290">
        <f t="shared" si="41"/>
        <v>16.350000000000001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-1130478.56</v>
      </c>
      <c r="AE90" s="290">
        <f t="shared" si="41"/>
        <v>-1130478.56</v>
      </c>
      <c r="AF90" s="331">
        <f t="shared" si="41"/>
        <v>212624.92000000004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1343087.13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46267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27760293.829999998</v>
      </c>
      <c r="E105" s="292">
        <f t="shared" si="43"/>
        <v>2451771.12</v>
      </c>
      <c r="F105" s="292">
        <f t="shared" si="43"/>
        <v>1344832.79</v>
      </c>
      <c r="G105" s="292">
        <f t="shared" si="43"/>
        <v>556057.96</v>
      </c>
      <c r="H105" s="292">
        <f t="shared" si="43"/>
        <v>11035302.6</v>
      </c>
      <c r="I105" s="292">
        <f t="shared" si="43"/>
        <v>367309.25</v>
      </c>
      <c r="J105" s="288">
        <f t="shared" si="43"/>
        <v>0</v>
      </c>
      <c r="K105" s="295">
        <f t="shared" ref="K105:K108" si="46">D105-E105-F105-G105-H105-I105-J105</f>
        <v>12005020.109999998</v>
      </c>
      <c r="L105" s="294">
        <f>L10+L29+L48+L67+L86</f>
        <v>0</v>
      </c>
      <c r="M105" s="295">
        <f>K105-L105</f>
        <v>12005020.109999998</v>
      </c>
      <c r="N105" s="294">
        <f>N10+N29+N48+N67+N86</f>
        <v>0</v>
      </c>
      <c r="O105" s="295">
        <f t="shared" ref="O105:O108" si="47">M105+N105</f>
        <v>12005020.109999998</v>
      </c>
      <c r="Q105" s="306"/>
      <c r="S105" s="314">
        <v>2</v>
      </c>
      <c r="T105" s="315" t="s">
        <v>11</v>
      </c>
      <c r="U105" s="316">
        <f t="shared" si="44"/>
        <v>3158192.46</v>
      </c>
      <c r="V105" s="317">
        <f t="shared" si="44"/>
        <v>3222798.83</v>
      </c>
      <c r="W105" s="317">
        <f t="shared" si="44"/>
        <v>12978891.09</v>
      </c>
      <c r="X105" s="317">
        <f t="shared" si="44"/>
        <v>4858991.2</v>
      </c>
      <c r="Y105" s="318">
        <f t="shared" si="44"/>
        <v>473018.25</v>
      </c>
      <c r="Z105" s="319">
        <f t="shared" si="44"/>
        <v>0</v>
      </c>
      <c r="AA105" s="320">
        <f t="shared" si="44"/>
        <v>-71.83</v>
      </c>
      <c r="AB105" s="294">
        <f t="shared" si="44"/>
        <v>0</v>
      </c>
      <c r="AC105" s="320">
        <f t="shared" si="44"/>
        <v>-0.12</v>
      </c>
      <c r="AD105" s="291">
        <f t="shared" ref="AD105:AD107" si="48">-J105+AE105</f>
        <v>-12686799.77</v>
      </c>
      <c r="AE105" s="291">
        <f>AE10+AE29+AE48+AE67+AE86</f>
        <v>-12686799.77</v>
      </c>
      <c r="AF105" s="322">
        <f>SUM(U105:AD105)</f>
        <v>12005020.109999999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21378398.210000001</v>
      </c>
      <c r="E107" s="292">
        <f t="shared" si="43"/>
        <v>1404272.65</v>
      </c>
      <c r="F107" s="292">
        <f t="shared" si="43"/>
        <v>781572.42</v>
      </c>
      <c r="G107" s="292">
        <f t="shared" si="43"/>
        <v>318744.15999999997</v>
      </c>
      <c r="H107" s="292">
        <f t="shared" si="43"/>
        <v>5484035.9699999997</v>
      </c>
      <c r="I107" s="292">
        <f t="shared" si="43"/>
        <v>175967.09000000003</v>
      </c>
      <c r="J107" s="288">
        <f t="shared" si="43"/>
        <v>0</v>
      </c>
      <c r="K107" s="295">
        <f t="shared" si="46"/>
        <v>13213805.920000002</v>
      </c>
      <c r="L107" s="294">
        <f>L12+L31+L50+L69+L88</f>
        <v>0</v>
      </c>
      <c r="M107" s="295">
        <f>K107-L107</f>
        <v>13213805.920000002</v>
      </c>
      <c r="N107" s="294">
        <f>N12+N31+N50+N69+N88</f>
        <v>0</v>
      </c>
      <c r="O107" s="295">
        <f t="shared" si="47"/>
        <v>13213805.920000002</v>
      </c>
      <c r="Q107" s="306"/>
      <c r="S107" s="314">
        <v>4</v>
      </c>
      <c r="T107" s="315" t="s">
        <v>13</v>
      </c>
      <c r="U107" s="316">
        <f t="shared" si="44"/>
        <v>1616456.85</v>
      </c>
      <c r="V107" s="317">
        <f t="shared" si="44"/>
        <v>1554506.5000000002</v>
      </c>
      <c r="W107" s="317">
        <f t="shared" si="44"/>
        <v>7365853.3999999994</v>
      </c>
      <c r="X107" s="317">
        <f t="shared" si="44"/>
        <v>3781775.6099999994</v>
      </c>
      <c r="Y107" s="318">
        <f t="shared" si="44"/>
        <v>216126.31</v>
      </c>
      <c r="Z107" s="319">
        <f t="shared" si="44"/>
        <v>0</v>
      </c>
      <c r="AA107" s="320">
        <f t="shared" si="44"/>
        <v>37.700000000000003</v>
      </c>
      <c r="AB107" s="294">
        <f t="shared" si="44"/>
        <v>0</v>
      </c>
      <c r="AC107" s="320">
        <f t="shared" si="44"/>
        <v>0</v>
      </c>
      <c r="AD107" s="291">
        <f t="shared" si="48"/>
        <v>-1320950.45</v>
      </c>
      <c r="AE107" s="291">
        <f>AE12+AE31+AE50+AE69+AE88</f>
        <v>-1320950.45</v>
      </c>
      <c r="AF107" s="322">
        <f>SUM(U107:AD107)</f>
        <v>13213805.92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49138692.039999999</v>
      </c>
      <c r="E109" s="290">
        <f t="shared" si="49"/>
        <v>3856043.77</v>
      </c>
      <c r="F109" s="290">
        <f t="shared" si="49"/>
        <v>2126405.21</v>
      </c>
      <c r="G109" s="290">
        <f t="shared" si="49"/>
        <v>874802.11999999988</v>
      </c>
      <c r="H109" s="290">
        <f t="shared" si="49"/>
        <v>16519338.57</v>
      </c>
      <c r="I109" s="290">
        <f t="shared" si="49"/>
        <v>543276.34000000008</v>
      </c>
      <c r="J109" s="290">
        <f t="shared" si="49"/>
        <v>0</v>
      </c>
      <c r="K109" s="300">
        <f t="shared" si="49"/>
        <v>25218826.030000001</v>
      </c>
      <c r="L109" s="301">
        <f t="shared" si="49"/>
        <v>0</v>
      </c>
      <c r="M109" s="302">
        <f t="shared" si="49"/>
        <v>25218826.030000001</v>
      </c>
      <c r="N109" s="301">
        <f t="shared" si="49"/>
        <v>0</v>
      </c>
      <c r="O109" s="302">
        <f t="shared" si="49"/>
        <v>25218826.030000001</v>
      </c>
      <c r="P109" s="329"/>
      <c r="Q109" s="306"/>
      <c r="S109" s="327"/>
      <c r="T109" s="328" t="s">
        <v>2</v>
      </c>
      <c r="U109" s="330">
        <f>SUM(U104:U108)</f>
        <v>4774649.3100000005</v>
      </c>
      <c r="V109" s="330">
        <f t="shared" ref="V109:AF109" si="50">SUM(V104:V108)</f>
        <v>4777305.33</v>
      </c>
      <c r="W109" s="330">
        <f t="shared" si="50"/>
        <v>20344744.489999998</v>
      </c>
      <c r="X109" s="330">
        <f t="shared" si="50"/>
        <v>8640766.8099999987</v>
      </c>
      <c r="Y109" s="330">
        <f t="shared" si="50"/>
        <v>689144.56</v>
      </c>
      <c r="Z109" s="290">
        <f t="shared" si="50"/>
        <v>0</v>
      </c>
      <c r="AA109" s="290">
        <f t="shared" si="50"/>
        <v>-34.129999999999995</v>
      </c>
      <c r="AB109" s="290">
        <f t="shared" si="50"/>
        <v>0</v>
      </c>
      <c r="AC109" s="290">
        <f t="shared" si="50"/>
        <v>-0.12</v>
      </c>
      <c r="AD109" s="290">
        <f t="shared" si="50"/>
        <v>-14007750.219999999</v>
      </c>
      <c r="AE109" s="290">
        <f>SUM(AE104:AE108)</f>
        <v>-14007750.219999999</v>
      </c>
      <c r="AF109" s="331">
        <f t="shared" si="50"/>
        <v>25218826.030000001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39226610.5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9710980</v>
      </c>
      <c r="E126" s="74">
        <v>0</v>
      </c>
      <c r="G126" s="339">
        <f>D48+N48</f>
        <v>0</v>
      </c>
      <c r="H126" s="340">
        <f>D29+N29</f>
        <v>17903228.469999999</v>
      </c>
      <c r="I126" s="288">
        <f>D86+N86</f>
        <v>506855.36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4481330</v>
      </c>
      <c r="E128" s="74">
        <v>0</v>
      </c>
      <c r="G128" s="339">
        <f>D50+N50</f>
        <v>232870</v>
      </c>
      <c r="H128" s="340">
        <f>D31+N31</f>
        <v>17013703.73</v>
      </c>
      <c r="I128" s="288">
        <f>D88+N88</f>
        <v>318314.48</v>
      </c>
      <c r="J128" s="288">
        <f t="shared" si="51"/>
        <v>-549540</v>
      </c>
      <c r="K128" s="288">
        <f>'ANTICIPOS USUARIOS'!F15</f>
        <v>316670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14192310</v>
      </c>
      <c r="E131" s="107">
        <f>SUM(E125:E130)</f>
        <v>0</v>
      </c>
      <c r="F131" s="45"/>
      <c r="G131" s="350">
        <f t="shared" ref="G131" si="52">SUM(G125:G129)</f>
        <v>232870</v>
      </c>
      <c r="H131" s="350">
        <f>SUM(H125:H130)</f>
        <v>34916932.200000003</v>
      </c>
      <c r="I131" s="350">
        <f>SUM(I125:I130)</f>
        <v>825169.84</v>
      </c>
      <c r="J131" s="350">
        <f>SUM(J125:J130)</f>
        <v>-549540</v>
      </c>
      <c r="K131" s="350">
        <f>SUM(K125:K130)</f>
        <v>316670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37471273.829999998</v>
      </c>
      <c r="E143" s="18">
        <f>'Recaudo EAAB Reciprocidad'!F22</f>
        <v>19061190</v>
      </c>
      <c r="F143" s="18">
        <f>D29+N29</f>
        <v>17903228.469999999</v>
      </c>
      <c r="G143" s="18">
        <f>D67+N67</f>
        <v>0</v>
      </c>
      <c r="H143" s="18">
        <f>D86+N86</f>
        <v>506855.36</v>
      </c>
      <c r="I143" s="18">
        <f>('REPORTE RECAUDO x BANCO'!E64)</f>
        <v>0</v>
      </c>
      <c r="J143" s="18">
        <f t="shared" si="53"/>
        <v>0</v>
      </c>
      <c r="K143" s="83">
        <f t="shared" si="53"/>
        <v>17903228.469999999</v>
      </c>
      <c r="L143" s="597">
        <f>D143-E143-F143-G143-J143-H143-I143</f>
        <v>-5.8207660913467407E-10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25859728.210000001</v>
      </c>
      <c r="E145" s="18">
        <f>'Recaudo EAAB Reciprocidad'!F24</f>
        <v>8844380</v>
      </c>
      <c r="F145" s="18">
        <f>D31+N31</f>
        <v>17013703.73</v>
      </c>
      <c r="G145" s="18">
        <f>D69+N69</f>
        <v>-549540</v>
      </c>
      <c r="H145" s="18">
        <f>D88+N88</f>
        <v>318314.48</v>
      </c>
      <c r="I145" s="18">
        <f>('REPORTE RECAUDO x BANCO'!E69)</f>
        <v>0</v>
      </c>
      <c r="J145" s="18">
        <f t="shared" si="53"/>
        <v>232870</v>
      </c>
      <c r="K145" s="83">
        <f t="shared" si="53"/>
        <v>17013703.73</v>
      </c>
      <c r="L145" s="597">
        <f>D145-E145-F145-G145-J145-H145-I145</f>
        <v>4.6566128730773926E-10</v>
      </c>
      <c r="M145" s="1" t="b">
        <f t="shared" si="54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63331002.039999999</v>
      </c>
      <c r="E147" s="47">
        <f>SUM(E142:E146)</f>
        <v>27905570</v>
      </c>
      <c r="F147" s="47">
        <f t="shared" ref="F147:K147" si="55">SUM(F142:F146)</f>
        <v>34916932.200000003</v>
      </c>
      <c r="G147" s="47">
        <f t="shared" si="55"/>
        <v>-549540</v>
      </c>
      <c r="H147" s="47">
        <f t="shared" si="55"/>
        <v>825169.84</v>
      </c>
      <c r="I147" s="47">
        <f t="shared" si="55"/>
        <v>0</v>
      </c>
      <c r="J147" s="47">
        <f t="shared" si="55"/>
        <v>232870</v>
      </c>
      <c r="K147" s="47">
        <f t="shared" si="55"/>
        <v>34916932.200000003</v>
      </c>
      <c r="L147" s="597">
        <f>SUM(L142:L146)</f>
        <v>-1.1641532182693481E-10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19061190</v>
      </c>
      <c r="D4" s="292">
        <f>'REMUNERACION Reciprocidad EAAB'!G126</f>
        <v>0</v>
      </c>
      <c r="E4" s="292">
        <f>'REMUNERACION Reciprocidad EAAB'!D29+'REMUNERACION Reciprocidad EAAB'!N29</f>
        <v>17903228.469999999</v>
      </c>
      <c r="F4" s="292">
        <f>'REMUNERACION Reciprocidad EAAB'!I143</f>
        <v>0</v>
      </c>
      <c r="G4" s="292">
        <f>'REMUNERACION Reciprocidad EAAB'!H143</f>
        <v>506855.36</v>
      </c>
      <c r="H4" s="340">
        <f t="shared" ref="H4:H8" si="1">SUM(C4:G4)</f>
        <v>37471273.829999998</v>
      </c>
      <c r="I4" s="291">
        <f>'REMUNERACION Reciprocidad EAAB'!D105</f>
        <v>27760293.829999998</v>
      </c>
      <c r="J4" s="292">
        <f>'REMUNERACION Reciprocidad EAAB'!N105</f>
        <v>0</v>
      </c>
      <c r="K4" s="292">
        <f>'REMUNERACION Reciprocidad EAAB'!D126</f>
        <v>9710980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37471273.829999998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8844380</v>
      </c>
      <c r="D6" s="292">
        <f>'REMUNERACION Reciprocidad EAAB'!G128</f>
        <v>232870</v>
      </c>
      <c r="E6" s="292">
        <f>'REMUNERACION Reciprocidad EAAB'!D31+'REMUNERACION Reciprocidad EAAB'!N31</f>
        <v>17013703.73</v>
      </c>
      <c r="F6" s="292">
        <f>'REMUNERACION Reciprocidad EAAB'!I145</f>
        <v>0</v>
      </c>
      <c r="G6" s="292">
        <f>'REMUNERACION Reciprocidad EAAB'!H145</f>
        <v>318314.48</v>
      </c>
      <c r="H6" s="340">
        <f t="shared" si="1"/>
        <v>26409268.210000001</v>
      </c>
      <c r="I6" s="291">
        <f>'REMUNERACION Reciprocidad EAAB'!D107</f>
        <v>21378398.210000001</v>
      </c>
      <c r="J6" s="292">
        <f>'REMUNERACION Reciprocidad EAAB'!N107</f>
        <v>0</v>
      </c>
      <c r="K6" s="292">
        <f>'REMUNERACION Reciprocidad EAAB'!D128</f>
        <v>4481330</v>
      </c>
      <c r="L6" s="353">
        <f>'REMUNERACION Reciprocidad EAAB'!E128</f>
        <v>0</v>
      </c>
      <c r="M6" s="292">
        <f>-'REMUNERACION Reciprocidad EAAB'!D69-'REMUNERACION Reciprocidad EAAB'!N69</f>
        <v>549540</v>
      </c>
      <c r="N6" s="318">
        <f t="shared" ref="N6:N7" si="3">SUM(I6:M6)</f>
        <v>26409268.210000001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27905570</v>
      </c>
      <c r="D9" s="290">
        <f t="shared" ref="D9:M9" si="4">SUM(D3:D8)</f>
        <v>232870</v>
      </c>
      <c r="E9" s="290">
        <f>SUM(E3:E8)</f>
        <v>34916932.200000003</v>
      </c>
      <c r="F9" s="290">
        <f t="shared" si="4"/>
        <v>0</v>
      </c>
      <c r="G9" s="290">
        <f t="shared" si="4"/>
        <v>825169.84</v>
      </c>
      <c r="H9" s="290">
        <f t="shared" si="4"/>
        <v>63880542.039999999</v>
      </c>
      <c r="I9" s="290">
        <f t="shared" si="4"/>
        <v>49138692.039999999</v>
      </c>
      <c r="J9" s="290">
        <f t="shared" si="4"/>
        <v>0</v>
      </c>
      <c r="K9" s="290">
        <f t="shared" si="4"/>
        <v>14192310</v>
      </c>
      <c r="L9" s="290">
        <f t="shared" si="4"/>
        <v>0</v>
      </c>
      <c r="M9" s="290">
        <f t="shared" si="4"/>
        <v>549540</v>
      </c>
      <c r="N9" s="290">
        <f>SUM(N3:N8)</f>
        <v>63880542.039999999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27905570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9.777343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46267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46250</v>
      </c>
      <c r="J7" s="2" t="s">
        <v>28</v>
      </c>
      <c r="K7" s="9">
        <f>'REMUNERACION Reciprocidad EAAB'!K102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27760293.829999998</v>
      </c>
      <c r="E10" s="66">
        <f>'REMUNERACION Reciprocidad EAAB'!E105</f>
        <v>2451771.12</v>
      </c>
      <c r="F10" s="66">
        <f>'REMUNERACION Reciprocidad EAAB'!F105</f>
        <v>1344832.79</v>
      </c>
      <c r="G10" s="66">
        <f>'REMUNERACION Reciprocidad EAAB'!G105</f>
        <v>556057.96</v>
      </c>
      <c r="H10" s="66">
        <f>'REMUNERACION Reciprocidad EAAB'!H105</f>
        <v>11035302.6</v>
      </c>
      <c r="I10" s="66">
        <f>'REMUNERACION Reciprocidad EAAB'!I105</f>
        <v>367309.25</v>
      </c>
      <c r="J10" s="66">
        <f>'REMUNERACION Reciprocidad EAAB'!J105</f>
        <v>0</v>
      </c>
      <c r="K10" s="31">
        <f t="shared" ref="K10:K13" si="0">D10-E10-F10-G10-H10-I10-J10</f>
        <v>12005020.109999998</v>
      </c>
      <c r="L10" s="66">
        <f>'REMUNERACION Reciprocidad EAAB'!L105</f>
        <v>0</v>
      </c>
      <c r="M10" s="31">
        <f>K10-L10</f>
        <v>12005020.109999998</v>
      </c>
      <c r="N10" s="66">
        <f>'REMUNERACION Reciprocidad EAAB'!N105</f>
        <v>0</v>
      </c>
      <c r="O10" s="31">
        <f t="shared" ref="O10:O13" si="1">M10+N10</f>
        <v>12005020.109999998</v>
      </c>
      <c r="Q10" s="4"/>
      <c r="S10" s="16">
        <v>2</v>
      </c>
      <c r="T10" s="62" t="s">
        <v>11</v>
      </c>
      <c r="U10" s="66">
        <f>'REMUNERACION Reciprocidad EAAB'!U105</f>
        <v>3158192.46</v>
      </c>
      <c r="V10" s="66">
        <f>'REMUNERACION Reciprocidad EAAB'!V105</f>
        <v>3222798.83</v>
      </c>
      <c r="W10" s="66">
        <f>'REMUNERACION Reciprocidad EAAB'!W105</f>
        <v>12978891.09</v>
      </c>
      <c r="X10" s="66">
        <f>'REMUNERACION Reciprocidad EAAB'!X105</f>
        <v>4858991.2</v>
      </c>
      <c r="Y10" s="66">
        <f>'REMUNERACION Reciprocidad EAAB'!Y105</f>
        <v>473018.25</v>
      </c>
      <c r="Z10" s="66">
        <f>'REMUNERACION Reciprocidad EAAB'!Z105</f>
        <v>0</v>
      </c>
      <c r="AA10" s="66">
        <f>'REMUNERACION Reciprocidad EAAB'!AA105</f>
        <v>-71.83</v>
      </c>
      <c r="AB10" s="66">
        <f>'REMUNERACION Reciprocidad EAAB'!AB105</f>
        <v>0</v>
      </c>
      <c r="AC10" s="66">
        <f>'REMUNERACION Reciprocidad EAAB'!AC105</f>
        <v>-0.12</v>
      </c>
      <c r="AD10" s="66">
        <f>'REMUNERACION Reciprocidad EAAB'!AD105</f>
        <v>-12686799.77</v>
      </c>
      <c r="AE10" s="66">
        <f>'REMUNERACION Reciprocidad EAAB'!AE105</f>
        <v>-12686799.77</v>
      </c>
      <c r="AF10" s="70">
        <f>SUM(U10:AD10)</f>
        <v>12005020.109999999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21378398.210000001</v>
      </c>
      <c r="E12" s="66">
        <f>'REMUNERACION Reciprocidad EAAB'!E107</f>
        <v>1404272.65</v>
      </c>
      <c r="F12" s="66">
        <f>'REMUNERACION Reciprocidad EAAB'!F107</f>
        <v>781572.42</v>
      </c>
      <c r="G12" s="66">
        <f>'REMUNERACION Reciprocidad EAAB'!G107</f>
        <v>318744.15999999997</v>
      </c>
      <c r="H12" s="66">
        <f>'REMUNERACION Reciprocidad EAAB'!H107</f>
        <v>5484035.9699999997</v>
      </c>
      <c r="I12" s="66">
        <f>'REMUNERACION Reciprocidad EAAB'!I107</f>
        <v>175967.09000000003</v>
      </c>
      <c r="J12" s="66">
        <f>'REMUNERACION Reciprocidad EAAB'!J107</f>
        <v>0</v>
      </c>
      <c r="K12" s="31">
        <f t="shared" si="0"/>
        <v>13213805.920000002</v>
      </c>
      <c r="L12" s="66">
        <f>'REMUNERACION Reciprocidad EAAB'!L107</f>
        <v>0</v>
      </c>
      <c r="M12" s="31">
        <f>K12-L12</f>
        <v>13213805.920000002</v>
      </c>
      <c r="N12" s="66">
        <f>'REMUNERACION Reciprocidad EAAB'!N107</f>
        <v>0</v>
      </c>
      <c r="O12" s="31">
        <f t="shared" si="1"/>
        <v>13213805.920000002</v>
      </c>
      <c r="Q12" s="4"/>
      <c r="S12" s="16">
        <v>4</v>
      </c>
      <c r="T12" s="62" t="s">
        <v>13</v>
      </c>
      <c r="U12" s="66">
        <f>'REMUNERACION Reciprocidad EAAB'!U107</f>
        <v>1616456.85</v>
      </c>
      <c r="V12" s="66">
        <f>'REMUNERACION Reciprocidad EAAB'!V107</f>
        <v>1554506.5000000002</v>
      </c>
      <c r="W12" s="66">
        <f>'REMUNERACION Reciprocidad EAAB'!W107</f>
        <v>7365853.3999999994</v>
      </c>
      <c r="X12" s="66">
        <f>'REMUNERACION Reciprocidad EAAB'!X107</f>
        <v>3781775.6099999994</v>
      </c>
      <c r="Y12" s="66">
        <f>'REMUNERACION Reciprocidad EAAB'!Y107</f>
        <v>216126.31</v>
      </c>
      <c r="Z12" s="66">
        <f>'REMUNERACION Reciprocidad EAAB'!Z107</f>
        <v>0</v>
      </c>
      <c r="AA12" s="66">
        <f>'REMUNERACION Reciprocidad EAAB'!AA107</f>
        <v>37.700000000000003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-1320950.45</v>
      </c>
      <c r="AE12" s="66">
        <f>'REMUNERACION Reciprocidad EAAB'!AE107</f>
        <v>-1320950.45</v>
      </c>
      <c r="AF12" s="70">
        <f>SUM(U12:AD12)</f>
        <v>13213805.92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49138692.039999999</v>
      </c>
      <c r="E14" s="43">
        <f t="shared" si="3"/>
        <v>3856043.77</v>
      </c>
      <c r="F14" s="43">
        <f t="shared" si="3"/>
        <v>2126405.21</v>
      </c>
      <c r="G14" s="43">
        <f t="shared" si="3"/>
        <v>874802.11999999988</v>
      </c>
      <c r="H14" s="43">
        <f t="shared" si="3"/>
        <v>16519338.57</v>
      </c>
      <c r="I14" s="43">
        <f t="shared" si="3"/>
        <v>543276.34000000008</v>
      </c>
      <c r="J14" s="43">
        <f t="shared" si="3"/>
        <v>0</v>
      </c>
      <c r="K14" s="32">
        <f t="shared" si="3"/>
        <v>25218826.030000001</v>
      </c>
      <c r="L14" s="23">
        <f t="shared" si="3"/>
        <v>0</v>
      </c>
      <c r="M14" s="76">
        <f t="shared" si="3"/>
        <v>25218826.030000001</v>
      </c>
      <c r="N14" s="23">
        <f t="shared" si="3"/>
        <v>0</v>
      </c>
      <c r="O14" s="76">
        <f t="shared" si="3"/>
        <v>25218826.030000001</v>
      </c>
      <c r="P14" s="2"/>
      <c r="Q14" s="4"/>
      <c r="S14" s="21"/>
      <c r="T14" s="22" t="s">
        <v>2</v>
      </c>
      <c r="U14" s="43">
        <f>SUM(U9:U13)</f>
        <v>4774649.3100000005</v>
      </c>
      <c r="V14" s="43">
        <f t="shared" ref="V14:AG14" si="4">SUM(V9:V13)</f>
        <v>4777305.33</v>
      </c>
      <c r="W14" s="43">
        <f t="shared" si="4"/>
        <v>20344744.489999998</v>
      </c>
      <c r="X14" s="43">
        <f t="shared" si="4"/>
        <v>8640766.8099999987</v>
      </c>
      <c r="Y14" s="43">
        <f t="shared" si="4"/>
        <v>689144.56</v>
      </c>
      <c r="Z14" s="43">
        <f t="shared" si="4"/>
        <v>0</v>
      </c>
      <c r="AA14" s="43">
        <f t="shared" si="4"/>
        <v>-34.129999999999995</v>
      </c>
      <c r="AB14" s="43">
        <f t="shared" si="4"/>
        <v>0</v>
      </c>
      <c r="AC14" s="43">
        <f t="shared" si="4"/>
        <v>-0.12</v>
      </c>
      <c r="AD14" s="43">
        <f t="shared" si="4"/>
        <v>-14007750.219999999</v>
      </c>
      <c r="AE14" s="43">
        <f>SUM(AE9:AE13)</f>
        <v>-14007750.219999999</v>
      </c>
      <c r="AF14" s="68">
        <f t="shared" si="4"/>
        <v>25218826.030000001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39226610.5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46250</v>
      </c>
      <c r="J27" s="2" t="s">
        <v>28</v>
      </c>
      <c r="K27" s="9">
        <f>'REMUNERACION Reciprocidad EAAB'!K122</f>
        <v>46265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9710980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17903228.469999999</v>
      </c>
      <c r="I31" s="288">
        <f>'REMUNERACION Reciprocidad EAAB'!I126</f>
        <v>506855.36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4481330</v>
      </c>
      <c r="E33" s="74">
        <f>'REMUNERACION Reciprocidad EAAB'!E128</f>
        <v>0</v>
      </c>
      <c r="G33" s="339">
        <f>'REMUNERACION Reciprocidad EAAB'!G128</f>
        <v>232870</v>
      </c>
      <c r="H33" s="340">
        <f>'REMUNERACION Reciprocidad EAAB'!H128</f>
        <v>17013703.73</v>
      </c>
      <c r="I33" s="288">
        <f>'REMUNERACION Reciprocidad EAAB'!I128</f>
        <v>318314.48</v>
      </c>
      <c r="J33" s="288">
        <f>'REMUNERACION Reciprocidad EAAB'!J128</f>
        <v>-549540</v>
      </c>
      <c r="K33" s="288">
        <f>'REMUNERACION Reciprocidad EAAB'!K128</f>
        <v>316670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14192310</v>
      </c>
      <c r="E36" s="107">
        <f>'REMUNERACION Reciprocidad EAAB'!E131</f>
        <v>0</v>
      </c>
      <c r="F36" s="45"/>
      <c r="G36" s="350">
        <f t="shared" ref="G36:L36" si="5">SUM(G30:G34)</f>
        <v>232870</v>
      </c>
      <c r="H36" s="350">
        <f t="shared" si="5"/>
        <v>34916932.200000003</v>
      </c>
      <c r="I36" s="350">
        <f t="shared" si="5"/>
        <v>825169.84</v>
      </c>
      <c r="J36" s="350">
        <f t="shared" si="5"/>
        <v>-549540</v>
      </c>
      <c r="K36" s="350">
        <f t="shared" si="5"/>
        <v>316670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6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77734375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R1'!F60</f>
        <v>17429101725.470001</v>
      </c>
      <c r="E9" s="292">
        <f>'Reporte Componentes R1'!G60</f>
        <v>875860927.26999998</v>
      </c>
      <c r="F9" s="292">
        <f>'Reporte Componentes R1'!H60</f>
        <v>493856212.73000002</v>
      </c>
      <c r="G9" s="292">
        <f>'Reporte Componentes R1'!I60</f>
        <v>259752191.41</v>
      </c>
      <c r="H9" s="292">
        <f>'Reporte Componentes R1'!J60</f>
        <v>4121495650.8800001</v>
      </c>
      <c r="I9" s="292">
        <f>'Reporte Componentes R1'!K60</f>
        <v>154452275.31999999</v>
      </c>
      <c r="J9" s="292">
        <f>'CONSOLIDADO_TOTAL RECAUDO'!J9</f>
        <v>-3610213749.2700005</v>
      </c>
      <c r="K9" s="293">
        <f>D9-E9-F9-G9-H9-I9-J9</f>
        <v>15133898217.130001</v>
      </c>
      <c r="L9" s="294">
        <f>'CONSOLIDADO_TOTAL RECAUDO'!L9</f>
        <v>189185988</v>
      </c>
      <c r="M9" s="293">
        <f>K9-L9</f>
        <v>14944712229.130001</v>
      </c>
      <c r="N9" s="294">
        <f>'Reporte Componentes R1'!L60</f>
        <v>16025688.529999999</v>
      </c>
      <c r="O9" s="293">
        <f>M9+N9</f>
        <v>14960737917.660002</v>
      </c>
      <c r="Q9" s="306"/>
      <c r="S9" s="303">
        <v>1</v>
      </c>
      <c r="T9" s="304" t="s">
        <v>10</v>
      </c>
      <c r="U9" s="307">
        <f>'Reporte Componentes R1'!M60</f>
        <v>1357918672.25</v>
      </c>
      <c r="V9" s="308">
        <f>'Reporte Componentes R1'!N60</f>
        <v>1287823319.1600001</v>
      </c>
      <c r="W9" s="308">
        <f>'Reporte Componentes R1'!O60</f>
        <v>6095052138.9799995</v>
      </c>
      <c r="X9" s="308">
        <f>'Reporte Componentes R1'!P60</f>
        <v>2378859849.9200001</v>
      </c>
      <c r="Y9" s="309">
        <f>'Reporte Componentes R1'!Q60</f>
        <v>252132547.08000001</v>
      </c>
      <c r="Z9" s="310">
        <f>L9*-1</f>
        <v>-189185988</v>
      </c>
      <c r="AA9" s="311">
        <f>'Reporte Componentes R1'!R60+'Reporte Componentes R1'!V60+'Reporte Componentes R1'!U60</f>
        <v>3410.22</v>
      </c>
      <c r="AB9" s="294">
        <f>N9</f>
        <v>16025688.529999999</v>
      </c>
      <c r="AC9" s="311">
        <f>'Reporte Componentes R1'!T60+'Reporte Componentes R1'!W60+'Reporte Componentes R1'!X60+'Reporte Componentes R1'!Y60+'Reporte Componentes R1'!Z60+'Reporte Componentes R1'!S60</f>
        <v>301.08999999999997</v>
      </c>
      <c r="AD9" s="291">
        <f>-J9+AE9</f>
        <v>3762107978.4300003</v>
      </c>
      <c r="AE9" s="291">
        <f>'Reporte Componentes R1'!F61</f>
        <v>151894229.16</v>
      </c>
      <c r="AF9" s="313">
        <f>SUM(U9:AD9)</f>
        <v>14960737917.66</v>
      </c>
      <c r="AG9" s="311">
        <f>(AF9-O9)</f>
        <v>-1.9073486328125E-6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R1'!F204</f>
        <v>19237658087.829998</v>
      </c>
      <c r="E10" s="292">
        <f>'Reporte Componentes R1'!G204</f>
        <v>1376362139.54</v>
      </c>
      <c r="F10" s="292">
        <f>'Reporte Componentes R1'!H204</f>
        <v>767168800.38</v>
      </c>
      <c r="G10" s="292">
        <f>'Reporte Componentes R1'!I204</f>
        <v>400096513.01999998</v>
      </c>
      <c r="H10" s="292">
        <f>'Reporte Componentes R1'!J204</f>
        <v>6454701906.9200001</v>
      </c>
      <c r="I10" s="292">
        <f>'Reporte Componentes R1'!K204</f>
        <v>216256156.32999998</v>
      </c>
      <c r="J10" s="292">
        <f>'CONSOLIDADO_TOTAL RECAUDO'!J10</f>
        <v>-4289876341.3299999</v>
      </c>
      <c r="K10" s="295">
        <f>D10-E10-F10-G10-H10-I10-J10</f>
        <v>14312948912.969997</v>
      </c>
      <c r="L10" s="294">
        <f>'CONSOLIDADO_TOTAL RECAUDO'!L10</f>
        <v>266580256</v>
      </c>
      <c r="M10" s="295">
        <f>K10-L10</f>
        <v>14046368656.969997</v>
      </c>
      <c r="N10" s="294">
        <f>'Reporte Componentes R1'!L204</f>
        <v>22433142.949999999</v>
      </c>
      <c r="O10" s="295">
        <f t="shared" ref="O10:O12" si="0">M10+N10</f>
        <v>14068801799.919998</v>
      </c>
      <c r="Q10" s="306"/>
      <c r="S10" s="314">
        <v>2</v>
      </c>
      <c r="T10" s="315" t="s">
        <v>11</v>
      </c>
      <c r="U10" s="316">
        <f>'Reporte Componentes R1'!M204</f>
        <v>1897708182.3199999</v>
      </c>
      <c r="V10" s="317">
        <f>'Reporte Componentes R1'!N204</f>
        <v>1865328482.71</v>
      </c>
      <c r="W10" s="317">
        <f>'Reporte Componentes R1'!O204</f>
        <v>8775288516.6299992</v>
      </c>
      <c r="X10" s="317">
        <f>'Reporte Componentes R1'!P204</f>
        <v>2706193882.2199998</v>
      </c>
      <c r="Y10" s="318">
        <f>'Reporte Componentes R1'!Q204</f>
        <v>353284571.57999998</v>
      </c>
      <c r="Z10" s="319">
        <f>L10*-1</f>
        <v>-266580256</v>
      </c>
      <c r="AA10" s="320">
        <f>'Reporte Componentes R1'!R204+'Reporte Componentes R1'!V204+'Reporte Componentes R1'!U204</f>
        <v>-217778.95</v>
      </c>
      <c r="AB10" s="294">
        <f>N10</f>
        <v>22433142.949999999</v>
      </c>
      <c r="AC10" s="320">
        <f>'Reporte Componentes R1'!T204+'Reporte Componentes R1'!W204+'Reporte Componentes R1'!X204+'Reporte Componentes R1'!Y204+'Reporte Componentes R1'!Z204+'Reporte Componentes R1'!S204</f>
        <v>28.149999999999995</v>
      </c>
      <c r="AD10" s="291">
        <f t="shared" ref="AD10:AD13" si="1">-J10+AE10</f>
        <v>-1284636971.6900005</v>
      </c>
      <c r="AE10" s="291">
        <f>'Reporte Componentes R1'!F205</f>
        <v>-5574513313.0200005</v>
      </c>
      <c r="AF10" s="322">
        <f>SUM(U10:AD10)</f>
        <v>14068801799.919998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R1'!F335</f>
        <v>15104590625.32</v>
      </c>
      <c r="E11" s="292">
        <f>'Reporte Componentes R1'!G335</f>
        <v>977178527.63</v>
      </c>
      <c r="F11" s="292">
        <f>'Reporte Componentes R1'!H335</f>
        <v>551056280.5</v>
      </c>
      <c r="G11" s="292">
        <f>'Reporte Componentes R1'!I335</f>
        <v>289431584.65999997</v>
      </c>
      <c r="H11" s="292">
        <f>'Reporte Componentes R1'!J335</f>
        <v>4499851534.6700001</v>
      </c>
      <c r="I11" s="292">
        <f>'Reporte Componentes R1'!K335</f>
        <v>125648191.51000001</v>
      </c>
      <c r="J11" s="292">
        <f>'CONSOLIDADO_TOTAL RECAUDO'!J11</f>
        <v>-829262233.29999995</v>
      </c>
      <c r="K11" s="295">
        <f t="shared" ref="K11:K13" si="3">D11-E11-F11-G11-H11-I11-J11</f>
        <v>9490686739.6499996</v>
      </c>
      <c r="L11" s="294">
        <f>'CONSOLIDADO_TOTAL RECAUDO'!L11</f>
        <v>154788536</v>
      </c>
      <c r="M11" s="295">
        <f>K11-L11</f>
        <v>9335898203.6499996</v>
      </c>
      <c r="N11" s="294">
        <f>'Reporte Componentes R1'!L335</f>
        <v>20303160.68</v>
      </c>
      <c r="O11" s="295">
        <f t="shared" si="0"/>
        <v>9356201364.3299999</v>
      </c>
      <c r="Q11" s="306"/>
      <c r="S11" s="314">
        <v>3</v>
      </c>
      <c r="T11" s="315" t="s">
        <v>12</v>
      </c>
      <c r="U11" s="316">
        <f>'Reporte Componentes R1'!M335</f>
        <v>1101857554.4399998</v>
      </c>
      <c r="V11" s="317">
        <f>'Reporte Componentes R1'!N335</f>
        <v>1069638594.86</v>
      </c>
      <c r="W11" s="317">
        <f>'Reporte Componentes R1'!O335</f>
        <v>5058233706.5500002</v>
      </c>
      <c r="X11" s="317">
        <f>'Reporte Componentes R1'!P335</f>
        <v>2314522158.6800003</v>
      </c>
      <c r="Y11" s="318">
        <f>'Reporte Componentes R1'!Q335</f>
        <v>205051305.75999999</v>
      </c>
      <c r="Z11" s="319">
        <f>L11*-1</f>
        <v>-154788536</v>
      </c>
      <c r="AA11" s="320">
        <f>'Reporte Componentes R1'!R335+'Reporte Componentes R1'!V335+'Reporte Componentes R1'!U335</f>
        <v>117628.53</v>
      </c>
      <c r="AB11" s="294">
        <f>N11</f>
        <v>20303160.68</v>
      </c>
      <c r="AC11" s="320">
        <f>'Reporte Componentes R1'!T335+'Reporte Componentes R1'!W335+'Reporte Componentes R1'!X335+'Reporte Componentes R1'!Y335+'Reporte Componentes R1'!Z335+'Reporte Componentes R1'!S335</f>
        <v>0.62</v>
      </c>
      <c r="AD11" s="291">
        <f t="shared" si="1"/>
        <v>-258734209.78999996</v>
      </c>
      <c r="AE11" s="291">
        <f>'Reporte Componentes R1'!F336</f>
        <v>-1087996443.0899999</v>
      </c>
      <c r="AF11" s="322">
        <f t="shared" ref="AF11:AF13" si="4">SUM(U11:AD11)</f>
        <v>9356201364.3300018</v>
      </c>
      <c r="AG11" s="323">
        <f>(AF11-O11)</f>
        <v>1.9073486328125E-6</v>
      </c>
      <c r="AH11" s="1" t="b">
        <f t="shared" si="2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R1'!F466</f>
        <v>7350642149.9499989</v>
      </c>
      <c r="E12" s="292">
        <f>'Reporte Componentes R1'!G466</f>
        <v>420139473.51999998</v>
      </c>
      <c r="F12" s="292">
        <f>'Reporte Componentes R1'!H466</f>
        <v>235635609.40000001</v>
      </c>
      <c r="G12" s="292">
        <f>'Reporte Componentes R1'!I466</f>
        <v>123998201.97</v>
      </c>
      <c r="H12" s="292">
        <f>'Reporte Componentes R1'!J466</f>
        <v>1964971355.4200001</v>
      </c>
      <c r="I12" s="292">
        <f>'Reporte Componentes R1'!K466</f>
        <v>68960456.140000001</v>
      </c>
      <c r="J12" s="292">
        <f>'CONSOLIDADO_TOTAL RECAUDO'!J12</f>
        <v>-706235925.21000028</v>
      </c>
      <c r="K12" s="295">
        <f>D12-E12-F12-G12-H12-I12-J12</f>
        <v>5243172978.7099981</v>
      </c>
      <c r="L12" s="294">
        <f>'CONSOLIDADO_TOTAL RECAUDO'!L12</f>
        <v>120391083</v>
      </c>
      <c r="M12" s="295">
        <f>K12-L12</f>
        <v>5122781895.7099981</v>
      </c>
      <c r="N12" s="294">
        <f>'Reporte Componentes R1'!L466</f>
        <v>7748276.0499999998</v>
      </c>
      <c r="O12" s="295">
        <f t="shared" si="0"/>
        <v>5130530171.7599983</v>
      </c>
      <c r="Q12" s="306"/>
      <c r="S12" s="314">
        <v>4</v>
      </c>
      <c r="T12" s="315" t="s">
        <v>13</v>
      </c>
      <c r="U12" s="316">
        <f>'Reporte Componentes R1'!M466</f>
        <v>604284320.25</v>
      </c>
      <c r="V12" s="317">
        <f>'Reporte Componentes R1'!N466</f>
        <v>586917406.58000004</v>
      </c>
      <c r="W12" s="317">
        <f>'Reporte Componentes R1'!O466</f>
        <v>2978862335.2800002</v>
      </c>
      <c r="X12" s="317">
        <f>'Reporte Componentes R1'!P466</f>
        <v>1112090421.4099998</v>
      </c>
      <c r="Y12" s="318">
        <f>'Reporte Componentes R1'!Q466</f>
        <v>112534940.54000001</v>
      </c>
      <c r="Z12" s="319">
        <f>L12*-1</f>
        <v>-120391083</v>
      </c>
      <c r="AA12" s="320">
        <f>'Reporte Componentes R1'!R466+'Reporte Componentes R1'!V466+'Reporte Componentes R1'!U466</f>
        <v>-13616.03</v>
      </c>
      <c r="AB12" s="294">
        <f>N12</f>
        <v>7748276.0499999998</v>
      </c>
      <c r="AC12" s="320">
        <f>'Reporte Componentes R1'!T466+'Reporte Componentes R1'!W466+'Reporte Componentes R1'!X466+'Reporte Componentes R1'!Y466+'Reporte Componentes R1'!Z466+'Reporte Componentes R1'!S466</f>
        <v>149.41</v>
      </c>
      <c r="AD12" s="291">
        <f t="shared" si="1"/>
        <v>-151502978.72999978</v>
      </c>
      <c r="AE12" s="291">
        <f>'Reporte Componentes R1'!F467</f>
        <v>-857738903.94000006</v>
      </c>
      <c r="AF12" s="322">
        <f t="shared" si="4"/>
        <v>5130530171.7600012</v>
      </c>
      <c r="AG12" s="323">
        <f>(AF12-O12)</f>
        <v>2.86102294921875E-6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R1'!F564</f>
        <v>11748395433.49</v>
      </c>
      <c r="E13" s="297">
        <f>'Reporte Componentes R1'!G564</f>
        <v>688233068.44000006</v>
      </c>
      <c r="F13" s="297">
        <f>'Reporte Componentes R1'!H564</f>
        <v>387999633.92000002</v>
      </c>
      <c r="G13" s="297">
        <f>'Reporte Componentes R1'!I564</f>
        <v>203982588.58000001</v>
      </c>
      <c r="H13" s="297">
        <f>'Reporte Componentes R1'!J564</f>
        <v>2974728652.5</v>
      </c>
      <c r="I13" s="297">
        <f>'Reporte Componentes R1'!K564</f>
        <v>108115358.51000001</v>
      </c>
      <c r="J13" s="292">
        <f>'CONSOLIDADO_TOTAL RECAUDO'!J13</f>
        <v>-23403941.309999943</v>
      </c>
      <c r="K13" s="295">
        <f t="shared" si="3"/>
        <v>7408740072.8499985</v>
      </c>
      <c r="L13" s="294">
        <f>'CONSOLIDADO_TOTAL RECAUDO'!L13</f>
        <v>128990446</v>
      </c>
      <c r="M13" s="298">
        <f>K13-L13</f>
        <v>7279749626.8499985</v>
      </c>
      <c r="N13" s="299">
        <f>'Reporte Componentes R1'!L564</f>
        <v>8938785.5099999998</v>
      </c>
      <c r="O13" s="298">
        <f>M13+N13</f>
        <v>7288688412.3599987</v>
      </c>
      <c r="Q13" s="306"/>
      <c r="S13" s="324">
        <v>5</v>
      </c>
      <c r="T13" s="325" t="s">
        <v>14</v>
      </c>
      <c r="U13" s="296">
        <f>'Reporte Componentes R1'!M564</f>
        <v>948063969.75999999</v>
      </c>
      <c r="V13" s="297">
        <f>'Reporte Componentes R1'!N564</f>
        <v>918748413.20000005</v>
      </c>
      <c r="W13" s="297">
        <f>'Reporte Componentes R1'!O564</f>
        <v>4764025203.0500002</v>
      </c>
      <c r="X13" s="297">
        <f>'Reporte Componentes R1'!P564</f>
        <v>2081168863.28</v>
      </c>
      <c r="Y13" s="289">
        <f>'Reporte Componentes R1'!Q564</f>
        <v>176441433.71000001</v>
      </c>
      <c r="Z13" s="319">
        <f>L13*-1</f>
        <v>-128990446</v>
      </c>
      <c r="AA13" s="320">
        <f>'Reporte Componentes R1'!R564+'Reporte Componentes R1'!V564+'Reporte Componentes R1'!U564</f>
        <v>-103014</v>
      </c>
      <c r="AB13" s="294">
        <f>N13</f>
        <v>8938785.5099999998</v>
      </c>
      <c r="AC13" s="320">
        <f>'Reporte Componentes R1'!T564+'Reporte Componentes R1'!W564+'Reporte Componentes R1'!X564+'Reporte Componentes R1'!Y564+'Reporte Componentes R1'!Z564+'Reporte Componentes R1'!S564</f>
        <v>5.93</v>
      </c>
      <c r="AD13" s="291">
        <f t="shared" si="1"/>
        <v>-1479604802.0800002</v>
      </c>
      <c r="AE13" s="291">
        <f>'Reporte Componentes R1'!F565</f>
        <v>-1503008743.3900001</v>
      </c>
      <c r="AF13" s="322">
        <f t="shared" si="4"/>
        <v>7288688412.3600006</v>
      </c>
      <c r="AG13" s="326">
        <f>(AF13-O13)</f>
        <v>1.9073486328125E-6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70870388022.059998</v>
      </c>
      <c r="E14" s="290">
        <f t="shared" ref="E14:O14" si="5">SUM(E9:E13)</f>
        <v>4337774136.3999996</v>
      </c>
      <c r="F14" s="290">
        <f t="shared" si="5"/>
        <v>2435716536.9300003</v>
      </c>
      <c r="G14" s="290">
        <f t="shared" si="5"/>
        <v>1277261079.6399999</v>
      </c>
      <c r="H14" s="290">
        <f t="shared" si="5"/>
        <v>20015749100.389999</v>
      </c>
      <c r="I14" s="290">
        <f t="shared" si="5"/>
        <v>673432437.80999994</v>
      </c>
      <c r="J14" s="290">
        <f t="shared" si="5"/>
        <v>-9458992190.4200001</v>
      </c>
      <c r="K14" s="300">
        <f t="shared" si="5"/>
        <v>51589446921.309998</v>
      </c>
      <c r="L14" s="301">
        <f>SUM(L9:L13)</f>
        <v>859936309</v>
      </c>
      <c r="M14" s="302">
        <f t="shared" si="5"/>
        <v>50729510612.309998</v>
      </c>
      <c r="N14" s="301">
        <f t="shared" si="5"/>
        <v>75449053.719999999</v>
      </c>
      <c r="O14" s="302">
        <f t="shared" si="5"/>
        <v>50804959666.029999</v>
      </c>
      <c r="P14" s="329"/>
      <c r="Q14" s="306"/>
      <c r="S14" s="327"/>
      <c r="T14" s="328" t="s">
        <v>2</v>
      </c>
      <c r="U14" s="330">
        <f>SUM(U9:U13)</f>
        <v>5909832699.0199995</v>
      </c>
      <c r="V14" s="330">
        <f t="shared" ref="V14:AF14" si="6">SUM(V9:V13)</f>
        <v>5728456216.5100002</v>
      </c>
      <c r="W14" s="330">
        <f t="shared" si="6"/>
        <v>27671461900.489998</v>
      </c>
      <c r="X14" s="330">
        <f t="shared" si="6"/>
        <v>10592835175.51</v>
      </c>
      <c r="Y14" s="330">
        <f t="shared" si="6"/>
        <v>1099444798.6699998</v>
      </c>
      <c r="Z14" s="290">
        <f t="shared" si="6"/>
        <v>-859936309</v>
      </c>
      <c r="AA14" s="290">
        <f t="shared" si="6"/>
        <v>-213370.23</v>
      </c>
      <c r="AB14" s="290">
        <f t="shared" si="6"/>
        <v>75449053.719999999</v>
      </c>
      <c r="AC14" s="290">
        <f t="shared" si="6"/>
        <v>485.2</v>
      </c>
      <c r="AD14" s="290">
        <f>SUM(AD9:AD13)</f>
        <v>587629016.13999987</v>
      </c>
      <c r="AE14" s="290">
        <f>SUM(AE9:AE13)</f>
        <v>-8871363174.2800007</v>
      </c>
      <c r="AF14" s="331">
        <f t="shared" si="6"/>
        <v>50804959666.030006</v>
      </c>
      <c r="AG14" s="332">
        <f>SUM(AG9:AG13)</f>
        <v>4.76837158203125E-6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51002030790.199997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R2'!E49</f>
        <v>51577465.860000007</v>
      </c>
      <c r="E28" s="292">
        <f>'Rem. Anticipos R2'!F49</f>
        <v>3508940.08</v>
      </c>
      <c r="F28" s="292">
        <f>'Rem. Anticipos R2'!G49</f>
        <v>1937384.68</v>
      </c>
      <c r="G28" s="292">
        <f>'Rem. Anticipos R2'!H49</f>
        <v>1197161.24</v>
      </c>
      <c r="H28" s="292">
        <f>'Rem. Anticipos R2'!I49</f>
        <v>11381305.140000001</v>
      </c>
      <c r="I28" s="292">
        <f>'Rem. Anticipos R2'!J49</f>
        <v>443440.65</v>
      </c>
      <c r="J28" s="289">
        <v>0</v>
      </c>
      <c r="K28" s="293">
        <f>D28-E28-F28-G28-H28-I28-J28</f>
        <v>33109234.070000008</v>
      </c>
      <c r="L28" s="294">
        <v>0</v>
      </c>
      <c r="M28" s="293">
        <f>K28-L28</f>
        <v>33109234.070000008</v>
      </c>
      <c r="N28" s="294">
        <f>'Rem. Anticipos R2'!K49</f>
        <v>144941.68</v>
      </c>
      <c r="O28" s="293">
        <f>M28+N28</f>
        <v>33254175.750000007</v>
      </c>
      <c r="Q28" s="306"/>
      <c r="S28" s="303">
        <v>1</v>
      </c>
      <c r="T28" s="304" t="s">
        <v>10</v>
      </c>
      <c r="U28" s="307">
        <f>'Rem. Anticipos R2'!L49</f>
        <v>5045762.55</v>
      </c>
      <c r="V28" s="308">
        <f>'Rem. Anticipos R2'!M49</f>
        <v>6828379.4699999997</v>
      </c>
      <c r="W28" s="308">
        <f>'Rem. Anticipos R2'!N49</f>
        <v>27656324.690000001</v>
      </c>
      <c r="X28" s="308">
        <f>'Rem. Anticipos R2'!O49</f>
        <v>9809777.75</v>
      </c>
      <c r="Y28" s="309">
        <f>'Rem. Anticipos R2'!P49</f>
        <v>689654.35</v>
      </c>
      <c r="Z28" s="310">
        <f>L28*-1</f>
        <v>0</v>
      </c>
      <c r="AA28" s="311">
        <f>'Rem. Anticipos R2'!Q49</f>
        <v>-857.22</v>
      </c>
      <c r="AB28" s="294">
        <f>N28</f>
        <v>144941.68</v>
      </c>
      <c r="AC28" s="311">
        <f>'Rem. Anticipos R2'!R49</f>
        <v>0</v>
      </c>
      <c r="AD28" s="291">
        <f>-J28+AE28</f>
        <v>-16919807.52</v>
      </c>
      <c r="AE28" s="291">
        <f>'Rem. Anticipos R2'!E50</f>
        <v>-16919807.52</v>
      </c>
      <c r="AF28" s="313">
        <f>SUM(U28:AD28)</f>
        <v>33254175.750000004</v>
      </c>
      <c r="AG28" s="311">
        <f>(AF28-O28)</f>
        <v>-3.7252902984619141E-9</v>
      </c>
      <c r="AH28" s="1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R2'!E146</f>
        <v>33198854.610000003</v>
      </c>
      <c r="E29" s="292">
        <f>'Rem. Anticipos R2'!F146</f>
        <v>2606032.5299999998</v>
      </c>
      <c r="F29" s="292">
        <f>'Rem. Anticipos R2'!G146</f>
        <v>1432109.83</v>
      </c>
      <c r="G29" s="292">
        <f>'Rem. Anticipos R2'!H146</f>
        <v>517082.13</v>
      </c>
      <c r="H29" s="292">
        <f>'Rem. Anticipos R2'!I146</f>
        <v>13410736.699999999</v>
      </c>
      <c r="I29" s="292">
        <f>'Rem. Anticipos R2'!J146</f>
        <v>521699.38</v>
      </c>
      <c r="J29" s="288">
        <v>0</v>
      </c>
      <c r="K29" s="295">
        <f t="shared" ref="K29:K31" si="7">D29-E29-F29-G29-H29-I29-J29</f>
        <v>14711194.040000001</v>
      </c>
      <c r="L29" s="294">
        <v>0</v>
      </c>
      <c r="M29" s="295">
        <f>K29-L29</f>
        <v>14711194.040000001</v>
      </c>
      <c r="N29" s="294">
        <f>'Rem. Anticipos R2'!K146</f>
        <v>28554.959999999999</v>
      </c>
      <c r="O29" s="295">
        <f t="shared" ref="O29:O32" si="8">M29+N29</f>
        <v>14739749.000000002</v>
      </c>
      <c r="Q29" s="306"/>
      <c r="S29" s="314">
        <v>2</v>
      </c>
      <c r="T29" s="315" t="s">
        <v>11</v>
      </c>
      <c r="U29" s="316">
        <f>'Rem. Anticipos R2'!L146</f>
        <v>4095221.27</v>
      </c>
      <c r="V29" s="317">
        <f>'Rem. Anticipos R2'!M146</f>
        <v>4009877.18</v>
      </c>
      <c r="W29" s="317">
        <f>'Rem. Anticipos R2'!N146</f>
        <v>14518024.960000001</v>
      </c>
      <c r="X29" s="317">
        <f>'Rem. Anticipos R2'!O146</f>
        <v>9672018.1199999992</v>
      </c>
      <c r="Y29" s="318">
        <f>'Rem. Anticipos R2'!P146</f>
        <v>580221.22</v>
      </c>
      <c r="Z29" s="319">
        <f>L29*-1</f>
        <v>0</v>
      </c>
      <c r="AA29" s="320">
        <f>'Rem. Anticipos R2'!Q146</f>
        <v>128.56</v>
      </c>
      <c r="AB29" s="294">
        <f>N29</f>
        <v>28554.959999999999</v>
      </c>
      <c r="AC29" s="320">
        <f>'Rem. Anticipos R2'!R146</f>
        <v>0</v>
      </c>
      <c r="AD29" s="291">
        <f>-J29+AE29</f>
        <v>-18164297.27</v>
      </c>
      <c r="AE29" s="291">
        <f>'Rem. Anticipos R2'!E147</f>
        <v>-18164297.27</v>
      </c>
      <c r="AF29" s="322">
        <f>SUM(U29:AD29)</f>
        <v>14739749</v>
      </c>
      <c r="AG29" s="323">
        <f>(AF29-O29)</f>
        <v>-1.862645149230957E-9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R2'!E263</f>
        <v>16822413.16</v>
      </c>
      <c r="E30" s="292">
        <f>'Rem. Anticipos R2'!F263</f>
        <v>1063440.92</v>
      </c>
      <c r="F30" s="292">
        <f>'Rem. Anticipos R2'!G263</f>
        <v>596230.55999999994</v>
      </c>
      <c r="G30" s="292">
        <f>'Rem. Anticipos R2'!H263</f>
        <v>312154.84000000003</v>
      </c>
      <c r="H30" s="292">
        <f>'Rem. Anticipos R2'!I263</f>
        <v>5320075.9899999993</v>
      </c>
      <c r="I30" s="292">
        <f>'Rem. Anticipos R2'!J263</f>
        <v>216143.69999999998</v>
      </c>
      <c r="J30" s="288">
        <v>0</v>
      </c>
      <c r="K30" s="295">
        <f t="shared" si="7"/>
        <v>9314367.1500000022</v>
      </c>
      <c r="L30" s="294">
        <v>0</v>
      </c>
      <c r="M30" s="295">
        <f>K30-L30</f>
        <v>9314367.1500000022</v>
      </c>
      <c r="N30" s="294">
        <f>'Rem. Anticipos R2'!K263</f>
        <v>36736.31</v>
      </c>
      <c r="O30" s="295">
        <f t="shared" si="8"/>
        <v>9351103.4600000028</v>
      </c>
      <c r="Q30" s="306"/>
      <c r="S30" s="314">
        <v>3</v>
      </c>
      <c r="T30" s="315" t="s">
        <v>12</v>
      </c>
      <c r="U30" s="316">
        <f>'Rem. Anticipos R2'!L263</f>
        <v>1574000.6099999999</v>
      </c>
      <c r="V30" s="317">
        <f>'Rem. Anticipos R2'!M263</f>
        <v>1527589.74</v>
      </c>
      <c r="W30" s="317">
        <f>'Rem. Anticipos R2'!N263</f>
        <v>7546094.8399999999</v>
      </c>
      <c r="X30" s="317">
        <f>'Rem. Anticipos R2'!O263</f>
        <v>2504338.44</v>
      </c>
      <c r="Y30" s="318">
        <f>'Rem. Anticipos R2'!P263</f>
        <v>270727.99</v>
      </c>
      <c r="Z30" s="319">
        <f>L30*-1</f>
        <v>0</v>
      </c>
      <c r="AA30" s="320">
        <f>'Rem. Anticipos R2'!Q263</f>
        <v>8.48</v>
      </c>
      <c r="AB30" s="294">
        <f>N30</f>
        <v>36736.31</v>
      </c>
      <c r="AC30" s="320">
        <f>'Rem. Anticipos R2'!R263</f>
        <v>0</v>
      </c>
      <c r="AD30" s="291">
        <f t="shared" ref="AD30:AD32" si="10">-J30+AE30</f>
        <v>-4108392.95</v>
      </c>
      <c r="AE30" s="291">
        <f>'Rem. Anticipos R2'!E264</f>
        <v>-4108392.95</v>
      </c>
      <c r="AF30" s="322">
        <f>SUM(U30:AD30)</f>
        <v>9351103.4600000009</v>
      </c>
      <c r="AG30" s="323">
        <f t="shared" ref="AG30:AG31" si="11">(AF30-O30)</f>
        <v>-1.862645149230957E-9</v>
      </c>
      <c r="AH30" s="1" t="b">
        <f t="shared" si="9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R2'!E366</f>
        <v>59166521.000000007</v>
      </c>
      <c r="E31" s="292">
        <f>'Rem. Anticipos R2'!F366</f>
        <v>3762627.18</v>
      </c>
      <c r="F31" s="292">
        <f>'Rem. Anticipos R2'!G366</f>
        <v>2099293.36</v>
      </c>
      <c r="G31" s="292">
        <f>'Rem. Anticipos R2'!H366</f>
        <v>898643.12</v>
      </c>
      <c r="H31" s="292">
        <f>'Rem. Anticipos R2'!I366</f>
        <v>17923270.23</v>
      </c>
      <c r="I31" s="292">
        <f>'Rem. Anticipos R2'!J366</f>
        <v>688151.13</v>
      </c>
      <c r="J31" s="288">
        <v>0</v>
      </c>
      <c r="K31" s="295">
        <f t="shared" si="7"/>
        <v>33794535.980000012</v>
      </c>
      <c r="L31" s="294">
        <v>0</v>
      </c>
      <c r="M31" s="295">
        <f>K31-L31</f>
        <v>33794535.980000012</v>
      </c>
      <c r="N31" s="294">
        <f>'Rem. Anticipos R2'!K366</f>
        <v>24851.72</v>
      </c>
      <c r="O31" s="295">
        <f t="shared" si="8"/>
        <v>33819387.70000001</v>
      </c>
      <c r="Q31" s="306"/>
      <c r="S31" s="314">
        <v>4</v>
      </c>
      <c r="T31" s="315" t="s">
        <v>13</v>
      </c>
      <c r="U31" s="316">
        <f>'Rem. Anticipos R2'!L366</f>
        <v>6036411.2000000002</v>
      </c>
      <c r="V31" s="317">
        <f>'Rem. Anticipos R2'!M366</f>
        <v>5456269.7599999998</v>
      </c>
      <c r="W31" s="317">
        <f>'Rem. Anticipos R2'!N366</f>
        <v>24877190.890000001</v>
      </c>
      <c r="X31" s="317">
        <f>'Rem. Anticipos R2'!O366</f>
        <v>10342324.48</v>
      </c>
      <c r="Y31" s="318">
        <f>'Rem. Anticipos R2'!P366</f>
        <v>891859.54</v>
      </c>
      <c r="Z31" s="319">
        <f>L31*-1</f>
        <v>0</v>
      </c>
      <c r="AA31" s="320">
        <f>'Rem. Anticipos R2'!Q366</f>
        <v>-195.85</v>
      </c>
      <c r="AB31" s="294">
        <f>N31</f>
        <v>24851.72</v>
      </c>
      <c r="AC31" s="320">
        <f>'Rem. Anticipos R2'!R366</f>
        <v>0</v>
      </c>
      <c r="AD31" s="291">
        <f t="shared" si="10"/>
        <v>-13809324.039999999</v>
      </c>
      <c r="AE31" s="291">
        <f>'Rem. Anticipos R2'!E367</f>
        <v>-13809324.039999999</v>
      </c>
      <c r="AF31" s="322">
        <f>SUM(U31:AD31)</f>
        <v>33819387.699999996</v>
      </c>
      <c r="AG31" s="323">
        <f t="shared" si="11"/>
        <v>-1.4901161193847656E-8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R2'!E446</f>
        <v>17082536.989999998</v>
      </c>
      <c r="E32" s="297">
        <f>'Rem. Anticipos R2'!F446</f>
        <v>1143553.43</v>
      </c>
      <c r="F32" s="297">
        <f>'Rem. Anticipos R2'!G446</f>
        <v>648356.05000000005</v>
      </c>
      <c r="G32" s="297">
        <f>'Rem. Anticipos R2'!H446</f>
        <v>293653.09999999998</v>
      </c>
      <c r="H32" s="297">
        <f>'Rem. Anticipos R2'!I446</f>
        <v>3904455.15</v>
      </c>
      <c r="I32" s="297">
        <f>'Rem. Anticipos R2'!J446</f>
        <v>167751.17000000001</v>
      </c>
      <c r="J32" s="289">
        <v>0</v>
      </c>
      <c r="K32" s="295">
        <f>D32-E32-F32-G32-H32-I32-J32</f>
        <v>10924768.089999998</v>
      </c>
      <c r="L32" s="294">
        <v>0</v>
      </c>
      <c r="M32" s="298">
        <f>K32-L32</f>
        <v>10924768.089999998</v>
      </c>
      <c r="N32" s="299">
        <f>'Rem. Anticipos R2'!K446</f>
        <v>7.53</v>
      </c>
      <c r="O32" s="298">
        <f t="shared" si="8"/>
        <v>10924775.619999997</v>
      </c>
      <c r="Q32" s="306"/>
      <c r="S32" s="324">
        <v>5</v>
      </c>
      <c r="T32" s="325" t="s">
        <v>14</v>
      </c>
      <c r="U32" s="296">
        <f>'Rem. Anticipos R2'!L446</f>
        <v>884427.61</v>
      </c>
      <c r="V32" s="297">
        <f>'Rem. Anticipos R2'!M446</f>
        <v>830446.09</v>
      </c>
      <c r="W32" s="297">
        <f>'Rem. Anticipos R2'!N446</f>
        <v>4428559.68</v>
      </c>
      <c r="X32" s="297">
        <f>'Rem. Anticipos R2'!O446</f>
        <v>3373289.36</v>
      </c>
      <c r="Y32" s="289">
        <f>'Rem. Anticipos R2'!P446</f>
        <v>195587.4</v>
      </c>
      <c r="Z32" s="319">
        <f>L32*-1</f>
        <v>0</v>
      </c>
      <c r="AA32" s="320">
        <f>'Rem. Anticipos R2'!Q446</f>
        <v>-186.71</v>
      </c>
      <c r="AB32" s="294">
        <f>N32</f>
        <v>7.53</v>
      </c>
      <c r="AC32" s="320">
        <f>'Rem. Anticipos R2'!R446</f>
        <v>0</v>
      </c>
      <c r="AD32" s="291">
        <f t="shared" si="10"/>
        <v>1212644.6599999999</v>
      </c>
      <c r="AE32" s="291">
        <f>'Rem. Anticipos R2'!E447</f>
        <v>1212644.6599999999</v>
      </c>
      <c r="AF32" s="322">
        <f>SUM(U32:AD32)</f>
        <v>10924775.619999999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177847791.62000003</v>
      </c>
      <c r="E33" s="290">
        <f>SUM(E28:E32)</f>
        <v>12084594.139999999</v>
      </c>
      <c r="F33" s="290">
        <f t="shared" ref="F33:O33" si="12">SUM(F28:F32)</f>
        <v>6713374.4799999995</v>
      </c>
      <c r="G33" s="290">
        <f t="shared" si="12"/>
        <v>3218694.43</v>
      </c>
      <c r="H33" s="290">
        <f t="shared" si="12"/>
        <v>51939843.210000001</v>
      </c>
      <c r="I33" s="290">
        <f t="shared" si="12"/>
        <v>2037186.0299999998</v>
      </c>
      <c r="J33" s="290">
        <f t="shared" si="12"/>
        <v>0</v>
      </c>
      <c r="K33" s="300">
        <f t="shared" si="12"/>
        <v>101854099.33000001</v>
      </c>
      <c r="L33" s="301">
        <f t="shared" si="12"/>
        <v>0</v>
      </c>
      <c r="M33" s="302">
        <f t="shared" si="12"/>
        <v>101854099.33000001</v>
      </c>
      <c r="N33" s="301">
        <f t="shared" si="12"/>
        <v>235092.19999999998</v>
      </c>
      <c r="O33" s="302">
        <f t="shared" si="12"/>
        <v>102089191.53000003</v>
      </c>
      <c r="P33" s="329"/>
      <c r="Q33" s="306"/>
      <c r="S33" s="327"/>
      <c r="T33" s="328" t="s">
        <v>2</v>
      </c>
      <c r="U33" s="330">
        <f>SUM(U28:U32)</f>
        <v>17635823.239999998</v>
      </c>
      <c r="V33" s="330">
        <f t="shared" ref="V33:AG33" si="13">SUM(V28:V32)</f>
        <v>18652562.239999998</v>
      </c>
      <c r="W33" s="330">
        <f t="shared" si="13"/>
        <v>79026195.060000002</v>
      </c>
      <c r="X33" s="330">
        <f t="shared" si="13"/>
        <v>35701748.149999999</v>
      </c>
      <c r="Y33" s="330">
        <f t="shared" si="13"/>
        <v>2628050.4999999995</v>
      </c>
      <c r="Z33" s="290">
        <f t="shared" si="13"/>
        <v>0</v>
      </c>
      <c r="AA33" s="290">
        <f t="shared" si="13"/>
        <v>-1102.74</v>
      </c>
      <c r="AB33" s="290">
        <f t="shared" si="13"/>
        <v>235092.19999999998</v>
      </c>
      <c r="AC33" s="290">
        <f t="shared" ref="AC33" si="14">SUM(AC28:AC32)</f>
        <v>0</v>
      </c>
      <c r="AD33" s="290">
        <f>SUM(AD28:AD32)</f>
        <v>-51789177.120000005</v>
      </c>
      <c r="AE33" s="290">
        <f>SUM(AE28:AE32)</f>
        <v>-51789177.120000005</v>
      </c>
      <c r="AF33" s="331">
        <f t="shared" si="13"/>
        <v>102089191.53</v>
      </c>
      <c r="AG33" s="332">
        <f t="shared" si="13"/>
        <v>-2.0489096641540527E-8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153644379.19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R1'!F62</f>
        <v>63570</v>
      </c>
      <c r="E47" s="292">
        <f>'Reporte Componentes R1'!G62</f>
        <v>2242.46</v>
      </c>
      <c r="F47" s="292">
        <f>'Reporte Componentes R1'!H62</f>
        <v>1266.0899999999999</v>
      </c>
      <c r="G47" s="292">
        <f>'Reporte Componentes R1'!I62</f>
        <v>664.53</v>
      </c>
      <c r="H47" s="292">
        <f>'Reporte Componentes R1'!J62</f>
        <v>10026.01</v>
      </c>
      <c r="I47" s="292">
        <f>'Reporte Componentes R1'!K62</f>
        <v>372.31</v>
      </c>
      <c r="J47" s="289">
        <v>0</v>
      </c>
      <c r="K47" s="293">
        <f>D47-E47-F47-G47-H47-I47-J47</f>
        <v>48998.600000000006</v>
      </c>
      <c r="L47" s="294">
        <v>0</v>
      </c>
      <c r="M47" s="293">
        <f>K47-L47</f>
        <v>48998.600000000006</v>
      </c>
      <c r="N47" s="294">
        <f>'Reporte Componentes R1'!L62</f>
        <v>0</v>
      </c>
      <c r="O47" s="293">
        <f>M47+N47</f>
        <v>48998.600000000006</v>
      </c>
      <c r="Q47" s="306"/>
      <c r="S47" s="303">
        <v>1</v>
      </c>
      <c r="T47" s="304" t="s">
        <v>10</v>
      </c>
      <c r="U47" s="307">
        <f>'Reporte Componentes R1'!M62</f>
        <v>3265.88</v>
      </c>
      <c r="V47" s="308">
        <f>'Reporte Componentes R1'!N62</f>
        <v>3109.1</v>
      </c>
      <c r="W47" s="308">
        <f>'Reporte Componentes R1'!O62</f>
        <v>14722.61</v>
      </c>
      <c r="X47" s="308">
        <f>'Reporte Componentes R1'!P62</f>
        <v>6097.75</v>
      </c>
      <c r="Y47" s="309">
        <f>'Reporte Componentes R1'!Q62</f>
        <v>607.45000000000005</v>
      </c>
      <c r="Z47" s="310">
        <f>-L47</f>
        <v>0</v>
      </c>
      <c r="AA47" s="320">
        <f>'Reporte Componentes R1'!R62+'Reporte Componentes R1'!V62+'Reporte Componentes R1'!U62</f>
        <v>-4.7699999999999996</v>
      </c>
      <c r="AB47" s="294">
        <f>N47</f>
        <v>0</v>
      </c>
      <c r="AC47" s="311">
        <f>'Reporte Componentes R1'!T62+'Reporte Componentes R1'!W62+'Reporte Componentes R1'!X62+'Reporte Componentes R1'!Y62+'Reporte Componentes R1'!Z62+'Reporte Componentes R1'!S62</f>
        <v>0</v>
      </c>
      <c r="AD47" s="291">
        <f>-J47+AE47</f>
        <v>21200.58</v>
      </c>
      <c r="AE47" s="291">
        <f>'Reporte Componentes R1'!F63</f>
        <v>21200.58</v>
      </c>
      <c r="AF47" s="313">
        <f>SUM(U47:AD47)</f>
        <v>48998.600000000006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R1'!F206</f>
        <v>196740</v>
      </c>
      <c r="E48" s="292">
        <f>'Reporte Componentes R1'!G206</f>
        <v>13093.19</v>
      </c>
      <c r="F48" s="292">
        <f>'Reporte Componentes R1'!H206</f>
        <v>7370.27</v>
      </c>
      <c r="G48" s="292">
        <f>'Reporte Componentes R1'!I206</f>
        <v>4474.7</v>
      </c>
      <c r="H48" s="292">
        <f>'Reporte Componentes R1'!J206</f>
        <v>25771.56</v>
      </c>
      <c r="I48" s="292">
        <f>'Reporte Componentes R1'!K206</f>
        <v>925.74</v>
      </c>
      <c r="J48" s="288">
        <v>0</v>
      </c>
      <c r="K48" s="295">
        <f t="shared" ref="K48:K51" si="15">D48-E48-F48-G48-H48-I48-J48</f>
        <v>145104.54</v>
      </c>
      <c r="L48" s="294">
        <v>0</v>
      </c>
      <c r="M48" s="295">
        <f>K48-L48</f>
        <v>145104.54</v>
      </c>
      <c r="N48" s="294">
        <f>'Reporte Componentes R1'!L206</f>
        <v>0</v>
      </c>
      <c r="O48" s="295">
        <f t="shared" ref="O48:O51" si="16">M48+N48</f>
        <v>145104.54</v>
      </c>
      <c r="Q48" s="306"/>
      <c r="S48" s="314">
        <v>2</v>
      </c>
      <c r="T48" s="315" t="s">
        <v>11</v>
      </c>
      <c r="U48" s="316">
        <f>'Reporte Componentes R1'!M206</f>
        <v>8109.96</v>
      </c>
      <c r="V48" s="317">
        <f>'Reporte Componentes R1'!N206</f>
        <v>7930.91</v>
      </c>
      <c r="W48" s="317">
        <f>'Reporte Componentes R1'!O206</f>
        <v>37461.589999999997</v>
      </c>
      <c r="X48" s="317">
        <f>'Reporte Componentes R1'!P206</f>
        <v>24418.29</v>
      </c>
      <c r="Y48" s="318">
        <f>'Reporte Componentes R1'!Q206</f>
        <v>1987.26</v>
      </c>
      <c r="Z48" s="319">
        <f>-L48</f>
        <v>0</v>
      </c>
      <c r="AA48" s="320">
        <f>'Reporte Componentes R1'!R206+'Reporte Componentes R1'!V206+'Reporte Componentes R1'!U206</f>
        <v>-0.28000000000000003</v>
      </c>
      <c r="AB48" s="294">
        <f>N48</f>
        <v>0</v>
      </c>
      <c r="AC48" s="320">
        <f>'Reporte Componentes R1'!T206+'Reporte Componentes R1'!W206+'Reporte Componentes R1'!X206+'Reporte Componentes R1'!Y206+'Reporte Componentes R1'!Z206+'Reporte Componentes R1'!S206</f>
        <v>0</v>
      </c>
      <c r="AD48" s="291">
        <f t="shared" ref="AD48:AD51" si="17">-J48+AE48</f>
        <v>65196.81</v>
      </c>
      <c r="AE48" s="291">
        <f>'Reporte Componentes R1'!F207</f>
        <v>65196.81</v>
      </c>
      <c r="AF48" s="322">
        <f>SUM(U48:AD48)</f>
        <v>145104.53999999998</v>
      </c>
      <c r="AG48" s="323">
        <f>(AF48-O48)</f>
        <v>-2.9103830456733704E-11</v>
      </c>
      <c r="AH48" s="1" t="b">
        <f t="shared" ref="AH48:AH52" si="18">INT(AG48)=0</f>
        <v>0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R1'!F337</f>
        <v>0</v>
      </c>
      <c r="E49" s="292">
        <f>'Reporte Componentes R1'!G337</f>
        <v>0</v>
      </c>
      <c r="F49" s="292">
        <f>'Reporte Componentes R1'!H337</f>
        <v>0</v>
      </c>
      <c r="G49" s="292">
        <f>'Reporte Componentes R1'!I337</f>
        <v>0</v>
      </c>
      <c r="H49" s="292">
        <f>'Reporte Componentes R1'!J337</f>
        <v>0</v>
      </c>
      <c r="I49" s="292">
        <f>'Reporte Componentes R1'!K337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R1'!L337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R1'!M337</f>
        <v>0</v>
      </c>
      <c r="V49" s="317">
        <f>'Reporte Componentes R1'!N337</f>
        <v>0</v>
      </c>
      <c r="W49" s="317">
        <f>'Reporte Componentes R1'!O337</f>
        <v>0</v>
      </c>
      <c r="X49" s="317">
        <f>'Reporte Componentes R1'!P337</f>
        <v>0</v>
      </c>
      <c r="Y49" s="318">
        <f>'Reporte Componentes R1'!Q337</f>
        <v>0</v>
      </c>
      <c r="Z49" s="319">
        <f>-L49</f>
        <v>0</v>
      </c>
      <c r="AA49" s="320">
        <f>'Reporte Componentes R1'!R337+'Reporte Componentes R1'!V337+'Reporte Componentes R1'!U337</f>
        <v>0</v>
      </c>
      <c r="AB49" s="294">
        <f>N49</f>
        <v>0</v>
      </c>
      <c r="AC49" s="320">
        <f>'Reporte Componentes R1'!T337+'Reporte Componentes R1'!W337+'Reporte Componentes R1'!X337+'Reporte Componentes R1'!Y337+'Reporte Componentes R1'!Z337+'Reporte Componentes R1'!S337</f>
        <v>0</v>
      </c>
      <c r="AD49" s="291">
        <f t="shared" si="17"/>
        <v>0</v>
      </c>
      <c r="AE49" s="291">
        <f>'Reporte Componentes R1'!F338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R1'!F468</f>
        <v>3642708</v>
      </c>
      <c r="E50" s="292">
        <f>'Reporte Componentes R1'!G468</f>
        <v>199481.41</v>
      </c>
      <c r="F50" s="292">
        <f>'Reporte Componentes R1'!H468</f>
        <v>116234.12</v>
      </c>
      <c r="G50" s="292">
        <f>'Reporte Componentes R1'!I468</f>
        <v>59627.19</v>
      </c>
      <c r="H50" s="292">
        <f>'Reporte Componentes R1'!J468</f>
        <v>859359.82</v>
      </c>
      <c r="I50" s="292">
        <f>'Reporte Componentes R1'!K468</f>
        <v>28477.4</v>
      </c>
      <c r="J50" s="288">
        <v>0</v>
      </c>
      <c r="K50" s="295">
        <f t="shared" si="15"/>
        <v>2379528.06</v>
      </c>
      <c r="L50" s="294">
        <v>0</v>
      </c>
      <c r="M50" s="295">
        <f>K50-L50</f>
        <v>2379528.06</v>
      </c>
      <c r="N50" s="294">
        <f>'Reporte Componentes R1'!L468</f>
        <v>0</v>
      </c>
      <c r="O50" s="295">
        <f t="shared" si="16"/>
        <v>2379528.06</v>
      </c>
      <c r="Q50" s="306"/>
      <c r="S50" s="314">
        <v>4</v>
      </c>
      <c r="T50" s="315" t="s">
        <v>13</v>
      </c>
      <c r="U50" s="316">
        <f>'Reporte Componentes R1'!M468</f>
        <v>249801.74</v>
      </c>
      <c r="V50" s="317">
        <f>'Reporte Componentes R1'!N468</f>
        <v>269740.52</v>
      </c>
      <c r="W50" s="317">
        <f>'Reporte Componentes R1'!O468</f>
        <v>1359204.06</v>
      </c>
      <c r="X50" s="317">
        <f>'Reporte Componentes R1'!P468</f>
        <v>530201.13</v>
      </c>
      <c r="Y50" s="318">
        <f>'Reporte Componentes R1'!Q468</f>
        <v>46462.95</v>
      </c>
      <c r="Z50" s="319">
        <f>-L50</f>
        <v>0</v>
      </c>
      <c r="AA50" s="320">
        <f>'Reporte Componentes R1'!R468+'Reporte Componentes R1'!V468+'Reporte Componentes R1'!U468</f>
        <v>4.2300000000000004</v>
      </c>
      <c r="AB50" s="294">
        <f>N50</f>
        <v>0</v>
      </c>
      <c r="AC50" s="320">
        <f>'Reporte Componentes R1'!T468+'Reporte Componentes R1'!W468+'Reporte Componentes R1'!X468+'Reporte Componentes R1'!Y468+'Reporte Componentes R1'!Z468+'Reporte Componentes R1'!S468</f>
        <v>0</v>
      </c>
      <c r="AD50" s="291">
        <f t="shared" si="17"/>
        <v>-75886.570000000007</v>
      </c>
      <c r="AE50" s="291">
        <f>'Reporte Componentes R1'!F469</f>
        <v>-75886.570000000007</v>
      </c>
      <c r="AF50" s="322">
        <f t="shared" si="19"/>
        <v>2379528.0600000005</v>
      </c>
      <c r="AG50" s="323">
        <f t="shared" si="20"/>
        <v>4.6566128730773926E-10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R1'!F566</f>
        <v>0</v>
      </c>
      <c r="E51" s="297">
        <f>'Reporte Componentes R1'!G566</f>
        <v>0</v>
      </c>
      <c r="F51" s="297">
        <f>'Reporte Componentes R1'!H566</f>
        <v>0</v>
      </c>
      <c r="G51" s="297">
        <f>'Reporte Componentes R1'!I566</f>
        <v>0</v>
      </c>
      <c r="H51" s="297">
        <f>'Reporte Componentes R1'!J566</f>
        <v>0</v>
      </c>
      <c r="I51" s="297">
        <f>'Reporte Componentes R1'!K566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R1'!L566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R1'!M566</f>
        <v>0</v>
      </c>
      <c r="V51" s="297">
        <f>'Reporte Componentes R1'!N566</f>
        <v>0</v>
      </c>
      <c r="W51" s="297">
        <f>'Reporte Componentes R1'!O566</f>
        <v>0</v>
      </c>
      <c r="X51" s="297">
        <f>'Reporte Componentes R1'!P566</f>
        <v>0</v>
      </c>
      <c r="Y51" s="289">
        <f>'Reporte Componentes R1'!Q566</f>
        <v>0</v>
      </c>
      <c r="Z51" s="319">
        <f>-L51</f>
        <v>0</v>
      </c>
      <c r="AA51" s="320">
        <f>'Reporte Componentes R1'!R566+'Reporte Componentes R1'!V566+'Reporte Componentes R1'!U566</f>
        <v>0</v>
      </c>
      <c r="AB51" s="294">
        <f>N51</f>
        <v>0</v>
      </c>
      <c r="AC51" s="320">
        <f>'Reporte Componentes R1'!T566+'Reporte Componentes R1'!W566+'Reporte Componentes R1'!X566+'Reporte Componentes R1'!Y566+'Reporte Componentes R1'!Z566+'Reporte Componentes R1'!S566</f>
        <v>0</v>
      </c>
      <c r="AD51" s="291">
        <f t="shared" si="17"/>
        <v>0</v>
      </c>
      <c r="AE51" s="291">
        <f>'Reporte Componentes R1'!F567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3903018</v>
      </c>
      <c r="E52" s="290">
        <f t="shared" si="21"/>
        <v>214817.06</v>
      </c>
      <c r="F52" s="290">
        <f t="shared" si="21"/>
        <v>124870.48</v>
      </c>
      <c r="G52" s="290">
        <f t="shared" ref="G52" si="22">SUM(G47:G51)</f>
        <v>64766.42</v>
      </c>
      <c r="H52" s="290">
        <f t="shared" si="21"/>
        <v>895157.3899999999</v>
      </c>
      <c r="I52" s="290">
        <f t="shared" si="21"/>
        <v>29775.45</v>
      </c>
      <c r="J52" s="290">
        <f t="shared" si="21"/>
        <v>0</v>
      </c>
      <c r="K52" s="300">
        <f t="shared" si="21"/>
        <v>2573631.2000000002</v>
      </c>
      <c r="L52" s="301">
        <f t="shared" si="21"/>
        <v>0</v>
      </c>
      <c r="M52" s="302">
        <f t="shared" si="21"/>
        <v>2573631.2000000002</v>
      </c>
      <c r="N52" s="301">
        <f t="shared" si="21"/>
        <v>0</v>
      </c>
      <c r="O52" s="302">
        <f t="shared" si="21"/>
        <v>2573631.2000000002</v>
      </c>
      <c r="P52" s="329"/>
      <c r="Q52" s="306"/>
      <c r="S52" s="327"/>
      <c r="T52" s="328" t="s">
        <v>2</v>
      </c>
      <c r="U52" s="330">
        <f>SUM(U47:U51)</f>
        <v>261177.58</v>
      </c>
      <c r="V52" s="330">
        <f t="shared" ref="V52:AG52" si="23">SUM(V47:V51)</f>
        <v>280780.53000000003</v>
      </c>
      <c r="W52" s="330">
        <f t="shared" si="23"/>
        <v>1411388.26</v>
      </c>
      <c r="X52" s="330">
        <f t="shared" si="23"/>
        <v>560717.17000000004</v>
      </c>
      <c r="Y52" s="330">
        <f t="shared" si="23"/>
        <v>49057.659999999996</v>
      </c>
      <c r="Z52" s="290">
        <f t="shared" si="23"/>
        <v>0</v>
      </c>
      <c r="AA52" s="290">
        <f t="shared" si="23"/>
        <v>-0.8199999999999994</v>
      </c>
      <c r="AB52" s="290">
        <f t="shared" si="23"/>
        <v>0</v>
      </c>
      <c r="AC52" s="290">
        <f t="shared" si="23"/>
        <v>0</v>
      </c>
      <c r="AD52" s="290">
        <f>SUM(AD47:AD51)</f>
        <v>10510.819999999992</v>
      </c>
      <c r="AE52" s="290">
        <f>SUM(AE47:AE51)</f>
        <v>10510.819999999992</v>
      </c>
      <c r="AF52" s="331">
        <f t="shared" si="23"/>
        <v>2573631.2000000007</v>
      </c>
      <c r="AG52" s="332">
        <f t="shared" si="23"/>
        <v>4.3655745685100555E-10</v>
      </c>
      <c r="AH52" s="1" t="b">
        <f t="shared" si="18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2563121.2000000002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R4'!D72</f>
        <v>-73090</v>
      </c>
      <c r="E66" s="292">
        <f>'Reversion Pagos R4'!E72</f>
        <v>-2974.76</v>
      </c>
      <c r="F66" s="292">
        <f>'Reversion Pagos R4'!F72</f>
        <v>-1679.55</v>
      </c>
      <c r="G66" s="292">
        <f>'Reversion Pagos R4'!G72</f>
        <v>-881.55</v>
      </c>
      <c r="H66" s="292">
        <f>'Reversion Pagos R4'!H72</f>
        <v>-11542.33</v>
      </c>
      <c r="I66" s="292">
        <f>'Reversion Pagos R4'!I72</f>
        <v>-391.85</v>
      </c>
      <c r="J66" s="309">
        <v>0</v>
      </c>
      <c r="K66" s="293">
        <f>D66-E66-F66-G66-H66-I66-J66</f>
        <v>-55619.96</v>
      </c>
      <c r="L66" s="294">
        <v>0</v>
      </c>
      <c r="M66" s="293">
        <f>K66-L66</f>
        <v>-55619.96</v>
      </c>
      <c r="N66" s="294">
        <f>'Reversion Pagos R4'!P72</f>
        <v>0</v>
      </c>
      <c r="O66" s="293">
        <f>M66+N66</f>
        <v>-55619.96</v>
      </c>
      <c r="Q66" s="306"/>
      <c r="S66" s="303">
        <v>1</v>
      </c>
      <c r="T66" s="304" t="s">
        <v>10</v>
      </c>
      <c r="U66" s="307">
        <f>'Reversion Pagos R4'!J72</f>
        <v>-3437.25</v>
      </c>
      <c r="V66" s="308">
        <f>'Reversion Pagos R4'!K72</f>
        <v>-3322.9</v>
      </c>
      <c r="W66" s="308">
        <f>'Reversion Pagos R4'!L72</f>
        <v>-15733.99</v>
      </c>
      <c r="X66" s="308">
        <f>'Reversion Pagos R4'!M72</f>
        <v>-8124.53</v>
      </c>
      <c r="Y66" s="309">
        <f>'Reversion Pagos R4'!N72</f>
        <v>-639.32000000000005</v>
      </c>
      <c r="Z66" s="310">
        <f>-L66</f>
        <v>0</v>
      </c>
      <c r="AA66" s="311">
        <f>+'Reversion Pagos R4'!O72</f>
        <v>2.23</v>
      </c>
      <c r="AB66" s="294">
        <f>N66</f>
        <v>0</v>
      </c>
      <c r="AC66" s="311">
        <f>+'Reversion Pagos R4'!Q72+'Reversion Pagos R4'!R72</f>
        <v>0</v>
      </c>
      <c r="AD66" s="291">
        <f>-J66+AE66</f>
        <v>-24364.2</v>
      </c>
      <c r="AE66" s="291">
        <f>'Reversion Pagos R4'!D73</f>
        <v>-24364.2</v>
      </c>
      <c r="AF66" s="313">
        <f>SUM(U66:AD66)</f>
        <v>-55619.96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R4'!D167</f>
        <v>-13447592</v>
      </c>
      <c r="E67" s="292">
        <f>'Reversion Pagos R4'!E167</f>
        <v>-1033473.38</v>
      </c>
      <c r="F67" s="292">
        <f>'Reversion Pagos R4'!F167</f>
        <v>-577823.06000000006</v>
      </c>
      <c r="G67" s="292">
        <f>'Reversion Pagos R4'!G167</f>
        <v>-305463.31</v>
      </c>
      <c r="H67" s="292">
        <f>'Reversion Pagos R4'!H167</f>
        <v>-3188496.96</v>
      </c>
      <c r="I67" s="292">
        <f>'Reversion Pagos R4'!I167</f>
        <v>-116752.99</v>
      </c>
      <c r="J67" s="288">
        <v>0</v>
      </c>
      <c r="K67" s="295">
        <f t="shared" ref="K67:K70" si="24">D67-E67-F67-G67-H67-I67-J67</f>
        <v>-8225582.299999998</v>
      </c>
      <c r="L67" s="294">
        <v>0</v>
      </c>
      <c r="M67" s="295">
        <f>K67-L67</f>
        <v>-8225582.299999998</v>
      </c>
      <c r="N67" s="294">
        <f>'Reversion Pagos R4'!P167</f>
        <v>0</v>
      </c>
      <c r="O67" s="295">
        <f t="shared" ref="O67:O70" si="25">M67+N67</f>
        <v>-8225582.299999998</v>
      </c>
      <c r="Q67" s="306"/>
      <c r="S67" s="314">
        <v>2</v>
      </c>
      <c r="T67" s="315" t="s">
        <v>11</v>
      </c>
      <c r="U67" s="316">
        <f>'Reversion Pagos R4'!J167</f>
        <v>-1017318.24</v>
      </c>
      <c r="V67" s="317">
        <f>'Reversion Pagos R4'!K167</f>
        <v>-1011374.37</v>
      </c>
      <c r="W67" s="317">
        <f>'Reversion Pagos R4'!L167</f>
        <v>-4720416.92</v>
      </c>
      <c r="X67" s="317">
        <f>'Reversion Pagos R4'!M167</f>
        <v>-2051511.42</v>
      </c>
      <c r="Y67" s="318">
        <f>'Reversion Pagos R4'!N167</f>
        <v>-190490.37</v>
      </c>
      <c r="Z67" s="319">
        <f t="shared" ref="Z67:Z70" si="26">-L67</f>
        <v>0</v>
      </c>
      <c r="AA67" s="320">
        <f>'Reversion Pagos R4'!O167</f>
        <v>-35.299999999999997</v>
      </c>
      <c r="AB67" s="294">
        <f t="shared" ref="AB67:AB70" si="27">N67</f>
        <v>0</v>
      </c>
      <c r="AC67" s="320">
        <f>'Reversion Pagos R4'!Q167+'Reversion Pagos R4'!R167</f>
        <v>0</v>
      </c>
      <c r="AD67" s="291">
        <f t="shared" ref="AD67:AD70" si="28">-J67+AE67</f>
        <v>765564.32</v>
      </c>
      <c r="AE67" s="291">
        <f>'Reversion Pagos R4'!D168</f>
        <v>765564.32</v>
      </c>
      <c r="AF67" s="322">
        <f>SUM(U67:AD67)</f>
        <v>-8225582.2999999989</v>
      </c>
      <c r="AG67" s="323">
        <f>(AF67-O67)</f>
        <v>-9.3132257461547852E-10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R4'!D198</f>
        <v>-4617354</v>
      </c>
      <c r="E68" s="292">
        <f>'Reversion Pagos R4'!E198</f>
        <v>-268346.34000000003</v>
      </c>
      <c r="F68" s="292">
        <f>'Reversion Pagos R4'!F198</f>
        <v>-152554.12</v>
      </c>
      <c r="G68" s="292">
        <f>'Reversion Pagos R4'!G198</f>
        <v>-80139.33</v>
      </c>
      <c r="H68" s="292">
        <f>'Reversion Pagos R4'!H198</f>
        <v>-1327068</v>
      </c>
      <c r="I68" s="292">
        <f>'Reversion Pagos R4'!I198</f>
        <v>-47383.24</v>
      </c>
      <c r="J68" s="288">
        <v>0</v>
      </c>
      <c r="K68" s="295">
        <f t="shared" si="24"/>
        <v>-2741862.9699999997</v>
      </c>
      <c r="L68" s="294">
        <v>0</v>
      </c>
      <c r="M68" s="295">
        <f>K68-L68</f>
        <v>-2741862.9699999997</v>
      </c>
      <c r="N68" s="294">
        <f>'Reversion Pagos R4'!P198</f>
        <v>0</v>
      </c>
      <c r="O68" s="295">
        <f t="shared" si="25"/>
        <v>-2741862.9699999997</v>
      </c>
      <c r="Q68" s="306"/>
      <c r="S68" s="314">
        <v>3</v>
      </c>
      <c r="T68" s="315" t="s">
        <v>12</v>
      </c>
      <c r="U68" s="316">
        <f>'Reversion Pagos R4'!J198</f>
        <v>-411968.93</v>
      </c>
      <c r="V68" s="317">
        <f>'Reversion Pagos R4'!K198</f>
        <v>-406761.05</v>
      </c>
      <c r="W68" s="317">
        <f>'Reversion Pagos R4'!L198</f>
        <v>-1917246.25</v>
      </c>
      <c r="X68" s="317">
        <f>'Reversion Pagos R4'!M198</f>
        <v>-624532.34</v>
      </c>
      <c r="Y68" s="318">
        <f>'Reversion Pagos R4'!N198</f>
        <v>-77512.179999999993</v>
      </c>
      <c r="Z68" s="319">
        <f t="shared" si="26"/>
        <v>0</v>
      </c>
      <c r="AA68" s="320">
        <f>'Reversion Pagos R4'!O198</f>
        <v>-75.61</v>
      </c>
      <c r="AB68" s="294">
        <f t="shared" si="27"/>
        <v>0</v>
      </c>
      <c r="AC68" s="320">
        <f>'Reversion Pagos R4'!Q198+'Reversion Pagos R4'!R198</f>
        <v>0</v>
      </c>
      <c r="AD68" s="291">
        <f t="shared" si="28"/>
        <v>696233.39</v>
      </c>
      <c r="AE68" s="291">
        <f>'Reversion Pagos R4'!D199</f>
        <v>696233.39</v>
      </c>
      <c r="AF68" s="322">
        <f t="shared" ref="AF68:AF70" si="30">SUM(U68:AD68)</f>
        <v>-2741862.9699999997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R4'!D312</f>
        <v>-14638846</v>
      </c>
      <c r="E69" s="292">
        <f>'Reversion Pagos R4'!E312</f>
        <v>-981984.22</v>
      </c>
      <c r="F69" s="292">
        <f>'Reversion Pagos R4'!F312</f>
        <v>-531719.53</v>
      </c>
      <c r="G69" s="292">
        <f>'Reversion Pagos R4'!G312</f>
        <v>-276987.7</v>
      </c>
      <c r="H69" s="292">
        <f>'Reversion Pagos R4'!H312</f>
        <v>-3733321.22</v>
      </c>
      <c r="I69" s="292">
        <f>'Reversion Pagos R4'!I312</f>
        <v>-133937.22</v>
      </c>
      <c r="J69" s="288">
        <v>0</v>
      </c>
      <c r="K69" s="295">
        <f t="shared" si="24"/>
        <v>-8980896.1099999994</v>
      </c>
      <c r="L69" s="294">
        <v>0</v>
      </c>
      <c r="M69" s="295">
        <f>K69-L69</f>
        <v>-8980896.1099999994</v>
      </c>
      <c r="N69" s="294">
        <f>'Reversion Pagos R4'!P312</f>
        <v>0</v>
      </c>
      <c r="O69" s="295">
        <f t="shared" si="25"/>
        <v>-8980896.1099999994</v>
      </c>
      <c r="Q69" s="306"/>
      <c r="S69" s="314">
        <v>4</v>
      </c>
      <c r="T69" s="315" t="s">
        <v>13</v>
      </c>
      <c r="U69" s="316">
        <f>'Reversion Pagos R4'!J312</f>
        <v>-1186293.8600000001</v>
      </c>
      <c r="V69" s="317">
        <f>'Reversion Pagos R4'!K312</f>
        <v>-1219487.79</v>
      </c>
      <c r="W69" s="317">
        <f>'Reversion Pagos R4'!L312</f>
        <v>-6009928.21</v>
      </c>
      <c r="X69" s="317">
        <f>'Reversion Pagos R4'!M312</f>
        <v>-2607170.3199999998</v>
      </c>
      <c r="Y69" s="318">
        <f>'Reversion Pagos R4'!N312</f>
        <v>-220835.76</v>
      </c>
      <c r="Z69" s="319">
        <f t="shared" si="26"/>
        <v>0</v>
      </c>
      <c r="AA69" s="320">
        <f>'Reversion Pagos R4'!O312</f>
        <v>-8.5399999999999991</v>
      </c>
      <c r="AB69" s="294">
        <f t="shared" si="27"/>
        <v>0</v>
      </c>
      <c r="AC69" s="320">
        <f>'Reversion Pagos R4'!Q312+'Reversion Pagos R4'!R312</f>
        <v>232.44</v>
      </c>
      <c r="AD69" s="291">
        <f t="shared" si="28"/>
        <v>2262595.9300000002</v>
      </c>
      <c r="AE69" s="291">
        <f>'Reversion Pagos R4'!D313</f>
        <v>2262595.9300000002</v>
      </c>
      <c r="AF69" s="322">
        <f>SUM(U69:AD69)</f>
        <v>-8980896.1099999994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R4'!D347</f>
        <v>-1454550</v>
      </c>
      <c r="E70" s="297">
        <f>'Reversion Pagos R4'!E347</f>
        <v>-94530.2</v>
      </c>
      <c r="F70" s="297">
        <f>'Reversion Pagos R4'!F347</f>
        <v>-53335.02</v>
      </c>
      <c r="G70" s="297">
        <f>'Reversion Pagos R4'!G347</f>
        <v>-27848.75</v>
      </c>
      <c r="H70" s="297">
        <f>'Reversion Pagos R4'!H347</f>
        <v>-369105.73</v>
      </c>
      <c r="I70" s="297">
        <f>'Reversion Pagos R4'!I347</f>
        <v>-13791.26</v>
      </c>
      <c r="J70" s="289">
        <v>0</v>
      </c>
      <c r="K70" s="295">
        <f t="shared" si="24"/>
        <v>-895939.04</v>
      </c>
      <c r="L70" s="294">
        <v>0</v>
      </c>
      <c r="M70" s="298">
        <f>K70-L70</f>
        <v>-895939.04</v>
      </c>
      <c r="N70" s="294">
        <f>'Reversion Pagos R4'!P347</f>
        <v>0</v>
      </c>
      <c r="O70" s="298">
        <f t="shared" si="25"/>
        <v>-895939.04</v>
      </c>
      <c r="Q70" s="306"/>
      <c r="S70" s="324">
        <v>5</v>
      </c>
      <c r="T70" s="325" t="s">
        <v>14</v>
      </c>
      <c r="U70" s="296">
        <f>'Reversion Pagos R4'!J347</f>
        <v>-120975.2</v>
      </c>
      <c r="V70" s="297">
        <f>'Reversion Pagos R4'!K347</f>
        <v>-114923.49</v>
      </c>
      <c r="W70" s="297">
        <f>'Reversion Pagos R4'!L347</f>
        <v>-608187.97</v>
      </c>
      <c r="X70" s="297">
        <f>'Reversion Pagos R4'!M347</f>
        <v>-281931.84999999998</v>
      </c>
      <c r="Y70" s="289">
        <f>'Reversion Pagos R4'!N347</f>
        <v>-22501.5</v>
      </c>
      <c r="Z70" s="319">
        <f t="shared" si="26"/>
        <v>0</v>
      </c>
      <c r="AA70" s="320">
        <f>'Reversion Pagos R4'!O347</f>
        <v>-14.96</v>
      </c>
      <c r="AB70" s="294">
        <f t="shared" si="27"/>
        <v>0</v>
      </c>
      <c r="AC70" s="320">
        <f>'Reversion Pagos R4'!Q347+'Reversion Pagos R4'!R347</f>
        <v>0</v>
      </c>
      <c r="AD70" s="291">
        <f t="shared" si="28"/>
        <v>252595.93</v>
      </c>
      <c r="AE70" s="291">
        <f>'Reversion Pagos R4'!D348</f>
        <v>252595.93</v>
      </c>
      <c r="AF70" s="322">
        <f t="shared" si="30"/>
        <v>-895939.0399999998</v>
      </c>
      <c r="AG70" s="326">
        <f t="shared" si="31"/>
        <v>2.3283064365386963E-10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-34231432</v>
      </c>
      <c r="E71" s="290">
        <f t="shared" si="32"/>
        <v>-2381308.9000000004</v>
      </c>
      <c r="F71" s="290">
        <f t="shared" si="32"/>
        <v>-1317111.2800000003</v>
      </c>
      <c r="G71" s="290">
        <f t="shared" si="32"/>
        <v>-691320.64</v>
      </c>
      <c r="H71" s="290">
        <f t="shared" si="32"/>
        <v>-8629534.2400000002</v>
      </c>
      <c r="I71" s="290">
        <f t="shared" si="32"/>
        <v>-312256.56000000006</v>
      </c>
      <c r="J71" s="290">
        <f t="shared" si="32"/>
        <v>0</v>
      </c>
      <c r="K71" s="300">
        <f t="shared" si="32"/>
        <v>-20899900.379999995</v>
      </c>
      <c r="L71" s="301">
        <f t="shared" si="32"/>
        <v>0</v>
      </c>
      <c r="M71" s="302">
        <f t="shared" si="32"/>
        <v>-20899900.379999995</v>
      </c>
      <c r="N71" s="301">
        <f t="shared" si="32"/>
        <v>0</v>
      </c>
      <c r="O71" s="302">
        <f t="shared" si="32"/>
        <v>-20899900.379999995</v>
      </c>
      <c r="P71" s="329"/>
      <c r="Q71" s="306"/>
      <c r="S71" s="327"/>
      <c r="T71" s="328" t="s">
        <v>2</v>
      </c>
      <c r="U71" s="330">
        <f>SUM(U66:U70)</f>
        <v>-2739993.4800000004</v>
      </c>
      <c r="V71" s="330">
        <f t="shared" ref="V71:AG71" si="33">SUM(V66:V70)</f>
        <v>-2755869.6000000006</v>
      </c>
      <c r="W71" s="330">
        <f t="shared" si="33"/>
        <v>-13271513.340000002</v>
      </c>
      <c r="X71" s="330">
        <f t="shared" si="33"/>
        <v>-5573270.459999999</v>
      </c>
      <c r="Y71" s="330">
        <f t="shared" si="33"/>
        <v>-511979.13</v>
      </c>
      <c r="Z71" s="290">
        <f t="shared" si="33"/>
        <v>0</v>
      </c>
      <c r="AA71" s="290">
        <f>SUM(AA66:AA70)</f>
        <v>-132.18</v>
      </c>
      <c r="AB71" s="290">
        <f t="shared" si="33"/>
        <v>0</v>
      </c>
      <c r="AC71" s="290">
        <f t="shared" ref="AC71" si="34">SUM(AC66:AC70)</f>
        <v>232.44</v>
      </c>
      <c r="AD71" s="290">
        <f>SUM(AD66:AD70)</f>
        <v>3952625.3700000006</v>
      </c>
      <c r="AE71" s="290">
        <f>SUM(AE66:AE70)</f>
        <v>3952625.3700000006</v>
      </c>
      <c r="AF71" s="331">
        <f t="shared" si="33"/>
        <v>-20899900.379999995</v>
      </c>
      <c r="AG71" s="332">
        <f t="shared" si="33"/>
        <v>-6.9849193096160889E-10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-24852626.010000002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806955.98</v>
      </c>
      <c r="E85" s="292">
        <f>'AJUSTES - SF-T'!E47</f>
        <v>65039.95</v>
      </c>
      <c r="F85" s="292">
        <f>'AJUSTES - SF-T'!F47</f>
        <v>36337.019999999997</v>
      </c>
      <c r="G85" s="292">
        <f>'AJUSTES - SF-T'!G47</f>
        <v>19274.13</v>
      </c>
      <c r="H85" s="292">
        <f>'AJUSTES - SF-T'!H47</f>
        <v>155423.91</v>
      </c>
      <c r="I85" s="292">
        <f>'AJUSTES - SF-T'!I47</f>
        <v>5618.35</v>
      </c>
      <c r="J85" s="292">
        <f>'AJUSTES - SF-T'!J47</f>
        <v>0</v>
      </c>
      <c r="K85" s="292">
        <f>D85-E85-F85-G85-H85-I85-J85</f>
        <v>525262.62</v>
      </c>
      <c r="L85" s="294">
        <v>0</v>
      </c>
      <c r="M85" s="321">
        <f>K85-L85</f>
        <v>525262.62</v>
      </c>
      <c r="N85" s="321">
        <f>'AJUSTES - SF-T'!N47</f>
        <v>0</v>
      </c>
      <c r="O85" s="321">
        <f>M85+N85</f>
        <v>525262.62</v>
      </c>
      <c r="Q85" s="306"/>
      <c r="S85" s="303">
        <v>1</v>
      </c>
      <c r="T85" s="304" t="s">
        <v>10</v>
      </c>
      <c r="U85" s="312">
        <f>'AJUSTES - SF-T'!U47</f>
        <v>56003.23</v>
      </c>
      <c r="V85" s="312">
        <f>'AJUSTES - SF-T'!V47</f>
        <v>48167.15</v>
      </c>
      <c r="W85" s="312">
        <f>'AJUSTES - SF-T'!W47</f>
        <v>226758.45</v>
      </c>
      <c r="X85" s="312">
        <f>'AJUSTES - SF-T'!X47</f>
        <v>182170.76</v>
      </c>
      <c r="Y85" s="312">
        <f>'AJUSTES - SF-T'!Y47</f>
        <v>9166.69</v>
      </c>
      <c r="Z85" s="312">
        <f>'AJUSTES - SF-T'!Z47</f>
        <v>0</v>
      </c>
      <c r="AA85" s="571">
        <f>'AJUSTES - SF-T'!AA47</f>
        <v>0.04</v>
      </c>
      <c r="AB85" s="312">
        <f>'AJUSTES - SF-T'!AB47</f>
        <v>0</v>
      </c>
      <c r="AC85" s="571">
        <v>0</v>
      </c>
      <c r="AD85" s="321">
        <f>'AJUSTES - SF-T'!AC47</f>
        <v>2996.3</v>
      </c>
      <c r="AE85" s="294">
        <f>'AJUSTES - SF-T'!AD47</f>
        <v>2996.3</v>
      </c>
      <c r="AF85" s="363">
        <f>SUM(U85:AD85)</f>
        <v>525262.62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118874.84</v>
      </c>
      <c r="E87" s="292">
        <f>'AJUSTES - SF-T'!E49</f>
        <v>6267.13</v>
      </c>
      <c r="F87" s="292">
        <f>'AJUSTES - SF-T'!F49</f>
        <v>3538.42</v>
      </c>
      <c r="G87" s="292">
        <f>'AJUSTES - SF-T'!G49</f>
        <v>1857.22</v>
      </c>
      <c r="H87" s="292">
        <f>'AJUSTES - SF-T'!H49</f>
        <v>42966.81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63502.179999999993</v>
      </c>
      <c r="L87" s="294">
        <v>0</v>
      </c>
      <c r="M87" s="321">
        <f>K87-L87</f>
        <v>63502.179999999993</v>
      </c>
      <c r="N87" s="321">
        <f>'AJUSTES - SF-T'!N49</f>
        <v>0</v>
      </c>
      <c r="O87" s="321">
        <f>M87+N87</f>
        <v>63502.179999999993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6322.58</v>
      </c>
      <c r="W87" s="320">
        <f>'AJUSTES - SF-T'!W49</f>
        <v>29933.14</v>
      </c>
      <c r="X87" s="320">
        <f>'AJUSTES - SF-T'!X49</f>
        <v>14860.01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4655.7700000000004</v>
      </c>
      <c r="AE87" s="299">
        <f>'AJUSTES - SF-T'!AD49</f>
        <v>4655.7700000000004</v>
      </c>
      <c r="AF87" s="365">
        <f>SUM(U87:AD87)</f>
        <v>63502.180000000008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925830.82</v>
      </c>
      <c r="E90" s="290">
        <f t="shared" si="40"/>
        <v>71307.08</v>
      </c>
      <c r="F90" s="290">
        <f t="shared" si="40"/>
        <v>39875.439999999995</v>
      </c>
      <c r="G90" s="290">
        <f t="shared" si="40"/>
        <v>21131.350000000002</v>
      </c>
      <c r="H90" s="290">
        <f t="shared" si="40"/>
        <v>198390.72</v>
      </c>
      <c r="I90" s="290">
        <f t="shared" si="40"/>
        <v>6361.43</v>
      </c>
      <c r="J90" s="290">
        <f t="shared" si="40"/>
        <v>0</v>
      </c>
      <c r="K90" s="300">
        <f t="shared" si="40"/>
        <v>588764.80000000005</v>
      </c>
      <c r="L90" s="301">
        <f t="shared" si="40"/>
        <v>0</v>
      </c>
      <c r="M90" s="302">
        <f t="shared" si="40"/>
        <v>588764.80000000005</v>
      </c>
      <c r="N90" s="301">
        <f t="shared" si="40"/>
        <v>0</v>
      </c>
      <c r="O90" s="302">
        <f t="shared" si="40"/>
        <v>588764.80000000005</v>
      </c>
      <c r="P90" s="329"/>
      <c r="Q90" s="306"/>
      <c r="S90" s="327"/>
      <c r="T90" s="567" t="s">
        <v>2</v>
      </c>
      <c r="U90" s="330">
        <f>SUM(U85:U89)</f>
        <v>62521.51</v>
      </c>
      <c r="V90" s="330">
        <f t="shared" ref="V90:AG90" si="41">SUM(V85:V89)</f>
        <v>54489.73</v>
      </c>
      <c r="W90" s="568">
        <f t="shared" si="41"/>
        <v>256691.59000000003</v>
      </c>
      <c r="X90" s="330">
        <f t="shared" si="41"/>
        <v>197030.77000000002</v>
      </c>
      <c r="Y90" s="330">
        <f t="shared" si="41"/>
        <v>10379.09</v>
      </c>
      <c r="Z90" s="290">
        <f t="shared" si="41"/>
        <v>0</v>
      </c>
      <c r="AA90" s="290">
        <f t="shared" si="41"/>
        <v>0.04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7652.0700000000006</v>
      </c>
      <c r="AE90" s="290">
        <f t="shared" si="41"/>
        <v>7652.0700000000006</v>
      </c>
      <c r="AF90" s="331">
        <f t="shared" si="41"/>
        <v>588764.80000000005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581112.69000000006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46267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17481476627.310001</v>
      </c>
      <c r="E104" s="292">
        <f t="shared" si="43"/>
        <v>879434175.00000012</v>
      </c>
      <c r="F104" s="292">
        <f t="shared" si="43"/>
        <v>495829520.96999997</v>
      </c>
      <c r="G104" s="292">
        <f t="shared" si="43"/>
        <v>260968409.75999999</v>
      </c>
      <c r="H104" s="292">
        <f t="shared" si="43"/>
        <v>4133030863.6100001</v>
      </c>
      <c r="I104" s="292">
        <f t="shared" si="43"/>
        <v>154901314.78</v>
      </c>
      <c r="J104" s="292">
        <f t="shared" si="43"/>
        <v>-3610213749.2700005</v>
      </c>
      <c r="K104" s="293">
        <f>D104-E104-F104-G104-H104-I104-J104</f>
        <v>15167526092.460001</v>
      </c>
      <c r="L104" s="294">
        <f>L9+L28+L47+L66+L85</f>
        <v>189185988</v>
      </c>
      <c r="M104" s="293">
        <f>K104-L104</f>
        <v>14978340104.460001</v>
      </c>
      <c r="N104" s="294">
        <f>N9+N28+N47+N66+N85</f>
        <v>16170630.209999999</v>
      </c>
      <c r="O104" s="293">
        <f>M104+N104</f>
        <v>14994510734.67</v>
      </c>
      <c r="Q104" s="306"/>
      <c r="S104" s="303">
        <v>1</v>
      </c>
      <c r="T104" s="304" t="s">
        <v>10</v>
      </c>
      <c r="U104" s="307">
        <f t="shared" ref="U104:AB108" si="44">U9+U28+U47+U66+U85</f>
        <v>1363020266.6600001</v>
      </c>
      <c r="V104" s="308">
        <f t="shared" si="44"/>
        <v>1294699651.98</v>
      </c>
      <c r="W104" s="308">
        <f t="shared" si="44"/>
        <v>6122934210.7399988</v>
      </c>
      <c r="X104" s="308">
        <f t="shared" si="44"/>
        <v>2388849771.6500001</v>
      </c>
      <c r="Y104" s="309">
        <f t="shared" si="44"/>
        <v>252831336.25</v>
      </c>
      <c r="Z104" s="310">
        <f t="shared" si="44"/>
        <v>-189185988</v>
      </c>
      <c r="AA104" s="311">
        <f>AA9+AA28+AA47+AA66+AA85</f>
        <v>2550.5</v>
      </c>
      <c r="AB104" s="294">
        <f>AB9+AB28+AB47+AB66+AB85</f>
        <v>16170630.209999999</v>
      </c>
      <c r="AC104" s="311">
        <f>AC9+AC28+AC47+AC66+AC85</f>
        <v>301.08999999999997</v>
      </c>
      <c r="AD104" s="291">
        <f>-J104+AE104</f>
        <v>3745188003.5900006</v>
      </c>
      <c r="AE104" s="291">
        <f>AE9+AE28+AE47+AE66+AE85</f>
        <v>134974254.32000002</v>
      </c>
      <c r="AF104" s="313">
        <f>SUM(U104:AD104)</f>
        <v>14994510734.669998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19257606090.439999</v>
      </c>
      <c r="E105" s="292">
        <f t="shared" si="43"/>
        <v>1377947791.8799999</v>
      </c>
      <c r="F105" s="292">
        <f t="shared" si="43"/>
        <v>768030457.42000008</v>
      </c>
      <c r="G105" s="292">
        <f t="shared" si="43"/>
        <v>400312606.53999996</v>
      </c>
      <c r="H105" s="292">
        <f t="shared" si="43"/>
        <v>6464949918.2200003</v>
      </c>
      <c r="I105" s="292">
        <f t="shared" si="43"/>
        <v>216662028.45999998</v>
      </c>
      <c r="J105" s="292">
        <f t="shared" si="43"/>
        <v>-4289876341.3299999</v>
      </c>
      <c r="K105" s="295">
        <f t="shared" ref="K105:K108" si="45">D105-E105-F105-G105-H105-I105-J105</f>
        <v>14319579629.249998</v>
      </c>
      <c r="L105" s="294">
        <f>L10+L29+L48+L67+L86</f>
        <v>266580256</v>
      </c>
      <c r="M105" s="295">
        <f>K105-L105</f>
        <v>14052999373.249998</v>
      </c>
      <c r="N105" s="294">
        <f>N10+N29+N48+N67+N86</f>
        <v>22461697.91</v>
      </c>
      <c r="O105" s="295">
        <f t="shared" ref="O105:O108" si="46">M105+N105</f>
        <v>14075461071.159998</v>
      </c>
      <c r="Q105" s="306"/>
      <c r="S105" s="314">
        <v>2</v>
      </c>
      <c r="T105" s="315" t="s">
        <v>11</v>
      </c>
      <c r="U105" s="316">
        <f t="shared" si="44"/>
        <v>1900794195.3099999</v>
      </c>
      <c r="V105" s="317">
        <f t="shared" si="44"/>
        <v>1868334916.4300003</v>
      </c>
      <c r="W105" s="317">
        <f t="shared" si="44"/>
        <v>8785123586.2599983</v>
      </c>
      <c r="X105" s="317">
        <f t="shared" si="44"/>
        <v>2713838807.2099996</v>
      </c>
      <c r="Y105" s="318">
        <f t="shared" si="44"/>
        <v>353676289.69</v>
      </c>
      <c r="Z105" s="319">
        <f t="shared" si="44"/>
        <v>-266580256</v>
      </c>
      <c r="AA105" s="320">
        <f t="shared" si="44"/>
        <v>-217685.97</v>
      </c>
      <c r="AB105" s="294">
        <f t="shared" si="44"/>
        <v>22461697.91</v>
      </c>
      <c r="AC105" s="320">
        <f t="shared" ref="AC105" si="47">AC10+AC29+AC48+AC67+AC86</f>
        <v>28.149999999999995</v>
      </c>
      <c r="AD105" s="291">
        <f t="shared" ref="AD105:AD106" si="48">-J105+AE105</f>
        <v>-1301970507.8300009</v>
      </c>
      <c r="AE105" s="291">
        <f>AE10+AE29+AE48+AE67+AE86</f>
        <v>-5591846849.1600008</v>
      </c>
      <c r="AF105" s="322">
        <f>SUM(U105:AD105)</f>
        <v>14075461071.159996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15116914559.32</v>
      </c>
      <c r="E106" s="292">
        <f t="shared" si="43"/>
        <v>977979889.33999991</v>
      </c>
      <c r="F106" s="292">
        <f t="shared" si="43"/>
        <v>551503495.3599999</v>
      </c>
      <c r="G106" s="292">
        <f t="shared" si="43"/>
        <v>289665457.38999999</v>
      </c>
      <c r="H106" s="292">
        <f t="shared" si="43"/>
        <v>4503887509.4700003</v>
      </c>
      <c r="I106" s="292">
        <f t="shared" si="43"/>
        <v>125817695.05000001</v>
      </c>
      <c r="J106" s="292">
        <f t="shared" si="43"/>
        <v>-829262233.29999995</v>
      </c>
      <c r="K106" s="295">
        <f t="shared" si="45"/>
        <v>9497322746.0099983</v>
      </c>
      <c r="L106" s="294">
        <f>L11+L30+L49+L68+L87</f>
        <v>154788536</v>
      </c>
      <c r="M106" s="295">
        <f>K106-L106</f>
        <v>9342534210.0099983</v>
      </c>
      <c r="N106" s="294">
        <f>N11+N30+N49+N68+N87</f>
        <v>20339896.989999998</v>
      </c>
      <c r="O106" s="295">
        <f t="shared" si="46"/>
        <v>9362874106.9999981</v>
      </c>
      <c r="Q106" s="306"/>
      <c r="S106" s="314">
        <v>3</v>
      </c>
      <c r="T106" s="315" t="s">
        <v>12</v>
      </c>
      <c r="U106" s="316">
        <f t="shared" si="44"/>
        <v>1103026104.3999996</v>
      </c>
      <c r="V106" s="317">
        <f t="shared" si="44"/>
        <v>1070765746.1300001</v>
      </c>
      <c r="W106" s="317">
        <f t="shared" si="44"/>
        <v>5063892488.2800007</v>
      </c>
      <c r="X106" s="317">
        <f t="shared" si="44"/>
        <v>2316416824.7900004</v>
      </c>
      <c r="Y106" s="318">
        <f t="shared" si="44"/>
        <v>205245733.97</v>
      </c>
      <c r="Z106" s="319">
        <f t="shared" si="44"/>
        <v>-154788536</v>
      </c>
      <c r="AA106" s="320">
        <f t="shared" si="44"/>
        <v>117561.4</v>
      </c>
      <c r="AB106" s="294">
        <f t="shared" si="44"/>
        <v>20339896.989999998</v>
      </c>
      <c r="AC106" s="320">
        <f t="shared" ref="AC106" si="50">AC11+AC30+AC49+AC68+AC87</f>
        <v>0.62</v>
      </c>
      <c r="AD106" s="291">
        <f t="shared" si="48"/>
        <v>-262141713.57999992</v>
      </c>
      <c r="AE106" s="291">
        <f>AE11+AE30+AE49+AE68+AE87</f>
        <v>-1091403946.8799999</v>
      </c>
      <c r="AF106" s="322">
        <f>SUM(U106:AD106)</f>
        <v>9362874107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7398812532.9499989</v>
      </c>
      <c r="E107" s="292">
        <f t="shared" si="43"/>
        <v>423119597.88999999</v>
      </c>
      <c r="F107" s="292">
        <f t="shared" si="43"/>
        <v>237319417.35000002</v>
      </c>
      <c r="G107" s="292">
        <f t="shared" si="43"/>
        <v>124679484.58</v>
      </c>
      <c r="H107" s="292">
        <f t="shared" si="43"/>
        <v>1980020664.25</v>
      </c>
      <c r="I107" s="292">
        <f t="shared" si="43"/>
        <v>69543147.450000003</v>
      </c>
      <c r="J107" s="292">
        <f t="shared" si="43"/>
        <v>-706235925.21000028</v>
      </c>
      <c r="K107" s="295">
        <f t="shared" si="45"/>
        <v>5270366146.6399984</v>
      </c>
      <c r="L107" s="294">
        <f>L12+L31+L50+L69+L88</f>
        <v>120391083</v>
      </c>
      <c r="M107" s="295">
        <f>K107-L107</f>
        <v>5149975063.6399984</v>
      </c>
      <c r="N107" s="294">
        <f>N12+N31+N50+N69+N88</f>
        <v>7773127.7699999996</v>
      </c>
      <c r="O107" s="295">
        <f>M107+N107</f>
        <v>5157748191.4099989</v>
      </c>
      <c r="Q107" s="306"/>
      <c r="S107" s="314">
        <v>4</v>
      </c>
      <c r="T107" s="315" t="s">
        <v>13</v>
      </c>
      <c r="U107" s="316">
        <f t="shared" si="44"/>
        <v>609384239.33000004</v>
      </c>
      <c r="V107" s="317">
        <f t="shared" si="44"/>
        <v>591423929.07000005</v>
      </c>
      <c r="W107" s="317">
        <f t="shared" si="44"/>
        <v>2999088802.02</v>
      </c>
      <c r="X107" s="317">
        <f t="shared" si="44"/>
        <v>1120355776.7</v>
      </c>
      <c r="Y107" s="318">
        <f t="shared" si="44"/>
        <v>113252427.27000001</v>
      </c>
      <c r="Z107" s="319">
        <f t="shared" si="44"/>
        <v>-120391083</v>
      </c>
      <c r="AA107" s="320">
        <f>AA12+AA31+AA50+AA69+AA88</f>
        <v>-13816.190000000002</v>
      </c>
      <c r="AB107" s="294">
        <f t="shared" si="44"/>
        <v>7773127.7699999996</v>
      </c>
      <c r="AC107" s="320">
        <f t="shared" ref="AC107" si="51">AC12+AC31+AC50+AC69+AC88</f>
        <v>381.85</v>
      </c>
      <c r="AD107" s="291">
        <f t="shared" ref="AD107" si="52">-J107+AE107</f>
        <v>-163125593.40999985</v>
      </c>
      <c r="AE107" s="291">
        <f>AE12+AE31+AE50+AE69+AE88</f>
        <v>-869361518.62000012</v>
      </c>
      <c r="AF107" s="322">
        <f t="shared" ref="AF107:AF108" si="53">SUM(U107:AD107)</f>
        <v>5157748191.4100018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11764023420.48</v>
      </c>
      <c r="E108" s="297">
        <f t="shared" si="43"/>
        <v>689282091.66999996</v>
      </c>
      <c r="F108" s="297">
        <f t="shared" si="43"/>
        <v>388594654.95000005</v>
      </c>
      <c r="G108" s="297">
        <f t="shared" si="43"/>
        <v>204248392.93000001</v>
      </c>
      <c r="H108" s="297">
        <f t="shared" si="43"/>
        <v>2978264001.9200001</v>
      </c>
      <c r="I108" s="297">
        <f t="shared" si="43"/>
        <v>108269318.42</v>
      </c>
      <c r="J108" s="297">
        <f t="shared" si="43"/>
        <v>-23403941.309999943</v>
      </c>
      <c r="K108" s="295">
        <f t="shared" si="45"/>
        <v>7418768901.8999977</v>
      </c>
      <c r="L108" s="294">
        <f>L13+L32+L51+L70+L89</f>
        <v>128990446</v>
      </c>
      <c r="M108" s="298">
        <f>K108-L108</f>
        <v>7289778455.8999977</v>
      </c>
      <c r="N108" s="299">
        <f>N13+N32+N51+N70+N89</f>
        <v>8938793.0399999991</v>
      </c>
      <c r="O108" s="298">
        <f t="shared" si="46"/>
        <v>7298717248.9399977</v>
      </c>
      <c r="Q108" s="306"/>
      <c r="S108" s="324">
        <v>5</v>
      </c>
      <c r="T108" s="325" t="s">
        <v>14</v>
      </c>
      <c r="U108" s="296">
        <f t="shared" si="44"/>
        <v>948827422.16999996</v>
      </c>
      <c r="V108" s="297">
        <f t="shared" si="44"/>
        <v>919463935.80000007</v>
      </c>
      <c r="W108" s="297">
        <f t="shared" si="44"/>
        <v>4767845574.7600002</v>
      </c>
      <c r="X108" s="297">
        <f t="shared" si="44"/>
        <v>2084260220.79</v>
      </c>
      <c r="Y108" s="289">
        <f t="shared" si="44"/>
        <v>176614519.61000001</v>
      </c>
      <c r="Z108" s="319">
        <f t="shared" si="44"/>
        <v>-128990446</v>
      </c>
      <c r="AA108" s="320">
        <f t="shared" si="44"/>
        <v>-103215.67000000001</v>
      </c>
      <c r="AB108" s="294">
        <f t="shared" si="44"/>
        <v>8938793.0399999991</v>
      </c>
      <c r="AC108" s="320">
        <f t="shared" ref="AC108" si="54">AC13+AC32+AC51+AC70+AC89</f>
        <v>5.93</v>
      </c>
      <c r="AD108" s="291">
        <f>-J108+AE108</f>
        <v>-1478139561.49</v>
      </c>
      <c r="AE108" s="291">
        <f>AE13+AE32+AE51+AE70+AE89</f>
        <v>-1501543502.8</v>
      </c>
      <c r="AF108" s="322">
        <f t="shared" si="53"/>
        <v>7298717248.9400024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71018833230.5</v>
      </c>
      <c r="E109" s="290">
        <f t="shared" ref="E109:O109" si="55">SUM(E104:E108)</f>
        <v>4347763545.7799997</v>
      </c>
      <c r="F109" s="290">
        <f t="shared" si="55"/>
        <v>2441277546.0500002</v>
      </c>
      <c r="G109" s="290">
        <f t="shared" si="55"/>
        <v>1279874351.2</v>
      </c>
      <c r="H109" s="290">
        <f t="shared" si="55"/>
        <v>20060152957.470001</v>
      </c>
      <c r="I109" s="290">
        <f t="shared" si="55"/>
        <v>675193504.15999997</v>
      </c>
      <c r="J109" s="290">
        <f t="shared" si="55"/>
        <v>-9458992190.4200001</v>
      </c>
      <c r="K109" s="300">
        <f t="shared" si="55"/>
        <v>51673563516.259995</v>
      </c>
      <c r="L109" s="301">
        <f t="shared" si="55"/>
        <v>859936309</v>
      </c>
      <c r="M109" s="302">
        <f t="shared" si="55"/>
        <v>50813627207.259995</v>
      </c>
      <c r="N109" s="301">
        <f>SUM(N104:N108)</f>
        <v>75684145.919999987</v>
      </c>
      <c r="O109" s="302">
        <f t="shared" si="55"/>
        <v>50889311353.179985</v>
      </c>
      <c r="P109" s="329"/>
      <c r="Q109" s="306"/>
      <c r="S109" s="327"/>
      <c r="T109" s="328" t="s">
        <v>2</v>
      </c>
      <c r="U109" s="330">
        <f>SUM(U104:U108)</f>
        <v>5925052227.8699999</v>
      </c>
      <c r="V109" s="330">
        <f t="shared" ref="V109:AF109" si="56">SUM(V104:V108)</f>
        <v>5744688179.4100008</v>
      </c>
      <c r="W109" s="330">
        <f t="shared" si="56"/>
        <v>27738884662.059998</v>
      </c>
      <c r="X109" s="330">
        <f t="shared" si="56"/>
        <v>10623721401.139999</v>
      </c>
      <c r="Y109" s="330">
        <f t="shared" si="56"/>
        <v>1101620306.79</v>
      </c>
      <c r="Z109" s="290">
        <f t="shared" si="56"/>
        <v>-859936309</v>
      </c>
      <c r="AA109" s="290">
        <f t="shared" si="56"/>
        <v>-214605.93000000002</v>
      </c>
      <c r="AB109" s="290">
        <f t="shared" si="56"/>
        <v>75684145.919999987</v>
      </c>
      <c r="AC109" s="290">
        <f t="shared" si="56"/>
        <v>717.64</v>
      </c>
      <c r="AD109" s="290">
        <f t="shared" si="56"/>
        <v>539810627.27999997</v>
      </c>
      <c r="AE109" s="290">
        <f>SUM(AE104:AE108)</f>
        <v>-8919181563.1400013</v>
      </c>
      <c r="AF109" s="331">
        <f t="shared" si="56"/>
        <v>50889311353.18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51133966777.269997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40340694</v>
      </c>
      <c r="E125" s="111">
        <v>0</v>
      </c>
      <c r="G125" s="336">
        <f>D47+N47</f>
        <v>63570</v>
      </c>
      <c r="H125" s="310">
        <f>D28+N28</f>
        <v>51722407.540000007</v>
      </c>
      <c r="I125" s="309">
        <f>D85+N85</f>
        <v>806955.98</v>
      </c>
      <c r="J125" s="309">
        <f>D66+N66</f>
        <v>-73090</v>
      </c>
      <c r="K125" s="309">
        <f>'ANTICIPOS USUARIOS'!I12</f>
        <v>76340</v>
      </c>
      <c r="L125" s="309">
        <f>-'ANTICIPOS USUARIOS'!I21</f>
        <v>66820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53772356.219999999</v>
      </c>
      <c r="E126" s="74">
        <v>0</v>
      </c>
      <c r="G126" s="339">
        <f>D48+N48</f>
        <v>196740</v>
      </c>
      <c r="H126" s="340">
        <f>D29+N29</f>
        <v>33227409.570000004</v>
      </c>
      <c r="I126" s="288">
        <f>D86+N86</f>
        <v>0</v>
      </c>
      <c r="J126" s="288">
        <f t="shared" ref="J126:J129" si="57">D67+N67</f>
        <v>-13447592</v>
      </c>
      <c r="K126" s="288">
        <f>'ANTICIPOS USUARIOS'!I13</f>
        <v>2593540</v>
      </c>
      <c r="L126" s="288">
        <f>-'ANTICIPOS USUARIOS'!I22</f>
        <v>79350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20418516</v>
      </c>
      <c r="E127" s="74">
        <v>0</v>
      </c>
      <c r="G127" s="339">
        <f>D49+N49</f>
        <v>0</v>
      </c>
      <c r="H127" s="340">
        <f>D30+N30</f>
        <v>16859149.469999999</v>
      </c>
      <c r="I127" s="288">
        <f>D87+N87</f>
        <v>118874.84</v>
      </c>
      <c r="J127" s="288">
        <f t="shared" si="57"/>
        <v>-4617354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37713515</v>
      </c>
      <c r="E128" s="74">
        <v>0</v>
      </c>
      <c r="G128" s="339">
        <f>D50+N50</f>
        <v>3642708</v>
      </c>
      <c r="H128" s="340">
        <f>D31+N31</f>
        <v>59191372.720000006</v>
      </c>
      <c r="I128" s="288">
        <f>D88+N88</f>
        <v>0</v>
      </c>
      <c r="J128" s="288">
        <f t="shared" si="57"/>
        <v>-14638846</v>
      </c>
      <c r="K128" s="288">
        <f>'ANTICIPOS USUARIOS'!I15</f>
        <v>7590288</v>
      </c>
      <c r="L128" s="288">
        <f>-'ANTICIPOS USUARIOS'!I24</f>
        <v>36570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23895807</v>
      </c>
      <c r="E129" s="139">
        <v>0</v>
      </c>
      <c r="G129" s="339">
        <f>D51+N51</f>
        <v>0</v>
      </c>
      <c r="H129" s="340">
        <f>D32+N32</f>
        <v>17082544.52</v>
      </c>
      <c r="I129" s="288">
        <f>D89+N89</f>
        <v>0</v>
      </c>
      <c r="J129" s="288">
        <f t="shared" si="57"/>
        <v>-1454550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176140888.22</v>
      </c>
      <c r="E131" s="107">
        <f>SUM(E125:E130)</f>
        <v>0</v>
      </c>
      <c r="F131" s="45"/>
      <c r="G131" s="350">
        <f t="shared" ref="G131" si="58">SUM(G125:G129)</f>
        <v>3903018</v>
      </c>
      <c r="H131" s="350">
        <f>SUM(H125:H130)</f>
        <v>178082883.82000002</v>
      </c>
      <c r="I131" s="350">
        <f>SUM(I125:I130)</f>
        <v>925830.82</v>
      </c>
      <c r="J131" s="350">
        <f>SUM(J125:J130)</f>
        <v>-34231432</v>
      </c>
      <c r="K131" s="350">
        <f>SUM(K125:K130)</f>
        <v>10260168</v>
      </c>
      <c r="L131" s="350">
        <f>SUM(L125:L130)</f>
        <v>182740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17537987951.52</v>
      </c>
      <c r="E142" s="110">
        <f>'Recaudo ENEL'!F21</f>
        <v>17485468108</v>
      </c>
      <c r="F142" s="110">
        <f>D28+N28</f>
        <v>51722407.540000007</v>
      </c>
      <c r="G142" s="110">
        <f>D66+N66</f>
        <v>-73090</v>
      </c>
      <c r="H142" s="110">
        <f>D85+N85</f>
        <v>806955.98</v>
      </c>
      <c r="I142" s="110">
        <f>('REPORTE RECAUDO x BANCO'!E62)</f>
        <v>0</v>
      </c>
      <c r="J142" s="110">
        <f t="shared" ref="J142:K146" si="59">G125</f>
        <v>63570</v>
      </c>
      <c r="K142" s="111">
        <f t="shared" si="59"/>
        <v>51722407.540000007</v>
      </c>
      <c r="L142" s="525">
        <f>D142-E142-F142-G142-J142-H142-I142</f>
        <v>4.5122578740119934E-7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19333840144.57</v>
      </c>
      <c r="E143" s="18">
        <f>'Recaudo ENEL'!F22</f>
        <v>19312203807</v>
      </c>
      <c r="F143" s="18">
        <f>D29+N29</f>
        <v>33227409.570000004</v>
      </c>
      <c r="G143" s="18">
        <f>D67+N67</f>
        <v>-13447592</v>
      </c>
      <c r="H143" s="18">
        <f>D86+N86</f>
        <v>0</v>
      </c>
      <c r="I143" s="18">
        <f>('REPORTE RECAUDO x BANCO'!E65)</f>
        <v>1659780</v>
      </c>
      <c r="J143" s="18">
        <f t="shared" si="59"/>
        <v>196740</v>
      </c>
      <c r="K143" s="83">
        <f t="shared" si="59"/>
        <v>33227409.570000004</v>
      </c>
      <c r="L143" s="525">
        <f>D143-E143-F143-G143-J143-H143-I143</f>
        <v>-3.0919909477233887E-7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15157672972.309999</v>
      </c>
      <c r="E144" s="18">
        <f>'Recaudo ENEL'!F23</f>
        <v>15144539722</v>
      </c>
      <c r="F144" s="18">
        <f>D30+N30</f>
        <v>16859149.469999999</v>
      </c>
      <c r="G144" s="18">
        <f>D68+N68</f>
        <v>-4617354</v>
      </c>
      <c r="H144" s="18">
        <f>D87+N87</f>
        <v>118874.84</v>
      </c>
      <c r="I144" s="18">
        <f>('REPORTE RECAUDO x BANCO'!E67)</f>
        <v>772580</v>
      </c>
      <c r="J144" s="18">
        <f t="shared" si="59"/>
        <v>0</v>
      </c>
      <c r="K144" s="83">
        <f t="shared" si="59"/>
        <v>16859149.469999999</v>
      </c>
      <c r="L144" s="525">
        <f>D144-E144-F144-G144-J144-H144-I144</f>
        <v>-5.3283292800188065E-7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7444299175.7199993</v>
      </c>
      <c r="E145" s="18">
        <f>'Recaudo ENEL'!F24</f>
        <v>7395670681</v>
      </c>
      <c r="F145" s="18">
        <f>D31+N31</f>
        <v>59191372.720000006</v>
      </c>
      <c r="G145" s="18">
        <f>D69+N69</f>
        <v>-14638846</v>
      </c>
      <c r="H145" s="18">
        <f>D88+N88</f>
        <v>0</v>
      </c>
      <c r="I145" s="18">
        <f>('REPORTE RECAUDO x BANCO'!E70)</f>
        <v>433260</v>
      </c>
      <c r="J145" s="18">
        <f t="shared" si="59"/>
        <v>3642708</v>
      </c>
      <c r="K145" s="83">
        <f t="shared" si="59"/>
        <v>59191372.720000006</v>
      </c>
      <c r="L145" s="525">
        <f>D145-E145-F145-G145-J145-H145-I145</f>
        <v>-6.9290399551391602E-7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11796858020.52</v>
      </c>
      <c r="E146" s="18">
        <f>'Recaudo ENEL'!F25</f>
        <v>11780722576</v>
      </c>
      <c r="F146" s="134">
        <f>D32+N32</f>
        <v>17082544.52</v>
      </c>
      <c r="G146" s="134">
        <f>D70+N70</f>
        <v>-1454550</v>
      </c>
      <c r="H146" s="134">
        <f>D89+N89</f>
        <v>0</v>
      </c>
      <c r="I146" s="134">
        <f>('REPORTE RECAUDO x BANCO'!E72)</f>
        <v>507450</v>
      </c>
      <c r="J146" s="134">
        <f t="shared" si="59"/>
        <v>0</v>
      </c>
      <c r="K146" s="136">
        <f t="shared" si="59"/>
        <v>17082544.52</v>
      </c>
      <c r="L146" s="525">
        <f>D146-E146-F146-G146-J146-H146-I146</f>
        <v>4.5821070671081543E-7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71270658264.639999</v>
      </c>
      <c r="E147" s="47">
        <f>SUM(E142:E146)</f>
        <v>71118604894</v>
      </c>
      <c r="F147" s="47">
        <f t="shared" ref="F147:K147" si="61">SUM(F142:F146)</f>
        <v>178082883.82000002</v>
      </c>
      <c r="G147" s="47">
        <f t="shared" si="61"/>
        <v>-34231432</v>
      </c>
      <c r="H147" s="47">
        <f t="shared" si="61"/>
        <v>925830.82</v>
      </c>
      <c r="I147" s="47">
        <f t="shared" si="61"/>
        <v>3373070</v>
      </c>
      <c r="J147" s="47">
        <f t="shared" si="61"/>
        <v>3903018</v>
      </c>
      <c r="K147" s="47">
        <f t="shared" si="61"/>
        <v>178082883.82000002</v>
      </c>
      <c r="L147" s="525">
        <f>SUM(L142:L146)</f>
        <v>-6.2549952417612076E-7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17485468108</v>
      </c>
      <c r="D3" s="292">
        <f>REMUNERACION_ENEL!G125</f>
        <v>63570</v>
      </c>
      <c r="E3" s="292">
        <f>REMUNERACION_ENEL!D28+REMUNERACION_ENEL!N28</f>
        <v>51722407.540000007</v>
      </c>
      <c r="F3" s="292">
        <f>REMUNERACION_ENEL!I142</f>
        <v>0</v>
      </c>
      <c r="G3" s="292">
        <f>REMUNERACION_ENEL!H142</f>
        <v>806955.98</v>
      </c>
      <c r="H3" s="340">
        <f>SUM(C3:G3)</f>
        <v>17538061041.52</v>
      </c>
      <c r="I3" s="291">
        <f>REMUNERACION_ENEL!D104</f>
        <v>17481476627.310001</v>
      </c>
      <c r="J3" s="292">
        <f>REMUNERACION_ENEL!N104</f>
        <v>16170630.209999999</v>
      </c>
      <c r="K3" s="292">
        <f>REMUNERACION_ENEL!D125</f>
        <v>40340694</v>
      </c>
      <c r="L3" s="353">
        <f>REMUNERACION_ENEL!E125</f>
        <v>0</v>
      </c>
      <c r="M3" s="292">
        <f>-REMUNERACION_ENEL!D66-REMUNERACION_ENEL!N66</f>
        <v>73090</v>
      </c>
      <c r="N3" s="288">
        <f>SUM(I3:M3)</f>
        <v>17538061041.52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19312203807</v>
      </c>
      <c r="D4" s="292">
        <f>REMUNERACION_ENEL!G126</f>
        <v>196740</v>
      </c>
      <c r="E4" s="292">
        <f>REMUNERACION_ENEL!D29+REMUNERACION_ENEL!N29</f>
        <v>33227409.570000004</v>
      </c>
      <c r="F4" s="292">
        <f>REMUNERACION_ENEL!I143</f>
        <v>1659780</v>
      </c>
      <c r="G4" s="292">
        <f>REMUNERACION_ENEL!H143</f>
        <v>0</v>
      </c>
      <c r="H4" s="340">
        <f t="shared" ref="H4:H8" si="1">SUM(C4:G4)</f>
        <v>19347287736.57</v>
      </c>
      <c r="I4" s="291">
        <f>REMUNERACION_ENEL!D105</f>
        <v>19257606090.439999</v>
      </c>
      <c r="J4" s="292">
        <f>REMUNERACION_ENEL!N105</f>
        <v>22461697.91</v>
      </c>
      <c r="K4" s="292">
        <f>REMUNERACION_ENEL!D126</f>
        <v>53772356.219999999</v>
      </c>
      <c r="L4" s="353">
        <f>REMUNERACION_ENEL!E126</f>
        <v>0</v>
      </c>
      <c r="M4" s="292">
        <f>-REMUNERACION_ENEL!D67-REMUNERACION_ENEL!N67</f>
        <v>13447592</v>
      </c>
      <c r="N4" s="318">
        <f>SUM(I4:M4)</f>
        <v>19347287736.57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15144539722</v>
      </c>
      <c r="D5" s="292">
        <f>REMUNERACION_ENEL!G127</f>
        <v>0</v>
      </c>
      <c r="E5" s="292">
        <f>REMUNERACION_ENEL!D30+REMUNERACION_ENEL!N30</f>
        <v>16859149.469999999</v>
      </c>
      <c r="F5" s="292">
        <f>REMUNERACION_ENEL!I144</f>
        <v>772580</v>
      </c>
      <c r="G5" s="292">
        <f>REMUNERACION_ENEL!H144</f>
        <v>118874.84</v>
      </c>
      <c r="H5" s="340">
        <f t="shared" si="1"/>
        <v>15162290326.309999</v>
      </c>
      <c r="I5" s="291">
        <f>REMUNERACION_ENEL!D106</f>
        <v>15116914559.32</v>
      </c>
      <c r="J5" s="292">
        <f>REMUNERACION_ENEL!N106</f>
        <v>20339896.989999998</v>
      </c>
      <c r="K5" s="292">
        <f>REMUNERACION_ENEL!D127</f>
        <v>20418516</v>
      </c>
      <c r="L5" s="353">
        <f>REMUNERACION_ENEL!E127</f>
        <v>0</v>
      </c>
      <c r="M5" s="292">
        <f>-REMUNERACION_ENEL!D68-REMUNERACION_ENEL!N68</f>
        <v>4617354</v>
      </c>
      <c r="N5" s="318">
        <f>SUM(I5:M5)</f>
        <v>15162290326.309999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7395670681</v>
      </c>
      <c r="D6" s="292">
        <f>REMUNERACION_ENEL!G128</f>
        <v>3642708</v>
      </c>
      <c r="E6" s="292">
        <f>REMUNERACION_ENEL!D31+REMUNERACION_ENEL!N31</f>
        <v>59191372.720000006</v>
      </c>
      <c r="F6" s="292">
        <f>REMUNERACION_ENEL!I145</f>
        <v>433260</v>
      </c>
      <c r="G6" s="292">
        <f>REMUNERACION_ENEL!H145</f>
        <v>0</v>
      </c>
      <c r="H6" s="340">
        <f t="shared" si="1"/>
        <v>7458938021.7200003</v>
      </c>
      <c r="I6" s="291">
        <f>REMUNERACION_ENEL!D107</f>
        <v>7398812532.9499989</v>
      </c>
      <c r="J6" s="292">
        <f>REMUNERACION_ENEL!N107</f>
        <v>7773127.7699999996</v>
      </c>
      <c r="K6" s="292">
        <f>REMUNERACION_ENEL!D128</f>
        <v>37713515</v>
      </c>
      <c r="L6" s="353">
        <f>REMUNERACION_ENEL!E128</f>
        <v>0</v>
      </c>
      <c r="M6" s="292">
        <f>-REMUNERACION_ENEL!D69-REMUNERACION_ENEL!N69</f>
        <v>14638846</v>
      </c>
      <c r="N6" s="318">
        <f t="shared" ref="N6:N7" si="3">SUM(I6:M6)</f>
        <v>7458938021.7199993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11780722576</v>
      </c>
      <c r="D7" s="292">
        <f>REMUNERACION_ENEL!G129</f>
        <v>0</v>
      </c>
      <c r="E7" s="292">
        <f>REMUNERACION_ENEL!D32+REMUNERACION_ENEL!N32</f>
        <v>17082544.52</v>
      </c>
      <c r="F7" s="292">
        <f>REMUNERACION_ENEL!I146</f>
        <v>507450</v>
      </c>
      <c r="G7" s="292">
        <f>REMUNERACION_ENEL!H146</f>
        <v>0</v>
      </c>
      <c r="H7" s="340">
        <f t="shared" si="1"/>
        <v>11798312570.52</v>
      </c>
      <c r="I7" s="291">
        <f>REMUNERACION_ENEL!D108</f>
        <v>11764023420.48</v>
      </c>
      <c r="J7" s="292">
        <f>REMUNERACION_ENEL!N108</f>
        <v>8938793.0399999991</v>
      </c>
      <c r="K7" s="292">
        <f>REMUNERACION_ENEL!D129</f>
        <v>23895807</v>
      </c>
      <c r="L7" s="353">
        <f>REMUNERACION_ENEL!E129</f>
        <v>0</v>
      </c>
      <c r="M7" s="292">
        <f>-REMUNERACION_ENEL!D70-REMUNERACION_ENEL!N70</f>
        <v>1454550</v>
      </c>
      <c r="N7" s="318">
        <f t="shared" si="3"/>
        <v>11798312570.52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71118604894</v>
      </c>
      <c r="D9" s="290">
        <f t="shared" ref="D9:M9" si="4">SUM(D3:D8)</f>
        <v>3903018</v>
      </c>
      <c r="E9" s="290">
        <f t="shared" si="4"/>
        <v>178082883.82000002</v>
      </c>
      <c r="F9" s="290">
        <f t="shared" si="4"/>
        <v>3373070</v>
      </c>
      <c r="G9" s="290">
        <f t="shared" si="4"/>
        <v>925830.82</v>
      </c>
      <c r="H9" s="290">
        <f t="shared" si="4"/>
        <v>71304889696.639999</v>
      </c>
      <c r="I9" s="290">
        <f t="shared" si="4"/>
        <v>71018833230.5</v>
      </c>
      <c r="J9" s="290">
        <f t="shared" si="4"/>
        <v>75684145.919999987</v>
      </c>
      <c r="K9" s="290">
        <f t="shared" si="4"/>
        <v>176140888.22</v>
      </c>
      <c r="L9" s="290">
        <f t="shared" si="4"/>
        <v>0</v>
      </c>
      <c r="M9" s="290">
        <f t="shared" si="4"/>
        <v>34231432</v>
      </c>
      <c r="N9" s="290">
        <f>SUM(N3:N8)</f>
        <v>71304889696.639999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71118604894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46267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46250</v>
      </c>
      <c r="J7" s="2" t="s">
        <v>28</v>
      </c>
      <c r="K7" s="9">
        <f>REMUNERACION_ENEL!K102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17481476627.310001</v>
      </c>
      <c r="E9" s="66">
        <f>REMUNERACION_ENEL!E104</f>
        <v>879434175.00000012</v>
      </c>
      <c r="F9" s="66">
        <f>REMUNERACION_ENEL!F104</f>
        <v>495829520.96999997</v>
      </c>
      <c r="G9" s="66">
        <f>REMUNERACION_ENEL!G104</f>
        <v>260968409.75999999</v>
      </c>
      <c r="H9" s="66">
        <f>REMUNERACION_ENEL!H104</f>
        <v>4133030863.6100001</v>
      </c>
      <c r="I9" s="66">
        <f>REMUNERACION_ENEL!I104</f>
        <v>154901314.78</v>
      </c>
      <c r="J9" s="66">
        <f>REMUNERACION_ENEL!J104</f>
        <v>-3610213749.2700005</v>
      </c>
      <c r="K9" s="30">
        <f>D9-E9-F9-G9-H9-I9-J9</f>
        <v>15167526092.460001</v>
      </c>
      <c r="L9" s="66">
        <f>REMUNERACION_ENEL!L104</f>
        <v>189185988</v>
      </c>
      <c r="M9" s="30">
        <f>K9-L9</f>
        <v>14978340104.460001</v>
      </c>
      <c r="N9" s="66">
        <f>REMUNERACION_ENEL!N104</f>
        <v>16170630.209999999</v>
      </c>
      <c r="O9" s="30">
        <f>M9+N9</f>
        <v>14994510734.67</v>
      </c>
      <c r="Q9" s="4"/>
      <c r="S9" s="14">
        <v>1</v>
      </c>
      <c r="T9" s="61" t="s">
        <v>10</v>
      </c>
      <c r="U9" s="66">
        <f>REMUNERACION_ENEL!U104</f>
        <v>1363020266.6600001</v>
      </c>
      <c r="V9" s="66">
        <f>REMUNERACION_ENEL!V104</f>
        <v>1294699651.98</v>
      </c>
      <c r="W9" s="66">
        <f>REMUNERACION_ENEL!W104</f>
        <v>6122934210.7399988</v>
      </c>
      <c r="X9" s="66">
        <f>REMUNERACION_ENEL!X104</f>
        <v>2388849771.6500001</v>
      </c>
      <c r="Y9" s="66">
        <f>REMUNERACION_ENEL!Y104</f>
        <v>252831336.25</v>
      </c>
      <c r="Z9" s="66">
        <f>REMUNERACION_ENEL!Z104</f>
        <v>-189185988</v>
      </c>
      <c r="AA9" s="66">
        <f>REMUNERACION_ENEL!AA104</f>
        <v>2550.5</v>
      </c>
      <c r="AB9" s="66">
        <f>REMUNERACION_ENEL!AB104</f>
        <v>16170630.209999999</v>
      </c>
      <c r="AC9" s="66">
        <f>REMUNERACION_ENEL!AC104</f>
        <v>301.08999999999997</v>
      </c>
      <c r="AD9" s="66">
        <f>REMUNERACION_ENEL!AD104</f>
        <v>3745188003.5900006</v>
      </c>
      <c r="AE9" s="66">
        <f>REMUNERACION_ENEL!AE104</f>
        <v>134974254.32000002</v>
      </c>
      <c r="AF9" s="69">
        <f>SUM(U9:AD9)</f>
        <v>14994510734.669998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19257606090.439999</v>
      </c>
      <c r="E10" s="66">
        <f>REMUNERACION_ENEL!E105</f>
        <v>1377947791.8799999</v>
      </c>
      <c r="F10" s="66">
        <f>REMUNERACION_ENEL!F105</f>
        <v>768030457.42000008</v>
      </c>
      <c r="G10" s="66">
        <f>REMUNERACION_ENEL!G105</f>
        <v>400312606.53999996</v>
      </c>
      <c r="H10" s="66">
        <f>REMUNERACION_ENEL!H105</f>
        <v>6464949918.2200003</v>
      </c>
      <c r="I10" s="66">
        <f>REMUNERACION_ENEL!I105</f>
        <v>216662028.45999998</v>
      </c>
      <c r="J10" s="66">
        <f>REMUNERACION_ENEL!J105</f>
        <v>-4289876341.3299999</v>
      </c>
      <c r="K10" s="31">
        <f t="shared" ref="K10:K13" si="0">D10-E10-F10-G10-H10-I10-J10</f>
        <v>14319579629.249998</v>
      </c>
      <c r="L10" s="66">
        <f>REMUNERACION_ENEL!L105</f>
        <v>266580256</v>
      </c>
      <c r="M10" s="31">
        <f>K10-L10</f>
        <v>14052999373.249998</v>
      </c>
      <c r="N10" s="66">
        <f>REMUNERACION_ENEL!N105</f>
        <v>22461697.91</v>
      </c>
      <c r="O10" s="31">
        <f t="shared" ref="O10:O13" si="1">M10+N10</f>
        <v>14075461071.159998</v>
      </c>
      <c r="Q10" s="4"/>
      <c r="S10" s="16">
        <v>2</v>
      </c>
      <c r="T10" s="62" t="s">
        <v>11</v>
      </c>
      <c r="U10" s="66">
        <f>REMUNERACION_ENEL!U105</f>
        <v>1900794195.3099999</v>
      </c>
      <c r="V10" s="66">
        <f>REMUNERACION_ENEL!V105</f>
        <v>1868334916.4300003</v>
      </c>
      <c r="W10" s="66">
        <f>REMUNERACION_ENEL!W105</f>
        <v>8785123586.2599983</v>
      </c>
      <c r="X10" s="66">
        <f>REMUNERACION_ENEL!X105</f>
        <v>2713838807.2099996</v>
      </c>
      <c r="Y10" s="66">
        <f>REMUNERACION_ENEL!Y105</f>
        <v>353676289.69</v>
      </c>
      <c r="Z10" s="66">
        <f>REMUNERACION_ENEL!Z105</f>
        <v>-266580256</v>
      </c>
      <c r="AA10" s="66">
        <f>REMUNERACION_ENEL!AA105</f>
        <v>-217685.97</v>
      </c>
      <c r="AB10" s="66">
        <f>REMUNERACION_ENEL!AB105</f>
        <v>22461697.91</v>
      </c>
      <c r="AC10" s="66">
        <f>REMUNERACION_ENEL!AC105</f>
        <v>28.149999999999995</v>
      </c>
      <c r="AD10" s="66">
        <f>REMUNERACION_ENEL!AD105</f>
        <v>-1301970507.8300009</v>
      </c>
      <c r="AE10" s="66">
        <f>REMUNERACION_ENEL!AE105</f>
        <v>-5591846849.1600008</v>
      </c>
      <c r="AF10" s="70">
        <f>SUM(U10:AD10)</f>
        <v>14075461071.159996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15116914559.32</v>
      </c>
      <c r="E11" s="66">
        <f>REMUNERACION_ENEL!E106</f>
        <v>977979889.33999991</v>
      </c>
      <c r="F11" s="66">
        <f>REMUNERACION_ENEL!F106</f>
        <v>551503495.3599999</v>
      </c>
      <c r="G11" s="66">
        <f>REMUNERACION_ENEL!G106</f>
        <v>289665457.38999999</v>
      </c>
      <c r="H11" s="66">
        <f>REMUNERACION_ENEL!H106</f>
        <v>4503887509.4700003</v>
      </c>
      <c r="I11" s="66">
        <f>REMUNERACION_ENEL!I106</f>
        <v>125817695.05000001</v>
      </c>
      <c r="J11" s="66">
        <f>REMUNERACION_ENEL!J106</f>
        <v>-829262233.29999995</v>
      </c>
      <c r="K11" s="31">
        <f t="shared" si="0"/>
        <v>9497322746.0099983</v>
      </c>
      <c r="L11" s="66">
        <f>REMUNERACION_ENEL!L106</f>
        <v>154788536</v>
      </c>
      <c r="M11" s="31">
        <f>K11-L11</f>
        <v>9342534210.0099983</v>
      </c>
      <c r="N11" s="66">
        <f>REMUNERACION_ENEL!N106</f>
        <v>20339896.989999998</v>
      </c>
      <c r="O11" s="31">
        <f t="shared" si="1"/>
        <v>9362874106.9999981</v>
      </c>
      <c r="Q11" s="4"/>
      <c r="S11" s="16">
        <v>3</v>
      </c>
      <c r="T11" s="62" t="s">
        <v>12</v>
      </c>
      <c r="U11" s="66">
        <f>REMUNERACION_ENEL!U106</f>
        <v>1103026104.3999996</v>
      </c>
      <c r="V11" s="66">
        <f>REMUNERACION_ENEL!V106</f>
        <v>1070765746.1300001</v>
      </c>
      <c r="W11" s="66">
        <f>REMUNERACION_ENEL!W106</f>
        <v>5063892488.2800007</v>
      </c>
      <c r="X11" s="66">
        <f>REMUNERACION_ENEL!X106</f>
        <v>2316416824.7900004</v>
      </c>
      <c r="Y11" s="66">
        <f>REMUNERACION_ENEL!Y106</f>
        <v>205245733.97</v>
      </c>
      <c r="Z11" s="66">
        <f>REMUNERACION_ENEL!Z106</f>
        <v>-154788536</v>
      </c>
      <c r="AA11" s="66">
        <f>REMUNERACION_ENEL!AA106</f>
        <v>117561.4</v>
      </c>
      <c r="AB11" s="66">
        <f>REMUNERACION_ENEL!AB106</f>
        <v>20339896.989999998</v>
      </c>
      <c r="AC11" s="66">
        <f>REMUNERACION_ENEL!AC106</f>
        <v>0.62</v>
      </c>
      <c r="AD11" s="66">
        <f>REMUNERACION_ENEL!AD106</f>
        <v>-262141713.57999992</v>
      </c>
      <c r="AE11" s="66">
        <f>REMUNERACION_ENEL!AE106</f>
        <v>-1091403946.8799999</v>
      </c>
      <c r="AF11" s="70">
        <f>SUM(U11:AD11)</f>
        <v>9362874107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7398812532.9499989</v>
      </c>
      <c r="E12" s="66">
        <f>REMUNERACION_ENEL!E107</f>
        <v>423119597.88999999</v>
      </c>
      <c r="F12" s="66">
        <f>REMUNERACION_ENEL!F107</f>
        <v>237319417.35000002</v>
      </c>
      <c r="G12" s="66">
        <f>REMUNERACION_ENEL!G107</f>
        <v>124679484.58</v>
      </c>
      <c r="H12" s="66">
        <f>REMUNERACION_ENEL!H107</f>
        <v>1980020664.25</v>
      </c>
      <c r="I12" s="66">
        <f>REMUNERACION_ENEL!I107</f>
        <v>69543147.450000003</v>
      </c>
      <c r="J12" s="66">
        <f>REMUNERACION_ENEL!J107</f>
        <v>-706235925.21000028</v>
      </c>
      <c r="K12" s="31">
        <f t="shared" si="0"/>
        <v>5270366146.6399984</v>
      </c>
      <c r="L12" s="66">
        <f>REMUNERACION_ENEL!L107</f>
        <v>120391083</v>
      </c>
      <c r="M12" s="31">
        <f>K12-L12</f>
        <v>5149975063.6399984</v>
      </c>
      <c r="N12" s="66">
        <f>REMUNERACION_ENEL!N107</f>
        <v>7773127.7699999996</v>
      </c>
      <c r="O12" s="31">
        <f t="shared" si="1"/>
        <v>5157748191.4099989</v>
      </c>
      <c r="Q12" s="4"/>
      <c r="S12" s="16">
        <v>4</v>
      </c>
      <c r="T12" s="62" t="s">
        <v>13</v>
      </c>
      <c r="U12" s="66">
        <f>REMUNERACION_ENEL!U107</f>
        <v>609384239.33000004</v>
      </c>
      <c r="V12" s="66">
        <f>REMUNERACION_ENEL!V107</f>
        <v>591423929.07000005</v>
      </c>
      <c r="W12" s="66">
        <f>REMUNERACION_ENEL!W107</f>
        <v>2999088802.02</v>
      </c>
      <c r="X12" s="66">
        <f>REMUNERACION_ENEL!X107</f>
        <v>1120355776.7</v>
      </c>
      <c r="Y12" s="66">
        <f>REMUNERACION_ENEL!Y107</f>
        <v>113252427.27000001</v>
      </c>
      <c r="Z12" s="66">
        <f>REMUNERACION_ENEL!Z107</f>
        <v>-120391083</v>
      </c>
      <c r="AA12" s="66">
        <f>REMUNERACION_ENEL!AA107</f>
        <v>-13816.190000000002</v>
      </c>
      <c r="AB12" s="66">
        <f>REMUNERACION_ENEL!AB107</f>
        <v>7773127.7699999996</v>
      </c>
      <c r="AC12" s="66">
        <f>REMUNERACION_ENEL!AC107</f>
        <v>381.85</v>
      </c>
      <c r="AD12" s="66">
        <f>REMUNERACION_ENEL!AD107</f>
        <v>-163125593.40999985</v>
      </c>
      <c r="AE12" s="66">
        <f>REMUNERACION_ENEL!AE107</f>
        <v>-869361518.62000012</v>
      </c>
      <c r="AF12" s="70">
        <f>SUM(U12:AD12)</f>
        <v>5157748191.4100018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11764023420.48</v>
      </c>
      <c r="E13" s="66">
        <f>REMUNERACION_ENEL!E108</f>
        <v>689282091.66999996</v>
      </c>
      <c r="F13" s="66">
        <f>REMUNERACION_ENEL!F108</f>
        <v>388594654.95000005</v>
      </c>
      <c r="G13" s="66">
        <f>REMUNERACION_ENEL!G108</f>
        <v>204248392.93000001</v>
      </c>
      <c r="H13" s="66">
        <f>REMUNERACION_ENEL!H108</f>
        <v>2978264001.9200001</v>
      </c>
      <c r="I13" s="66">
        <f>REMUNERACION_ENEL!I108</f>
        <v>108269318.42</v>
      </c>
      <c r="J13" s="66">
        <f>REMUNERACION_ENEL!J108</f>
        <v>-23403941.309999943</v>
      </c>
      <c r="K13" s="31">
        <f t="shared" si="0"/>
        <v>7418768901.8999977</v>
      </c>
      <c r="L13" s="66">
        <f>REMUNERACION_ENEL!L108</f>
        <v>128990446</v>
      </c>
      <c r="M13" s="40">
        <f>K13-L13</f>
        <v>7289778455.8999977</v>
      </c>
      <c r="N13" s="66">
        <f>REMUNERACION_ENEL!N108</f>
        <v>8938793.0399999991</v>
      </c>
      <c r="O13" s="40">
        <f t="shared" si="1"/>
        <v>7298717248.9399977</v>
      </c>
      <c r="Q13" s="4"/>
      <c r="S13" s="19">
        <v>5</v>
      </c>
      <c r="T13" s="63" t="s">
        <v>14</v>
      </c>
      <c r="U13" s="66">
        <f>REMUNERACION_ENEL!U108</f>
        <v>948827422.16999996</v>
      </c>
      <c r="V13" s="66">
        <f>REMUNERACION_ENEL!V108</f>
        <v>919463935.80000007</v>
      </c>
      <c r="W13" s="66">
        <f>REMUNERACION_ENEL!W108</f>
        <v>4767845574.7600002</v>
      </c>
      <c r="X13" s="66">
        <f>REMUNERACION_ENEL!X108</f>
        <v>2084260220.79</v>
      </c>
      <c r="Y13" s="66">
        <f>REMUNERACION_ENEL!Y108</f>
        <v>176614519.61000001</v>
      </c>
      <c r="Z13" s="66">
        <f>REMUNERACION_ENEL!Z108</f>
        <v>-128990446</v>
      </c>
      <c r="AA13" s="66">
        <f>REMUNERACION_ENEL!AA108</f>
        <v>-103215.67000000001</v>
      </c>
      <c r="AB13" s="66">
        <f>REMUNERACION_ENEL!AB108</f>
        <v>8938793.0399999991</v>
      </c>
      <c r="AC13" s="66">
        <f>REMUNERACION_ENEL!AC108</f>
        <v>5.93</v>
      </c>
      <c r="AD13" s="66">
        <f>REMUNERACION_ENEL!AD108</f>
        <v>-1478139561.49</v>
      </c>
      <c r="AE13" s="66">
        <f>REMUNERACION_ENEL!AE108</f>
        <v>-1501543502.8</v>
      </c>
      <c r="AF13" s="70">
        <f>SUM(U13:AD13)</f>
        <v>7298717248.9400024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71018833230.5</v>
      </c>
      <c r="E14" s="43">
        <f t="shared" si="3"/>
        <v>4347763545.7799997</v>
      </c>
      <c r="F14" s="43">
        <f t="shared" si="3"/>
        <v>2441277546.0500002</v>
      </c>
      <c r="G14" s="43">
        <f t="shared" si="3"/>
        <v>1279874351.2</v>
      </c>
      <c r="H14" s="43">
        <f t="shared" si="3"/>
        <v>20060152957.470001</v>
      </c>
      <c r="I14" s="43">
        <f t="shared" si="3"/>
        <v>675193504.15999997</v>
      </c>
      <c r="J14" s="43">
        <f t="shared" si="3"/>
        <v>-9458992190.4200001</v>
      </c>
      <c r="K14" s="32">
        <f t="shared" si="3"/>
        <v>51673563516.259995</v>
      </c>
      <c r="L14" s="23">
        <f t="shared" si="3"/>
        <v>859936309</v>
      </c>
      <c r="M14" s="76">
        <f t="shared" si="3"/>
        <v>50813627207.259995</v>
      </c>
      <c r="N14" s="23">
        <f t="shared" si="3"/>
        <v>75684145.919999987</v>
      </c>
      <c r="O14" s="76">
        <f t="shared" si="3"/>
        <v>50889311353.179985</v>
      </c>
      <c r="P14" s="2"/>
      <c r="Q14" s="4"/>
      <c r="S14" s="21"/>
      <c r="T14" s="22" t="s">
        <v>2</v>
      </c>
      <c r="U14" s="43">
        <f>SUM(U9:U13)</f>
        <v>5925052227.8699999</v>
      </c>
      <c r="V14" s="43">
        <f t="shared" ref="V14:AG14" si="4">SUM(V9:V13)</f>
        <v>5744688179.4100008</v>
      </c>
      <c r="W14" s="43">
        <f t="shared" si="4"/>
        <v>27738884662.059998</v>
      </c>
      <c r="X14" s="43">
        <f t="shared" si="4"/>
        <v>10623721401.139999</v>
      </c>
      <c r="Y14" s="43">
        <f t="shared" si="4"/>
        <v>1101620306.79</v>
      </c>
      <c r="Z14" s="43">
        <f t="shared" si="4"/>
        <v>-859936309</v>
      </c>
      <c r="AA14" s="43">
        <f t="shared" si="4"/>
        <v>-214605.93000000002</v>
      </c>
      <c r="AB14" s="43">
        <f t="shared" si="4"/>
        <v>75684145.919999987</v>
      </c>
      <c r="AC14" s="43">
        <f t="shared" si="4"/>
        <v>717.64</v>
      </c>
      <c r="AD14" s="43">
        <f t="shared" si="4"/>
        <v>539810627.27999997</v>
      </c>
      <c r="AE14" s="43">
        <f>SUM(AE9:AE13)</f>
        <v>-8919181563.1400013</v>
      </c>
      <c r="AF14" s="68">
        <f t="shared" si="4"/>
        <v>50889311353.18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51133966777.269997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46250</v>
      </c>
      <c r="J27" s="2" t="s">
        <v>28</v>
      </c>
      <c r="K27" s="9">
        <f>REMUNERACION_ENEL!K122</f>
        <v>46265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40340694</v>
      </c>
      <c r="E30" s="111">
        <f>REMUNERACION_ENEL!E125</f>
        <v>0</v>
      </c>
      <c r="G30" s="336">
        <f>REMUNERACION_ENEL!G125</f>
        <v>63570</v>
      </c>
      <c r="H30" s="310">
        <f>REMUNERACION_ENEL!H125</f>
        <v>51722407.540000007</v>
      </c>
      <c r="I30" s="309">
        <f>REMUNERACION_ENEL!I125</f>
        <v>806955.98</v>
      </c>
      <c r="J30" s="309">
        <f>REMUNERACION_ENEL!J125</f>
        <v>-73090</v>
      </c>
      <c r="K30" s="309">
        <f>REMUNERACION_ENEL!K125</f>
        <v>76340</v>
      </c>
      <c r="L30" s="309">
        <f>REMUNERACION_ENEL!L125</f>
        <v>66820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53772356.219999999</v>
      </c>
      <c r="E31" s="74">
        <f>REMUNERACION_ENEL!E126</f>
        <v>0</v>
      </c>
      <c r="G31" s="339">
        <f>REMUNERACION_ENEL!G126</f>
        <v>196740</v>
      </c>
      <c r="H31" s="340">
        <f>REMUNERACION_ENEL!H126</f>
        <v>33227409.570000004</v>
      </c>
      <c r="I31" s="288">
        <f>REMUNERACION_ENEL!I126</f>
        <v>0</v>
      </c>
      <c r="J31" s="288">
        <f>REMUNERACION_ENEL!J126</f>
        <v>-13447592</v>
      </c>
      <c r="K31" s="288">
        <f>REMUNERACION_ENEL!K126</f>
        <v>2593540</v>
      </c>
      <c r="L31" s="288">
        <f>REMUNERACION_ENEL!L126</f>
        <v>79350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20418516</v>
      </c>
      <c r="E32" s="74">
        <f>REMUNERACION_ENEL!E127</f>
        <v>0</v>
      </c>
      <c r="G32" s="339">
        <f>REMUNERACION_ENEL!G127</f>
        <v>0</v>
      </c>
      <c r="H32" s="340">
        <f>REMUNERACION_ENEL!H127</f>
        <v>16859149.469999999</v>
      </c>
      <c r="I32" s="288">
        <f>REMUNERACION_ENEL!I127</f>
        <v>118874.84</v>
      </c>
      <c r="J32" s="288">
        <f>REMUNERACION_ENEL!J127</f>
        <v>-4617354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37713515</v>
      </c>
      <c r="E33" s="74">
        <f>REMUNERACION_ENEL!E128</f>
        <v>0</v>
      </c>
      <c r="G33" s="339">
        <f>REMUNERACION_ENEL!G128</f>
        <v>3642708</v>
      </c>
      <c r="H33" s="340">
        <f>REMUNERACION_ENEL!H128</f>
        <v>59191372.720000006</v>
      </c>
      <c r="I33" s="288">
        <f>REMUNERACION_ENEL!I128</f>
        <v>0</v>
      </c>
      <c r="J33" s="288">
        <f>REMUNERACION_ENEL!J128</f>
        <v>-14638846</v>
      </c>
      <c r="K33" s="288">
        <f>REMUNERACION_ENEL!K128</f>
        <v>7590288</v>
      </c>
      <c r="L33" s="288">
        <f>REMUNERACION_ENEL!L128</f>
        <v>36570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23895807</v>
      </c>
      <c r="E34" s="139">
        <f>REMUNERACION_ENEL!E129</f>
        <v>0</v>
      </c>
      <c r="G34" s="339">
        <f>REMUNERACION_ENEL!G129</f>
        <v>0</v>
      </c>
      <c r="H34" s="340">
        <f>REMUNERACION_ENEL!H129</f>
        <v>17082544.52</v>
      </c>
      <c r="I34" s="288">
        <f>REMUNERACION_ENEL!I129</f>
        <v>0</v>
      </c>
      <c r="J34" s="288">
        <f>REMUNERACION_ENEL!J129</f>
        <v>-1454550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176140888.22</v>
      </c>
      <c r="E36" s="107">
        <f>REMUNERACION_ENEL!E131</f>
        <v>0</v>
      </c>
      <c r="F36" s="45"/>
      <c r="G36" s="350">
        <f t="shared" ref="G36:L36" si="6">SUM(G30:G34)</f>
        <v>3903018</v>
      </c>
      <c r="H36" s="350">
        <f t="shared" si="6"/>
        <v>178082883.82000002</v>
      </c>
      <c r="I36" s="350">
        <f t="shared" si="6"/>
        <v>925830.82</v>
      </c>
      <c r="J36" s="350">
        <f t="shared" si="6"/>
        <v>-34231432</v>
      </c>
      <c r="K36" s="350">
        <f t="shared" si="6"/>
        <v>10260168</v>
      </c>
      <c r="L36" s="350">
        <f t="shared" si="6"/>
        <v>182740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77734375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R1'!F65</f>
        <v>0</v>
      </c>
      <c r="E9" s="291">
        <f>'Reporte Componentes R1'!G65</f>
        <v>0</v>
      </c>
      <c r="F9" s="291">
        <f>'Reporte Componentes R1'!H65</f>
        <v>0</v>
      </c>
      <c r="G9" s="291">
        <f>'Reporte Componentes R1'!I65</f>
        <v>0</v>
      </c>
      <c r="H9" s="291">
        <f>'Reporte Componentes R1'!J65</f>
        <v>0</v>
      </c>
      <c r="I9" s="291">
        <f>'Reporte Componentes R1'!K65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R1'!L65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R1'!M65</f>
        <v>0</v>
      </c>
      <c r="V9" s="307">
        <f>'Reporte Componentes R1'!N65</f>
        <v>0</v>
      </c>
      <c r="W9" s="307">
        <f>'Reporte Componentes R1'!O65</f>
        <v>0</v>
      </c>
      <c r="X9" s="307">
        <f>'Reporte Componentes R1'!P65</f>
        <v>0</v>
      </c>
      <c r="Y9" s="307">
        <f>'Reporte Componentes R1'!Q65</f>
        <v>0</v>
      </c>
      <c r="Z9" s="319">
        <f>L9*-1</f>
        <v>0</v>
      </c>
      <c r="AA9" s="320">
        <f>'Reporte Componentes R1'!R65+'Reporte Componentes R1'!V175+'Reporte Componentes R1'!U65</f>
        <v>0</v>
      </c>
      <c r="AB9" s="294">
        <f>N9</f>
        <v>0</v>
      </c>
      <c r="AC9" s="320">
        <f>'Reporte Componentes R1'!T65+'Reporte Componentes R1'!W65+'Reporte Componentes R1'!X65+'Reporte Componentes R1'!Y65+'Reporte Componentes R1'!Z65+'Reporte Componentes R1'!S65</f>
        <v>0</v>
      </c>
      <c r="AD9" s="291">
        <f>-J9+AE9</f>
        <v>0</v>
      </c>
      <c r="AE9" s="291">
        <f>'Reporte Componentes R1'!F66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R1'!F209</f>
        <v>0</v>
      </c>
      <c r="E10" s="291">
        <f>'Reporte Componentes R1'!G209</f>
        <v>0</v>
      </c>
      <c r="F10" s="291">
        <f>'Reporte Componentes R1'!H209</f>
        <v>0</v>
      </c>
      <c r="G10" s="291">
        <f>'Reporte Componentes R1'!I209</f>
        <v>0</v>
      </c>
      <c r="H10" s="291">
        <f>'Reporte Componentes R1'!J209</f>
        <v>0</v>
      </c>
      <c r="I10" s="291">
        <f>'Reporte Componentes R1'!K209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R1'!L209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R1'!M209</f>
        <v>0</v>
      </c>
      <c r="V10" s="316">
        <f>'Reporte Componentes R1'!N209</f>
        <v>0</v>
      </c>
      <c r="W10" s="316">
        <f>'Reporte Componentes R1'!O209</f>
        <v>0</v>
      </c>
      <c r="X10" s="316">
        <f>'Reporte Componentes R1'!P209</f>
        <v>0</v>
      </c>
      <c r="Y10" s="316">
        <f>'Reporte Componentes R1'!Q209</f>
        <v>0</v>
      </c>
      <c r="Z10" s="319">
        <f>L10*-1</f>
        <v>0</v>
      </c>
      <c r="AA10" s="320">
        <f>'Reporte Componentes R1'!R209+'Reporte Componentes R1'!V209+'Reporte Componentes R1'!U209</f>
        <v>0</v>
      </c>
      <c r="AB10" s="294">
        <f>N10</f>
        <v>0</v>
      </c>
      <c r="AC10" s="320">
        <f>'Reporte Componentes R1'!T280+'Reporte Componentes R1'!W280+'Reporte Componentes R1'!X280+'Reporte Componentes R1'!Y280+'Reporte Componentes R1'!Z280+'Reporte Componentes R1'!S280</f>
        <v>0</v>
      </c>
      <c r="AD10" s="291">
        <f t="shared" ref="AD10:AD13" si="2">-J10+AE10</f>
        <v>0</v>
      </c>
      <c r="AE10" s="291">
        <f>'Reporte Componentes R1'!F210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R1'!F340</f>
        <v>0</v>
      </c>
      <c r="E11" s="291">
        <f>'Reporte Componentes R1'!G340</f>
        <v>0</v>
      </c>
      <c r="F11" s="291">
        <f>'Reporte Componentes R1'!H340</f>
        <v>0</v>
      </c>
      <c r="G11" s="291">
        <f>'Reporte Componentes R1'!I340</f>
        <v>0</v>
      </c>
      <c r="H11" s="291">
        <f>'Reporte Componentes R1'!J340</f>
        <v>0</v>
      </c>
      <c r="I11" s="291">
        <f>'Reporte Componentes R1'!K340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R1'!M340</f>
        <v>0</v>
      </c>
      <c r="V11" s="316">
        <f>'Reporte Componentes R1'!N340</f>
        <v>0</v>
      </c>
      <c r="W11" s="316">
        <f>'Reporte Componentes R1'!O340</f>
        <v>0</v>
      </c>
      <c r="X11" s="316">
        <f>'Reporte Componentes R1'!P340</f>
        <v>0</v>
      </c>
      <c r="Y11" s="316">
        <f>'Reporte Componentes R1'!Q340</f>
        <v>0</v>
      </c>
      <c r="Z11" s="319">
        <f>L11*-1</f>
        <v>0</v>
      </c>
      <c r="AA11" s="320">
        <f>'Reporte Componentes R1'!R340+'Reporte Componentes R1'!V340+'Reporte Componentes R1'!U340</f>
        <v>0</v>
      </c>
      <c r="AB11" s="294">
        <f>N11</f>
        <v>0</v>
      </c>
      <c r="AC11" s="320">
        <f>'Reporte Componentes R1'!T340+'Reporte Componentes R1'!W340+'Reporte Componentes R1'!X340+'Reporte Componentes R1'!Y340+'Reporte Componentes R1'!Z340+'Reporte Componentes R1'!S340</f>
        <v>0</v>
      </c>
      <c r="AD11" s="291">
        <f t="shared" si="2"/>
        <v>0</v>
      </c>
      <c r="AE11" s="291">
        <f>'Reporte Componentes R1'!F341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R1'!F471</f>
        <v>0</v>
      </c>
      <c r="E12" s="291">
        <f>'Reporte Componentes R1'!G471</f>
        <v>0</v>
      </c>
      <c r="F12" s="291">
        <f>'Reporte Componentes R1'!H471</f>
        <v>0</v>
      </c>
      <c r="G12" s="291">
        <f>'Reporte Componentes R1'!I471</f>
        <v>0</v>
      </c>
      <c r="H12" s="291">
        <f>'Reporte Componentes R1'!J471</f>
        <v>0</v>
      </c>
      <c r="I12" s="291">
        <f>'Reporte Componentes R1'!K471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R1'!L471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R1'!M471</f>
        <v>0</v>
      </c>
      <c r="V12" s="316">
        <f>'Reporte Componentes R1'!N471</f>
        <v>0</v>
      </c>
      <c r="W12" s="316">
        <f>'Reporte Componentes R1'!O471</f>
        <v>0</v>
      </c>
      <c r="X12" s="316">
        <f>'Reporte Componentes R1'!P471</f>
        <v>0</v>
      </c>
      <c r="Y12" s="316">
        <f>'Reporte Componentes R1'!Q471</f>
        <v>0</v>
      </c>
      <c r="Z12" s="319">
        <f>L12*-1</f>
        <v>0</v>
      </c>
      <c r="AA12" s="320">
        <f>'Reporte Componentes R1'!R471+'Reporte Componentes R1'!V471+'Reporte Componentes R1'!U471</f>
        <v>0</v>
      </c>
      <c r="AB12" s="294">
        <f>N12</f>
        <v>0</v>
      </c>
      <c r="AC12" s="320">
        <f>'Reporte Componentes R1'!T471+'Reporte Componentes R1'!W471+'Reporte Componentes R1'!X471+'Reporte Componentes R1'!Y471+'Reporte Componentes R1'!Z471+'Reporte Componentes R1'!S471</f>
        <v>0</v>
      </c>
      <c r="AD12" s="291">
        <f t="shared" si="2"/>
        <v>0</v>
      </c>
      <c r="AE12" s="291">
        <f>'Reporte Componentes R1'!F472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R1'!F569</f>
        <v>28784210</v>
      </c>
      <c r="E13" s="296">
        <f>'Reporte Componentes R1'!G569</f>
        <v>1905635.55</v>
      </c>
      <c r="F13" s="296">
        <f>'Reporte Componentes R1'!H569</f>
        <v>1062780.8899999999</v>
      </c>
      <c r="G13" s="296">
        <f>'Reporte Componentes R1'!I569</f>
        <v>572593.51</v>
      </c>
      <c r="H13" s="296">
        <f>'Reporte Componentes R1'!J569</f>
        <v>7500964.1600000001</v>
      </c>
      <c r="I13" s="296">
        <f>'Reporte Componentes R1'!K569</f>
        <v>261702.94</v>
      </c>
      <c r="J13" s="296">
        <v>0</v>
      </c>
      <c r="K13" s="295">
        <f t="shared" si="0"/>
        <v>17480532.949999996</v>
      </c>
      <c r="L13" s="294">
        <v>0</v>
      </c>
      <c r="M13" s="298">
        <f>K13-L13</f>
        <v>17480532.949999996</v>
      </c>
      <c r="N13" s="299">
        <f>'Reporte Componentes R1'!L569</f>
        <v>0</v>
      </c>
      <c r="O13" s="298">
        <f>M13+N13</f>
        <v>17480532.949999996</v>
      </c>
      <c r="Q13" s="306"/>
      <c r="S13" s="324">
        <v>5</v>
      </c>
      <c r="T13" s="325" t="s">
        <v>14</v>
      </c>
      <c r="U13" s="296">
        <f>'Reporte Componentes R1'!M569</f>
        <v>2242033.0299999998</v>
      </c>
      <c r="V13" s="296">
        <f>'Reporte Componentes R1'!N569</f>
        <v>2245877.2000000002</v>
      </c>
      <c r="W13" s="296">
        <f>'Reporte Componentes R1'!O569</f>
        <v>11591632.16</v>
      </c>
      <c r="X13" s="296">
        <f>'Reporte Componentes R1'!P569</f>
        <v>5656780.1799999997</v>
      </c>
      <c r="Y13" s="296">
        <f>'Reporte Componentes R1'!Q569</f>
        <v>425766.47</v>
      </c>
      <c r="Z13" s="319">
        <f>L13*-1</f>
        <v>0</v>
      </c>
      <c r="AA13" s="320">
        <f>'Reporte Componentes R1'!R569+'Reporte Componentes R1'!V569+'Reporte Componentes R1'!U569</f>
        <v>119.01</v>
      </c>
      <c r="AB13" s="294">
        <f>N13</f>
        <v>0</v>
      </c>
      <c r="AC13" s="320">
        <f>'Reporte Componentes R1'!T569+'Reporte Componentes R1'!W569+'Reporte Componentes R1'!X569+'Reporte Componentes R1'!Y569+'Reporte Componentes R1'!Z569+'Reporte Componentes R1'!S569</f>
        <v>0</v>
      </c>
      <c r="AD13" s="291">
        <f t="shared" si="2"/>
        <v>-4681675.0999999996</v>
      </c>
      <c r="AE13" s="291">
        <f>'Reporte Componentes R1'!F570</f>
        <v>-4681675.0999999996</v>
      </c>
      <c r="AF13" s="322">
        <f t="shared" si="4"/>
        <v>17480532.950000003</v>
      </c>
      <c r="AG13" s="326">
        <f>(AF13-O13)</f>
        <v>7.4505805969238281E-9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28784210</v>
      </c>
      <c r="E14" s="290">
        <f t="shared" ref="E14:O14" si="5">SUM(E9:E13)</f>
        <v>1905635.55</v>
      </c>
      <c r="F14" s="290">
        <f t="shared" si="5"/>
        <v>1062780.8899999999</v>
      </c>
      <c r="G14" s="290">
        <f t="shared" si="5"/>
        <v>572593.51</v>
      </c>
      <c r="H14" s="290">
        <f t="shared" si="5"/>
        <v>7500964.1600000001</v>
      </c>
      <c r="I14" s="290">
        <f t="shared" si="5"/>
        <v>261702.94</v>
      </c>
      <c r="J14" s="290">
        <f t="shared" si="5"/>
        <v>0</v>
      </c>
      <c r="K14" s="300">
        <f t="shared" si="5"/>
        <v>17480532.949999996</v>
      </c>
      <c r="L14" s="301">
        <f>SUM(L9:L13)</f>
        <v>0</v>
      </c>
      <c r="M14" s="302">
        <f t="shared" si="5"/>
        <v>17480532.949999996</v>
      </c>
      <c r="N14" s="301">
        <f t="shared" si="5"/>
        <v>0</v>
      </c>
      <c r="O14" s="302">
        <f t="shared" si="5"/>
        <v>17480532.949999996</v>
      </c>
      <c r="P14" s="329"/>
      <c r="Q14" s="306"/>
      <c r="S14" s="327"/>
      <c r="T14" s="328" t="s">
        <v>2</v>
      </c>
      <c r="U14" s="330">
        <f>SUM(U9:U13)</f>
        <v>2242033.0299999998</v>
      </c>
      <c r="V14" s="330">
        <f t="shared" ref="V14:AF14" si="6">SUM(V9:V13)</f>
        <v>2245877.2000000002</v>
      </c>
      <c r="W14" s="330">
        <f t="shared" si="6"/>
        <v>11591632.16</v>
      </c>
      <c r="X14" s="330">
        <f t="shared" si="6"/>
        <v>5656780.1799999997</v>
      </c>
      <c r="Y14" s="330">
        <f t="shared" si="6"/>
        <v>425766.47</v>
      </c>
      <c r="Z14" s="290">
        <f t="shared" si="6"/>
        <v>0</v>
      </c>
      <c r="AA14" s="290">
        <f t="shared" si="6"/>
        <v>119.01</v>
      </c>
      <c r="AB14" s="290">
        <f t="shared" si="6"/>
        <v>0</v>
      </c>
      <c r="AC14" s="290">
        <f t="shared" si="6"/>
        <v>0</v>
      </c>
      <c r="AD14" s="290">
        <f>SUM(AD9:AD13)</f>
        <v>-4681675.0999999996</v>
      </c>
      <c r="AE14" s="290">
        <f>SUM(AE9:AE13)</f>
        <v>-4681675.0999999996</v>
      </c>
      <c r="AF14" s="331">
        <f t="shared" si="6"/>
        <v>17480532.950000003</v>
      </c>
      <c r="AG14" s="332">
        <f>SUM(AG9:AG13)</f>
        <v>7.4505805969238281E-9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22162089.039999999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R2'!E52</f>
        <v>0</v>
      </c>
      <c r="E28" s="291">
        <f>'Rem. Anticipos R2'!F52</f>
        <v>0</v>
      </c>
      <c r="F28" s="291">
        <f>'Rem. Anticipos R2'!G52</f>
        <v>0</v>
      </c>
      <c r="G28" s="291">
        <f>'Rem. Anticipos R2'!H52</f>
        <v>0</v>
      </c>
      <c r="H28" s="291">
        <f>'Rem. Anticipos R2'!I52</f>
        <v>0</v>
      </c>
      <c r="I28" s="291">
        <f>'Rem. Anticipos R2'!J52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R2'!L52</f>
        <v>0</v>
      </c>
      <c r="V28" s="307">
        <f>'Rem. Anticipos R2'!M52</f>
        <v>0</v>
      </c>
      <c r="W28" s="307">
        <f>'Rem. Anticipos R2'!N52</f>
        <v>0</v>
      </c>
      <c r="X28" s="307">
        <f>'Rem. Anticipos R2'!O52</f>
        <v>0</v>
      </c>
      <c r="Y28" s="307">
        <f>'Rem. Anticipos R2'!P52</f>
        <v>0</v>
      </c>
      <c r="Z28" s="310">
        <f>L28*-1</f>
        <v>0</v>
      </c>
      <c r="AA28" s="311">
        <f>'Rem. Anticipos R2'!Q52</f>
        <v>0</v>
      </c>
      <c r="AB28" s="294">
        <f>N28</f>
        <v>0</v>
      </c>
      <c r="AC28" s="311">
        <f>'Rem. Anticipos R2'!R52</f>
        <v>0</v>
      </c>
      <c r="AD28" s="291">
        <f>-J28+AE28</f>
        <v>0</v>
      </c>
      <c r="AE28" s="291">
        <f>'Rem. Anticipos R2'!E53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R2'!E149</f>
        <v>0</v>
      </c>
      <c r="E29" s="292">
        <f>'Rem. Anticipos R2'!F149</f>
        <v>0</v>
      </c>
      <c r="F29" s="292">
        <f>'Rem. Anticipos R2'!G149</f>
        <v>0</v>
      </c>
      <c r="G29" s="292">
        <f>'Rem. Anticipos R2'!H149</f>
        <v>0</v>
      </c>
      <c r="H29" s="292">
        <f>'Rem. Anticipos R2'!I149</f>
        <v>0</v>
      </c>
      <c r="I29" s="292">
        <f>'Rem. Anticipos R2'!J149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R2'!K149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R2'!L149</f>
        <v>0</v>
      </c>
      <c r="V29" s="317">
        <f>'Rem. Anticipos R2'!M149</f>
        <v>0</v>
      </c>
      <c r="W29" s="317">
        <f>'Rem. Anticipos R2'!N149</f>
        <v>0</v>
      </c>
      <c r="X29" s="317">
        <f>'Rem. Anticipos R2'!O149</f>
        <v>0</v>
      </c>
      <c r="Y29" s="318">
        <f>'Rem. Anticipos R2'!P149</f>
        <v>0</v>
      </c>
      <c r="Z29" s="319">
        <f>L29*-1</f>
        <v>0</v>
      </c>
      <c r="AA29" s="320">
        <f>'Rem. Anticipos R2'!Q149</f>
        <v>0</v>
      </c>
      <c r="AB29" s="294">
        <f>N29</f>
        <v>0</v>
      </c>
      <c r="AC29" s="320">
        <f>'Rem. Anticipos R2'!R149</f>
        <v>0</v>
      </c>
      <c r="AD29" s="291">
        <f>-J29+AE29</f>
        <v>0</v>
      </c>
      <c r="AE29" s="291">
        <f>'Rem. Anticipos R2'!E150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R2'!E266</f>
        <v>0</v>
      </c>
      <c r="E30" s="291">
        <f>'Rem. Anticipos R2'!F266</f>
        <v>0</v>
      </c>
      <c r="F30" s="291">
        <f>'Rem. Anticipos R2'!G266</f>
        <v>0</v>
      </c>
      <c r="G30" s="291">
        <f>'Rem. Anticipos R2'!H266</f>
        <v>0</v>
      </c>
      <c r="H30" s="291">
        <f>'Rem. Anticipos R2'!I266</f>
        <v>0</v>
      </c>
      <c r="I30" s="291">
        <f>'Rem. Anticipos R2'!J266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R2'!K266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R2'!L266</f>
        <v>0</v>
      </c>
      <c r="V30" s="316">
        <f>'Rem. Anticipos R2'!M266</f>
        <v>0</v>
      </c>
      <c r="W30" s="316">
        <f>'Rem. Anticipos R2'!N266</f>
        <v>0</v>
      </c>
      <c r="X30" s="316">
        <f>'Rem. Anticipos R2'!O266</f>
        <v>0</v>
      </c>
      <c r="Y30" s="316">
        <f>'Rem. Anticipos R2'!P266</f>
        <v>0</v>
      </c>
      <c r="Z30" s="319">
        <f>L30*-1</f>
        <v>0</v>
      </c>
      <c r="AA30" s="320">
        <f>'Rem. Anticipos R2'!Q266</f>
        <v>0</v>
      </c>
      <c r="AB30" s="294">
        <f>N30</f>
        <v>0</v>
      </c>
      <c r="AC30" s="320">
        <f>'Rem. Anticipos R2'!R266</f>
        <v>0</v>
      </c>
      <c r="AD30" s="291">
        <f t="shared" ref="AD30:AD32" si="10">-J30+AE30</f>
        <v>0</v>
      </c>
      <c r="AE30" s="291">
        <f>'Rem. Anticipos R2'!E267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R2'!E369</f>
        <v>0</v>
      </c>
      <c r="E31" s="291">
        <f>'Rem. Anticipos R2'!F369</f>
        <v>0</v>
      </c>
      <c r="F31" s="291">
        <f>'Rem. Anticipos R2'!G369</f>
        <v>0</v>
      </c>
      <c r="G31" s="291">
        <f>'Rem. Anticipos R2'!H369</f>
        <v>0</v>
      </c>
      <c r="H31" s="291">
        <f>'Rem. Anticipos R2'!I369</f>
        <v>0</v>
      </c>
      <c r="I31" s="291">
        <f>'Rem. Anticipos R2'!J369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R2'!K369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R2'!L369</f>
        <v>0</v>
      </c>
      <c r="V31" s="316">
        <f>'Rem. Anticipos R2'!M369</f>
        <v>0</v>
      </c>
      <c r="W31" s="316">
        <f>'Rem. Anticipos R2'!N369</f>
        <v>0</v>
      </c>
      <c r="X31" s="316">
        <f>'Rem. Anticipos R2'!O369</f>
        <v>0</v>
      </c>
      <c r="Y31" s="316">
        <f>'Rem. Anticipos R2'!P369</f>
        <v>0</v>
      </c>
      <c r="Z31" s="319">
        <f>L31*-1</f>
        <v>0</v>
      </c>
      <c r="AA31" s="320">
        <f>'Rem. Anticipos R2'!Q369</f>
        <v>0</v>
      </c>
      <c r="AB31" s="294">
        <f>N31</f>
        <v>0</v>
      </c>
      <c r="AC31" s="320">
        <f>'Rem. Anticipos R2'!R369</f>
        <v>0</v>
      </c>
      <c r="AD31" s="291">
        <f t="shared" si="10"/>
        <v>0</v>
      </c>
      <c r="AE31" s="291">
        <f>'Rem. Anticipos R2'!E370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R2'!E449</f>
        <v>6055022.9500000002</v>
      </c>
      <c r="E32" s="296">
        <f>'Rem. Anticipos R2'!F449</f>
        <v>393608.94</v>
      </c>
      <c r="F32" s="296">
        <f>'Rem. Anticipos R2'!G449</f>
        <v>221984.38</v>
      </c>
      <c r="G32" s="296">
        <f>'Rem. Anticipos R2'!H449</f>
        <v>109845.93</v>
      </c>
      <c r="H32" s="296">
        <f>'Rem. Anticipos R2'!I449</f>
        <v>1571482.1</v>
      </c>
      <c r="I32" s="296">
        <f>'Rem. Anticipos R2'!J449</f>
        <v>53974.52</v>
      </c>
      <c r="J32" s="289">
        <v>0</v>
      </c>
      <c r="K32" s="295">
        <f>D32-E32-F32-G32-H32-I32-J32</f>
        <v>3704127.08</v>
      </c>
      <c r="L32" s="294">
        <v>0</v>
      </c>
      <c r="M32" s="298">
        <f>K32-L32</f>
        <v>3704127.08</v>
      </c>
      <c r="N32" s="299">
        <f>'Rem. Anticipos R2'!K449</f>
        <v>0</v>
      </c>
      <c r="O32" s="298">
        <f t="shared" si="7"/>
        <v>3704127.08</v>
      </c>
      <c r="Q32" s="306"/>
      <c r="S32" s="324">
        <v>5</v>
      </c>
      <c r="T32" s="325" t="s">
        <v>14</v>
      </c>
      <c r="U32" s="296">
        <f>'Rem. Anticipos R2'!L449</f>
        <v>519293.52</v>
      </c>
      <c r="V32" s="297">
        <f>'Rem. Anticipos R2'!M449</f>
        <v>518222.7</v>
      </c>
      <c r="W32" s="297">
        <f>'Rem. Anticipos R2'!N449</f>
        <v>2376825.7400000002</v>
      </c>
      <c r="X32" s="297">
        <f>'Rem. Anticipos R2'!O449</f>
        <v>1219448.6200000001</v>
      </c>
      <c r="Y32" s="289">
        <f>'Rem. Anticipos R2'!P449</f>
        <v>86387.78</v>
      </c>
      <c r="Z32" s="319">
        <f>L32*-1</f>
        <v>0</v>
      </c>
      <c r="AA32" s="320">
        <f>'Rem. Anticipos R2'!Q449</f>
        <v>15.31</v>
      </c>
      <c r="AB32" s="294">
        <f>N32</f>
        <v>0</v>
      </c>
      <c r="AC32" s="320">
        <f>'Rem. Anticipos R2'!R449</f>
        <v>0</v>
      </c>
      <c r="AD32" s="291">
        <f t="shared" si="10"/>
        <v>-1016066.59</v>
      </c>
      <c r="AE32" s="291">
        <f>'Rem. Anticipos R2'!E450</f>
        <v>-1016066.59</v>
      </c>
      <c r="AF32" s="322">
        <f>SUM(U32:AD32)</f>
        <v>3704127.08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6055022.9500000002</v>
      </c>
      <c r="E33" s="290">
        <f>SUM(E28:E32)</f>
        <v>393608.94</v>
      </c>
      <c r="F33" s="290">
        <f t="shared" ref="F33:O33" si="12">SUM(F28:F32)</f>
        <v>221984.38</v>
      </c>
      <c r="G33" s="290">
        <f t="shared" si="12"/>
        <v>109845.93</v>
      </c>
      <c r="H33" s="290">
        <f t="shared" si="12"/>
        <v>1571482.1</v>
      </c>
      <c r="I33" s="290">
        <f t="shared" si="12"/>
        <v>53974.52</v>
      </c>
      <c r="J33" s="290">
        <f t="shared" si="12"/>
        <v>0</v>
      </c>
      <c r="K33" s="300">
        <f t="shared" si="12"/>
        <v>3704127.08</v>
      </c>
      <c r="L33" s="301">
        <f t="shared" si="12"/>
        <v>0</v>
      </c>
      <c r="M33" s="302">
        <f t="shared" si="12"/>
        <v>3704127.08</v>
      </c>
      <c r="N33" s="301">
        <f t="shared" si="12"/>
        <v>0</v>
      </c>
      <c r="O33" s="302">
        <f t="shared" si="12"/>
        <v>3704127.08</v>
      </c>
      <c r="P33" s="329"/>
      <c r="Q33" s="306"/>
      <c r="S33" s="327"/>
      <c r="T33" s="328" t="s">
        <v>2</v>
      </c>
      <c r="U33" s="330">
        <f>SUM(U28:U32)</f>
        <v>519293.52</v>
      </c>
      <c r="V33" s="330">
        <f t="shared" ref="V33:AG33" si="13">SUM(V28:V32)</f>
        <v>518222.7</v>
      </c>
      <c r="W33" s="330">
        <f t="shared" si="13"/>
        <v>2376825.7400000002</v>
      </c>
      <c r="X33" s="330">
        <f t="shared" si="13"/>
        <v>1219448.6200000001</v>
      </c>
      <c r="Y33" s="330">
        <f t="shared" si="13"/>
        <v>86387.78</v>
      </c>
      <c r="Z33" s="290">
        <f t="shared" si="13"/>
        <v>0</v>
      </c>
      <c r="AA33" s="290">
        <f t="shared" si="13"/>
        <v>15.31</v>
      </c>
      <c r="AB33" s="290">
        <f t="shared" si="13"/>
        <v>0</v>
      </c>
      <c r="AC33" s="290">
        <f t="shared" si="13"/>
        <v>0</v>
      </c>
      <c r="AD33" s="290">
        <f>SUM(AD28:AD32)</f>
        <v>-1016066.59</v>
      </c>
      <c r="AE33" s="290">
        <f>SUM(AE28:AE32)</f>
        <v>-1016066.59</v>
      </c>
      <c r="AF33" s="331">
        <f t="shared" si="13"/>
        <v>3704127.08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4720178.3600000003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R1'!F67</f>
        <v>0</v>
      </c>
      <c r="E47" s="291">
        <f>'Reporte Componentes R1'!G67</f>
        <v>0</v>
      </c>
      <c r="F47" s="291">
        <f>'Reporte Componentes R1'!H67</f>
        <v>0</v>
      </c>
      <c r="G47" s="291">
        <f>'Reporte Componentes R1'!I67</f>
        <v>0</v>
      </c>
      <c r="H47" s="291">
        <f>'Reporte Componentes R1'!J67</f>
        <v>0</v>
      </c>
      <c r="I47" s="291">
        <f>'Reporte Componentes R1'!K67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R1'!L67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R1'!M67</f>
        <v>0</v>
      </c>
      <c r="V47" s="307">
        <f>'Reporte Componentes R1'!N67</f>
        <v>0</v>
      </c>
      <c r="W47" s="307">
        <f>'Reporte Componentes R1'!O67</f>
        <v>0</v>
      </c>
      <c r="X47" s="307">
        <f>'Reporte Componentes R1'!P67</f>
        <v>0</v>
      </c>
      <c r="Y47" s="307">
        <f>'Reporte Componentes R1'!Q67</f>
        <v>0</v>
      </c>
      <c r="Z47" s="310">
        <f>-L47</f>
        <v>0</v>
      </c>
      <c r="AA47" s="320">
        <f>'Reporte Componentes R1'!R67+'Reporte Componentes R1'!V67+'Reporte Componentes R1'!U67</f>
        <v>0</v>
      </c>
      <c r="AB47" s="294">
        <f>N47</f>
        <v>0</v>
      </c>
      <c r="AC47" s="311">
        <f>'Reporte Componentes R1'!T67+'Reporte Componentes R1'!W67+'Reporte Componentes R1'!X67+'Reporte Componentes R1'!Y67+'Reporte Componentes R1'!Z67+'Reporte Componentes R1'!S67</f>
        <v>0</v>
      </c>
      <c r="AD47" s="291">
        <f>-J47+AE47</f>
        <v>0</v>
      </c>
      <c r="AE47" s="291">
        <f>'Reporte Componentes R1'!F68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R1'!F211</f>
        <v>0</v>
      </c>
      <c r="E48" s="291">
        <f>'Reporte Componentes R1'!G211</f>
        <v>0</v>
      </c>
      <c r="F48" s="291">
        <f>'Reporte Componentes R1'!H211</f>
        <v>0</v>
      </c>
      <c r="G48" s="291">
        <f>'Reporte Componentes R1'!I211</f>
        <v>0</v>
      </c>
      <c r="H48" s="291">
        <f>'Reporte Componentes R1'!J211</f>
        <v>0</v>
      </c>
      <c r="I48" s="291">
        <f>'Reporte Componentes R1'!K211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R1'!L211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R1'!M211</f>
        <v>0</v>
      </c>
      <c r="V48" s="316">
        <f>'Reporte Componentes R1'!N211</f>
        <v>0</v>
      </c>
      <c r="W48" s="316">
        <f>'Reporte Componentes R1'!O211</f>
        <v>0</v>
      </c>
      <c r="X48" s="316">
        <f>'Reporte Componentes R1'!P211</f>
        <v>0</v>
      </c>
      <c r="Y48" s="316">
        <f>'Reporte Componentes R1'!Q211</f>
        <v>0</v>
      </c>
      <c r="Z48" s="319">
        <f>-L48</f>
        <v>0</v>
      </c>
      <c r="AA48" s="320">
        <f>'Reporte Componentes R1'!R211+'Reporte Componentes R1'!V211+'Reporte Componentes R1'!U211</f>
        <v>0</v>
      </c>
      <c r="AB48" s="294">
        <f>N48</f>
        <v>0</v>
      </c>
      <c r="AC48" s="320">
        <f>'Reporte Componentes R1'!T211+'Reporte Componentes R1'!W211+'Reporte Componentes R1'!X211+'Reporte Componentes R1'!Y211+'Reporte Componentes R1'!Z211+'Reporte Componentes R1'!S211</f>
        <v>0</v>
      </c>
      <c r="AD48" s="291">
        <f t="shared" ref="AD48:AD51" si="16">-J48+AE48</f>
        <v>0</v>
      </c>
      <c r="AE48" s="291">
        <f>'Reporte Componentes R1'!F212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R1'!F342</f>
        <v>0</v>
      </c>
      <c r="E49" s="291">
        <f>'Reporte Componentes R1'!G342</f>
        <v>0</v>
      </c>
      <c r="F49" s="291">
        <f>'Reporte Componentes R1'!H342</f>
        <v>0</v>
      </c>
      <c r="G49" s="291">
        <f>'Reporte Componentes R1'!I342</f>
        <v>0</v>
      </c>
      <c r="H49" s="291">
        <f>'Reporte Componentes R1'!J342</f>
        <v>0</v>
      </c>
      <c r="I49" s="291">
        <f>'Reporte Componentes R1'!K342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R1'!M342</f>
        <v>0</v>
      </c>
      <c r="V49" s="316">
        <f>'Reporte Componentes R1'!N342</f>
        <v>0</v>
      </c>
      <c r="W49" s="316">
        <f>'Reporte Componentes R1'!O342</f>
        <v>0</v>
      </c>
      <c r="X49" s="316">
        <f>'Reporte Componentes R1'!P342</f>
        <v>0</v>
      </c>
      <c r="Y49" s="316">
        <f>'Reporte Componentes R1'!Q342</f>
        <v>0</v>
      </c>
      <c r="Z49" s="319">
        <f>-L49</f>
        <v>0</v>
      </c>
      <c r="AA49" s="320">
        <f>'Reporte Componentes R1'!R342+'Reporte Componentes R1'!V342+'Reporte Componentes R1'!U342</f>
        <v>0</v>
      </c>
      <c r="AB49" s="294">
        <f>N49</f>
        <v>0</v>
      </c>
      <c r="AC49" s="320">
        <f>'Reporte Componentes R1'!T342+'Reporte Componentes R1'!W342+'Reporte Componentes R1'!X342+'Reporte Componentes R1'!Y342+'Reporte Componentes R1'!Z342+'Reporte Componentes R1'!S342</f>
        <v>0</v>
      </c>
      <c r="AD49" s="291">
        <f t="shared" si="16"/>
        <v>0</v>
      </c>
      <c r="AE49" s="291">
        <f>'Reporte Componentes R1'!F343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R1'!F473</f>
        <v>0</v>
      </c>
      <c r="E50" s="291">
        <f>'Reporte Componentes R1'!G473</f>
        <v>0</v>
      </c>
      <c r="F50" s="291">
        <f>'Reporte Componentes R1'!H473</f>
        <v>0</v>
      </c>
      <c r="G50" s="291">
        <f>'Reporte Componentes R1'!I473</f>
        <v>0</v>
      </c>
      <c r="H50" s="291">
        <f>'Reporte Componentes R1'!J473</f>
        <v>0</v>
      </c>
      <c r="I50" s="291">
        <f>'Reporte Componentes R1'!K473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R1'!L473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R1'!M473</f>
        <v>0</v>
      </c>
      <c r="V50" s="316">
        <f>'Reporte Componentes R1'!N473</f>
        <v>0</v>
      </c>
      <c r="W50" s="316">
        <f>'Reporte Componentes R1'!O473</f>
        <v>0</v>
      </c>
      <c r="X50" s="316">
        <f>'Reporte Componentes R1'!P473</f>
        <v>0</v>
      </c>
      <c r="Y50" s="316">
        <f>'Reporte Componentes R1'!Q473</f>
        <v>0</v>
      </c>
      <c r="Z50" s="319">
        <f>-L50</f>
        <v>0</v>
      </c>
      <c r="AA50" s="320">
        <f>'Reporte Componentes R1'!R473+'Reporte Componentes R1'!V473+'Reporte Componentes R1'!U473</f>
        <v>0</v>
      </c>
      <c r="AB50" s="294">
        <f>N50</f>
        <v>0</v>
      </c>
      <c r="AC50" s="320">
        <f>'Reporte Componentes R1'!T473+'Reporte Componentes R1'!W473+'Reporte Componentes R1'!X473+'Reporte Componentes R1'!Y473+'Reporte Componentes R1'!Z473+'Reporte Componentes R1'!S473</f>
        <v>0</v>
      </c>
      <c r="AD50" s="291">
        <f t="shared" si="16"/>
        <v>0</v>
      </c>
      <c r="AE50" s="291">
        <f>'Reporte Componentes R1'!F474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R1'!F571</f>
        <v>0</v>
      </c>
      <c r="E51" s="296">
        <f>'Reporte Componentes R1'!G571</f>
        <v>0</v>
      </c>
      <c r="F51" s="296">
        <f>'Reporte Componentes R1'!H571</f>
        <v>0</v>
      </c>
      <c r="G51" s="296">
        <f>'Reporte Componentes R1'!I571</f>
        <v>0</v>
      </c>
      <c r="H51" s="296">
        <f>'Reporte Componentes R1'!J571</f>
        <v>0</v>
      </c>
      <c r="I51" s="296">
        <f>'Reporte Componentes R1'!K571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R1'!L571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R1'!M571</f>
        <v>0</v>
      </c>
      <c r="V51" s="296">
        <f>'Reporte Componentes R1'!N571</f>
        <v>0</v>
      </c>
      <c r="W51" s="296">
        <f>'Reporte Componentes R1'!O571</f>
        <v>0</v>
      </c>
      <c r="X51" s="296">
        <f>'Reporte Componentes R1'!P571</f>
        <v>0</v>
      </c>
      <c r="Y51" s="289">
        <f>'Reporte Componentes R1'!Q571</f>
        <v>0</v>
      </c>
      <c r="Z51" s="319">
        <f>-L51</f>
        <v>0</v>
      </c>
      <c r="AA51" s="320">
        <f>'Reporte Componentes R1'!R571+'Reporte Componentes R1'!V571+'Reporte Componentes R1'!U571</f>
        <v>0</v>
      </c>
      <c r="AB51" s="294">
        <f>N51</f>
        <v>0</v>
      </c>
      <c r="AC51" s="320">
        <f>'Reporte Componentes R1'!T571+'Reporte Componentes R1'!W571+'Reporte Componentes R1'!X571+'Reporte Componentes R1'!Y571+'Reporte Componentes R1'!Z571+'Reporte Componentes R1'!S571</f>
        <v>0</v>
      </c>
      <c r="AD51" s="291">
        <f t="shared" si="16"/>
        <v>0</v>
      </c>
      <c r="AE51" s="291">
        <f>'Reporte Componentes R1'!F572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R4'!D75</f>
        <v>0</v>
      </c>
      <c r="E66" s="291">
        <f>'Reversion Pagos R4'!E75</f>
        <v>0</v>
      </c>
      <c r="F66" s="291">
        <f>'Reversion Pagos R4'!F75</f>
        <v>0</v>
      </c>
      <c r="G66" s="291">
        <f>'Reversion Pagos R4'!G75</f>
        <v>0</v>
      </c>
      <c r="H66" s="291">
        <f>'Reversion Pagos R4'!H75</f>
        <v>0</v>
      </c>
      <c r="I66" s="291">
        <f>'Reversion Pagos R4'!I75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R4'!J75</f>
        <v>0</v>
      </c>
      <c r="V66" s="307">
        <f>'Reversion Pagos R4'!K75</f>
        <v>0</v>
      </c>
      <c r="W66" s="307">
        <f>'Reversion Pagos R4'!L75</f>
        <v>0</v>
      </c>
      <c r="X66" s="307">
        <f>'Reversion Pagos R4'!M75</f>
        <v>0</v>
      </c>
      <c r="Y66" s="307">
        <f>'Reversion Pagos R4'!N75</f>
        <v>0</v>
      </c>
      <c r="Z66" s="310">
        <f>-L66</f>
        <v>0</v>
      </c>
      <c r="AA66" s="311">
        <f>+'Reversion Pagos R4'!O75</f>
        <v>0</v>
      </c>
      <c r="AB66" s="294">
        <f>N66</f>
        <v>0</v>
      </c>
      <c r="AC66" s="311">
        <f>+'Reversion Pagos R4'!Q75+'Reversion Pagos R4'!R75</f>
        <v>0</v>
      </c>
      <c r="AD66" s="291">
        <f>-J66+AE66</f>
        <v>0</v>
      </c>
      <c r="AE66" s="291">
        <f>'Reversion Pagos R4'!D76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R4'!D170</f>
        <v>0</v>
      </c>
      <c r="E67" s="291">
        <f>'Reversion Pagos R4'!E170</f>
        <v>0</v>
      </c>
      <c r="F67" s="291">
        <f>'Reversion Pagos R4'!F170</f>
        <v>0</v>
      </c>
      <c r="G67" s="291">
        <f>'Reversion Pagos R4'!G170</f>
        <v>0</v>
      </c>
      <c r="H67" s="291">
        <f>'Reversion Pagos R4'!H170</f>
        <v>0</v>
      </c>
      <c r="I67" s="291">
        <f>'Reversion Pagos R4'!I170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R4'!P170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R4'!J170</f>
        <v>0</v>
      </c>
      <c r="V67" s="316">
        <f>'Reversion Pagos R4'!K170</f>
        <v>0</v>
      </c>
      <c r="W67" s="316">
        <f>'Reversion Pagos R4'!L170</f>
        <v>0</v>
      </c>
      <c r="X67" s="316">
        <f>'Reversion Pagos R4'!M170</f>
        <v>0</v>
      </c>
      <c r="Y67" s="316">
        <f>'Reversion Pagos R4'!N170</f>
        <v>0</v>
      </c>
      <c r="Z67" s="319">
        <f t="shared" ref="Z67:Z70" si="25">-L67</f>
        <v>0</v>
      </c>
      <c r="AA67" s="320">
        <f>'Reversion Pagos R4'!O170</f>
        <v>0</v>
      </c>
      <c r="AB67" s="294">
        <f t="shared" ref="AB67:AB70" si="26">N67</f>
        <v>0</v>
      </c>
      <c r="AC67" s="320">
        <f>'Reversion Pagos R4'!Q170+'Reversion Pagos R4'!R170</f>
        <v>0</v>
      </c>
      <c r="AD67" s="291">
        <f t="shared" ref="AD67:AD70" si="27">-J67+AE67</f>
        <v>0</v>
      </c>
      <c r="AE67" s="291">
        <f>'Reversion Pagos R4'!D171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R4'!D201</f>
        <v>0</v>
      </c>
      <c r="E68" s="291">
        <f>'Reversion Pagos R4'!E201</f>
        <v>0</v>
      </c>
      <c r="F68" s="291">
        <f>'Reversion Pagos R4'!F201</f>
        <v>0</v>
      </c>
      <c r="G68" s="291">
        <f>'Reversion Pagos R4'!G201</f>
        <v>0</v>
      </c>
      <c r="H68" s="291">
        <f>'Reversion Pagos R4'!H201</f>
        <v>0</v>
      </c>
      <c r="I68" s="291">
        <f>'Reversion Pagos R4'!I201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R4'!P201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R4'!J201</f>
        <v>0</v>
      </c>
      <c r="V68" s="316">
        <f>'Reversion Pagos R4'!K201</f>
        <v>0</v>
      </c>
      <c r="W68" s="316">
        <f>'Reversion Pagos R4'!L201</f>
        <v>0</v>
      </c>
      <c r="X68" s="316">
        <f>'Reversion Pagos R4'!M201</f>
        <v>0</v>
      </c>
      <c r="Y68" s="316">
        <f>'Reversion Pagos R4'!N201</f>
        <v>0</v>
      </c>
      <c r="Z68" s="319">
        <f t="shared" si="25"/>
        <v>0</v>
      </c>
      <c r="AA68" s="320">
        <f>'Reversion Pagos R4'!O201</f>
        <v>0</v>
      </c>
      <c r="AB68" s="294">
        <f t="shared" si="26"/>
        <v>0</v>
      </c>
      <c r="AC68" s="320">
        <f>'Reversion Pagos R4'!Q201+'Reversion Pagos R4'!R201</f>
        <v>0</v>
      </c>
      <c r="AD68" s="291">
        <f t="shared" si="27"/>
        <v>0</v>
      </c>
      <c r="AE68" s="291">
        <f>'Reversion Pagos R4'!D202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R4'!D315</f>
        <v>0</v>
      </c>
      <c r="E69" s="291">
        <f>'Reversion Pagos R4'!E315</f>
        <v>0</v>
      </c>
      <c r="F69" s="291">
        <f>'Reversion Pagos R4'!F315</f>
        <v>0</v>
      </c>
      <c r="G69" s="291">
        <f>'Reversion Pagos R4'!G315</f>
        <v>0</v>
      </c>
      <c r="H69" s="291">
        <f>'Reversion Pagos R4'!H315</f>
        <v>0</v>
      </c>
      <c r="I69" s="291">
        <f>'Reversion Pagos R4'!I315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R4'!P315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R4'!J315</f>
        <v>0</v>
      </c>
      <c r="V69" s="316">
        <f>'Reversion Pagos R4'!K315</f>
        <v>0</v>
      </c>
      <c r="W69" s="316">
        <f>'Reversion Pagos R4'!L315</f>
        <v>0</v>
      </c>
      <c r="X69" s="316">
        <f>'Reversion Pagos R4'!M315</f>
        <v>0</v>
      </c>
      <c r="Y69" s="316">
        <f>'Reversion Pagos R4'!N315</f>
        <v>0</v>
      </c>
      <c r="Z69" s="319">
        <f t="shared" si="25"/>
        <v>0</v>
      </c>
      <c r="AA69" s="320">
        <f>'Reversion Pagos R4'!O315</f>
        <v>0</v>
      </c>
      <c r="AB69" s="294">
        <f t="shared" si="26"/>
        <v>0</v>
      </c>
      <c r="AC69" s="320">
        <f>'Reversion Pagos R4'!Q315+'Reversion Pagos R4'!R315</f>
        <v>0</v>
      </c>
      <c r="AD69" s="291">
        <f t="shared" si="27"/>
        <v>0</v>
      </c>
      <c r="AE69" s="291">
        <f>'Reversion Pagos R4'!D316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R4'!D350</f>
        <v>0</v>
      </c>
      <c r="E70" s="296">
        <f>'Reversion Pagos R4'!E350</f>
        <v>0</v>
      </c>
      <c r="F70" s="296">
        <f>'Reversion Pagos R4'!F350</f>
        <v>0</v>
      </c>
      <c r="G70" s="296">
        <f>'Reversion Pagos R4'!G350</f>
        <v>0</v>
      </c>
      <c r="H70" s="296">
        <f>'Reversion Pagos R4'!H350</f>
        <v>0</v>
      </c>
      <c r="I70" s="296">
        <f>'Reversion Pagos R4'!I350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R4'!P350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R4'!J350</f>
        <v>0</v>
      </c>
      <c r="V70" s="296">
        <f>'Reversion Pagos R4'!K350</f>
        <v>0</v>
      </c>
      <c r="W70" s="296">
        <f>'Reversion Pagos R4'!L350</f>
        <v>0</v>
      </c>
      <c r="X70" s="296">
        <f>'Reversion Pagos R4'!M350</f>
        <v>0</v>
      </c>
      <c r="Y70" s="296">
        <f>'Reversion Pagos R4'!N350</f>
        <v>0</v>
      </c>
      <c r="Z70" s="319">
        <f t="shared" si="25"/>
        <v>0</v>
      </c>
      <c r="AA70" s="320">
        <f>'Reversion Pagos R4'!O350</f>
        <v>0</v>
      </c>
      <c r="AB70" s="294">
        <f t="shared" si="26"/>
        <v>0</v>
      </c>
      <c r="AC70" s="320">
        <f>'Reversion Pagos R4'!Q350+'Reversion Pagos R4'!R350</f>
        <v>0</v>
      </c>
      <c r="AD70" s="291">
        <f t="shared" si="27"/>
        <v>0</v>
      </c>
      <c r="AE70" s="291">
        <f>'Reversion Pagos R4'!D351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46267</v>
      </c>
      <c r="F101" s="58" t="s">
        <v>329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34839232.950000003</v>
      </c>
      <c r="E108" s="297">
        <f t="shared" si="40"/>
        <v>2299244.4900000002</v>
      </c>
      <c r="F108" s="297">
        <f t="shared" si="40"/>
        <v>1284765.27</v>
      </c>
      <c r="G108" s="297">
        <f t="shared" si="40"/>
        <v>682439.44</v>
      </c>
      <c r="H108" s="297">
        <f t="shared" si="40"/>
        <v>9072446.2599999998</v>
      </c>
      <c r="I108" s="297">
        <f t="shared" si="40"/>
        <v>315677.46000000002</v>
      </c>
      <c r="J108" s="297">
        <f t="shared" si="40"/>
        <v>0</v>
      </c>
      <c r="K108" s="295">
        <f t="shared" si="42"/>
        <v>21184660.030000001</v>
      </c>
      <c r="L108" s="294">
        <f>L13+L32+L51+L70+L89</f>
        <v>0</v>
      </c>
      <c r="M108" s="298">
        <f>K108-L108</f>
        <v>21184660.030000001</v>
      </c>
      <c r="N108" s="299">
        <f>N13+N32+N51+N70+N89</f>
        <v>0</v>
      </c>
      <c r="O108" s="298">
        <f t="shared" si="43"/>
        <v>21184660.030000001</v>
      </c>
      <c r="Q108" s="306"/>
      <c r="S108" s="324">
        <v>5</v>
      </c>
      <c r="T108" s="325" t="s">
        <v>14</v>
      </c>
      <c r="U108" s="296">
        <f t="shared" si="41"/>
        <v>2761326.55</v>
      </c>
      <c r="V108" s="297">
        <f t="shared" si="41"/>
        <v>2764099.9000000004</v>
      </c>
      <c r="W108" s="297">
        <f t="shared" si="41"/>
        <v>13968457.9</v>
      </c>
      <c r="X108" s="297">
        <f t="shared" si="41"/>
        <v>6876228.7999999998</v>
      </c>
      <c r="Y108" s="289">
        <f t="shared" si="41"/>
        <v>512154.25</v>
      </c>
      <c r="Z108" s="319">
        <f t="shared" si="41"/>
        <v>0</v>
      </c>
      <c r="AA108" s="320">
        <f t="shared" si="41"/>
        <v>134.32</v>
      </c>
      <c r="AB108" s="294">
        <f t="shared" si="41"/>
        <v>0</v>
      </c>
      <c r="AC108" s="320">
        <f t="shared" si="41"/>
        <v>0</v>
      </c>
      <c r="AD108" s="291">
        <f>-J108+AE108</f>
        <v>-5697741.6899999995</v>
      </c>
      <c r="AE108" s="291">
        <f>AE13+AE32+AE51+AE70+AE89</f>
        <v>-5697741.6899999995</v>
      </c>
      <c r="AF108" s="322">
        <f>SUM(U108:AD108)</f>
        <v>21184660.030000001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34839232.950000003</v>
      </c>
      <c r="E109" s="290">
        <f t="shared" si="46"/>
        <v>2299244.4900000002</v>
      </c>
      <c r="F109" s="290">
        <f t="shared" si="46"/>
        <v>1284765.27</v>
      </c>
      <c r="G109" s="290">
        <f t="shared" si="46"/>
        <v>682439.44</v>
      </c>
      <c r="H109" s="290">
        <f t="shared" si="46"/>
        <v>9072446.2599999998</v>
      </c>
      <c r="I109" s="290">
        <f t="shared" si="46"/>
        <v>315677.46000000002</v>
      </c>
      <c r="J109" s="290">
        <f t="shared" si="46"/>
        <v>0</v>
      </c>
      <c r="K109" s="300">
        <f t="shared" si="46"/>
        <v>21184660.030000001</v>
      </c>
      <c r="L109" s="301">
        <f t="shared" si="46"/>
        <v>0</v>
      </c>
      <c r="M109" s="302">
        <f t="shared" si="46"/>
        <v>21184660.030000001</v>
      </c>
      <c r="N109" s="301">
        <f t="shared" si="46"/>
        <v>0</v>
      </c>
      <c r="O109" s="302">
        <f t="shared" si="46"/>
        <v>21184660.030000001</v>
      </c>
      <c r="P109" s="329"/>
      <c r="Q109" s="306"/>
      <c r="S109" s="327"/>
      <c r="T109" s="328" t="s">
        <v>2</v>
      </c>
      <c r="U109" s="330">
        <f>SUM(U104:U108)</f>
        <v>2761326.55</v>
      </c>
      <c r="V109" s="330">
        <f t="shared" ref="V109:AF109" si="47">SUM(V104:V108)</f>
        <v>2764099.9000000004</v>
      </c>
      <c r="W109" s="330">
        <f t="shared" si="47"/>
        <v>13968457.9</v>
      </c>
      <c r="X109" s="330">
        <f t="shared" si="47"/>
        <v>6876228.7999999998</v>
      </c>
      <c r="Y109" s="330">
        <f t="shared" si="47"/>
        <v>512154.25</v>
      </c>
      <c r="Z109" s="290">
        <f t="shared" si="47"/>
        <v>0</v>
      </c>
      <c r="AA109" s="290">
        <f t="shared" si="47"/>
        <v>134.32</v>
      </c>
      <c r="AB109" s="290">
        <f t="shared" si="47"/>
        <v>0</v>
      </c>
      <c r="AC109" s="290">
        <f t="shared" si="47"/>
        <v>0</v>
      </c>
      <c r="AD109" s="290">
        <f t="shared" si="47"/>
        <v>-5697741.6899999995</v>
      </c>
      <c r="AE109" s="290">
        <f>SUM(AE104:AE108)</f>
        <v>-5697741.6899999995</v>
      </c>
      <c r="AF109" s="331">
        <f t="shared" si="47"/>
        <v>21184660.030000001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26882267.400000002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3772410</v>
      </c>
      <c r="E129" s="139">
        <v>0</v>
      </c>
      <c r="G129" s="339">
        <f>D51+N51</f>
        <v>0</v>
      </c>
      <c r="H129" s="340">
        <f>D32+N32</f>
        <v>6055022.9500000002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3772410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6055022.9500000002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38611642.950000003</v>
      </c>
      <c r="E146" s="18">
        <f>'Recaudo ENERBIT'!F25</f>
        <v>32556620</v>
      </c>
      <c r="F146" s="134">
        <f>D32+N32</f>
        <v>6055022.9500000002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6055022.9500000002</v>
      </c>
      <c r="L146" s="525">
        <f>D146-E146-F146-G146-J146-H146-I146</f>
        <v>2.7939677238464355E-9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38611642.950000003</v>
      </c>
      <c r="E147" s="47">
        <f>SUM(E142:E146)</f>
        <v>32556620</v>
      </c>
      <c r="F147" s="47">
        <f t="shared" ref="F147:K147" si="52">SUM(F142:F146)</f>
        <v>6055022.9500000002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6055022.9500000002</v>
      </c>
      <c r="L147" s="525">
        <f>SUM(L142:L146)</f>
        <v>2.7939677238464355E-9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32556620</v>
      </c>
      <c r="D7" s="292">
        <f>REMUNERACION_ENERBIT!G129</f>
        <v>0</v>
      </c>
      <c r="E7" s="292">
        <f>REMUNERACION_ENERBIT!D32+REMUNERACION_ENERBIT!N32</f>
        <v>6055022.9500000002</v>
      </c>
      <c r="F7" s="292">
        <f>REMUNERACION_ENERBIT!I146</f>
        <v>0</v>
      </c>
      <c r="G7" s="292">
        <f>REMUNERACION_ENERBIT!H146</f>
        <v>0</v>
      </c>
      <c r="H7" s="340">
        <f t="shared" si="1"/>
        <v>38611642.950000003</v>
      </c>
      <c r="I7" s="291">
        <f>REMUNERACION_ENERBIT!D108</f>
        <v>34839232.950000003</v>
      </c>
      <c r="J7" s="292">
        <f>REMUNERACION_ENERBIT!N108</f>
        <v>0</v>
      </c>
      <c r="K7" s="292">
        <f>REMUNERACION_ENERBIT!D129</f>
        <v>3772410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38611642.950000003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32556620</v>
      </c>
      <c r="D9" s="290">
        <f t="shared" ref="D9:M9" si="4">SUM(D3:D8)</f>
        <v>0</v>
      </c>
      <c r="E9" s="290">
        <f t="shared" si="4"/>
        <v>6055022.9500000002</v>
      </c>
      <c r="F9" s="290">
        <f t="shared" si="4"/>
        <v>0</v>
      </c>
      <c r="G9" s="290">
        <f t="shared" si="4"/>
        <v>0</v>
      </c>
      <c r="H9" s="290">
        <f t="shared" si="4"/>
        <v>38611642.950000003</v>
      </c>
      <c r="I9" s="290">
        <f t="shared" si="4"/>
        <v>34839232.950000003</v>
      </c>
      <c r="J9" s="290">
        <f t="shared" si="4"/>
        <v>0</v>
      </c>
      <c r="K9" s="290">
        <f t="shared" si="4"/>
        <v>3772410</v>
      </c>
      <c r="L9" s="290">
        <f t="shared" si="4"/>
        <v>0</v>
      </c>
      <c r="M9" s="290">
        <f t="shared" si="4"/>
        <v>0</v>
      </c>
      <c r="N9" s="290">
        <f>SUM(N3:N8)</f>
        <v>38611642.950000003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32556620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46267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46250</v>
      </c>
      <c r="J7" s="2" t="s">
        <v>28</v>
      </c>
      <c r="K7" s="9">
        <f>REMUNERACION_ENERBIT!K102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34839232.950000003</v>
      </c>
      <c r="E13" s="66">
        <f>REMUNERACION_ENERBIT!E108</f>
        <v>2299244.4900000002</v>
      </c>
      <c r="F13" s="66">
        <f>REMUNERACION_ENERBIT!F108</f>
        <v>1284765.27</v>
      </c>
      <c r="G13" s="66">
        <f>REMUNERACION_ENERBIT!G108</f>
        <v>682439.44</v>
      </c>
      <c r="H13" s="66">
        <f>REMUNERACION_ENERBIT!H108</f>
        <v>9072446.2599999998</v>
      </c>
      <c r="I13" s="66">
        <f>REMUNERACION_ENERBIT!I108</f>
        <v>315677.46000000002</v>
      </c>
      <c r="J13" s="66">
        <f>REMUNERACION_ENERBIT!J108</f>
        <v>0</v>
      </c>
      <c r="K13" s="31">
        <f t="shared" si="0"/>
        <v>21184660.030000001</v>
      </c>
      <c r="L13" s="66">
        <f>REMUNERACION_ENERBIT!L108</f>
        <v>0</v>
      </c>
      <c r="M13" s="40">
        <f>K13-L13</f>
        <v>21184660.030000001</v>
      </c>
      <c r="N13" s="66">
        <f>REMUNERACION_ENERBIT!N108</f>
        <v>0</v>
      </c>
      <c r="O13" s="40">
        <f t="shared" si="1"/>
        <v>21184660.030000001</v>
      </c>
      <c r="Q13" s="4"/>
      <c r="S13" s="19">
        <v>5</v>
      </c>
      <c r="T13" s="63" t="s">
        <v>14</v>
      </c>
      <c r="U13" s="66">
        <f>REMUNERACION_ENERBIT!U108</f>
        <v>2761326.55</v>
      </c>
      <c r="V13" s="66">
        <f>REMUNERACION_ENERBIT!V108</f>
        <v>2764099.9000000004</v>
      </c>
      <c r="W13" s="66">
        <f>REMUNERACION_ENERBIT!W108</f>
        <v>13968457.9</v>
      </c>
      <c r="X13" s="66">
        <f>REMUNERACION_ENERBIT!X108</f>
        <v>6876228.7999999998</v>
      </c>
      <c r="Y13" s="66">
        <f>REMUNERACION_ENERBIT!Y108</f>
        <v>512154.25</v>
      </c>
      <c r="Z13" s="66">
        <f>REMUNERACION_ENERBIT!Z108</f>
        <v>0</v>
      </c>
      <c r="AA13" s="66">
        <f>REMUNERACION_ENERBIT!AA108</f>
        <v>134.32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-5697741.6899999995</v>
      </c>
      <c r="AE13" s="66">
        <f>REMUNERACION_ENERBIT!AE108</f>
        <v>-5697741.6899999995</v>
      </c>
      <c r="AF13" s="70">
        <f>SUM(U13:AD13)</f>
        <v>21184660.030000001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34839232.950000003</v>
      </c>
      <c r="E14" s="43">
        <f t="shared" si="3"/>
        <v>2299244.4900000002</v>
      </c>
      <c r="F14" s="43">
        <f t="shared" si="3"/>
        <v>1284765.27</v>
      </c>
      <c r="G14" s="43">
        <f t="shared" si="3"/>
        <v>682439.44</v>
      </c>
      <c r="H14" s="43">
        <f t="shared" si="3"/>
        <v>9072446.2599999998</v>
      </c>
      <c r="I14" s="43">
        <f t="shared" si="3"/>
        <v>315677.46000000002</v>
      </c>
      <c r="J14" s="43">
        <f t="shared" si="3"/>
        <v>0</v>
      </c>
      <c r="K14" s="32">
        <f t="shared" si="3"/>
        <v>21184660.030000001</v>
      </c>
      <c r="L14" s="23">
        <f t="shared" si="3"/>
        <v>0</v>
      </c>
      <c r="M14" s="76">
        <f t="shared" si="3"/>
        <v>21184660.030000001</v>
      </c>
      <c r="N14" s="23">
        <f t="shared" si="3"/>
        <v>0</v>
      </c>
      <c r="O14" s="76">
        <f t="shared" si="3"/>
        <v>21184660.030000001</v>
      </c>
      <c r="P14" s="2"/>
      <c r="Q14" s="4"/>
      <c r="S14" s="21"/>
      <c r="T14" s="22" t="s">
        <v>2</v>
      </c>
      <c r="U14" s="43">
        <f>SUM(U9:U13)</f>
        <v>2761326.55</v>
      </c>
      <c r="V14" s="43">
        <f t="shared" ref="V14:AG14" si="4">SUM(V9:V13)</f>
        <v>2764099.9000000004</v>
      </c>
      <c r="W14" s="43">
        <f t="shared" si="4"/>
        <v>13968457.9</v>
      </c>
      <c r="X14" s="43">
        <f t="shared" si="4"/>
        <v>6876228.7999999998</v>
      </c>
      <c r="Y14" s="43">
        <f t="shared" si="4"/>
        <v>512154.25</v>
      </c>
      <c r="Z14" s="43">
        <f t="shared" si="4"/>
        <v>0</v>
      </c>
      <c r="AA14" s="43">
        <f t="shared" si="4"/>
        <v>134.32</v>
      </c>
      <c r="AB14" s="43">
        <f t="shared" si="4"/>
        <v>0</v>
      </c>
      <c r="AC14" s="43">
        <f t="shared" si="4"/>
        <v>0</v>
      </c>
      <c r="AD14" s="43">
        <f t="shared" si="4"/>
        <v>-5697741.6899999995</v>
      </c>
      <c r="AE14" s="43">
        <f>SUM(AE9:AE13)</f>
        <v>-5697741.6899999995</v>
      </c>
      <c r="AF14" s="68">
        <f t="shared" si="4"/>
        <v>21184660.030000001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26882267.400000002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46250</v>
      </c>
      <c r="J27" s="2" t="s">
        <v>28</v>
      </c>
      <c r="K27" s="9">
        <f>REMUNERACION_ENERBIT!K122</f>
        <v>46265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3772410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6055022.9500000002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3772410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6055022.9500000002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6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R1'!F70</f>
        <v>869569267.49000001</v>
      </c>
      <c r="E9" s="292">
        <f>'Reporte Componentes R1'!G70</f>
        <v>99307391.710000008</v>
      </c>
      <c r="F9" s="292">
        <f>'Reporte Componentes R1'!H70</f>
        <v>56108687.649999999</v>
      </c>
      <c r="G9" s="292">
        <f>'Reporte Componentes R1'!I70</f>
        <v>29525302.030000001</v>
      </c>
      <c r="H9" s="292">
        <f>'Reporte Componentes R1'!J70</f>
        <v>63405915.43</v>
      </c>
      <c r="I9" s="292">
        <f>'Reporte Componentes R1'!K70</f>
        <v>2019700.35</v>
      </c>
      <c r="J9" s="288">
        <v>0</v>
      </c>
      <c r="K9" s="293">
        <f>D9-E9-F9-G9-H9-I9-J9</f>
        <v>619202270.32000005</v>
      </c>
      <c r="L9" s="294">
        <v>0</v>
      </c>
      <c r="M9" s="293">
        <f>K9-L9</f>
        <v>619202270.32000005</v>
      </c>
      <c r="N9" s="294">
        <f>'Reporte Componentes R1'!L70</f>
        <v>20999130.030000001</v>
      </c>
      <c r="O9" s="293">
        <f>M9+N9</f>
        <v>640201400.35000002</v>
      </c>
      <c r="Q9" s="306"/>
      <c r="S9" s="303">
        <v>1</v>
      </c>
      <c r="T9" s="304" t="s">
        <v>10</v>
      </c>
      <c r="U9" s="307">
        <f>'Reporte Componentes R1'!M70</f>
        <v>17681893.039999999</v>
      </c>
      <c r="V9" s="308">
        <f>'Reporte Componentes R1'!N70</f>
        <v>21471929.649999999</v>
      </c>
      <c r="W9" s="308">
        <f>'Reporte Componentes R1'!O70</f>
        <v>100636042.16</v>
      </c>
      <c r="X9" s="308">
        <f>'Reporte Componentes R1'!P70</f>
        <v>269826591.71999997</v>
      </c>
      <c r="Y9" s="309">
        <f>'Reporte Componentes R1'!Q70</f>
        <v>3296421.25</v>
      </c>
      <c r="Z9" s="310">
        <f>L9*-1</f>
        <v>0</v>
      </c>
      <c r="AA9" s="311">
        <f>'Reporte Componentes R1'!R70+'Reporte Componentes R1'!V70+'Reporte Componentes R1'!U70</f>
        <v>-1302.1400000000001</v>
      </c>
      <c r="AB9" s="294">
        <f>N9</f>
        <v>20999130.030000001</v>
      </c>
      <c r="AC9" s="311">
        <f>'Reporte Componentes R1'!T70+'Reporte Componentes R1'!W70+'Reporte Componentes R1'!X70+'Reporte Componentes R1'!Y70+'Reporte Componentes R1'!Z70+'Reporte Componentes R1'!S70</f>
        <v>-106.74000000000001</v>
      </c>
      <c r="AD9" s="291">
        <f>-J9+AE9</f>
        <v>206290801.38</v>
      </c>
      <c r="AE9" s="291">
        <f>'Reporte Componentes R1'!F71</f>
        <v>206290801.38</v>
      </c>
      <c r="AF9" s="313">
        <f>SUM(U9:AD9)</f>
        <v>640201400.3499999</v>
      </c>
      <c r="AG9" s="311">
        <f>(AF9-O9)</f>
        <v>-1.1920928955078125E-7</v>
      </c>
      <c r="AH9" s="1" t="b">
        <f>INT(AG9)=0</f>
        <v>0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R1'!F214</f>
        <v>2217280433.9499993</v>
      </c>
      <c r="E10" s="292">
        <f>'Reporte Componentes R1'!G214</f>
        <v>270659789.79000002</v>
      </c>
      <c r="F10" s="292">
        <f>'Reporte Componentes R1'!H214</f>
        <v>152027432.91999999</v>
      </c>
      <c r="G10" s="292">
        <f>'Reporte Componentes R1'!I214</f>
        <v>80080148.450000003</v>
      </c>
      <c r="H10" s="292">
        <f>'Reporte Componentes R1'!J214</f>
        <v>343716400.92000002</v>
      </c>
      <c r="I10" s="292">
        <f>'Reporte Componentes R1'!K214</f>
        <v>8953917.1500000004</v>
      </c>
      <c r="J10" s="288">
        <v>0</v>
      </c>
      <c r="K10" s="295">
        <f t="shared" ref="K10:K13" si="0">D10-E10-F10-G10-H10-I10-J10</f>
        <v>1361842744.7199991</v>
      </c>
      <c r="L10" s="294">
        <v>0</v>
      </c>
      <c r="M10" s="295">
        <f>K10-L10</f>
        <v>1361842744.7199991</v>
      </c>
      <c r="N10" s="294">
        <f>'Reporte Componentes R1'!L214</f>
        <v>43242361.049999997</v>
      </c>
      <c r="O10" s="295">
        <f t="shared" ref="O10:O12" si="1">M10+N10</f>
        <v>1405085105.769999</v>
      </c>
      <c r="Q10" s="306"/>
      <c r="S10" s="314">
        <v>2</v>
      </c>
      <c r="T10" s="315" t="s">
        <v>11</v>
      </c>
      <c r="U10" s="316">
        <f>'Reporte Componentes R1'!M214</f>
        <v>78610242.390000001</v>
      </c>
      <c r="V10" s="317">
        <f>'Reporte Componentes R1'!N214</f>
        <v>108862976.13000001</v>
      </c>
      <c r="W10" s="317">
        <f>'Reporte Componentes R1'!O214</f>
        <v>519721688.17000002</v>
      </c>
      <c r="X10" s="317">
        <f>'Reporte Componentes R1'!P214</f>
        <v>523753122.08000004</v>
      </c>
      <c r="Y10" s="318">
        <f>'Reporte Componentes R1'!Q214</f>
        <v>14683404.189999999</v>
      </c>
      <c r="Z10" s="319">
        <f>L10*-1</f>
        <v>0</v>
      </c>
      <c r="AA10" s="320">
        <f>'Reporte Componentes R1'!R214+'Reporte Componentes R1'!V214+'Reporte Componentes R1'!U214</f>
        <v>-1732</v>
      </c>
      <c r="AB10" s="294">
        <f>N10</f>
        <v>43242361.049999997</v>
      </c>
      <c r="AC10" s="320">
        <f>'Reporte Componentes R1'!T214+'Reporte Componentes R1'!W214+'Reporte Componentes R1'!X214+'Reporte Componentes R1'!Y214+'Reporte Componentes R1'!Z214+'Reporte Componentes R1'!S214</f>
        <v>11.29</v>
      </c>
      <c r="AD10" s="291">
        <f t="shared" ref="AD10:AD13" si="2">-J10+AE10</f>
        <v>116213032.47</v>
      </c>
      <c r="AE10" s="291">
        <f>'Reporte Componentes R1'!F215</f>
        <v>116213032.47</v>
      </c>
      <c r="AF10" s="322">
        <f>SUM(U10:AD10)</f>
        <v>1405085105.77</v>
      </c>
      <c r="AG10" s="323">
        <f>(AF10-O10)</f>
        <v>9.5367431640625E-7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R1'!F345</f>
        <v>1241160884.5400002</v>
      </c>
      <c r="E11" s="292">
        <f>'Reporte Componentes R1'!G345</f>
        <v>166838506.75999999</v>
      </c>
      <c r="F11" s="292">
        <f>'Reporte Componentes R1'!H345</f>
        <v>94009698.510000005</v>
      </c>
      <c r="G11" s="292">
        <f>'Reporte Componentes R1'!I345</f>
        <v>49336354.700000003</v>
      </c>
      <c r="H11" s="292">
        <f>'Reporte Componentes R1'!J345</f>
        <v>58019924.780000001</v>
      </c>
      <c r="I11" s="292">
        <f>'Reporte Componentes R1'!K345</f>
        <v>1581474.04</v>
      </c>
      <c r="J11" s="288">
        <v>0</v>
      </c>
      <c r="K11" s="295">
        <f t="shared" si="0"/>
        <v>871374925.75000024</v>
      </c>
      <c r="L11" s="294">
        <v>0</v>
      </c>
      <c r="M11" s="295">
        <f>K11-L11</f>
        <v>871374925.75000024</v>
      </c>
      <c r="N11" s="294">
        <f>'Reporte Componentes R1'!L345</f>
        <v>17038188.23</v>
      </c>
      <c r="O11" s="295">
        <f t="shared" si="1"/>
        <v>888413113.98000026</v>
      </c>
      <c r="Q11" s="306"/>
      <c r="S11" s="314">
        <v>3</v>
      </c>
      <c r="T11" s="315" t="s">
        <v>12</v>
      </c>
      <c r="U11" s="316">
        <f>'Reporte Componentes R1'!M345</f>
        <v>13846333.25</v>
      </c>
      <c r="V11" s="317">
        <f>'Reporte Componentes R1'!N345</f>
        <v>18858548.899999999</v>
      </c>
      <c r="W11" s="317">
        <f>'Reporte Componentes R1'!O345</f>
        <v>87696979.13000001</v>
      </c>
      <c r="X11" s="317">
        <f>'Reporte Componentes R1'!P345</f>
        <v>391882780.99000001</v>
      </c>
      <c r="Y11" s="318">
        <f>'Reporte Componentes R1'!Q345</f>
        <v>2576244.02</v>
      </c>
      <c r="Z11" s="319">
        <f>L11*-1</f>
        <v>0</v>
      </c>
      <c r="AA11" s="320">
        <f>'Reporte Componentes R1'!R345+'Reporte Componentes R1'!V345+'Reporte Componentes R1'!U345</f>
        <v>-952</v>
      </c>
      <c r="AB11" s="294">
        <f>N11</f>
        <v>17038188.23</v>
      </c>
      <c r="AC11" s="320">
        <f>'Reporte Componentes R1'!T345+'Reporte Componentes R1'!W345+'Reporte Componentes R1'!X345+'Reporte Componentes R1'!Y345+'Reporte Componentes R1'!Z345+'Reporte Componentes R1'!S345</f>
        <v>-3973599.77</v>
      </c>
      <c r="AD11" s="291">
        <f t="shared" si="2"/>
        <v>360488591.23000002</v>
      </c>
      <c r="AE11" s="291">
        <f>'Reporte Componentes R1'!F346</f>
        <v>360488591.23000002</v>
      </c>
      <c r="AF11" s="322">
        <f t="shared" ref="AF11:AF13" si="4">SUM(U11:AD11)</f>
        <v>888413113.98000002</v>
      </c>
      <c r="AG11" s="323">
        <f>(AF11-O11)</f>
        <v>-2.384185791015625E-7</v>
      </c>
      <c r="AH11" s="1" t="b">
        <f t="shared" si="3"/>
        <v>0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R1'!F476</f>
        <v>917283582.5999999</v>
      </c>
      <c r="E12" s="292">
        <f>'Reporte Componentes R1'!G476</f>
        <v>90944155.239999995</v>
      </c>
      <c r="F12" s="292">
        <f>'Reporte Componentes R1'!H476</f>
        <v>50952498.710000001</v>
      </c>
      <c r="G12" s="292">
        <f>'Reporte Componentes R1'!I476</f>
        <v>27102736.670000002</v>
      </c>
      <c r="H12" s="292">
        <f>'Reporte Componentes R1'!J476</f>
        <v>123672356.03</v>
      </c>
      <c r="I12" s="292">
        <f>'Reporte Componentes R1'!K476</f>
        <v>3392425.3000000003</v>
      </c>
      <c r="J12" s="288">
        <v>0</v>
      </c>
      <c r="K12" s="295">
        <f t="shared" si="0"/>
        <v>621219410.64999998</v>
      </c>
      <c r="L12" s="294">
        <v>0</v>
      </c>
      <c r="M12" s="295">
        <f>K12-L12</f>
        <v>621219410.64999998</v>
      </c>
      <c r="N12" s="294">
        <f>'Reporte Componentes R1'!L476</f>
        <v>3469200.94</v>
      </c>
      <c r="O12" s="295">
        <f t="shared" si="1"/>
        <v>624688611.59000003</v>
      </c>
      <c r="Q12" s="306"/>
      <c r="S12" s="314">
        <v>4</v>
      </c>
      <c r="T12" s="315" t="s">
        <v>13</v>
      </c>
      <c r="U12" s="316">
        <f>'Reporte Componentes R1'!M476</f>
        <v>29786295.120000001</v>
      </c>
      <c r="V12" s="317">
        <f>'Reporte Componentes R1'!N476</f>
        <v>40765570.670000002</v>
      </c>
      <c r="W12" s="317">
        <f>'Reporte Componentes R1'!O476</f>
        <v>201030693.81999999</v>
      </c>
      <c r="X12" s="317">
        <f>'Reporte Componentes R1'!P476</f>
        <v>242190826.84999999</v>
      </c>
      <c r="Y12" s="318">
        <f>'Reporte Componentes R1'!Q476</f>
        <v>5542770.4799999995</v>
      </c>
      <c r="Z12" s="319">
        <f>L12*-1</f>
        <v>0</v>
      </c>
      <c r="AA12" s="320">
        <f>'Reporte Componentes R1'!R476+'Reporte Componentes R1'!V476+'Reporte Componentes R1'!U476</f>
        <v>1498.71</v>
      </c>
      <c r="AB12" s="294">
        <f>N12</f>
        <v>3469200.94</v>
      </c>
      <c r="AC12" s="320">
        <f>'Reporte Componentes R1'!T476+'Reporte Componentes R1'!W476+'Reporte Componentes R1'!X476+'Reporte Componentes R1'!Y476+'Reporte Componentes R1'!Z476+'Reporte Componentes R1'!S476</f>
        <v>-184.98</v>
      </c>
      <c r="AD12" s="291">
        <f t="shared" si="2"/>
        <v>101901939.98</v>
      </c>
      <c r="AE12" s="291">
        <f>'Reporte Componentes R1'!F477</f>
        <v>101901939.98</v>
      </c>
      <c r="AF12" s="322">
        <f t="shared" si="4"/>
        <v>624688611.59000003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R1'!F574</f>
        <v>328278942.55000001</v>
      </c>
      <c r="E13" s="297">
        <f>'Reporte Componentes R1'!G574</f>
        <v>32908684.300000001</v>
      </c>
      <c r="F13" s="297">
        <f>'Reporte Componentes R1'!H574</f>
        <v>17816619.279999997</v>
      </c>
      <c r="G13" s="297">
        <f>'Reporte Componentes R1'!I574</f>
        <v>9444572.9299999997</v>
      </c>
      <c r="H13" s="297">
        <f>'Reporte Componentes R1'!J574</f>
        <v>21484201.09</v>
      </c>
      <c r="I13" s="297">
        <f>'Reporte Componentes R1'!K574</f>
        <v>898738.69000000006</v>
      </c>
      <c r="J13" s="289">
        <v>0</v>
      </c>
      <c r="K13" s="295">
        <f t="shared" si="0"/>
        <v>245726126.26000002</v>
      </c>
      <c r="L13" s="294">
        <v>0</v>
      </c>
      <c r="M13" s="298">
        <f>K13-L13</f>
        <v>245726126.26000002</v>
      </c>
      <c r="N13" s="299">
        <f>'Reporte Componentes R1'!L574</f>
        <v>1379993.45</v>
      </c>
      <c r="O13" s="298">
        <f>M13+N13</f>
        <v>247106119.71000001</v>
      </c>
      <c r="Q13" s="306"/>
      <c r="S13" s="324">
        <v>5</v>
      </c>
      <c r="T13" s="325" t="s">
        <v>14</v>
      </c>
      <c r="U13" s="296">
        <f>'Reporte Componentes R1'!M574</f>
        <v>7902185.3399999999</v>
      </c>
      <c r="V13" s="297">
        <f>'Reporte Componentes R1'!N574</f>
        <v>9737539.2399999984</v>
      </c>
      <c r="W13" s="297">
        <f>'Reporte Componentes R1'!O574</f>
        <v>50908904.759999998</v>
      </c>
      <c r="X13" s="297">
        <f>'Reporte Componentes R1'!P574</f>
        <v>98996233.120000005</v>
      </c>
      <c r="Y13" s="289">
        <f>'Reporte Componentes R1'!Q574</f>
        <v>1503595.21</v>
      </c>
      <c r="Z13" s="319">
        <f>L13*-1</f>
        <v>0</v>
      </c>
      <c r="AA13" s="320">
        <f>'Reporte Componentes R1'!R574+'Reporte Componentes R1'!V574+'Reporte Componentes R1'!U574</f>
        <v>-2891</v>
      </c>
      <c r="AB13" s="294">
        <f>N13</f>
        <v>1379993.45</v>
      </c>
      <c r="AC13" s="320">
        <f>'Reporte Componentes R1'!T574+'Reporte Componentes R1'!W574+'Reporte Componentes R1'!X574+'Reporte Componentes R1'!Y574+'Reporte Componentes R1'!Z574+'Reporte Componentes R1'!S574</f>
        <v>-35.129999999999995</v>
      </c>
      <c r="AD13" s="291">
        <f t="shared" si="2"/>
        <v>76680594.719999999</v>
      </c>
      <c r="AE13" s="291">
        <f>'Reporte Componentes R1'!F575</f>
        <v>76680594.719999999</v>
      </c>
      <c r="AF13" s="322">
        <f t="shared" si="4"/>
        <v>247106119.71000001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5573573111.1300001</v>
      </c>
      <c r="E14" s="290">
        <f t="shared" ref="E14:O14" si="5">SUM(E9:E13)</f>
        <v>660658527.79999995</v>
      </c>
      <c r="F14" s="290">
        <f t="shared" si="5"/>
        <v>370914937.06999993</v>
      </c>
      <c r="G14" s="290">
        <f t="shared" si="5"/>
        <v>195489114.78000003</v>
      </c>
      <c r="H14" s="290">
        <f t="shared" si="5"/>
        <v>610298798.25</v>
      </c>
      <c r="I14" s="290">
        <f t="shared" si="5"/>
        <v>16846255.530000001</v>
      </c>
      <c r="J14" s="290">
        <f t="shared" si="5"/>
        <v>0</v>
      </c>
      <c r="K14" s="300">
        <f t="shared" si="5"/>
        <v>3719365477.6999993</v>
      </c>
      <c r="L14" s="301">
        <f>SUM(L9:L13)</f>
        <v>0</v>
      </c>
      <c r="M14" s="302">
        <f t="shared" si="5"/>
        <v>3719365477.6999993</v>
      </c>
      <c r="N14" s="301">
        <f t="shared" si="5"/>
        <v>86128873.700000003</v>
      </c>
      <c r="O14" s="302">
        <f t="shared" si="5"/>
        <v>3805494351.3999996</v>
      </c>
      <c r="P14" s="329"/>
      <c r="Q14" s="306"/>
      <c r="S14" s="327"/>
      <c r="T14" s="328" t="s">
        <v>2</v>
      </c>
      <c r="U14" s="330">
        <f>SUM(U9:U13)</f>
        <v>147826949.14000002</v>
      </c>
      <c r="V14" s="330">
        <f t="shared" ref="V14:AF14" si="6">SUM(V9:V13)</f>
        <v>199696564.59000003</v>
      </c>
      <c r="W14" s="330">
        <f t="shared" si="6"/>
        <v>959994308.03999996</v>
      </c>
      <c r="X14" s="330">
        <f t="shared" si="6"/>
        <v>1526649554.7599998</v>
      </c>
      <c r="Y14" s="330">
        <f t="shared" si="6"/>
        <v>27602435.149999999</v>
      </c>
      <c r="Z14" s="290">
        <f t="shared" si="6"/>
        <v>0</v>
      </c>
      <c r="AA14" s="290">
        <f t="shared" si="6"/>
        <v>-5378.43</v>
      </c>
      <c r="AB14" s="290">
        <f t="shared" si="6"/>
        <v>86128873.700000003</v>
      </c>
      <c r="AC14" s="290">
        <f t="shared" si="6"/>
        <v>-3973915.33</v>
      </c>
      <c r="AD14" s="290">
        <f>SUM(AD9:AD13)</f>
        <v>861574959.78000009</v>
      </c>
      <c r="AE14" s="290">
        <f>SUM(AE9:AE13)</f>
        <v>861574959.78000009</v>
      </c>
      <c r="AF14" s="331">
        <f t="shared" si="6"/>
        <v>3805494351.4000001</v>
      </c>
      <c r="AG14" s="332">
        <f>SUM(AG9:AG13)</f>
        <v>5.9604644775390625E-7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2861769811.6799998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R2'!E55</f>
        <v>27783436.330000002</v>
      </c>
      <c r="E28" s="292">
        <f>'Rem. Anticipos R2'!F55</f>
        <v>2081192.39</v>
      </c>
      <c r="F28" s="292">
        <f>'Rem. Anticipos R2'!G55</f>
        <v>1148059.1399999999</v>
      </c>
      <c r="G28" s="292">
        <f>'Rem. Anticipos R2'!H55</f>
        <v>546479.29</v>
      </c>
      <c r="H28" s="292">
        <f>'Rem. Anticipos R2'!I55</f>
        <v>4396569.75</v>
      </c>
      <c r="I28" s="292">
        <f>'Rem. Anticipos R2'!J55</f>
        <v>145789.07</v>
      </c>
      <c r="J28" s="288">
        <v>0</v>
      </c>
      <c r="K28" s="293">
        <f>D28-E28-F28-G28-H28-I28-J28</f>
        <v>19465346.690000001</v>
      </c>
      <c r="L28" s="294">
        <v>0</v>
      </c>
      <c r="M28" s="293">
        <f>K28-L28</f>
        <v>19465346.690000001</v>
      </c>
      <c r="N28" s="294">
        <f>'Rem. Anticipos R2'!K55</f>
        <v>0</v>
      </c>
      <c r="O28" s="293">
        <f>M28+N28</f>
        <v>19465346.690000001</v>
      </c>
      <c r="Q28" s="306"/>
      <c r="S28" s="303">
        <v>1</v>
      </c>
      <c r="T28" s="304" t="s">
        <v>10</v>
      </c>
      <c r="U28" s="307">
        <f>'Rem. Anticipos R2'!L55</f>
        <v>1332065.28</v>
      </c>
      <c r="V28" s="308">
        <f>'Rem. Anticipos R2'!M55</f>
        <v>1532516.54</v>
      </c>
      <c r="W28" s="308">
        <f>'Rem. Anticipos R2'!N55</f>
        <v>7718171.9400000004</v>
      </c>
      <c r="X28" s="308">
        <f>'Rem. Anticipos R2'!O55</f>
        <v>5627108.3300000001</v>
      </c>
      <c r="Y28" s="308">
        <f>'Rem. Anticipos R2'!P55</f>
        <v>237418.29</v>
      </c>
      <c r="Z28" s="310">
        <f>L28*-1</f>
        <v>0</v>
      </c>
      <c r="AA28" s="311">
        <f>'Rem. Anticipos R2'!Q55</f>
        <v>70342.240000000005</v>
      </c>
      <c r="AB28" s="294">
        <f>N28</f>
        <v>0</v>
      </c>
      <c r="AC28" s="311">
        <f>'Rem. Anticipos R2'!R55</f>
        <v>0</v>
      </c>
      <c r="AD28" s="291">
        <f>-J28+AE28</f>
        <v>2947724.07</v>
      </c>
      <c r="AE28" s="291">
        <f>'Rem. Anticipos R2'!E56</f>
        <v>2947724.07</v>
      </c>
      <c r="AF28" s="313">
        <f>SUM(U28:AD28)</f>
        <v>19465346.690000001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R2'!E152</f>
        <v>97062829.309999987</v>
      </c>
      <c r="E29" s="292">
        <f>'Rem. Anticipos R2'!F152</f>
        <v>13856643.550000001</v>
      </c>
      <c r="F29" s="292">
        <f>'Rem. Anticipos R2'!G152</f>
        <v>7511888.5199999996</v>
      </c>
      <c r="G29" s="292">
        <f>'Rem. Anticipos R2'!H152</f>
        <v>3951071.92</v>
      </c>
      <c r="H29" s="292">
        <f>'Rem. Anticipos R2'!I152</f>
        <v>16974666.960000001</v>
      </c>
      <c r="I29" s="292">
        <f>'Rem. Anticipos R2'!J152</f>
        <v>481672.4</v>
      </c>
      <c r="J29" s="288">
        <v>0</v>
      </c>
      <c r="K29" s="295">
        <f t="shared" ref="K29:K31" si="7">D29-E29-F29-G29-H29-I29-J29</f>
        <v>54286885.959999993</v>
      </c>
      <c r="L29" s="294">
        <v>0</v>
      </c>
      <c r="M29" s="295">
        <f>K29-L29</f>
        <v>54286885.959999993</v>
      </c>
      <c r="N29" s="294">
        <f>'Rem. Anticipos R2'!K152</f>
        <v>0</v>
      </c>
      <c r="O29" s="295">
        <f t="shared" ref="O29:O32" si="8">M29+N29</f>
        <v>54286885.959999993</v>
      </c>
      <c r="Q29" s="306"/>
      <c r="S29" s="314">
        <v>2</v>
      </c>
      <c r="T29" s="315" t="s">
        <v>11</v>
      </c>
      <c r="U29" s="316">
        <f>'Rem. Anticipos R2'!L152</f>
        <v>4203349.68</v>
      </c>
      <c r="V29" s="317">
        <f>'Rem. Anticipos R2'!M152</f>
        <v>5259029.4800000004</v>
      </c>
      <c r="W29" s="317">
        <f>'Rem. Anticipos R2'!N152</f>
        <v>21088113.789999999</v>
      </c>
      <c r="X29" s="317">
        <f>'Rem. Anticipos R2'!O152</f>
        <v>29948098.77</v>
      </c>
      <c r="Y29" s="318">
        <f>'Rem. Anticipos R2'!P152</f>
        <v>624860.36</v>
      </c>
      <c r="Z29" s="319">
        <f>L29*-1</f>
        <v>0</v>
      </c>
      <c r="AA29" s="320">
        <f>'Rem. Anticipos R2'!Q152</f>
        <v>35.78</v>
      </c>
      <c r="AB29" s="294">
        <f>N29</f>
        <v>0</v>
      </c>
      <c r="AC29" s="320">
        <f>'Rem. Anticipos R2'!R152</f>
        <v>0</v>
      </c>
      <c r="AD29" s="291">
        <f>-J29+AE29</f>
        <v>-6836601.9000000004</v>
      </c>
      <c r="AE29" s="291">
        <f>'Rem. Anticipos R2'!E153</f>
        <v>-6836601.9000000004</v>
      </c>
      <c r="AF29" s="322">
        <f>SUM(U29:AD29)</f>
        <v>54286885.960000001</v>
      </c>
      <c r="AG29" s="323">
        <f>(AF29-O29)</f>
        <v>7.4505805969238281E-9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R2'!E269</f>
        <v>10984451.809999999</v>
      </c>
      <c r="E30" s="292">
        <f>'Rem. Anticipos R2'!F269</f>
        <v>702329.22</v>
      </c>
      <c r="F30" s="292">
        <f>'Rem. Anticipos R2'!G269</f>
        <v>394837.99</v>
      </c>
      <c r="G30" s="292">
        <f>'Rem. Anticipos R2'!H269</f>
        <v>210134.26</v>
      </c>
      <c r="H30" s="292">
        <f>'Rem. Anticipos R2'!I269</f>
        <v>2051686.15</v>
      </c>
      <c r="I30" s="292">
        <f>'Rem. Anticipos R2'!J269</f>
        <v>54810.09</v>
      </c>
      <c r="J30" s="288">
        <v>0</v>
      </c>
      <c r="K30" s="295">
        <f t="shared" si="7"/>
        <v>7570654.0999999978</v>
      </c>
      <c r="L30" s="294">
        <v>0</v>
      </c>
      <c r="M30" s="295">
        <f>K30-L30</f>
        <v>7570654.0999999978</v>
      </c>
      <c r="N30" s="294">
        <f>'Rem. Anticipos R2'!K269</f>
        <v>120000</v>
      </c>
      <c r="O30" s="295">
        <f t="shared" si="8"/>
        <v>7690654.0999999978</v>
      </c>
      <c r="Q30" s="306"/>
      <c r="S30" s="314">
        <v>3</v>
      </c>
      <c r="T30" s="315" t="s">
        <v>12</v>
      </c>
      <c r="U30" s="316">
        <f>'Rem. Anticipos R2'!L269</f>
        <v>518605.43</v>
      </c>
      <c r="V30" s="317">
        <f>'Rem. Anticipos R2'!M269</f>
        <v>783852.5</v>
      </c>
      <c r="W30" s="317">
        <f>'Rem. Anticipos R2'!N269</f>
        <v>3015297.14</v>
      </c>
      <c r="X30" s="317">
        <f>'Rem. Anticipos R2'!O269</f>
        <v>2325806</v>
      </c>
      <c r="Y30" s="318">
        <f>'Rem. Anticipos R2'!P269</f>
        <v>86558.92</v>
      </c>
      <c r="Z30" s="319">
        <f>L30*-1</f>
        <v>0</v>
      </c>
      <c r="AA30" s="320">
        <f>'Rem. Anticipos R2'!Q269</f>
        <v>-69.849999999999994</v>
      </c>
      <c r="AB30" s="294">
        <f>N30</f>
        <v>120000</v>
      </c>
      <c r="AC30" s="320">
        <f>'Rem. Anticipos R2'!R269</f>
        <v>0</v>
      </c>
      <c r="AD30" s="291">
        <f t="shared" ref="AD30:AD32" si="10">-J30+AE30</f>
        <v>840603.96</v>
      </c>
      <c r="AE30" s="291">
        <f>'Rem. Anticipos R2'!E270</f>
        <v>840603.96</v>
      </c>
      <c r="AF30" s="322">
        <f>SUM(U30:AD30)</f>
        <v>7690654.1000000006</v>
      </c>
      <c r="AG30" s="323">
        <f t="shared" ref="AG30:AG31" si="11">(AF30-O30)</f>
        <v>2.7939677238464355E-9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R2'!E372</f>
        <v>34937710.710000001</v>
      </c>
      <c r="E31" s="292">
        <f>'Rem. Anticipos R2'!F372</f>
        <v>4358442.25</v>
      </c>
      <c r="F31" s="292">
        <f>'Rem. Anticipos R2'!G372</f>
        <v>2443296.12</v>
      </c>
      <c r="G31" s="292">
        <f>'Rem. Anticipos R2'!H372</f>
        <v>1264744.02</v>
      </c>
      <c r="H31" s="292">
        <f>'Rem. Anticipos R2'!I372</f>
        <v>5174081.41</v>
      </c>
      <c r="I31" s="292">
        <f>'Rem. Anticipos R2'!J372</f>
        <v>155593.84</v>
      </c>
      <c r="J31" s="288">
        <v>0</v>
      </c>
      <c r="K31" s="295">
        <f t="shared" si="7"/>
        <v>21541553.07</v>
      </c>
      <c r="L31" s="294">
        <v>0</v>
      </c>
      <c r="M31" s="295">
        <f>K31-L31</f>
        <v>21541553.07</v>
      </c>
      <c r="N31" s="294">
        <f>'Rem. Anticipos R2'!K372</f>
        <v>70913.19</v>
      </c>
      <c r="O31" s="295">
        <f t="shared" si="8"/>
        <v>21612466.260000002</v>
      </c>
      <c r="Q31" s="306"/>
      <c r="S31" s="314">
        <v>4</v>
      </c>
      <c r="T31" s="315" t="s">
        <v>13</v>
      </c>
      <c r="U31" s="316">
        <f>'Rem. Anticipos R2'!L372</f>
        <v>1442241.94</v>
      </c>
      <c r="V31" s="317">
        <f>'Rem. Anticipos R2'!M372</f>
        <v>1600654.2</v>
      </c>
      <c r="W31" s="317">
        <f>'Rem. Anticipos R2'!N372</f>
        <v>7171888.9500000002</v>
      </c>
      <c r="X31" s="317">
        <f>'Rem. Anticipos R2'!O372</f>
        <v>11930120.720000001</v>
      </c>
      <c r="Y31" s="318">
        <f>'Rem. Anticipos R2'!P372</f>
        <v>208920.24</v>
      </c>
      <c r="Z31" s="319">
        <f>L31*-1</f>
        <v>0</v>
      </c>
      <c r="AA31" s="320">
        <f>'Rem. Anticipos R2'!Q372</f>
        <v>-35.35</v>
      </c>
      <c r="AB31" s="294">
        <f>N31</f>
        <v>70913.19</v>
      </c>
      <c r="AC31" s="320">
        <f>'Rem. Anticipos R2'!R372</f>
        <v>0</v>
      </c>
      <c r="AD31" s="291">
        <f t="shared" si="10"/>
        <v>-812237.63</v>
      </c>
      <c r="AE31" s="291">
        <f>'Rem. Anticipos R2'!E373</f>
        <v>-812237.63</v>
      </c>
      <c r="AF31" s="322">
        <f>SUM(U31:AD31)</f>
        <v>21612466.260000002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R2'!E452</f>
        <v>11825593.839999998</v>
      </c>
      <c r="E32" s="297">
        <f>'Rem. Anticipos R2'!F452</f>
        <v>1009832.76</v>
      </c>
      <c r="F32" s="297">
        <f>'Rem. Anticipos R2'!G452</f>
        <v>564672.53</v>
      </c>
      <c r="G32" s="297">
        <f>'Rem. Anticipos R2'!H452</f>
        <v>288054.68</v>
      </c>
      <c r="H32" s="297">
        <f>'Rem. Anticipos R2'!I452</f>
        <v>1254985.8500000001</v>
      </c>
      <c r="I32" s="297">
        <f>'Rem. Anticipos R2'!J452</f>
        <v>42730.32</v>
      </c>
      <c r="J32" s="289">
        <v>0</v>
      </c>
      <c r="K32" s="295">
        <f>D32-E32-F32-G32-H32-I32-J32</f>
        <v>8665317.6999999993</v>
      </c>
      <c r="L32" s="294">
        <v>0</v>
      </c>
      <c r="M32" s="298">
        <f>K32-L32</f>
        <v>8665317.6999999993</v>
      </c>
      <c r="N32" s="299">
        <f>'Rem. Anticipos R2'!K452</f>
        <v>855793.65</v>
      </c>
      <c r="O32" s="298">
        <f t="shared" si="8"/>
        <v>9521111.3499999996</v>
      </c>
      <c r="Q32" s="306"/>
      <c r="S32" s="324">
        <v>5</v>
      </c>
      <c r="T32" s="325" t="s">
        <v>14</v>
      </c>
      <c r="U32" s="296">
        <f>'Rem. Anticipos R2'!L452</f>
        <v>354646.1</v>
      </c>
      <c r="V32" s="297">
        <f>'Rem. Anticipos R2'!M452</f>
        <v>393381.73</v>
      </c>
      <c r="W32" s="297">
        <f>'Rem. Anticipos R2'!N452</f>
        <v>2114703.1</v>
      </c>
      <c r="X32" s="297">
        <f>'Rem. Anticipos R2'!O452</f>
        <v>3026869.42</v>
      </c>
      <c r="Y32" s="289">
        <f>'Rem. Anticipos R2'!P452</f>
        <v>55891.73</v>
      </c>
      <c r="Z32" s="319">
        <f>L32*-1</f>
        <v>0</v>
      </c>
      <c r="AA32" s="320">
        <f>'Rem. Anticipos R2'!Q452</f>
        <v>6</v>
      </c>
      <c r="AB32" s="294">
        <f>N32</f>
        <v>855793.65</v>
      </c>
      <c r="AC32" s="320">
        <f>'Rem. Anticipos R2'!R452</f>
        <v>0</v>
      </c>
      <c r="AD32" s="291">
        <f t="shared" si="10"/>
        <v>2719819.62</v>
      </c>
      <c r="AE32" s="291">
        <f>'Rem. Anticipos R2'!E453</f>
        <v>2719819.62</v>
      </c>
      <c r="AF32" s="322">
        <f>SUM(U32:AD32)</f>
        <v>9521111.3500000015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182594022</v>
      </c>
      <c r="E33" s="290">
        <f>SUM(E28:E32)</f>
        <v>22008440.170000006</v>
      </c>
      <c r="F33" s="290">
        <f t="shared" ref="F33:O33" si="12">SUM(F28:F32)</f>
        <v>12062754.299999999</v>
      </c>
      <c r="G33" s="290">
        <f t="shared" si="12"/>
        <v>6260484.1699999999</v>
      </c>
      <c r="H33" s="290">
        <f t="shared" si="12"/>
        <v>29851990.120000001</v>
      </c>
      <c r="I33" s="290">
        <f t="shared" si="12"/>
        <v>880595.71999999986</v>
      </c>
      <c r="J33" s="290">
        <f t="shared" si="12"/>
        <v>0</v>
      </c>
      <c r="K33" s="300">
        <f t="shared" si="12"/>
        <v>111529757.52</v>
      </c>
      <c r="L33" s="301">
        <f t="shared" si="12"/>
        <v>0</v>
      </c>
      <c r="M33" s="302">
        <f t="shared" si="12"/>
        <v>111529757.52</v>
      </c>
      <c r="N33" s="301">
        <f t="shared" si="12"/>
        <v>1046706.8400000001</v>
      </c>
      <c r="O33" s="302">
        <f t="shared" si="12"/>
        <v>112576464.35999998</v>
      </c>
      <c r="P33" s="329"/>
      <c r="Q33" s="306"/>
      <c r="S33" s="327"/>
      <c r="T33" s="328" t="s">
        <v>2</v>
      </c>
      <c r="U33" s="330">
        <f>SUM(U28:U32)</f>
        <v>7850908.4299999997</v>
      </c>
      <c r="V33" s="330">
        <f t="shared" ref="V33:AG33" si="13">SUM(V28:V32)</f>
        <v>9569434.4500000011</v>
      </c>
      <c r="W33" s="330">
        <f t="shared" si="13"/>
        <v>41108174.920000002</v>
      </c>
      <c r="X33" s="330">
        <f t="shared" si="13"/>
        <v>52858003.240000002</v>
      </c>
      <c r="Y33" s="330">
        <f t="shared" si="13"/>
        <v>1213649.54</v>
      </c>
      <c r="Z33" s="290">
        <f t="shared" si="13"/>
        <v>0</v>
      </c>
      <c r="AA33" s="290">
        <f t="shared" si="13"/>
        <v>70278.819999999992</v>
      </c>
      <c r="AB33" s="290">
        <f t="shared" si="13"/>
        <v>1046706.8400000001</v>
      </c>
      <c r="AC33" s="290">
        <f t="shared" si="13"/>
        <v>0</v>
      </c>
      <c r="AD33" s="290">
        <f>SUM(AD28:AD32)</f>
        <v>-1140691.8800000004</v>
      </c>
      <c r="AE33" s="290">
        <f>SUM(AE28:AE32)</f>
        <v>-1140691.8800000004</v>
      </c>
      <c r="AF33" s="331">
        <f t="shared" si="13"/>
        <v>112576464.36000001</v>
      </c>
      <c r="AG33" s="332">
        <f t="shared" si="13"/>
        <v>1.2107193470001221E-8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112600170.58000001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R1'!F72</f>
        <v>0</v>
      </c>
      <c r="E47" s="292">
        <f>'Reporte Componentes R1'!G72</f>
        <v>0</v>
      </c>
      <c r="F47" s="292">
        <f>'Reporte Componentes R1'!H72</f>
        <v>0</v>
      </c>
      <c r="G47" s="292">
        <f>'Reporte Componentes R1'!I72</f>
        <v>0</v>
      </c>
      <c r="H47" s="292">
        <f>'Reporte Componentes R1'!J72</f>
        <v>0</v>
      </c>
      <c r="I47" s="292">
        <f>'Reporte Componentes R1'!K72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R1'!M72</f>
        <v>0</v>
      </c>
      <c r="V47" s="308">
        <f>'Reporte Componentes R1'!N72</f>
        <v>0</v>
      </c>
      <c r="W47" s="308">
        <f>'Reporte Componentes R1'!O72</f>
        <v>0</v>
      </c>
      <c r="X47" s="308">
        <f>'Reporte Componentes R1'!P72</f>
        <v>0</v>
      </c>
      <c r="Y47" s="309">
        <f>'Reporte Componentes R1'!Q72</f>
        <v>0</v>
      </c>
      <c r="Z47" s="310">
        <f>-L47</f>
        <v>0</v>
      </c>
      <c r="AA47" s="311">
        <f>'Reporte Componentes R1'!R72+'Reporte Componentes R1'!V72+'Reporte Componentes R1'!U72</f>
        <v>0</v>
      </c>
      <c r="AB47" s="294">
        <f>N47</f>
        <v>0</v>
      </c>
      <c r="AC47" s="311">
        <f>'Reporte Componentes R1'!T72+'Reporte Componentes R1'!S72+'Reporte Componentes R1'!W72+'Reporte Componentes R1'!X72+'Reporte Componentes R1'!Y72+'Reporte Componentes R1'!Z72</f>
        <v>0</v>
      </c>
      <c r="AD47" s="291">
        <f>-J47+AE47</f>
        <v>0</v>
      </c>
      <c r="AE47" s="291">
        <f>'Reporte Componentes R1'!F73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R1'!F216</f>
        <v>24890</v>
      </c>
      <c r="E48" s="292">
        <f>'Reporte Componentes R1'!G216</f>
        <v>0</v>
      </c>
      <c r="F48" s="292">
        <f>'Reporte Componentes R1'!H216</f>
        <v>0</v>
      </c>
      <c r="G48" s="292">
        <f>'Reporte Componentes R1'!I216</f>
        <v>567.09</v>
      </c>
      <c r="H48" s="292">
        <f>'Reporte Componentes R1'!J216</f>
        <v>5122.93</v>
      </c>
      <c r="I48" s="292">
        <f>'Reporte Componentes R1'!K216</f>
        <v>373.45</v>
      </c>
      <c r="J48" s="288">
        <v>0</v>
      </c>
      <c r="K48" s="295">
        <f t="shared" ref="K48:K51" si="14">D48-E48-F48-G48-H48-I48-J48</f>
        <v>18826.53</v>
      </c>
      <c r="L48" s="294">
        <v>0</v>
      </c>
      <c r="M48" s="295">
        <f>K48-L48</f>
        <v>18826.53</v>
      </c>
      <c r="N48" s="294">
        <f>'Reporte Componentes R1'!L216</f>
        <v>0</v>
      </c>
      <c r="O48" s="295">
        <f t="shared" ref="O48:O51" si="15">M48+N48</f>
        <v>18826.53</v>
      </c>
      <c r="Q48" s="306"/>
      <c r="S48" s="314">
        <v>2</v>
      </c>
      <c r="T48" s="315" t="s">
        <v>11</v>
      </c>
      <c r="U48" s="316">
        <f>'Reporte Componentes R1'!M216</f>
        <v>0</v>
      </c>
      <c r="V48" s="317">
        <f>'Reporte Componentes R1'!N216</f>
        <v>3176.37</v>
      </c>
      <c r="W48" s="317">
        <f>'Reporte Componentes R1'!O216</f>
        <v>15040.85</v>
      </c>
      <c r="X48" s="317">
        <f>'Reporte Componentes R1'!P216</f>
        <v>0</v>
      </c>
      <c r="Y48" s="318">
        <f>'Reporte Componentes R1'!Q216</f>
        <v>609.30999999999995</v>
      </c>
      <c r="Z48" s="319">
        <f>-L48</f>
        <v>0</v>
      </c>
      <c r="AA48" s="320">
        <f>'Reporte Componentes R1'!R216+'Reporte Componentes R1'!V216+'Reporte Componentes R1'!U216</f>
        <v>0</v>
      </c>
      <c r="AB48" s="294">
        <f>N48</f>
        <v>0</v>
      </c>
      <c r="AC48" s="320">
        <f>'Reporte Componentes R1'!T216+'Reporte Componentes R1'!S216+'Reporte Componentes R1'!W216+'Reporte Componentes R1'!X216+'Reporte Componentes R1'!Y216+'Reporte Componentes R1'!Z216</f>
        <v>0</v>
      </c>
      <c r="AD48" s="291">
        <f t="shared" ref="AD48:AD51" si="16">-J48+AE48</f>
        <v>0</v>
      </c>
      <c r="AE48" s="291">
        <f>'Reporte Componentes R1'!F217</f>
        <v>0</v>
      </c>
      <c r="AF48" s="322">
        <f>SUM(U48:AD48)</f>
        <v>18826.530000000002</v>
      </c>
      <c r="AG48" s="323">
        <f>(AF48-O48)</f>
        <v>3.637978807091713E-12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R1'!F347</f>
        <v>0</v>
      </c>
      <c r="E49" s="292">
        <f>'Reporte Componentes R1'!G347</f>
        <v>0</v>
      </c>
      <c r="F49" s="292">
        <f>'Reporte Componentes R1'!H347</f>
        <v>0</v>
      </c>
      <c r="G49" s="292">
        <f>'Reporte Componentes R1'!I347</f>
        <v>0</v>
      </c>
      <c r="H49" s="292">
        <f>'Reporte Componentes R1'!J347</f>
        <v>0</v>
      </c>
      <c r="I49" s="292">
        <f>'Reporte Componentes R1'!K347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R1'!L347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R1'!M347</f>
        <v>0</v>
      </c>
      <c r="V49" s="317">
        <f>'Reporte Componentes R1'!N347</f>
        <v>0</v>
      </c>
      <c r="W49" s="317">
        <f>'Reporte Componentes R1'!O347</f>
        <v>0</v>
      </c>
      <c r="X49" s="317">
        <f>'Reporte Componentes R1'!P347</f>
        <v>0</v>
      </c>
      <c r="Y49" s="318">
        <f>'Reporte Componentes R1'!Q347</f>
        <v>0</v>
      </c>
      <c r="Z49" s="319">
        <f>-L49</f>
        <v>0</v>
      </c>
      <c r="AA49" s="320">
        <f>'Reporte Componentes R1'!R347+'Reporte Componentes R1'!V347+'Reporte Componentes R1'!U347</f>
        <v>0</v>
      </c>
      <c r="AB49" s="294">
        <f>N49</f>
        <v>0</v>
      </c>
      <c r="AC49" s="320">
        <f>'Reporte Componentes R1'!T347+'Reporte Componentes R1'!S347+'Reporte Componentes R1'!W347+'Reporte Componentes R1'!X347+'Reporte Componentes R1'!Y347+'Reporte Componentes R1'!Z347</f>
        <v>0</v>
      </c>
      <c r="AD49" s="291">
        <f t="shared" si="16"/>
        <v>0</v>
      </c>
      <c r="AE49" s="291">
        <f>'Reporte Componentes R1'!F348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R1'!F478</f>
        <v>154832</v>
      </c>
      <c r="E50" s="292">
        <f>'Reporte Componentes R1'!G478</f>
        <v>12477.11</v>
      </c>
      <c r="F50" s="292">
        <f>'Reporte Componentes R1'!H478</f>
        <v>7049.52</v>
      </c>
      <c r="G50" s="292">
        <f>'Reporte Componentes R1'!I478</f>
        <v>3719.42</v>
      </c>
      <c r="H50" s="292">
        <f>'Reporte Componentes R1'!J478</f>
        <v>47751.59</v>
      </c>
      <c r="I50" s="292">
        <f>'Reporte Componentes R1'!K478</f>
        <v>1809.28</v>
      </c>
      <c r="J50" s="288">
        <v>0</v>
      </c>
      <c r="K50" s="295">
        <f t="shared" si="14"/>
        <v>82025.080000000016</v>
      </c>
      <c r="L50" s="294">
        <v>0</v>
      </c>
      <c r="M50" s="295">
        <f>K50-L50</f>
        <v>82025.080000000016</v>
      </c>
      <c r="N50" s="294">
        <f>'Reporte Componentes R1'!L478</f>
        <v>0</v>
      </c>
      <c r="O50" s="295">
        <f t="shared" si="15"/>
        <v>82025.080000000016</v>
      </c>
      <c r="Q50" s="306"/>
      <c r="S50" s="314">
        <v>4</v>
      </c>
      <c r="T50" s="315" t="s">
        <v>13</v>
      </c>
      <c r="U50" s="316">
        <f>'Reporte Componentes R1'!M478</f>
        <v>15870.89</v>
      </c>
      <c r="V50" s="317">
        <f>'Reporte Componentes R1'!N478</f>
        <v>16621.71</v>
      </c>
      <c r="W50" s="317">
        <f>'Reporte Componentes R1'!O478</f>
        <v>83899.79</v>
      </c>
      <c r="X50" s="317">
        <f>'Reporte Componentes R1'!P478</f>
        <v>33222.43</v>
      </c>
      <c r="Y50" s="318">
        <f>'Reporte Componentes R1'!Q478</f>
        <v>2951.97</v>
      </c>
      <c r="Z50" s="319">
        <f>-L50</f>
        <v>0</v>
      </c>
      <c r="AA50" s="320">
        <f>'Reporte Componentes R1'!R478+'Reporte Componentes R1'!V478+'Reporte Componentes R1'!U478</f>
        <v>1.67</v>
      </c>
      <c r="AB50" s="294">
        <f>N50</f>
        <v>0</v>
      </c>
      <c r="AC50" s="320">
        <f>'Reporte Componentes R1'!T478+'Reporte Componentes R1'!S478+'Reporte Componentes R1'!W478+'Reporte Componentes R1'!X478+'Reporte Componentes R1'!Y478+'Reporte Componentes R1'!Z478</f>
        <v>0</v>
      </c>
      <c r="AD50" s="291">
        <f t="shared" si="16"/>
        <v>-70543.38</v>
      </c>
      <c r="AE50" s="291">
        <f>'Reporte Componentes R1'!F479</f>
        <v>-70543.38</v>
      </c>
      <c r="AF50" s="322">
        <f t="shared" si="18"/>
        <v>82025.079999999987</v>
      </c>
      <c r="AG50" s="323">
        <f t="shared" si="19"/>
        <v>-2.9103830456733704E-11</v>
      </c>
      <c r="AH50" s="1" t="b">
        <f t="shared" si="17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R1'!F576</f>
        <v>1249810</v>
      </c>
      <c r="E51" s="297">
        <f>'Reporte Componentes R1'!G576</f>
        <v>89451.49</v>
      </c>
      <c r="F51" s="297">
        <f>'Reporte Componentes R1'!H576</f>
        <v>50203.360000000001</v>
      </c>
      <c r="G51" s="297">
        <f>'Reporte Componentes R1'!I576</f>
        <v>26464.2</v>
      </c>
      <c r="H51" s="297">
        <f>'Reporte Componentes R1'!J576</f>
        <v>371981.73</v>
      </c>
      <c r="I51" s="297">
        <f>'Reporte Componentes R1'!K576</f>
        <v>13370.78</v>
      </c>
      <c r="J51" s="289">
        <v>0</v>
      </c>
      <c r="K51" s="295">
        <f t="shared" si="14"/>
        <v>698338.44</v>
      </c>
      <c r="L51" s="294">
        <v>0</v>
      </c>
      <c r="M51" s="298">
        <f>K51-L51</f>
        <v>698338.44</v>
      </c>
      <c r="N51" s="299">
        <f>'Reporte Componentes R1'!L576</f>
        <v>0</v>
      </c>
      <c r="O51" s="298">
        <f t="shared" si="15"/>
        <v>698338.44</v>
      </c>
      <c r="Q51" s="306"/>
      <c r="S51" s="324">
        <v>5</v>
      </c>
      <c r="T51" s="325" t="s">
        <v>14</v>
      </c>
      <c r="U51" s="296">
        <f>'Reporte Componentes R1'!M576</f>
        <v>117292.3</v>
      </c>
      <c r="V51" s="297">
        <f>'Reporte Componentes R1'!N576</f>
        <v>115277.54</v>
      </c>
      <c r="W51" s="297">
        <f>'Reporte Componentes R1'!O576</f>
        <v>591928.6</v>
      </c>
      <c r="X51" s="297">
        <f>'Reporte Componentes R1'!P576</f>
        <v>268663.03999999998</v>
      </c>
      <c r="Y51" s="289">
        <f>'Reporte Componentes R1'!Q576</f>
        <v>21816.48</v>
      </c>
      <c r="Z51" s="319">
        <f>-L51</f>
        <v>0</v>
      </c>
      <c r="AA51" s="320">
        <f>'Reporte Componentes R1'!R576+'Reporte Componentes R1'!V576+'Reporte Componentes R1'!U576</f>
        <v>57.02</v>
      </c>
      <c r="AB51" s="294">
        <f>N51</f>
        <v>0</v>
      </c>
      <c r="AC51" s="320">
        <f>'Reporte Componentes R1'!T576+'Reporte Componentes R1'!S576+'Reporte Componentes R1'!W576+'Reporte Componentes R1'!X576+'Reporte Componentes R1'!Y576+'Reporte Componentes R1'!Z576</f>
        <v>0</v>
      </c>
      <c r="AD51" s="291">
        <f t="shared" si="16"/>
        <v>-416696.54</v>
      </c>
      <c r="AE51" s="291">
        <f>'Reporte Componentes R1'!F577</f>
        <v>-416696.54</v>
      </c>
      <c r="AF51" s="322">
        <f t="shared" si="18"/>
        <v>698338.44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1429532</v>
      </c>
      <c r="E52" s="290">
        <f t="shared" si="20"/>
        <v>101928.6</v>
      </c>
      <c r="F52" s="290">
        <f t="shared" si="20"/>
        <v>57252.880000000005</v>
      </c>
      <c r="G52" s="290">
        <f t="shared" ref="G52" si="21">SUM(G47:G51)</f>
        <v>30750.71</v>
      </c>
      <c r="H52" s="290">
        <f t="shared" si="20"/>
        <v>424856.25</v>
      </c>
      <c r="I52" s="290">
        <f t="shared" si="20"/>
        <v>15553.51</v>
      </c>
      <c r="J52" s="290">
        <f t="shared" si="20"/>
        <v>0</v>
      </c>
      <c r="K52" s="300">
        <f t="shared" si="20"/>
        <v>799190.04999999993</v>
      </c>
      <c r="L52" s="301">
        <f t="shared" si="20"/>
        <v>0</v>
      </c>
      <c r="M52" s="302">
        <f t="shared" si="20"/>
        <v>799190.04999999993</v>
      </c>
      <c r="N52" s="301">
        <f t="shared" si="20"/>
        <v>0</v>
      </c>
      <c r="O52" s="302">
        <f t="shared" si="20"/>
        <v>799190.04999999993</v>
      </c>
      <c r="P52" s="329"/>
      <c r="Q52" s="306"/>
      <c r="S52" s="327"/>
      <c r="T52" s="328" t="s">
        <v>2</v>
      </c>
      <c r="U52" s="330">
        <f>SUM(U47:U51)</f>
        <v>133163.19</v>
      </c>
      <c r="V52" s="330">
        <f t="shared" ref="V52:AG52" si="22">SUM(V47:V51)</f>
        <v>135075.62</v>
      </c>
      <c r="W52" s="330">
        <f t="shared" si="22"/>
        <v>690869.24</v>
      </c>
      <c r="X52" s="330">
        <f t="shared" si="22"/>
        <v>301885.46999999997</v>
      </c>
      <c r="Y52" s="330">
        <f t="shared" si="22"/>
        <v>25377.759999999998</v>
      </c>
      <c r="Z52" s="290">
        <f t="shared" si="22"/>
        <v>0</v>
      </c>
      <c r="AA52" s="290">
        <f t="shared" si="22"/>
        <v>58.690000000000005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-487239.92</v>
      </c>
      <c r="AE52" s="290">
        <f>SUM(AE47:AE51)</f>
        <v>-487239.92</v>
      </c>
      <c r="AF52" s="331">
        <f t="shared" si="22"/>
        <v>799190.04999999993</v>
      </c>
      <c r="AG52" s="332">
        <f t="shared" si="22"/>
        <v>-2.5465851649641991E-11</v>
      </c>
      <c r="AH52" s="1" t="b">
        <f t="shared" si="17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1286371.28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R4'!D78</f>
        <v>0</v>
      </c>
      <c r="E66" s="292">
        <f>'Reversion Pagos R4'!E78</f>
        <v>0</v>
      </c>
      <c r="F66" s="292">
        <f>'Reversion Pagos R4'!F78</f>
        <v>0</v>
      </c>
      <c r="G66" s="292">
        <f>'Reversion Pagos R4'!G78</f>
        <v>0</v>
      </c>
      <c r="H66" s="292">
        <f>'Reversion Pagos R4'!H78</f>
        <v>0</v>
      </c>
      <c r="I66" s="292">
        <f>'Reversion Pagos R4'!I78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R4'!J78</f>
        <v>0</v>
      </c>
      <c r="V66" s="308">
        <f>'Reversion Pagos R4'!K78</f>
        <v>0</v>
      </c>
      <c r="W66" s="308">
        <f>'Reversion Pagos R4'!L78</f>
        <v>0</v>
      </c>
      <c r="X66" s="308">
        <f>'Reversion Pagos R4'!M78</f>
        <v>0</v>
      </c>
      <c r="Y66" s="308">
        <f>'Reversion Pagos R4'!N78</f>
        <v>0</v>
      </c>
      <c r="Z66" s="310">
        <f>-L66</f>
        <v>0</v>
      </c>
      <c r="AA66" s="320">
        <f>'Reversion Pagos R4'!O78</f>
        <v>0</v>
      </c>
      <c r="AB66" s="294">
        <f>N66</f>
        <v>0</v>
      </c>
      <c r="AC66" s="320">
        <f>+'Reversion Pagos R4'!Q78+'Reversion Pagos R4'!R78</f>
        <v>0</v>
      </c>
      <c r="AD66" s="291">
        <f>-J66+AE66</f>
        <v>0</v>
      </c>
      <c r="AE66" s="291">
        <f>'Reversion Pagos R4'!D79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R4'!D173</f>
        <v>-24890</v>
      </c>
      <c r="E67" s="292">
        <f>'Reversion Pagos R4'!E173</f>
        <v>-2786.76</v>
      </c>
      <c r="F67" s="292">
        <f>'Reversion Pagos R4'!F173</f>
        <v>-1572.89</v>
      </c>
      <c r="G67" s="292">
        <f>'Reversion Pagos R4'!G173</f>
        <v>-825.67</v>
      </c>
      <c r="H67" s="292">
        <f>'Reversion Pagos R4'!H173</f>
        <v>-16704.509999999998</v>
      </c>
      <c r="I67" s="292">
        <f>'Reversion Pagos R4'!I173</f>
        <v>-517.83000000000004</v>
      </c>
      <c r="J67" s="288">
        <v>0</v>
      </c>
      <c r="K67" s="295">
        <f t="shared" ref="K67:K70" si="24">D67-E67-F67-G67-H67-I67-J67</f>
        <v>-2482.340000000002</v>
      </c>
      <c r="L67" s="294">
        <v>0</v>
      </c>
      <c r="M67" s="295">
        <f>K67-L67</f>
        <v>-2482.340000000002</v>
      </c>
      <c r="N67" s="294">
        <f>'Reversion Pagos R4'!P173</f>
        <v>0</v>
      </c>
      <c r="O67" s="295">
        <f t="shared" ref="O67:O70" si="25">M67+N67</f>
        <v>-2482.340000000002</v>
      </c>
      <c r="Q67" s="306"/>
      <c r="S67" s="314">
        <v>2</v>
      </c>
      <c r="T67" s="315" t="s">
        <v>11</v>
      </c>
      <c r="U67" s="316">
        <f>'Reversion Pagos R4'!J173</f>
        <v>-4542.3599999999997</v>
      </c>
      <c r="V67" s="317">
        <f>'Reversion Pagos R4'!K173</f>
        <v>-4466.58</v>
      </c>
      <c r="W67" s="317">
        <f>'Reversion Pagos R4'!L173</f>
        <v>-20264.84</v>
      </c>
      <c r="X67" s="317">
        <f>'Reversion Pagos R4'!M173</f>
        <v>-5532.6</v>
      </c>
      <c r="Y67" s="318">
        <f>'Reversion Pagos R4'!N173</f>
        <v>-844.88</v>
      </c>
      <c r="Z67" s="319">
        <f t="shared" ref="Z67:Z70" si="26">-L67</f>
        <v>0</v>
      </c>
      <c r="AA67" s="320">
        <f>'Reversion Pagos R4'!O173</f>
        <v>-4.38</v>
      </c>
      <c r="AB67" s="294">
        <f t="shared" ref="AB67:AB70" si="27">N67</f>
        <v>0</v>
      </c>
      <c r="AC67" s="320">
        <f>+'Reversion Pagos R4'!Q173+'Reversion Pagos R4'!R173</f>
        <v>0</v>
      </c>
      <c r="AD67" s="291">
        <f t="shared" ref="AD67:AD70" si="28">-J67+AE67</f>
        <v>33173.300000000003</v>
      </c>
      <c r="AE67" s="291">
        <f>'Reversion Pagos R4'!D174</f>
        <v>33173.300000000003</v>
      </c>
      <c r="AF67" s="322">
        <f>SUM(U67:AD67)</f>
        <v>-2482.3399999999892</v>
      </c>
      <c r="AG67" s="323">
        <f>(AF67-O67)</f>
        <v>1.2732925824820995E-11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R4'!D204</f>
        <v>0</v>
      </c>
      <c r="E68" s="292">
        <f>'Reversion Pagos R4'!E204</f>
        <v>0</v>
      </c>
      <c r="F68" s="292">
        <f>'Reversion Pagos R4'!F204</f>
        <v>0</v>
      </c>
      <c r="G68" s="292">
        <f>'Reversion Pagos R4'!G204</f>
        <v>0</v>
      </c>
      <c r="H68" s="292">
        <f>'Reversion Pagos R4'!H204</f>
        <v>0</v>
      </c>
      <c r="I68" s="292">
        <f>'Reversion Pagos R4'!I204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R4'!P204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R4'!J204</f>
        <v>0</v>
      </c>
      <c r="V68" s="317">
        <f>'Reversion Pagos R4'!K204</f>
        <v>0</v>
      </c>
      <c r="W68" s="317">
        <f>'Reversion Pagos R4'!L204</f>
        <v>0</v>
      </c>
      <c r="X68" s="317">
        <f>'Reversion Pagos R4'!M204</f>
        <v>0</v>
      </c>
      <c r="Y68" s="318">
        <f>'Reversion Pagos R4'!N204</f>
        <v>0</v>
      </c>
      <c r="Z68" s="319">
        <f t="shared" si="26"/>
        <v>0</v>
      </c>
      <c r="AA68" s="320">
        <f>'Reversion Pagos R4'!O204</f>
        <v>0</v>
      </c>
      <c r="AB68" s="294">
        <f t="shared" si="27"/>
        <v>0</v>
      </c>
      <c r="AC68" s="320">
        <f>+'Reversion Pagos R4'!Q204+'Reversion Pagos R4'!R204</f>
        <v>0</v>
      </c>
      <c r="AD68" s="291">
        <f t="shared" si="28"/>
        <v>0</v>
      </c>
      <c r="AE68" s="291">
        <f>'Reversion Pagos R4'!D205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R4'!D318</f>
        <v>-474944</v>
      </c>
      <c r="E69" s="292">
        <f>'Reversion Pagos R4'!E318</f>
        <v>-39715.51</v>
      </c>
      <c r="F69" s="292">
        <f>'Reversion Pagos R4'!F318</f>
        <v>-22469.48</v>
      </c>
      <c r="G69" s="292">
        <f>'Reversion Pagos R4'!G318</f>
        <v>-11974.92</v>
      </c>
      <c r="H69" s="292">
        <f>'Reversion Pagos R4'!H318</f>
        <v>-209441.11</v>
      </c>
      <c r="I69" s="292">
        <f>'Reversion Pagos R4'!I318</f>
        <v>-7713.34</v>
      </c>
      <c r="J69" s="288">
        <v>0</v>
      </c>
      <c r="K69" s="295">
        <f t="shared" si="24"/>
        <v>-183629.64000000004</v>
      </c>
      <c r="L69" s="294">
        <v>0</v>
      </c>
      <c r="M69" s="295">
        <f>K69-L69</f>
        <v>-183629.64000000004</v>
      </c>
      <c r="N69" s="294">
        <f>'Reversion Pagos R4'!P318</f>
        <v>0</v>
      </c>
      <c r="O69" s="295">
        <f t="shared" si="25"/>
        <v>-183629.64000000004</v>
      </c>
      <c r="Q69" s="306"/>
      <c r="S69" s="314">
        <v>4</v>
      </c>
      <c r="T69" s="315" t="s">
        <v>13</v>
      </c>
      <c r="U69" s="316">
        <f>'Reversion Pagos R4'!J318</f>
        <v>-64306.22</v>
      </c>
      <c r="V69" s="317">
        <f>'Reversion Pagos R4'!K318</f>
        <v>-62901.08</v>
      </c>
      <c r="W69" s="317">
        <f>'Reversion Pagos R4'!L318</f>
        <v>-325046.78999999998</v>
      </c>
      <c r="X69" s="317">
        <f>'Reversion Pagos R4'!M318</f>
        <v>-106961.73</v>
      </c>
      <c r="Y69" s="318">
        <f>'Reversion Pagos R4'!N318</f>
        <v>-11960.9</v>
      </c>
      <c r="Z69" s="319">
        <f t="shared" si="26"/>
        <v>0</v>
      </c>
      <c r="AA69" s="320">
        <f>'Reversion Pagos R4'!O318</f>
        <v>10.62</v>
      </c>
      <c r="AB69" s="294">
        <f t="shared" si="27"/>
        <v>0</v>
      </c>
      <c r="AC69" s="320">
        <f>+'Reversion Pagos R4'!Q318+'Reversion Pagos R4'!R318</f>
        <v>0</v>
      </c>
      <c r="AD69" s="291">
        <f t="shared" si="28"/>
        <v>387536.46</v>
      </c>
      <c r="AE69" s="291">
        <f>'Reversion Pagos R4'!D319</f>
        <v>387536.46</v>
      </c>
      <c r="AF69" s="322">
        <f>SUM(U69:AD69)</f>
        <v>-183629.63999999996</v>
      </c>
      <c r="AG69" s="323">
        <f>(AF69-O69)</f>
        <v>8.7311491370201111E-11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R4'!D353</f>
        <v>-2556821.65</v>
      </c>
      <c r="E70" s="297">
        <f>'Reversion Pagos R4'!E353</f>
        <v>-180140.81</v>
      </c>
      <c r="F70" s="297">
        <f>'Reversion Pagos R4'!F353</f>
        <v>-83191.600000000006</v>
      </c>
      <c r="G70" s="297">
        <f>'Reversion Pagos R4'!G353</f>
        <v>-45510.76</v>
      </c>
      <c r="H70" s="297">
        <f>'Reversion Pagos R4'!H353</f>
        <v>-675156.39</v>
      </c>
      <c r="I70" s="297">
        <f>'Reversion Pagos R4'!I353</f>
        <v>-17787.009999999998</v>
      </c>
      <c r="J70" s="289">
        <v>0</v>
      </c>
      <c r="K70" s="295">
        <f t="shared" si="24"/>
        <v>-1555035.0799999998</v>
      </c>
      <c r="L70" s="294">
        <v>0</v>
      </c>
      <c r="M70" s="298">
        <f>K70-L70</f>
        <v>-1555035.0799999998</v>
      </c>
      <c r="N70" s="294">
        <f>'Reversion Pagos R4'!P353</f>
        <v>0</v>
      </c>
      <c r="O70" s="298">
        <f t="shared" si="25"/>
        <v>-1555035.0799999998</v>
      </c>
      <c r="Q70" s="306"/>
      <c r="S70" s="324">
        <v>5</v>
      </c>
      <c r="T70" s="325" t="s">
        <v>14</v>
      </c>
      <c r="U70" s="296">
        <f>'Reversion Pagos R4'!J353</f>
        <v>-156022.82</v>
      </c>
      <c r="V70" s="297">
        <f>'Reversion Pagos R4'!K353</f>
        <v>-193662.25</v>
      </c>
      <c r="W70" s="297">
        <f>'Reversion Pagos R4'!L353</f>
        <v>-951196.66</v>
      </c>
      <c r="X70" s="297">
        <f>'Reversion Pagos R4'!M353</f>
        <v>-538374.67000000004</v>
      </c>
      <c r="Y70" s="289">
        <f>'Reversion Pagos R4'!N353</f>
        <v>-29020.14</v>
      </c>
      <c r="Z70" s="319">
        <f t="shared" si="26"/>
        <v>0</v>
      </c>
      <c r="AA70" s="320">
        <f>'Reversion Pagos R4'!O353</f>
        <v>-29.11</v>
      </c>
      <c r="AB70" s="294">
        <f t="shared" si="27"/>
        <v>0</v>
      </c>
      <c r="AC70" s="320">
        <f>+'Reversion Pagos R4'!Q353+'Reversion Pagos R4'!R353</f>
        <v>0</v>
      </c>
      <c r="AD70" s="291">
        <f t="shared" si="28"/>
        <v>313270.57</v>
      </c>
      <c r="AE70" s="291">
        <f>'Reversion Pagos R4'!D354</f>
        <v>313270.57</v>
      </c>
      <c r="AF70" s="322">
        <f t="shared" si="30"/>
        <v>-1555035.0799999998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-3056655.65</v>
      </c>
      <c r="E71" s="290">
        <f t="shared" si="32"/>
        <v>-222643.08000000002</v>
      </c>
      <c r="F71" s="290">
        <f t="shared" si="32"/>
        <v>-107233.97</v>
      </c>
      <c r="G71" s="290">
        <f t="shared" si="32"/>
        <v>-58311.350000000006</v>
      </c>
      <c r="H71" s="290">
        <f t="shared" si="32"/>
        <v>-901302.01</v>
      </c>
      <c r="I71" s="290">
        <f t="shared" si="32"/>
        <v>-26018.18</v>
      </c>
      <c r="J71" s="290">
        <f t="shared" si="32"/>
        <v>0</v>
      </c>
      <c r="K71" s="300">
        <f t="shared" si="32"/>
        <v>-1741147.0599999998</v>
      </c>
      <c r="L71" s="301">
        <f t="shared" si="32"/>
        <v>0</v>
      </c>
      <c r="M71" s="302">
        <f t="shared" si="32"/>
        <v>-1741147.0599999998</v>
      </c>
      <c r="N71" s="301">
        <f t="shared" si="32"/>
        <v>0</v>
      </c>
      <c r="O71" s="302">
        <f t="shared" si="32"/>
        <v>-1741147.0599999998</v>
      </c>
      <c r="P71" s="329"/>
      <c r="Q71" s="306"/>
      <c r="S71" s="327"/>
      <c r="T71" s="328" t="s">
        <v>2</v>
      </c>
      <c r="U71" s="330">
        <f>SUM(U66:U70)</f>
        <v>-224871.40000000002</v>
      </c>
      <c r="V71" s="330">
        <f t="shared" ref="V71:AG71" si="33">SUM(V66:V70)</f>
        <v>-261029.91</v>
      </c>
      <c r="W71" s="330">
        <f t="shared" si="33"/>
        <v>-1296508.29</v>
      </c>
      <c r="X71" s="330">
        <f t="shared" si="33"/>
        <v>-650869</v>
      </c>
      <c r="Y71" s="330">
        <f t="shared" si="33"/>
        <v>-41825.919999999998</v>
      </c>
      <c r="Z71" s="290">
        <f t="shared" si="33"/>
        <v>0</v>
      </c>
      <c r="AA71" s="290">
        <f>SUM(AA66:AA70)</f>
        <v>-22.87</v>
      </c>
      <c r="AB71" s="290">
        <f t="shared" si="33"/>
        <v>0</v>
      </c>
      <c r="AC71" s="290">
        <f t="shared" si="33"/>
        <v>0</v>
      </c>
      <c r="AD71" s="290">
        <f>SUM(AD66:AD70)</f>
        <v>733980.33000000007</v>
      </c>
      <c r="AE71" s="290">
        <f>SUM(AE66:AE70)</f>
        <v>733980.33000000007</v>
      </c>
      <c r="AF71" s="331">
        <f t="shared" si="33"/>
        <v>-1741147.0599999998</v>
      </c>
      <c r="AG71" s="332">
        <f t="shared" si="33"/>
        <v>1.0004441719502211E-10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-2475104.52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46267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897352703.82000005</v>
      </c>
      <c r="E104" s="292">
        <f t="shared" si="40"/>
        <v>101388584.10000001</v>
      </c>
      <c r="F104" s="292">
        <f t="shared" si="40"/>
        <v>57256746.789999999</v>
      </c>
      <c r="G104" s="292">
        <f t="shared" si="40"/>
        <v>30071781.32</v>
      </c>
      <c r="H104" s="292">
        <f t="shared" si="40"/>
        <v>67802485.180000007</v>
      </c>
      <c r="I104" s="292">
        <f t="shared" si="40"/>
        <v>2165489.42</v>
      </c>
      <c r="J104" s="288">
        <f t="shared" si="40"/>
        <v>0</v>
      </c>
      <c r="K104" s="293">
        <f>D104-E104-F104-G104-H104-I104-J104</f>
        <v>638667617.01000011</v>
      </c>
      <c r="L104" s="294">
        <f>L9+L28+L47+L66+L85</f>
        <v>0</v>
      </c>
      <c r="M104" s="293">
        <f>K104-L104</f>
        <v>638667617.01000011</v>
      </c>
      <c r="N104" s="294">
        <f>N9+N28+N47+N66+N85</f>
        <v>20999130.030000001</v>
      </c>
      <c r="O104" s="293">
        <f>M104+N104</f>
        <v>659666747.04000008</v>
      </c>
      <c r="Q104" s="306"/>
      <c r="S104" s="303">
        <v>1</v>
      </c>
      <c r="T104" s="304" t="s">
        <v>10</v>
      </c>
      <c r="U104" s="307">
        <f t="shared" ref="U104:AB108" si="41">U9+U28+U47+U66+U85</f>
        <v>19013958.32</v>
      </c>
      <c r="V104" s="308">
        <f t="shared" si="41"/>
        <v>23004446.189999998</v>
      </c>
      <c r="W104" s="308">
        <f t="shared" si="41"/>
        <v>108354214.09999999</v>
      </c>
      <c r="X104" s="308">
        <f t="shared" si="41"/>
        <v>275453700.04999995</v>
      </c>
      <c r="Y104" s="309">
        <f t="shared" si="41"/>
        <v>3533839.54</v>
      </c>
      <c r="Z104" s="310">
        <f t="shared" si="41"/>
        <v>0</v>
      </c>
      <c r="AA104" s="311">
        <f t="shared" si="41"/>
        <v>69040.100000000006</v>
      </c>
      <c r="AB104" s="294">
        <f t="shared" si="41"/>
        <v>20999130.030000001</v>
      </c>
      <c r="AC104" s="312">
        <f t="shared" ref="AC104" si="42">AC9+AC28+AC47+AC66+AC85</f>
        <v>-106.74000000000001</v>
      </c>
      <c r="AD104" s="291">
        <f>-J104+AE104</f>
        <v>209238525.44999999</v>
      </c>
      <c r="AE104" s="291">
        <f>AE9+AE28+AE47+AE66+AE85</f>
        <v>209238525.44999999</v>
      </c>
      <c r="AF104" s="313">
        <f>SUM(U104:AD104)</f>
        <v>659666747.03999996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2314343263.2599993</v>
      </c>
      <c r="E105" s="292">
        <f t="shared" si="40"/>
        <v>284513646.58000004</v>
      </c>
      <c r="F105" s="292">
        <f t="shared" si="40"/>
        <v>159537748.55000001</v>
      </c>
      <c r="G105" s="292">
        <f t="shared" si="40"/>
        <v>84030961.790000007</v>
      </c>
      <c r="H105" s="292">
        <f t="shared" si="40"/>
        <v>360679486.30000001</v>
      </c>
      <c r="I105" s="292">
        <f t="shared" si="40"/>
        <v>9435445.1699999999</v>
      </c>
      <c r="J105" s="288">
        <f t="shared" si="40"/>
        <v>0</v>
      </c>
      <c r="K105" s="295">
        <f t="shared" ref="K105:K108" si="43">D105-E105-F105-G105-H105-I105-J105</f>
        <v>1416145974.8699994</v>
      </c>
      <c r="L105" s="294">
        <f>L10+L29+L48+L67+L86</f>
        <v>0</v>
      </c>
      <c r="M105" s="295">
        <f>K105-L105</f>
        <v>1416145974.8699994</v>
      </c>
      <c r="N105" s="294">
        <f>N10+N29+N48+N67+N86</f>
        <v>43242361.049999997</v>
      </c>
      <c r="O105" s="295">
        <f t="shared" ref="O105:O108" si="44">M105+N105</f>
        <v>1459388335.9199994</v>
      </c>
      <c r="Q105" s="306"/>
      <c r="S105" s="314">
        <v>2</v>
      </c>
      <c r="T105" s="315" t="s">
        <v>11</v>
      </c>
      <c r="U105" s="316">
        <f t="shared" si="41"/>
        <v>82809049.709999993</v>
      </c>
      <c r="V105" s="317">
        <f t="shared" si="41"/>
        <v>114120715.40000002</v>
      </c>
      <c r="W105" s="317">
        <f t="shared" si="41"/>
        <v>540804577.97000003</v>
      </c>
      <c r="X105" s="317">
        <f t="shared" si="41"/>
        <v>553695688.25</v>
      </c>
      <c r="Y105" s="318">
        <f t="shared" si="41"/>
        <v>15308028.979999999</v>
      </c>
      <c r="Z105" s="319">
        <f t="shared" si="41"/>
        <v>0</v>
      </c>
      <c r="AA105" s="320">
        <f t="shared" si="41"/>
        <v>-1700.6000000000001</v>
      </c>
      <c r="AB105" s="294">
        <f t="shared" si="41"/>
        <v>43242361.049999997</v>
      </c>
      <c r="AC105" s="321">
        <f t="shared" ref="AC105" si="45">AC10+AC29+AC48+AC67+AC86</f>
        <v>11.29</v>
      </c>
      <c r="AD105" s="291">
        <f t="shared" ref="AD105:AD107" si="46">-J105+AE105</f>
        <v>109409603.86999999</v>
      </c>
      <c r="AE105" s="291">
        <f>AE10+AE29+AE48+AE67+AE86</f>
        <v>109409603.86999999</v>
      </c>
      <c r="AF105" s="322">
        <f>SUM(U105:AD105)</f>
        <v>1459388335.9199998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1252145336.3500001</v>
      </c>
      <c r="E106" s="292">
        <f t="shared" si="40"/>
        <v>167540835.97999999</v>
      </c>
      <c r="F106" s="292">
        <f t="shared" si="40"/>
        <v>94404536.5</v>
      </c>
      <c r="G106" s="292">
        <f t="shared" si="40"/>
        <v>49546488.960000001</v>
      </c>
      <c r="H106" s="292">
        <f t="shared" si="40"/>
        <v>60071610.93</v>
      </c>
      <c r="I106" s="292">
        <f t="shared" si="40"/>
        <v>1636284.1300000001</v>
      </c>
      <c r="J106" s="288">
        <f t="shared" si="40"/>
        <v>0</v>
      </c>
      <c r="K106" s="295">
        <f t="shared" si="43"/>
        <v>878945579.85000014</v>
      </c>
      <c r="L106" s="294">
        <f>L11+L30+L49+L68+L87</f>
        <v>0</v>
      </c>
      <c r="M106" s="295">
        <f>K106-L106</f>
        <v>878945579.85000014</v>
      </c>
      <c r="N106" s="294">
        <f>N11+N30+N49+N68+N87</f>
        <v>17158188.23</v>
      </c>
      <c r="O106" s="295">
        <f t="shared" si="44"/>
        <v>896103768.08000016</v>
      </c>
      <c r="Q106" s="306"/>
      <c r="S106" s="314">
        <v>3</v>
      </c>
      <c r="T106" s="315" t="s">
        <v>12</v>
      </c>
      <c r="U106" s="316">
        <f t="shared" si="41"/>
        <v>14364938.68</v>
      </c>
      <c r="V106" s="317">
        <f t="shared" si="41"/>
        <v>19642401.399999999</v>
      </c>
      <c r="W106" s="317">
        <f t="shared" si="41"/>
        <v>90712276.270000011</v>
      </c>
      <c r="X106" s="317">
        <f t="shared" si="41"/>
        <v>394208586.99000001</v>
      </c>
      <c r="Y106" s="318">
        <f t="shared" si="41"/>
        <v>2662802.94</v>
      </c>
      <c r="Z106" s="319">
        <f t="shared" si="41"/>
        <v>0</v>
      </c>
      <c r="AA106" s="320">
        <f t="shared" si="41"/>
        <v>-1021.85</v>
      </c>
      <c r="AB106" s="294">
        <f t="shared" si="41"/>
        <v>17158188.23</v>
      </c>
      <c r="AC106" s="321">
        <f t="shared" ref="AC106" si="48">AC11+AC30+AC49+AC68+AC87</f>
        <v>-3973599.77</v>
      </c>
      <c r="AD106" s="291">
        <f t="shared" si="46"/>
        <v>361329195.19</v>
      </c>
      <c r="AE106" s="291">
        <f>AE11+AE30+AE49+AE68+AE87</f>
        <v>361329195.19</v>
      </c>
      <c r="AF106" s="322">
        <f>SUM(U106:AD106)</f>
        <v>896103768.07999992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951901181.30999994</v>
      </c>
      <c r="E107" s="292">
        <f t="shared" si="40"/>
        <v>95275359.089999989</v>
      </c>
      <c r="F107" s="292">
        <f t="shared" si="40"/>
        <v>53380374.870000005</v>
      </c>
      <c r="G107" s="292">
        <f t="shared" si="40"/>
        <v>28359225.190000001</v>
      </c>
      <c r="H107" s="292">
        <f t="shared" si="40"/>
        <v>128684747.92</v>
      </c>
      <c r="I107" s="292">
        <f t="shared" si="40"/>
        <v>3542115.08</v>
      </c>
      <c r="J107" s="288">
        <f t="shared" si="40"/>
        <v>0</v>
      </c>
      <c r="K107" s="295">
        <f t="shared" si="43"/>
        <v>642659359.15999985</v>
      </c>
      <c r="L107" s="294">
        <f>L12+L31+L50+L69+L88</f>
        <v>0</v>
      </c>
      <c r="M107" s="295">
        <f>K107-L107</f>
        <v>642659359.15999985</v>
      </c>
      <c r="N107" s="294">
        <f>N12+N31+N50+N69+N88</f>
        <v>3540114.13</v>
      </c>
      <c r="O107" s="295">
        <f t="shared" si="44"/>
        <v>646199473.28999984</v>
      </c>
      <c r="Q107" s="306"/>
      <c r="S107" s="314">
        <v>4</v>
      </c>
      <c r="T107" s="315" t="s">
        <v>13</v>
      </c>
      <c r="U107" s="316">
        <f t="shared" si="41"/>
        <v>31180101.730000004</v>
      </c>
      <c r="V107" s="317">
        <f t="shared" si="41"/>
        <v>42319945.500000007</v>
      </c>
      <c r="W107" s="317">
        <f t="shared" si="41"/>
        <v>207961435.76999998</v>
      </c>
      <c r="X107" s="317">
        <f t="shared" si="41"/>
        <v>254047208.27000001</v>
      </c>
      <c r="Y107" s="318">
        <f t="shared" si="41"/>
        <v>5742681.7899999991</v>
      </c>
      <c r="Z107" s="319">
        <f t="shared" si="41"/>
        <v>0</v>
      </c>
      <c r="AA107" s="320">
        <f t="shared" si="41"/>
        <v>1475.65</v>
      </c>
      <c r="AB107" s="294">
        <f t="shared" si="41"/>
        <v>3540114.13</v>
      </c>
      <c r="AC107" s="321">
        <f t="shared" ref="AC107" si="49">AC12+AC31+AC50+AC69+AC88</f>
        <v>-184.98</v>
      </c>
      <c r="AD107" s="291">
        <f t="shared" si="46"/>
        <v>101406695.43000001</v>
      </c>
      <c r="AE107" s="291">
        <f>AE12+AE31+AE50+AE69+AE88</f>
        <v>101406695.43000001</v>
      </c>
      <c r="AF107" s="322">
        <f>SUM(U107:AD107)</f>
        <v>646199473.28999996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338797524.74000001</v>
      </c>
      <c r="E108" s="297">
        <f t="shared" si="40"/>
        <v>33827827.740000002</v>
      </c>
      <c r="F108" s="297">
        <f t="shared" si="40"/>
        <v>18348303.569999997</v>
      </c>
      <c r="G108" s="297">
        <f t="shared" si="40"/>
        <v>9713581.0499999989</v>
      </c>
      <c r="H108" s="297">
        <f t="shared" si="40"/>
        <v>22436012.280000001</v>
      </c>
      <c r="I108" s="297">
        <f t="shared" si="40"/>
        <v>937052.78</v>
      </c>
      <c r="J108" s="289">
        <f t="shared" si="40"/>
        <v>0</v>
      </c>
      <c r="K108" s="295">
        <f t="shared" si="43"/>
        <v>253534747.31999999</v>
      </c>
      <c r="L108" s="294">
        <f>L13+L32+L51+L70+L89</f>
        <v>0</v>
      </c>
      <c r="M108" s="298">
        <f>K108-L108</f>
        <v>253534747.31999999</v>
      </c>
      <c r="N108" s="299">
        <f>N13+N32+N51+N70+N89</f>
        <v>2235787.1</v>
      </c>
      <c r="O108" s="298">
        <f t="shared" si="44"/>
        <v>255770534.41999999</v>
      </c>
      <c r="Q108" s="306"/>
      <c r="S108" s="324">
        <v>5</v>
      </c>
      <c r="T108" s="325" t="s">
        <v>14</v>
      </c>
      <c r="U108" s="296">
        <f t="shared" si="41"/>
        <v>8218100.919999999</v>
      </c>
      <c r="V108" s="297">
        <f t="shared" si="41"/>
        <v>10052536.259999998</v>
      </c>
      <c r="W108" s="297">
        <f t="shared" si="41"/>
        <v>52664339.800000004</v>
      </c>
      <c r="X108" s="297">
        <f t="shared" si="41"/>
        <v>101753390.91000001</v>
      </c>
      <c r="Y108" s="289">
        <f t="shared" si="41"/>
        <v>1552283.28</v>
      </c>
      <c r="Z108" s="319">
        <f t="shared" si="41"/>
        <v>0</v>
      </c>
      <c r="AA108" s="320">
        <f t="shared" si="41"/>
        <v>-2857.09</v>
      </c>
      <c r="AB108" s="294">
        <f t="shared" si="41"/>
        <v>2235787.1</v>
      </c>
      <c r="AC108" s="321">
        <f t="shared" ref="AC108" si="50">AC13+AC32+AC51+AC70+AC89</f>
        <v>-35.129999999999995</v>
      </c>
      <c r="AD108" s="291">
        <f>-J108+AE108</f>
        <v>79296988.36999999</v>
      </c>
      <c r="AE108" s="291">
        <f>AE13+AE32+AE51+AE70+AE89</f>
        <v>79296988.36999999</v>
      </c>
      <c r="AF108" s="322">
        <f>SUM(U108:AD108)</f>
        <v>255770534.42000002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5754540009.4799995</v>
      </c>
      <c r="E109" s="290">
        <f t="shared" ref="E109:O109" si="51">SUM(E104:E108)</f>
        <v>682546253.49000013</v>
      </c>
      <c r="F109" s="290">
        <f t="shared" si="51"/>
        <v>382927710.28000003</v>
      </c>
      <c r="G109" s="290">
        <f t="shared" si="51"/>
        <v>201722038.31000003</v>
      </c>
      <c r="H109" s="290">
        <f t="shared" si="51"/>
        <v>639674342.61000001</v>
      </c>
      <c r="I109" s="290">
        <f t="shared" si="51"/>
        <v>17716386.580000002</v>
      </c>
      <c r="J109" s="290">
        <f t="shared" si="51"/>
        <v>0</v>
      </c>
      <c r="K109" s="300">
        <f t="shared" si="51"/>
        <v>3829953278.2099996</v>
      </c>
      <c r="L109" s="301">
        <f t="shared" si="51"/>
        <v>0</v>
      </c>
      <c r="M109" s="302">
        <f t="shared" si="51"/>
        <v>3829953278.2099996</v>
      </c>
      <c r="N109" s="301">
        <f>SUM(N104:N108)</f>
        <v>87175580.539999992</v>
      </c>
      <c r="O109" s="302">
        <f t="shared" si="51"/>
        <v>3917128858.75</v>
      </c>
      <c r="P109" s="329"/>
      <c r="Q109" s="306"/>
      <c r="S109" s="327"/>
      <c r="T109" s="328" t="s">
        <v>2</v>
      </c>
      <c r="U109" s="330">
        <f>SUM(U104:U108)</f>
        <v>155586149.35999998</v>
      </c>
      <c r="V109" s="330">
        <f t="shared" ref="V109:AF109" si="52">SUM(V104:V108)</f>
        <v>209140044.75000003</v>
      </c>
      <c r="W109" s="330">
        <f t="shared" si="52"/>
        <v>1000496843.91</v>
      </c>
      <c r="X109" s="330">
        <f t="shared" si="52"/>
        <v>1579158574.47</v>
      </c>
      <c r="Y109" s="330">
        <f t="shared" si="52"/>
        <v>28799636.530000001</v>
      </c>
      <c r="Z109" s="290">
        <f t="shared" si="52"/>
        <v>0</v>
      </c>
      <c r="AA109" s="290">
        <f t="shared" si="52"/>
        <v>64936.209999999992</v>
      </c>
      <c r="AB109" s="470">
        <f t="shared" si="52"/>
        <v>87175580.539999992</v>
      </c>
      <c r="AC109" s="290">
        <f t="shared" ref="AC109" si="53">SUM(AC104:AC108)</f>
        <v>-3973915.33</v>
      </c>
      <c r="AD109" s="290">
        <f t="shared" si="52"/>
        <v>860681008.31000006</v>
      </c>
      <c r="AE109" s="290">
        <f>SUM(AE104:AE108)</f>
        <v>860681008.31000006</v>
      </c>
      <c r="AF109" s="331">
        <f t="shared" si="52"/>
        <v>3917128858.75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2973181249.02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20016520.48</v>
      </c>
      <c r="E125" s="309">
        <v>0</v>
      </c>
      <c r="G125" s="336">
        <f>D47+N47</f>
        <v>0</v>
      </c>
      <c r="H125" s="310">
        <f>D28+N28</f>
        <v>27783436.330000002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126283371</v>
      </c>
      <c r="E126" s="288">
        <v>0</v>
      </c>
      <c r="G126" s="339">
        <f>D48+N48</f>
        <v>24890</v>
      </c>
      <c r="H126" s="340">
        <f>D29+N29</f>
        <v>97062829.309999987</v>
      </c>
      <c r="I126" s="288">
        <f>D86+N86</f>
        <v>0</v>
      </c>
      <c r="J126" s="288">
        <f t="shared" ref="J126:J129" si="54">D67+N67</f>
        <v>-24890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10719555.23</v>
      </c>
      <c r="E127" s="288">
        <v>0</v>
      </c>
      <c r="G127" s="339">
        <f>D49+N49</f>
        <v>0</v>
      </c>
      <c r="H127" s="340">
        <f>D30+N30</f>
        <v>11104451.809999999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57223143.460000001</v>
      </c>
      <c r="E128" s="288">
        <v>0</v>
      </c>
      <c r="G128" s="339">
        <f>D50+N50</f>
        <v>154832</v>
      </c>
      <c r="H128" s="340">
        <f>D31+N31</f>
        <v>35008623.899999999</v>
      </c>
      <c r="I128" s="288">
        <f>D88+N88</f>
        <v>0</v>
      </c>
      <c r="J128" s="288">
        <f t="shared" si="54"/>
        <v>-474944</v>
      </c>
      <c r="K128" s="288">
        <f>'ANTICIPOS USUARIOS'!O15</f>
        <v>320112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11551639</v>
      </c>
      <c r="E129" s="344">
        <v>0</v>
      </c>
      <c r="G129" s="339">
        <f>D51+N51</f>
        <v>1249810</v>
      </c>
      <c r="H129" s="340">
        <f>D32+N32</f>
        <v>12681387.489999998</v>
      </c>
      <c r="I129" s="288">
        <f>D89+N89</f>
        <v>0</v>
      </c>
      <c r="J129" s="288">
        <f t="shared" si="54"/>
        <v>-2556821.65</v>
      </c>
      <c r="K129" s="288">
        <f>'ANTICIPOS USUARIOS'!O16</f>
        <v>2298610</v>
      </c>
      <c r="L129" s="288">
        <f>-'ANTICIPOS USUARIOS'!O25</f>
        <v>1057608.3500000001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225794229.16999999</v>
      </c>
      <c r="E131" s="350">
        <f>SUM(E125:E130)</f>
        <v>0</v>
      </c>
      <c r="F131" s="351"/>
      <c r="G131" s="350">
        <f t="shared" ref="G131" si="55">SUM(G125:G129)</f>
        <v>1429532</v>
      </c>
      <c r="H131" s="350">
        <f>SUM(H125:H130)</f>
        <v>183640728.84</v>
      </c>
      <c r="I131" s="350">
        <f>SUM(I125:I130)</f>
        <v>0</v>
      </c>
      <c r="J131" s="350">
        <f>SUM(J125:J130)</f>
        <v>-3056655.65</v>
      </c>
      <c r="K131" s="350">
        <f>SUM(K125:K130)</f>
        <v>2618722</v>
      </c>
      <c r="L131" s="350">
        <f>SUM(L125:L130)</f>
        <v>1057608.3500000001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938368354.33000004</v>
      </c>
      <c r="E142" s="110">
        <f>'Recaudo Directa Occidente'!F21</f>
        <v>910584918</v>
      </c>
      <c r="F142" s="110">
        <f>D28+N28</f>
        <v>27783436.330000002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27783436.330000002</v>
      </c>
      <c r="L142" s="525">
        <f>D142-E142-F142-G142-J142-H142-I142</f>
        <v>4.0978193283081055E-8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2483868995.3099995</v>
      </c>
      <c r="E143" s="18">
        <f>'Recaudo Directa Occidente'!F22</f>
        <v>2386806166</v>
      </c>
      <c r="F143" s="18">
        <f>D29+N29</f>
        <v>97062829.309999987</v>
      </c>
      <c r="G143" s="18">
        <f>D67+N67</f>
        <v>-24890</v>
      </c>
      <c r="H143" s="18">
        <f>D86+N86</f>
        <v>0</v>
      </c>
      <c r="I143" s="18">
        <f>('REPORTE RECAUDO x BANCO'!E76)</f>
        <v>0</v>
      </c>
      <c r="J143" s="18">
        <f t="shared" si="56"/>
        <v>24890</v>
      </c>
      <c r="K143" s="83">
        <f t="shared" si="56"/>
        <v>97062829.309999987</v>
      </c>
      <c r="L143" s="525">
        <f>D143-E143-F143-G143-J143-H143-I143</f>
        <v>-5.2154064178466797E-7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1280023079.8100002</v>
      </c>
      <c r="E144" s="18">
        <f>'Recaudo Directa Occidente'!F23</f>
        <v>1268918628</v>
      </c>
      <c r="F144" s="18">
        <f>D30+N30</f>
        <v>11104451.809999999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11104451.809999999</v>
      </c>
      <c r="L144" s="525">
        <f>D144-E144-F144-G144-J144-H144-I144</f>
        <v>1.8253922462463379E-7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1012664438.9</v>
      </c>
      <c r="E145" s="18">
        <f>'Recaudo Directa Occidente'!F24</f>
        <v>977975927</v>
      </c>
      <c r="F145" s="18">
        <f>D31+N31</f>
        <v>35008623.899999999</v>
      </c>
      <c r="G145" s="18">
        <f>D69+N69</f>
        <v>-474944</v>
      </c>
      <c r="H145" s="18">
        <f>D88+N88</f>
        <v>0</v>
      </c>
      <c r="I145" s="18">
        <f>('REPORTE RECAUDO x BANCO'!E78)</f>
        <v>0</v>
      </c>
      <c r="J145" s="18">
        <f t="shared" si="56"/>
        <v>154832</v>
      </c>
      <c r="K145" s="83">
        <f t="shared" si="56"/>
        <v>35008623.899999999</v>
      </c>
      <c r="L145" s="525">
        <f>D145-E145-F145-G145-J145-H145-I145</f>
        <v>-2.2351741790771484E-8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352584950.84000003</v>
      </c>
      <c r="E146" s="18">
        <f>'Recaudo Directa Occidente'!F25</f>
        <v>341210575</v>
      </c>
      <c r="F146" s="134">
        <f>D32+N32</f>
        <v>12681387.489999998</v>
      </c>
      <c r="G146" s="134">
        <f>D70+N70</f>
        <v>-2556821.65</v>
      </c>
      <c r="H146" s="134">
        <f>D89+N89</f>
        <v>0</v>
      </c>
      <c r="I146" s="134">
        <f>('REPORTE RECAUDO x BANCO'!E79)</f>
        <v>0</v>
      </c>
      <c r="J146" s="134">
        <f t="shared" si="56"/>
        <v>1249810</v>
      </c>
      <c r="K146" s="136">
        <f t="shared" si="56"/>
        <v>12681387.489999998</v>
      </c>
      <c r="L146" s="525">
        <f>D146-E146-F146-G146-J146-H146-I146</f>
        <v>3.4924596548080444E-8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6067509819.1899996</v>
      </c>
      <c r="E147" s="47">
        <f>SUM(E142:E146)</f>
        <v>5885496214</v>
      </c>
      <c r="F147" s="47">
        <f t="shared" ref="F147:K147" si="58">SUM(F142:F146)</f>
        <v>183640728.84</v>
      </c>
      <c r="G147" s="47">
        <f t="shared" si="58"/>
        <v>-3056655.65</v>
      </c>
      <c r="H147" s="47">
        <f t="shared" si="58"/>
        <v>0</v>
      </c>
      <c r="I147" s="47">
        <f t="shared" si="58"/>
        <v>0</v>
      </c>
      <c r="J147" s="47">
        <f t="shared" si="58"/>
        <v>1429532</v>
      </c>
      <c r="K147" s="47">
        <f t="shared" si="58"/>
        <v>183640728.84</v>
      </c>
      <c r="L147" s="525">
        <f>SUM(L142:L146)</f>
        <v>-2.8545036911964417E-7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910584918</v>
      </c>
      <c r="D3" s="292">
        <f>'REMUNERACION_OCCIDENTE_ Directa'!G125</f>
        <v>0</v>
      </c>
      <c r="E3" s="292">
        <f>'REMUNERACION_OCCIDENTE_ Directa'!D28+'REMUNERACION_OCCIDENTE_ Directa'!N28</f>
        <v>27783436.330000002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938368354.33000004</v>
      </c>
      <c r="I3" s="291">
        <f>'REMUNERACION_OCCIDENTE_ Directa'!D104</f>
        <v>897352703.82000005</v>
      </c>
      <c r="J3" s="292">
        <f>'REMUNERACION_OCCIDENTE_ Directa'!N104</f>
        <v>20999130.030000001</v>
      </c>
      <c r="K3" s="292">
        <f>'REMUNERACION_OCCIDENTE_ Directa'!D125</f>
        <v>20016520.48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938368354.33000004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2386806166</v>
      </c>
      <c r="D4" s="292">
        <f>'REMUNERACION_OCCIDENTE_ Directa'!G126</f>
        <v>24890</v>
      </c>
      <c r="E4" s="292">
        <f>'REMUNERACION_OCCIDENTE_ Directa'!D29+'REMUNERACION_OCCIDENTE_ Directa'!N29</f>
        <v>97062829.309999987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2483893885.3099999</v>
      </c>
      <c r="I4" s="291">
        <f>'REMUNERACION_OCCIDENTE_ Directa'!D105</f>
        <v>2314343263.2599993</v>
      </c>
      <c r="J4" s="292">
        <f>'REMUNERACION_OCCIDENTE_ Directa'!N105</f>
        <v>43242361.049999997</v>
      </c>
      <c r="K4" s="292">
        <f>'REMUNERACION_OCCIDENTE_ Directa'!D126</f>
        <v>126283371</v>
      </c>
      <c r="L4" s="353">
        <f>'REMUNERACION_OCCIDENTE_ Directa'!E126</f>
        <v>0</v>
      </c>
      <c r="M4" s="292">
        <f>-'REMUNERACION_OCCIDENTE_ Directa'!D67-'REMUNERACION_OCCIDENTE_ Directa'!N67</f>
        <v>24890</v>
      </c>
      <c r="N4" s="318">
        <f>SUM(I4:M4)</f>
        <v>2483893885.3099995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1268918628</v>
      </c>
      <c r="D5" s="292">
        <f>'REMUNERACION_OCCIDENTE_ Directa'!G127</f>
        <v>0</v>
      </c>
      <c r="E5" s="292">
        <f>'REMUNERACION_OCCIDENTE_ Directa'!D30+'REMUNERACION_OCCIDENTE_ Directa'!N30</f>
        <v>11104451.809999999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1280023079.8099999</v>
      </c>
      <c r="I5" s="291">
        <f>'REMUNERACION_OCCIDENTE_ Directa'!D106</f>
        <v>1252145336.3500001</v>
      </c>
      <c r="J5" s="292">
        <f>'REMUNERACION_OCCIDENTE_ Directa'!N106</f>
        <v>17158188.23</v>
      </c>
      <c r="K5" s="292">
        <f>'REMUNERACION_OCCIDENTE_ Directa'!D127</f>
        <v>10719555.23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1280023079.8100002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977975927</v>
      </c>
      <c r="D6" s="292">
        <f>'REMUNERACION_OCCIDENTE_ Directa'!G128</f>
        <v>154832</v>
      </c>
      <c r="E6" s="292">
        <f>'REMUNERACION_OCCIDENTE_ Directa'!D31+'REMUNERACION_OCCIDENTE_ Directa'!N31</f>
        <v>35008623.899999999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1013139382.9</v>
      </c>
      <c r="I6" s="291">
        <f>'REMUNERACION_OCCIDENTE_ Directa'!D107</f>
        <v>951901181.30999994</v>
      </c>
      <c r="J6" s="292">
        <f>'REMUNERACION_OCCIDENTE_ Directa'!N107</f>
        <v>3540114.13</v>
      </c>
      <c r="K6" s="292">
        <f>'REMUNERACION_OCCIDENTE_ Directa'!D128</f>
        <v>57223143.460000001</v>
      </c>
      <c r="L6" s="353">
        <f>'REMUNERACION_OCCIDENTE_ Directa'!E128</f>
        <v>0</v>
      </c>
      <c r="M6" s="292">
        <f>-'REMUNERACION_OCCIDENTE_ Directa'!D69-'REMUNERACION_OCCIDENTE_ Directa'!N69</f>
        <v>474944</v>
      </c>
      <c r="N6" s="318">
        <f t="shared" ref="N6:N7" si="3">SUM(I6:M6)</f>
        <v>1013139382.9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341210575</v>
      </c>
      <c r="D7" s="292">
        <f>'REMUNERACION_OCCIDENTE_ Directa'!G129</f>
        <v>1249810</v>
      </c>
      <c r="E7" s="292">
        <f>'REMUNERACION_OCCIDENTE_ Directa'!D32+'REMUNERACION_OCCIDENTE_ Directa'!N32</f>
        <v>12681387.489999998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355141772.49000001</v>
      </c>
      <c r="I7" s="291">
        <f>'REMUNERACION_OCCIDENTE_ Directa'!D108</f>
        <v>338797524.74000001</v>
      </c>
      <c r="J7" s="292">
        <f>'REMUNERACION_OCCIDENTE_ Directa'!N108</f>
        <v>2235787.1</v>
      </c>
      <c r="K7" s="292">
        <f>'REMUNERACION_OCCIDENTE_ Directa'!D129</f>
        <v>11551639</v>
      </c>
      <c r="L7" s="353">
        <f>'REMUNERACION_OCCIDENTE_ Directa'!E129</f>
        <v>0</v>
      </c>
      <c r="M7" s="292">
        <f>-'REMUNERACION_OCCIDENTE_ Directa'!D70-'REMUNERACION_OCCIDENTE_ Directa'!N70</f>
        <v>2556821.65</v>
      </c>
      <c r="N7" s="318">
        <f t="shared" si="3"/>
        <v>355141772.49000001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5885496214</v>
      </c>
      <c r="D9" s="290">
        <f t="shared" ref="D9:M9" si="4">SUM(D3:D8)</f>
        <v>1429532</v>
      </c>
      <c r="E9" s="290">
        <f>SUM(E3:E8)</f>
        <v>183640728.84</v>
      </c>
      <c r="F9" s="290">
        <f t="shared" si="4"/>
        <v>0</v>
      </c>
      <c r="G9" s="290">
        <f t="shared" si="4"/>
        <v>0</v>
      </c>
      <c r="H9" s="290">
        <f t="shared" si="4"/>
        <v>6070566474.8399992</v>
      </c>
      <c r="I9" s="290">
        <f t="shared" si="4"/>
        <v>5754540009.4799995</v>
      </c>
      <c r="J9" s="290">
        <f t="shared" si="4"/>
        <v>87175580.539999992</v>
      </c>
      <c r="K9" s="290">
        <f t="shared" si="4"/>
        <v>225794229.16999999</v>
      </c>
      <c r="L9" s="290">
        <f t="shared" si="4"/>
        <v>0</v>
      </c>
      <c r="M9" s="290">
        <f t="shared" si="4"/>
        <v>3056655.65</v>
      </c>
      <c r="N9" s="290">
        <f>SUM(N3:N8)</f>
        <v>6070566474.8399992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5885496214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46267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46250</v>
      </c>
      <c r="J7" s="2" t="s">
        <v>28</v>
      </c>
      <c r="K7" s="9">
        <f>'REMUNERACION_OCCIDENTE_ Directa'!K102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897352703.82000005</v>
      </c>
      <c r="E9" s="66">
        <f>'REMUNERACION_OCCIDENTE_ Directa'!E104</f>
        <v>101388584.10000001</v>
      </c>
      <c r="F9" s="66">
        <f>'REMUNERACION_OCCIDENTE_ Directa'!F104</f>
        <v>57256746.789999999</v>
      </c>
      <c r="G9" s="66">
        <f>'REMUNERACION_OCCIDENTE_ Directa'!G104</f>
        <v>30071781.32</v>
      </c>
      <c r="H9" s="66">
        <f>'REMUNERACION_OCCIDENTE_ Directa'!H104</f>
        <v>67802485.180000007</v>
      </c>
      <c r="I9" s="66">
        <f>'REMUNERACION_OCCIDENTE_ Directa'!I104</f>
        <v>2165489.42</v>
      </c>
      <c r="J9" s="66">
        <f>'REMUNERACION_OCCIDENTE_ Directa'!J104</f>
        <v>0</v>
      </c>
      <c r="K9" s="30">
        <f>D9-E9-F9-G9-H9-I9-J9</f>
        <v>638667617.01000011</v>
      </c>
      <c r="L9" s="66">
        <f>'REMUNERACION_OCCIDENTE_ Directa'!L104</f>
        <v>0</v>
      </c>
      <c r="M9" s="30">
        <f>K9-L9</f>
        <v>638667617.01000011</v>
      </c>
      <c r="N9" s="66">
        <f>'REMUNERACION_OCCIDENTE_ Directa'!N104</f>
        <v>20999130.030000001</v>
      </c>
      <c r="O9" s="30">
        <f>M9+N9</f>
        <v>659666747.04000008</v>
      </c>
      <c r="Q9" s="4"/>
      <c r="S9" s="14">
        <v>1</v>
      </c>
      <c r="T9" s="61" t="s">
        <v>10</v>
      </c>
      <c r="U9" s="66">
        <f>'REMUNERACION_OCCIDENTE_ Directa'!U104</f>
        <v>19013958.32</v>
      </c>
      <c r="V9" s="66">
        <f>'REMUNERACION_OCCIDENTE_ Directa'!V104</f>
        <v>23004446.189999998</v>
      </c>
      <c r="W9" s="66">
        <f>'REMUNERACION_OCCIDENTE_ Directa'!W104</f>
        <v>108354214.09999999</v>
      </c>
      <c r="X9" s="66">
        <f>'REMUNERACION_OCCIDENTE_ Directa'!X104</f>
        <v>275453700.04999995</v>
      </c>
      <c r="Y9" s="66">
        <f>'REMUNERACION_OCCIDENTE_ Directa'!Y104</f>
        <v>3533839.54</v>
      </c>
      <c r="Z9" s="66">
        <f>'REMUNERACION_OCCIDENTE_ Directa'!Z104</f>
        <v>0</v>
      </c>
      <c r="AA9" s="66">
        <f>'REMUNERACION_OCCIDENTE_ Directa'!AA104</f>
        <v>69040.100000000006</v>
      </c>
      <c r="AB9" s="66">
        <f>'REMUNERACION_OCCIDENTE_ Directa'!AB104</f>
        <v>20999130.030000001</v>
      </c>
      <c r="AC9" s="66">
        <f>'REMUNERACION_OCCIDENTE_ Directa'!AC104</f>
        <v>-106.74000000000001</v>
      </c>
      <c r="AD9" s="66">
        <f>'REMUNERACION_OCCIDENTE_ Directa'!AD104</f>
        <v>209238525.44999999</v>
      </c>
      <c r="AE9" s="66">
        <f>'REMUNERACION_OCCIDENTE_ Directa'!AE104</f>
        <v>209238525.44999999</v>
      </c>
      <c r="AF9" s="69">
        <f>SUM(U9:AD9)</f>
        <v>659666747.03999996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2314343263.2599993</v>
      </c>
      <c r="E10" s="66">
        <f>'REMUNERACION_OCCIDENTE_ Directa'!E105</f>
        <v>284513646.58000004</v>
      </c>
      <c r="F10" s="66">
        <f>'REMUNERACION_OCCIDENTE_ Directa'!F105</f>
        <v>159537748.55000001</v>
      </c>
      <c r="G10" s="66">
        <f>'REMUNERACION_OCCIDENTE_ Directa'!G105</f>
        <v>84030961.790000007</v>
      </c>
      <c r="H10" s="66">
        <f>'REMUNERACION_OCCIDENTE_ Directa'!H105</f>
        <v>360679486.30000001</v>
      </c>
      <c r="I10" s="66">
        <f>'REMUNERACION_OCCIDENTE_ Directa'!I105</f>
        <v>9435445.1699999999</v>
      </c>
      <c r="J10" s="66">
        <f>'REMUNERACION_OCCIDENTE_ Directa'!J105</f>
        <v>0</v>
      </c>
      <c r="K10" s="31">
        <f t="shared" ref="K10:K13" si="0">D10-E10-F10-G10-H10-I10-J10</f>
        <v>1416145974.8699994</v>
      </c>
      <c r="L10" s="66">
        <f>'REMUNERACION_OCCIDENTE_ Directa'!L105</f>
        <v>0</v>
      </c>
      <c r="M10" s="31">
        <f>K10-L10</f>
        <v>1416145974.8699994</v>
      </c>
      <c r="N10" s="66">
        <f>'REMUNERACION_OCCIDENTE_ Directa'!N105</f>
        <v>43242361.049999997</v>
      </c>
      <c r="O10" s="31">
        <f t="shared" ref="O10:O13" si="1">M10+N10</f>
        <v>1459388335.9199994</v>
      </c>
      <c r="Q10" s="4"/>
      <c r="S10" s="16">
        <v>2</v>
      </c>
      <c r="T10" s="62" t="s">
        <v>11</v>
      </c>
      <c r="U10" s="66">
        <f>'REMUNERACION_OCCIDENTE_ Directa'!U105</f>
        <v>82809049.709999993</v>
      </c>
      <c r="V10" s="66">
        <f>'REMUNERACION_OCCIDENTE_ Directa'!V105</f>
        <v>114120715.40000002</v>
      </c>
      <c r="W10" s="66">
        <f>'REMUNERACION_OCCIDENTE_ Directa'!W105</f>
        <v>540804577.97000003</v>
      </c>
      <c r="X10" s="66">
        <f>'REMUNERACION_OCCIDENTE_ Directa'!X105</f>
        <v>553695688.25</v>
      </c>
      <c r="Y10" s="66">
        <f>'REMUNERACION_OCCIDENTE_ Directa'!Y105</f>
        <v>15308028.979999999</v>
      </c>
      <c r="Z10" s="66">
        <f>'REMUNERACION_OCCIDENTE_ Directa'!Z105</f>
        <v>0</v>
      </c>
      <c r="AA10" s="66">
        <f>'REMUNERACION_OCCIDENTE_ Directa'!AA105</f>
        <v>-1700.6000000000001</v>
      </c>
      <c r="AB10" s="66">
        <f>'REMUNERACION_OCCIDENTE_ Directa'!AB105</f>
        <v>43242361.049999997</v>
      </c>
      <c r="AC10" s="66">
        <f>'REMUNERACION_OCCIDENTE_ Directa'!AC105</f>
        <v>11.29</v>
      </c>
      <c r="AD10" s="66">
        <f>'REMUNERACION_OCCIDENTE_ Directa'!AD105</f>
        <v>109409603.86999999</v>
      </c>
      <c r="AE10" s="66">
        <f>'REMUNERACION_OCCIDENTE_ Directa'!AE105</f>
        <v>109409603.86999999</v>
      </c>
      <c r="AF10" s="70">
        <f>SUM(U10:AD10)</f>
        <v>1459388335.9199998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1252145336.3500001</v>
      </c>
      <c r="E11" s="66">
        <f>'REMUNERACION_OCCIDENTE_ Directa'!E106</f>
        <v>167540835.97999999</v>
      </c>
      <c r="F11" s="66">
        <f>'REMUNERACION_OCCIDENTE_ Directa'!F106</f>
        <v>94404536.5</v>
      </c>
      <c r="G11" s="66">
        <f>'REMUNERACION_OCCIDENTE_ Directa'!G106</f>
        <v>49546488.960000001</v>
      </c>
      <c r="H11" s="66">
        <f>'REMUNERACION_OCCIDENTE_ Directa'!H106</f>
        <v>60071610.93</v>
      </c>
      <c r="I11" s="66">
        <f>'REMUNERACION_OCCIDENTE_ Directa'!I106</f>
        <v>1636284.1300000001</v>
      </c>
      <c r="J11" s="66">
        <f>'REMUNERACION_OCCIDENTE_ Directa'!J106</f>
        <v>0</v>
      </c>
      <c r="K11" s="31">
        <f t="shared" si="0"/>
        <v>878945579.85000014</v>
      </c>
      <c r="L11" s="66">
        <f>'REMUNERACION_OCCIDENTE_ Directa'!L106</f>
        <v>0</v>
      </c>
      <c r="M11" s="31">
        <f>K11-L11</f>
        <v>878945579.85000014</v>
      </c>
      <c r="N11" s="66">
        <f>'REMUNERACION_OCCIDENTE_ Directa'!N106</f>
        <v>17158188.23</v>
      </c>
      <c r="O11" s="31">
        <f t="shared" si="1"/>
        <v>896103768.08000016</v>
      </c>
      <c r="Q11" s="4"/>
      <c r="S11" s="16">
        <v>3</v>
      </c>
      <c r="T11" s="62" t="s">
        <v>12</v>
      </c>
      <c r="U11" s="66">
        <f>'REMUNERACION_OCCIDENTE_ Directa'!U106</f>
        <v>14364938.68</v>
      </c>
      <c r="V11" s="66">
        <f>'REMUNERACION_OCCIDENTE_ Directa'!V106</f>
        <v>19642401.399999999</v>
      </c>
      <c r="W11" s="66">
        <f>'REMUNERACION_OCCIDENTE_ Directa'!W106</f>
        <v>90712276.270000011</v>
      </c>
      <c r="X11" s="66">
        <f>'REMUNERACION_OCCIDENTE_ Directa'!X106</f>
        <v>394208586.99000001</v>
      </c>
      <c r="Y11" s="66">
        <f>'REMUNERACION_OCCIDENTE_ Directa'!Y106</f>
        <v>2662802.94</v>
      </c>
      <c r="Z11" s="66">
        <f>'REMUNERACION_OCCIDENTE_ Directa'!Z106</f>
        <v>0</v>
      </c>
      <c r="AA11" s="66">
        <f>'REMUNERACION_OCCIDENTE_ Directa'!AA106</f>
        <v>-1021.85</v>
      </c>
      <c r="AB11" s="66">
        <f>'REMUNERACION_OCCIDENTE_ Directa'!AB106</f>
        <v>17158188.23</v>
      </c>
      <c r="AC11" s="66">
        <f>'REMUNERACION_OCCIDENTE_ Directa'!AC106</f>
        <v>-3973599.77</v>
      </c>
      <c r="AD11" s="66">
        <f>'REMUNERACION_OCCIDENTE_ Directa'!AD106</f>
        <v>361329195.19</v>
      </c>
      <c r="AE11" s="66">
        <f>'REMUNERACION_OCCIDENTE_ Directa'!AE106</f>
        <v>361329195.19</v>
      </c>
      <c r="AF11" s="70">
        <f>SUM(U11:AD11)</f>
        <v>896103768.07999992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951901181.30999994</v>
      </c>
      <c r="E12" s="66">
        <f>'REMUNERACION_OCCIDENTE_ Directa'!E107</f>
        <v>95275359.089999989</v>
      </c>
      <c r="F12" s="66">
        <f>'REMUNERACION_OCCIDENTE_ Directa'!F107</f>
        <v>53380374.870000005</v>
      </c>
      <c r="G12" s="66">
        <f>'REMUNERACION_OCCIDENTE_ Directa'!G107</f>
        <v>28359225.190000001</v>
      </c>
      <c r="H12" s="66">
        <f>'REMUNERACION_OCCIDENTE_ Directa'!H107</f>
        <v>128684747.92</v>
      </c>
      <c r="I12" s="66">
        <f>'REMUNERACION_OCCIDENTE_ Directa'!I107</f>
        <v>3542115.08</v>
      </c>
      <c r="J12" s="66">
        <f>'REMUNERACION_OCCIDENTE_ Directa'!J107</f>
        <v>0</v>
      </c>
      <c r="K12" s="31">
        <f t="shared" si="0"/>
        <v>642659359.15999985</v>
      </c>
      <c r="L12" s="66">
        <f>'REMUNERACION_OCCIDENTE_ Directa'!L107</f>
        <v>0</v>
      </c>
      <c r="M12" s="31">
        <f>K12-L12</f>
        <v>642659359.15999985</v>
      </c>
      <c r="N12" s="66">
        <f>'REMUNERACION_OCCIDENTE_ Directa'!N107</f>
        <v>3540114.13</v>
      </c>
      <c r="O12" s="31">
        <f t="shared" si="1"/>
        <v>646199473.28999984</v>
      </c>
      <c r="Q12" s="4"/>
      <c r="S12" s="16">
        <v>4</v>
      </c>
      <c r="T12" s="62" t="s">
        <v>13</v>
      </c>
      <c r="U12" s="66">
        <f>'REMUNERACION_OCCIDENTE_ Directa'!U107</f>
        <v>31180101.730000004</v>
      </c>
      <c r="V12" s="66">
        <f>'REMUNERACION_OCCIDENTE_ Directa'!V107</f>
        <v>42319945.500000007</v>
      </c>
      <c r="W12" s="66">
        <f>'REMUNERACION_OCCIDENTE_ Directa'!W107</f>
        <v>207961435.76999998</v>
      </c>
      <c r="X12" s="66">
        <f>'REMUNERACION_OCCIDENTE_ Directa'!X107</f>
        <v>254047208.27000001</v>
      </c>
      <c r="Y12" s="66">
        <f>'REMUNERACION_OCCIDENTE_ Directa'!Y107</f>
        <v>5742681.7899999991</v>
      </c>
      <c r="Z12" s="66">
        <f>'REMUNERACION_OCCIDENTE_ Directa'!Z107</f>
        <v>0</v>
      </c>
      <c r="AA12" s="66">
        <f>'REMUNERACION_OCCIDENTE_ Directa'!AA107</f>
        <v>1475.65</v>
      </c>
      <c r="AB12" s="66">
        <f>'REMUNERACION_OCCIDENTE_ Directa'!AB107</f>
        <v>3540114.13</v>
      </c>
      <c r="AC12" s="66">
        <f>'REMUNERACION_OCCIDENTE_ Directa'!AC107</f>
        <v>-184.98</v>
      </c>
      <c r="AD12" s="66">
        <f>'REMUNERACION_OCCIDENTE_ Directa'!AD107</f>
        <v>101406695.43000001</v>
      </c>
      <c r="AE12" s="66">
        <f>'REMUNERACION_OCCIDENTE_ Directa'!AE107</f>
        <v>101406695.43000001</v>
      </c>
      <c r="AF12" s="70">
        <f>SUM(U12:AD12)</f>
        <v>646199473.28999996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338797524.74000001</v>
      </c>
      <c r="E13" s="66">
        <f>'REMUNERACION_OCCIDENTE_ Directa'!E108</f>
        <v>33827827.740000002</v>
      </c>
      <c r="F13" s="66">
        <f>'REMUNERACION_OCCIDENTE_ Directa'!F108</f>
        <v>18348303.569999997</v>
      </c>
      <c r="G13" s="66">
        <f>'REMUNERACION_OCCIDENTE_ Directa'!G108</f>
        <v>9713581.0499999989</v>
      </c>
      <c r="H13" s="66">
        <f>'REMUNERACION_OCCIDENTE_ Directa'!H108</f>
        <v>22436012.280000001</v>
      </c>
      <c r="I13" s="66">
        <f>'REMUNERACION_OCCIDENTE_ Directa'!I108</f>
        <v>937052.78</v>
      </c>
      <c r="J13" s="66">
        <f>'REMUNERACION_OCCIDENTE_ Directa'!J108</f>
        <v>0</v>
      </c>
      <c r="K13" s="31">
        <f t="shared" si="0"/>
        <v>253534747.31999999</v>
      </c>
      <c r="L13" s="66">
        <f>'REMUNERACION_OCCIDENTE_ Directa'!L108</f>
        <v>0</v>
      </c>
      <c r="M13" s="40">
        <f>K13-L13</f>
        <v>253534747.31999999</v>
      </c>
      <c r="N13" s="66">
        <f>'REMUNERACION_OCCIDENTE_ Directa'!N108</f>
        <v>2235787.1</v>
      </c>
      <c r="O13" s="40">
        <f t="shared" si="1"/>
        <v>255770534.41999999</v>
      </c>
      <c r="Q13" s="4"/>
      <c r="S13" s="19">
        <v>5</v>
      </c>
      <c r="T13" s="63" t="s">
        <v>14</v>
      </c>
      <c r="U13" s="66">
        <f>'REMUNERACION_OCCIDENTE_ Directa'!U108</f>
        <v>8218100.919999999</v>
      </c>
      <c r="V13" s="66">
        <f>'REMUNERACION_OCCIDENTE_ Directa'!V108</f>
        <v>10052536.259999998</v>
      </c>
      <c r="W13" s="66">
        <f>'REMUNERACION_OCCIDENTE_ Directa'!W108</f>
        <v>52664339.800000004</v>
      </c>
      <c r="X13" s="66">
        <f>'REMUNERACION_OCCIDENTE_ Directa'!X108</f>
        <v>101753390.91000001</v>
      </c>
      <c r="Y13" s="66">
        <f>'REMUNERACION_OCCIDENTE_ Directa'!Y108</f>
        <v>1552283.28</v>
      </c>
      <c r="Z13" s="66">
        <f>'REMUNERACION_OCCIDENTE_ Directa'!Z108</f>
        <v>0</v>
      </c>
      <c r="AA13" s="66">
        <f>'REMUNERACION_OCCIDENTE_ Directa'!AA108</f>
        <v>-2857.09</v>
      </c>
      <c r="AB13" s="66">
        <f>'REMUNERACION_OCCIDENTE_ Directa'!AB108</f>
        <v>2235787.1</v>
      </c>
      <c r="AC13" s="66">
        <f>'REMUNERACION_OCCIDENTE_ Directa'!AC108</f>
        <v>-35.129999999999995</v>
      </c>
      <c r="AD13" s="66">
        <f>'REMUNERACION_OCCIDENTE_ Directa'!AD108</f>
        <v>79296988.36999999</v>
      </c>
      <c r="AE13" s="66">
        <f>'REMUNERACION_OCCIDENTE_ Directa'!AE108</f>
        <v>79296988.36999999</v>
      </c>
      <c r="AF13" s="70">
        <f>SUM(U13:AD13)</f>
        <v>255770534.42000002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5754540009.4799995</v>
      </c>
      <c r="E14" s="43">
        <f t="shared" si="3"/>
        <v>682546253.49000013</v>
      </c>
      <c r="F14" s="43">
        <f t="shared" si="3"/>
        <v>382927710.28000003</v>
      </c>
      <c r="G14" s="43">
        <f t="shared" si="3"/>
        <v>201722038.31000003</v>
      </c>
      <c r="H14" s="43">
        <f t="shared" si="3"/>
        <v>639674342.61000001</v>
      </c>
      <c r="I14" s="43">
        <f t="shared" si="3"/>
        <v>17716386.580000002</v>
      </c>
      <c r="J14" s="43">
        <f t="shared" si="3"/>
        <v>0</v>
      </c>
      <c r="K14" s="32">
        <f t="shared" si="3"/>
        <v>3829953278.2099996</v>
      </c>
      <c r="L14" s="23">
        <f t="shared" si="3"/>
        <v>0</v>
      </c>
      <c r="M14" s="76">
        <f t="shared" si="3"/>
        <v>3829953278.2099996</v>
      </c>
      <c r="N14" s="23">
        <f t="shared" si="3"/>
        <v>87175580.539999992</v>
      </c>
      <c r="O14" s="76">
        <f t="shared" si="3"/>
        <v>3917128858.75</v>
      </c>
      <c r="P14" s="2"/>
      <c r="Q14" s="4"/>
      <c r="S14" s="21"/>
      <c r="T14" s="22" t="s">
        <v>119</v>
      </c>
      <c r="U14" s="43">
        <f>SUM(U9:U13)</f>
        <v>155586149.35999998</v>
      </c>
      <c r="V14" s="43">
        <f t="shared" ref="V14:AG14" si="4">SUM(V9:V13)</f>
        <v>209140044.75000003</v>
      </c>
      <c r="W14" s="43">
        <f t="shared" si="4"/>
        <v>1000496843.91</v>
      </c>
      <c r="X14" s="43">
        <f t="shared" si="4"/>
        <v>1579158574.47</v>
      </c>
      <c r="Y14" s="43">
        <f t="shared" si="4"/>
        <v>28799636.530000001</v>
      </c>
      <c r="Z14" s="43">
        <f t="shared" si="4"/>
        <v>0</v>
      </c>
      <c r="AA14" s="43">
        <f t="shared" si="4"/>
        <v>64936.209999999992</v>
      </c>
      <c r="AB14" s="43">
        <f t="shared" si="4"/>
        <v>87175580.539999992</v>
      </c>
      <c r="AC14" s="43">
        <f t="shared" si="4"/>
        <v>-3973915.33</v>
      </c>
      <c r="AD14" s="43">
        <f t="shared" si="4"/>
        <v>860681008.31000006</v>
      </c>
      <c r="AE14" s="43">
        <f>SUM(AE9:AE13)</f>
        <v>860681008.31000006</v>
      </c>
      <c r="AF14" s="68">
        <f t="shared" si="4"/>
        <v>3917128858.75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2973181249.02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46250</v>
      </c>
      <c r="J27" s="2" t="s">
        <v>28</v>
      </c>
      <c r="K27" s="9">
        <f>'REMUNERACION_OCCIDENTE_ Directa'!K122</f>
        <v>46265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20016520.48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27783436.330000002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126283371</v>
      </c>
      <c r="E31" s="74">
        <f>'REMUNERACION_OCCIDENTE_ Directa'!E126</f>
        <v>0</v>
      </c>
      <c r="G31" s="339">
        <f>'REMUNERACION_OCCIDENTE_ Directa'!G126</f>
        <v>24890</v>
      </c>
      <c r="H31" s="340">
        <f>'REMUNERACION_OCCIDENTE_ Directa'!H126</f>
        <v>97062829.309999987</v>
      </c>
      <c r="I31" s="288">
        <f>'REMUNERACION_OCCIDENTE_ Directa'!I126</f>
        <v>0</v>
      </c>
      <c r="J31" s="288">
        <f>'REMUNERACION_OCCIDENTE_ Directa'!J126</f>
        <v>-24890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10719555.23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11104451.809999999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57223143.460000001</v>
      </c>
      <c r="E33" s="74">
        <f>'REMUNERACION_OCCIDENTE_ Directa'!E128</f>
        <v>0</v>
      </c>
      <c r="G33" s="339">
        <f>'REMUNERACION_OCCIDENTE_ Directa'!G128</f>
        <v>154832</v>
      </c>
      <c r="H33" s="340">
        <f>'REMUNERACION_OCCIDENTE_ Directa'!H128</f>
        <v>35008623.899999999</v>
      </c>
      <c r="I33" s="288">
        <f>'REMUNERACION_OCCIDENTE_ Directa'!I128</f>
        <v>0</v>
      </c>
      <c r="J33" s="288">
        <f>'REMUNERACION_OCCIDENTE_ Directa'!J128</f>
        <v>-474944</v>
      </c>
      <c r="K33" s="288">
        <f>'REMUNERACION_OCCIDENTE_ Directa'!K128</f>
        <v>320112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11551639</v>
      </c>
      <c r="E34" s="139">
        <f>'REMUNERACION_OCCIDENTE_ Directa'!E129</f>
        <v>0</v>
      </c>
      <c r="G34" s="339">
        <f>'REMUNERACION_OCCIDENTE_ Directa'!G129</f>
        <v>1249810</v>
      </c>
      <c r="H34" s="340">
        <f>'REMUNERACION_OCCIDENTE_ Directa'!H129</f>
        <v>12681387.489999998</v>
      </c>
      <c r="I34" s="288">
        <f>'REMUNERACION_OCCIDENTE_ Directa'!I129</f>
        <v>0</v>
      </c>
      <c r="J34" s="288">
        <f>'REMUNERACION_OCCIDENTE_ Directa'!J129</f>
        <v>-2556821.65</v>
      </c>
      <c r="K34" s="288">
        <f>'REMUNERACION_OCCIDENTE_ Directa'!K129</f>
        <v>2298610</v>
      </c>
      <c r="L34" s="288">
        <f>'REMUNERACION_OCCIDENTE_ Directa'!L129</f>
        <v>1057608.3500000001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225794229.16999999</v>
      </c>
      <c r="E36" s="107">
        <f>'REMUNERACION_OCCIDENTE_ Directa'!E131</f>
        <v>0</v>
      </c>
      <c r="F36" s="45"/>
      <c r="G36" s="350">
        <f t="shared" ref="G36:L36" si="6">SUM(G30:G34)</f>
        <v>1429532</v>
      </c>
      <c r="H36" s="350">
        <f t="shared" si="6"/>
        <v>183640728.84</v>
      </c>
      <c r="I36" s="350">
        <f t="shared" si="6"/>
        <v>0</v>
      </c>
      <c r="J36" s="350">
        <f t="shared" si="6"/>
        <v>-3056655.65</v>
      </c>
      <c r="K36" s="350">
        <f t="shared" si="6"/>
        <v>2618722</v>
      </c>
      <c r="L36" s="350">
        <f t="shared" si="6"/>
        <v>1057608.3500000001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46250</v>
      </c>
      <c r="J7" s="2" t="s">
        <v>28</v>
      </c>
      <c r="K7" s="9">
        <f>'CONSOLIDADO_TOTAL RECAUDO'!K7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R1'!L75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0</v>
      </c>
      <c r="AA9" s="311">
        <f>'Reporte Componentes R1'!R75+'Reporte Componentes R1'!S75</f>
        <v>0</v>
      </c>
      <c r="AB9" s="294">
        <f>N9</f>
        <v>0</v>
      </c>
      <c r="AC9" s="311">
        <f>'Reporte Componentes R1'!Z75</f>
        <v>0</v>
      </c>
      <c r="AD9" s="291">
        <f>-J9+AE9</f>
        <v>0</v>
      </c>
      <c r="AE9" s="291">
        <f>'Reporte Componentes R1'!F76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R1'!F219</f>
        <v>0</v>
      </c>
      <c r="E10" s="292">
        <f>'Reporte Componentes R1'!G219</f>
        <v>0</v>
      </c>
      <c r="F10" s="292">
        <f>'Reporte Componentes R1'!H219</f>
        <v>0</v>
      </c>
      <c r="G10" s="292">
        <f>'Reporte Componentes R1'!I219</f>
        <v>0</v>
      </c>
      <c r="H10" s="292">
        <f>'Reporte Componentes R1'!J219</f>
        <v>0</v>
      </c>
      <c r="I10" s="292">
        <f>'Reporte Componentes R1'!K219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R1'!L219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R1'!M219</f>
        <v>0</v>
      </c>
      <c r="V10" s="317">
        <f>'Reporte Componentes R1'!N219</f>
        <v>0</v>
      </c>
      <c r="W10" s="317">
        <f>'Reporte Componentes R1'!O219</f>
        <v>0</v>
      </c>
      <c r="X10" s="317">
        <f>'Reporte Componentes R1'!P219</f>
        <v>0</v>
      </c>
      <c r="Y10" s="318">
        <f>'Reporte Componentes R1'!Q219</f>
        <v>0</v>
      </c>
      <c r="Z10" s="319">
        <f>L10*-1</f>
        <v>0</v>
      </c>
      <c r="AA10" s="320">
        <f>'Reporte Componentes R1'!R219+'Reporte Componentes R1'!S219+'Reporte Componentes R1'!T219</f>
        <v>0</v>
      </c>
      <c r="AB10" s="294">
        <f>N10</f>
        <v>0</v>
      </c>
      <c r="AC10" s="320">
        <f>'Reporte Componentes R1'!Z219</f>
        <v>0</v>
      </c>
      <c r="AD10" s="291">
        <f t="shared" ref="AD10:AD13" si="2">-J10+AE10</f>
        <v>0</v>
      </c>
      <c r="AE10" s="291">
        <f>'Reporte Componentes R1'!F220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R1'!F350</f>
        <v>0</v>
      </c>
      <c r="E11" s="292">
        <f>'Reporte Componentes R1'!G350</f>
        <v>0</v>
      </c>
      <c r="F11" s="292">
        <f>'Reporte Componentes R1'!H350</f>
        <v>0</v>
      </c>
      <c r="G11" s="292">
        <f>'Reporte Componentes R1'!I350</f>
        <v>0</v>
      </c>
      <c r="H11" s="292">
        <f>'Reporte Componentes R1'!J350</f>
        <v>0</v>
      </c>
      <c r="I11" s="292">
        <f>'Reporte Componentes R1'!K350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R1'!L350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R1'!M350</f>
        <v>0</v>
      </c>
      <c r="V11" s="317">
        <f>'Reporte Componentes R1'!N350</f>
        <v>0</v>
      </c>
      <c r="W11" s="317">
        <f>'Reporte Componentes R1'!O350</f>
        <v>0</v>
      </c>
      <c r="X11" s="317">
        <f>'Reporte Componentes R1'!P350</f>
        <v>0</v>
      </c>
      <c r="Y11" s="318">
        <f>'Reporte Componentes R1'!Q350</f>
        <v>0</v>
      </c>
      <c r="Z11" s="319">
        <f>L11*-1</f>
        <v>0</v>
      </c>
      <c r="AA11" s="320">
        <f>'Reporte Componentes R1'!R350+'Reporte Componentes R1'!S350+'Reporte Componentes R1'!T350</f>
        <v>0</v>
      </c>
      <c r="AB11" s="294">
        <f>N11</f>
        <v>0</v>
      </c>
      <c r="AC11" s="320">
        <f>'Reporte Componentes R1'!X350</f>
        <v>0</v>
      </c>
      <c r="AD11" s="291">
        <f t="shared" si="2"/>
        <v>0</v>
      </c>
      <c r="AE11" s="291">
        <f>'Reporte Componentes R1'!F351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R1'!F481</f>
        <v>0</v>
      </c>
      <c r="E12" s="292">
        <f>'Reporte Componentes R1'!G481</f>
        <v>0</v>
      </c>
      <c r="F12" s="292">
        <f>'Reporte Componentes R1'!H481</f>
        <v>0</v>
      </c>
      <c r="G12" s="292">
        <f>'Reporte Componentes R1'!I481</f>
        <v>0</v>
      </c>
      <c r="H12" s="292">
        <f>'Reporte Componentes R1'!J481</f>
        <v>0</v>
      </c>
      <c r="I12" s="292">
        <f>'Reporte Componentes R1'!K481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R1'!L481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R1'!M481</f>
        <v>0</v>
      </c>
      <c r="V12" s="317">
        <f>'Reporte Componentes R1'!N481</f>
        <v>0</v>
      </c>
      <c r="W12" s="317">
        <f>'Reporte Componentes R1'!O481</f>
        <v>0</v>
      </c>
      <c r="X12" s="317">
        <f>'Reporte Componentes R1'!P481</f>
        <v>0</v>
      </c>
      <c r="Y12" s="318">
        <f>'Reporte Componentes R1'!Q481</f>
        <v>0</v>
      </c>
      <c r="Z12" s="319">
        <f>L12*-1</f>
        <v>0</v>
      </c>
      <c r="AA12" s="320">
        <f>'Reporte Componentes R1'!R481+'Reporte Componentes R1'!S481</f>
        <v>0</v>
      </c>
      <c r="AB12" s="294">
        <f>N12</f>
        <v>0</v>
      </c>
      <c r="AC12" s="320">
        <f>'Reporte Componentes R1'!X481</f>
        <v>0</v>
      </c>
      <c r="AD12" s="291">
        <f t="shared" si="2"/>
        <v>0</v>
      </c>
      <c r="AE12" s="291">
        <f>'Reporte Componentes R1'!F482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R1'!F579</f>
        <v>0</v>
      </c>
      <c r="E13" s="297">
        <f>'Reporte Componentes R1'!G579</f>
        <v>0</v>
      </c>
      <c r="F13" s="297">
        <f>'Reporte Componentes R1'!H579</f>
        <v>0</v>
      </c>
      <c r="G13" s="297">
        <f>'Reporte Componentes R1'!I579</f>
        <v>0</v>
      </c>
      <c r="H13" s="297">
        <f>'Reporte Componentes R1'!J579</f>
        <v>0</v>
      </c>
      <c r="I13" s="297">
        <f>'Reporte Componentes R1'!K579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R1'!L579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R1'!M579</f>
        <v>0</v>
      </c>
      <c r="V13" s="297">
        <f>'Reporte Componentes R1'!N579</f>
        <v>0</v>
      </c>
      <c r="W13" s="297">
        <f>'Reporte Componentes R1'!O579</f>
        <v>0</v>
      </c>
      <c r="X13" s="297">
        <f>'Reporte Componentes R1'!P579</f>
        <v>0</v>
      </c>
      <c r="Y13" s="289">
        <f>'Reporte Componentes R1'!Q579</f>
        <v>0</v>
      </c>
      <c r="Z13" s="319">
        <f>L13*-1</f>
        <v>0</v>
      </c>
      <c r="AA13" s="320">
        <f>'Reporte Componentes R1'!R579+'Reporte Componentes R1'!S579+'Reporte Componentes R1'!T579</f>
        <v>0</v>
      </c>
      <c r="AB13" s="294">
        <f>N13</f>
        <v>0</v>
      </c>
      <c r="AC13" s="320">
        <f>'Reporte Componentes R1'!X579</f>
        <v>0</v>
      </c>
      <c r="AD13" s="291">
        <f t="shared" si="2"/>
        <v>0</v>
      </c>
      <c r="AE13" s="291">
        <f>'Reporte Componentes R1'!F580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46267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46250</v>
      </c>
      <c r="J26" s="2" t="s">
        <v>28</v>
      </c>
      <c r="K26" s="9">
        <f>K7</f>
        <v>46265</v>
      </c>
      <c r="O26" s="10"/>
      <c r="P26" s="2"/>
      <c r="Q26" s="4"/>
      <c r="S26" s="8"/>
      <c r="U26" s="1" t="str">
        <f>F26</f>
        <v>Fecha Desde:</v>
      </c>
      <c r="V26" s="9">
        <f>G26</f>
        <v>46250</v>
      </c>
      <c r="W26" s="1" t="s">
        <v>1</v>
      </c>
      <c r="X26" s="1" t="str">
        <f>J26</f>
        <v>Feha Hasta:</v>
      </c>
      <c r="Y26" s="9">
        <f>K26</f>
        <v>46265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R2'!E58</f>
        <v>0</v>
      </c>
      <c r="E28" s="292">
        <f>'Rem. Anticipos R2'!F58</f>
        <v>0</v>
      </c>
      <c r="F28" s="292">
        <f>'Rem. Anticipos R2'!G58</f>
        <v>0</v>
      </c>
      <c r="G28" s="292">
        <f>'Rem. Anticipos R2'!H58</f>
        <v>0</v>
      </c>
      <c r="H28" s="292">
        <f>'Rem. Anticipos R2'!I58</f>
        <v>0</v>
      </c>
      <c r="I28" s="292">
        <f>'Rem. Anticipos R2'!J58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R2'!K58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R2'!L58</f>
        <v>0</v>
      </c>
      <c r="V28" s="308">
        <f>'Rem. Anticipos R2'!M58</f>
        <v>0</v>
      </c>
      <c r="W28" s="308">
        <f>'Rem. Anticipos R2'!N58</f>
        <v>0</v>
      </c>
      <c r="X28" s="308">
        <f>'Rem. Anticipos R2'!O58</f>
        <v>0</v>
      </c>
      <c r="Y28" s="308">
        <f>'Rem. Anticipos R2'!P58</f>
        <v>0</v>
      </c>
      <c r="Z28" s="310">
        <f>L28*-1</f>
        <v>0</v>
      </c>
      <c r="AA28" s="311">
        <f>'Rem. Anticipos R2'!Q58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R2'!E59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R2'!E155</f>
        <v>0</v>
      </c>
      <c r="E29" s="292">
        <f>'Rem. Anticipos R2'!F155</f>
        <v>0</v>
      </c>
      <c r="F29" s="292">
        <f>'Rem. Anticipos R2'!G155</f>
        <v>0</v>
      </c>
      <c r="G29" s="292">
        <f>'Rem. Anticipos R2'!H155</f>
        <v>0</v>
      </c>
      <c r="H29" s="292">
        <f>'Rem. Anticipos R2'!I155</f>
        <v>0</v>
      </c>
      <c r="I29" s="292">
        <f>'Rem. Anticipos R2'!J155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R2'!K155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R2'!L155</f>
        <v>0</v>
      </c>
      <c r="V29" s="317">
        <f>'Rem. Anticipos R2'!M155</f>
        <v>0</v>
      </c>
      <c r="W29" s="317">
        <f>'Rem. Anticipos R2'!N155</f>
        <v>0</v>
      </c>
      <c r="X29" s="317">
        <f>'Rem. Anticipos R2'!O155</f>
        <v>0</v>
      </c>
      <c r="Y29" s="318">
        <f>'Rem. Anticipos R2'!P155</f>
        <v>0</v>
      </c>
      <c r="Z29" s="319">
        <f>L29*-1</f>
        <v>0</v>
      </c>
      <c r="AA29" s="320">
        <f>'Rem. Anticipos R2'!Q155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R2'!E156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R2'!E272</f>
        <v>0</v>
      </c>
      <c r="E30" s="292">
        <f>'Rem. Anticipos R2'!F272</f>
        <v>0</v>
      </c>
      <c r="F30" s="292">
        <f>'Rem. Anticipos R2'!G272</f>
        <v>0</v>
      </c>
      <c r="G30" s="292">
        <f>'Rem. Anticipos R2'!H272</f>
        <v>0</v>
      </c>
      <c r="H30" s="292">
        <f>'Rem. Anticipos R2'!I272</f>
        <v>0</v>
      </c>
      <c r="I30" s="292">
        <f>'Rem. Anticipos R2'!J272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R2'!L272</f>
        <v>0</v>
      </c>
      <c r="V30" s="317">
        <f>'Rem. Anticipos R2'!M272</f>
        <v>0</v>
      </c>
      <c r="W30" s="317">
        <f>'Rem. Anticipos R2'!N272</f>
        <v>0</v>
      </c>
      <c r="X30" s="317">
        <f>'Rem. Anticipos R2'!O272</f>
        <v>0</v>
      </c>
      <c r="Y30" s="318">
        <f>'Rem. Anticipos R2'!P272</f>
        <v>0</v>
      </c>
      <c r="Z30" s="319">
        <f>L30*-1</f>
        <v>0</v>
      </c>
      <c r="AA30" s="320">
        <f>'Rem. Anticipos R2'!Q272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R2'!E273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R2'!E375</f>
        <v>0</v>
      </c>
      <c r="E31" s="292">
        <f>'Rem. Anticipos R2'!F375</f>
        <v>0</v>
      </c>
      <c r="F31" s="292">
        <f>'Rem. Anticipos R2'!G375</f>
        <v>0</v>
      </c>
      <c r="G31" s="292">
        <f>'Rem. Anticipos R2'!H375</f>
        <v>0</v>
      </c>
      <c r="H31" s="292">
        <f>'Rem. Anticipos R2'!I375</f>
        <v>0</v>
      </c>
      <c r="I31" s="292">
        <f>'Rem. Anticipos R2'!J375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R2'!L375</f>
        <v>0</v>
      </c>
      <c r="V31" s="317">
        <f>'Rem. Anticipos R2'!M375</f>
        <v>0</v>
      </c>
      <c r="W31" s="317">
        <f>'Rem. Anticipos R2'!N375</f>
        <v>0</v>
      </c>
      <c r="X31" s="317">
        <f>'Rem. Anticipos R2'!O375</f>
        <v>0</v>
      </c>
      <c r="Y31" s="318">
        <f>'Rem. Anticipos R2'!P375</f>
        <v>0</v>
      </c>
      <c r="Z31" s="319">
        <f>L31*-1</f>
        <v>0</v>
      </c>
      <c r="AA31" s="320">
        <f>'Rem. Anticipos R2'!Q375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R2'!E376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R2'!E455</f>
        <v>0</v>
      </c>
      <c r="E32" s="297">
        <f>'Rem. Anticipos R2'!F455</f>
        <v>0</v>
      </c>
      <c r="F32" s="297">
        <f>'Rem. Anticipos R2'!G455</f>
        <v>0</v>
      </c>
      <c r="G32" s="297">
        <f>'Rem. Anticipos R2'!H455</f>
        <v>0</v>
      </c>
      <c r="H32" s="297">
        <f>'Rem. Anticipos R2'!I455</f>
        <v>0</v>
      </c>
      <c r="I32" s="297">
        <f>'Rem. Anticipos R2'!J455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R2'!L455</f>
        <v>0</v>
      </c>
      <c r="V32" s="297">
        <f>'Rem. Anticipos R2'!M455</f>
        <v>0</v>
      </c>
      <c r="W32" s="297">
        <f>'Rem. Anticipos R2'!N455</f>
        <v>0</v>
      </c>
      <c r="X32" s="297">
        <f>'Rem. Anticipos R2'!O455</f>
        <v>0</v>
      </c>
      <c r="Y32" s="289">
        <f>'Rem. Anticipos R2'!P455</f>
        <v>0</v>
      </c>
      <c r="Z32" s="319">
        <f>L32*-1</f>
        <v>0</v>
      </c>
      <c r="AA32" s="320">
        <f>'Rem. Anticipos R2'!Q455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R2'!E456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46267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46250</v>
      </c>
      <c r="J45" s="2" t="s">
        <v>28</v>
      </c>
      <c r="K45" s="9">
        <f>K7</f>
        <v>46265</v>
      </c>
      <c r="O45" s="10"/>
      <c r="P45" s="2"/>
      <c r="Q45" s="4"/>
      <c r="S45" s="8"/>
      <c r="U45" s="1" t="str">
        <f>F45</f>
        <v>Fecha Desde:</v>
      </c>
      <c r="V45" s="9">
        <f>G45</f>
        <v>46250</v>
      </c>
      <c r="W45" s="1" t="s">
        <v>1</v>
      </c>
      <c r="X45" s="1" t="str">
        <f>J45</f>
        <v>Feha Hasta:</v>
      </c>
      <c r="Y45" s="9">
        <f>K45</f>
        <v>46265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11">
        <f>'Reporte Componentes R1'!R77+'Reporte Componentes R1'!S77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R1'!F221</f>
        <v>0</v>
      </c>
      <c r="E48" s="292">
        <f>'Reporte Componentes R1'!G221</f>
        <v>0</v>
      </c>
      <c r="F48" s="292">
        <f>'Reporte Componentes R1'!H221</f>
        <v>0</v>
      </c>
      <c r="G48" s="292">
        <f>'Reporte Componentes R1'!I221</f>
        <v>0</v>
      </c>
      <c r="H48" s="292">
        <f>'Reporte Componentes R1'!J221</f>
        <v>0</v>
      </c>
      <c r="I48" s="292">
        <f>'Reporte Componentes R1'!K221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R1'!L221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R1'!M221</f>
        <v>0</v>
      </c>
      <c r="V48" s="317">
        <f>'Reporte Componentes R1'!N221</f>
        <v>0</v>
      </c>
      <c r="W48" s="317">
        <f>'Reporte Componentes R1'!O221</f>
        <v>0</v>
      </c>
      <c r="X48" s="317">
        <f>'Reporte Componentes R1'!P221</f>
        <v>0</v>
      </c>
      <c r="Y48" s="318">
        <f>'Reporte Componentes R1'!Q221</f>
        <v>0</v>
      </c>
      <c r="Z48" s="319">
        <f>-L48</f>
        <v>0</v>
      </c>
      <c r="AA48" s="320">
        <f>'Reporte Componentes R1'!R221+'Reporte Componentes R1'!S221+'Reporte Componentes R1'!T221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R1'!F222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R1'!F352</f>
        <v>0</v>
      </c>
      <c r="E49" s="292">
        <f>'Reporte Componentes R1'!G352</f>
        <v>0</v>
      </c>
      <c r="F49" s="292">
        <f>'Reporte Componentes R1'!H352</f>
        <v>0</v>
      </c>
      <c r="G49" s="292">
        <f>'Reporte Componentes R1'!I352</f>
        <v>0</v>
      </c>
      <c r="H49" s="292">
        <f>'Reporte Componentes R1'!J352</f>
        <v>0</v>
      </c>
      <c r="I49" s="292">
        <f>'Reporte Componentes R1'!K352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R1'!L352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R1'!M352</f>
        <v>0</v>
      </c>
      <c r="V49" s="317">
        <f>'Reporte Componentes R1'!N352</f>
        <v>0</v>
      </c>
      <c r="W49" s="317">
        <f>'Reporte Componentes R1'!O352</f>
        <v>0</v>
      </c>
      <c r="X49" s="317">
        <f>'Reporte Componentes R1'!P352</f>
        <v>0</v>
      </c>
      <c r="Y49" s="318">
        <f>'Reporte Componentes R1'!Q352</f>
        <v>0</v>
      </c>
      <c r="Z49" s="319">
        <f>-L49</f>
        <v>0</v>
      </c>
      <c r="AA49" s="320">
        <f>'Reporte Componentes R1'!R352+'Reporte Componentes R1'!S352+'Reporte Componentes R1'!T352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R1'!F353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R1'!F483</f>
        <v>0</v>
      </c>
      <c r="E50" s="292">
        <f>'Reporte Componentes R1'!G483</f>
        <v>0</v>
      </c>
      <c r="F50" s="292">
        <f>'Reporte Componentes R1'!H483</f>
        <v>0</v>
      </c>
      <c r="G50" s="292">
        <f>'Reporte Componentes R1'!I483</f>
        <v>0</v>
      </c>
      <c r="H50" s="292">
        <f>'Reporte Componentes R1'!J483</f>
        <v>0</v>
      </c>
      <c r="I50" s="292">
        <f>'Reporte Componentes R1'!K483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R1'!L483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R1'!M483</f>
        <v>0</v>
      </c>
      <c r="V50" s="317">
        <f>'Reporte Componentes R1'!N483</f>
        <v>0</v>
      </c>
      <c r="W50" s="317">
        <f>'Reporte Componentes R1'!O483</f>
        <v>0</v>
      </c>
      <c r="X50" s="317">
        <f>'Reporte Componentes R1'!P483</f>
        <v>0</v>
      </c>
      <c r="Y50" s="318">
        <f>'Reporte Componentes R1'!Q483</f>
        <v>0</v>
      </c>
      <c r="Z50" s="319">
        <f>-L50</f>
        <v>0</v>
      </c>
      <c r="AA50" s="320">
        <f>'Reporte Componentes R1'!R483+'Reporte Componentes R1'!S483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R1'!F484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R1'!F581</f>
        <v>0</v>
      </c>
      <c r="E51" s="297">
        <f>'Reporte Componentes R1'!G581</f>
        <v>0</v>
      </c>
      <c r="F51" s="297">
        <f>'Reporte Componentes R1'!H581</f>
        <v>0</v>
      </c>
      <c r="G51" s="297">
        <f>'Reporte Componentes R1'!I581</f>
        <v>0</v>
      </c>
      <c r="H51" s="297">
        <f>'Reporte Componentes R1'!J581</f>
        <v>0</v>
      </c>
      <c r="I51" s="297">
        <f>'Reporte Componentes R1'!K581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R1'!L581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R1'!M581</f>
        <v>0</v>
      </c>
      <c r="V51" s="297">
        <f>'Reporte Componentes R1'!N581</f>
        <v>0</v>
      </c>
      <c r="W51" s="297">
        <f>'Reporte Componentes R1'!O581</f>
        <v>0</v>
      </c>
      <c r="X51" s="297">
        <f>'Reporte Componentes R1'!P581</f>
        <v>0</v>
      </c>
      <c r="Y51" s="289">
        <f>'Reporte Componentes R1'!Q581</f>
        <v>0</v>
      </c>
      <c r="Z51" s="319">
        <f>-L51</f>
        <v>0</v>
      </c>
      <c r="AA51" s="320">
        <f>'Reporte Componentes R1'!R581+'Reporte Componentes R1'!S581+'Reporte Componentes R1'!T581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R1'!F582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46267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46250</v>
      </c>
      <c r="J64" s="2" t="s">
        <v>28</v>
      </c>
      <c r="K64" s="9">
        <f>K7</f>
        <v>46265</v>
      </c>
      <c r="O64" s="10"/>
      <c r="P64" s="2"/>
      <c r="Q64" s="4"/>
      <c r="S64" s="8"/>
      <c r="U64" s="1" t="str">
        <f>F64</f>
        <v>Fecha Desde:</v>
      </c>
      <c r="V64" s="9">
        <f>G64</f>
        <v>46250</v>
      </c>
      <c r="W64" s="1" t="s">
        <v>1</v>
      </c>
      <c r="X64" s="1" t="str">
        <f>J64</f>
        <v>Feha Hasta:</v>
      </c>
      <c r="Y64" s="9">
        <f>K64</f>
        <v>46265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R4'!D81</f>
        <v>0</v>
      </c>
      <c r="E66" s="292">
        <f>'Reversion Pagos R4'!E81</f>
        <v>0</v>
      </c>
      <c r="F66" s="292">
        <f>'Reversion Pagos R4'!F81</f>
        <v>0</v>
      </c>
      <c r="G66" s="292">
        <f>'Reversion Pagos R4'!G81</f>
        <v>0</v>
      </c>
      <c r="H66" s="292">
        <f>'Reversion Pagos R4'!H81</f>
        <v>0</v>
      </c>
      <c r="I66" s="292">
        <f>'Reversion Pagos R4'!I81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R4'!P81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R4'!J81</f>
        <v>0</v>
      </c>
      <c r="V66" s="308">
        <f>'Reversion Pagos R4'!K81</f>
        <v>0</v>
      </c>
      <c r="W66" s="308">
        <f>'Reversion Pagos R4'!L81</f>
        <v>0</v>
      </c>
      <c r="X66" s="308">
        <f>'Reversion Pagos R4'!M81</f>
        <v>0</v>
      </c>
      <c r="Y66" s="308">
        <f>'Reversion Pagos R4'!N81</f>
        <v>0</v>
      </c>
      <c r="Z66" s="310">
        <f>-L66</f>
        <v>0</v>
      </c>
      <c r="AA66" s="311">
        <f>'Reversion Pagos R4'!O81+'Reversion Pagos R4'!Q81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R4'!D82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R4'!D176</f>
        <v>0</v>
      </c>
      <c r="E67" s="292">
        <f>'Reversion Pagos R4'!E176</f>
        <v>0</v>
      </c>
      <c r="F67" s="292">
        <f>'Reversion Pagos R4'!F176</f>
        <v>0</v>
      </c>
      <c r="G67" s="292">
        <f>'Reversion Pagos R4'!G176</f>
        <v>0</v>
      </c>
      <c r="H67" s="292">
        <f>'Reversion Pagos R4'!H176</f>
        <v>0</v>
      </c>
      <c r="I67" s="292">
        <f>'Reversion Pagos R4'!I176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R4'!P176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R4'!J176</f>
        <v>0</v>
      </c>
      <c r="V67" s="317">
        <f>'Reversion Pagos R4'!K176</f>
        <v>0</v>
      </c>
      <c r="W67" s="317">
        <f>'Reversion Pagos R4'!L176</f>
        <v>0</v>
      </c>
      <c r="X67" s="317">
        <f>'Reversion Pagos R4'!M176</f>
        <v>0</v>
      </c>
      <c r="Y67" s="318">
        <f>'Reversion Pagos R4'!N176</f>
        <v>0</v>
      </c>
      <c r="Z67" s="319">
        <f t="shared" ref="Z67:Z70" si="26">-L67</f>
        <v>0</v>
      </c>
      <c r="AA67" s="320">
        <f>'Reversion Pagos R4'!O176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R4'!D177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R4'!D207</f>
        <v>0</v>
      </c>
      <c r="E68" s="292">
        <f>'Reversion Pagos R4'!E207</f>
        <v>0</v>
      </c>
      <c r="F68" s="292">
        <f>'Reversion Pagos R4'!F207</f>
        <v>0</v>
      </c>
      <c r="G68" s="292">
        <f>'Reversion Pagos R4'!G207</f>
        <v>0</v>
      </c>
      <c r="H68" s="292">
        <f>'Reversion Pagos R4'!H207</f>
        <v>0</v>
      </c>
      <c r="I68" s="292">
        <f>'Reversion Pagos R4'!I207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R4'!P207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R4'!J207</f>
        <v>0</v>
      </c>
      <c r="V68" s="317">
        <f>'Reversion Pagos R4'!K207</f>
        <v>0</v>
      </c>
      <c r="W68" s="317">
        <f>'Reversion Pagos R4'!L207</f>
        <v>0</v>
      </c>
      <c r="X68" s="317">
        <f>'Reversion Pagos R4'!M207</f>
        <v>0</v>
      </c>
      <c r="Y68" s="318">
        <f>'Reversion Pagos R4'!N207</f>
        <v>0</v>
      </c>
      <c r="Z68" s="319">
        <f t="shared" si="26"/>
        <v>0</v>
      </c>
      <c r="AA68" s="320">
        <f>'Reversion Pagos R4'!O207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R4'!D208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R4'!D321</f>
        <v>0</v>
      </c>
      <c r="E69" s="292">
        <f>'Reversion Pagos R4'!E321</f>
        <v>0</v>
      </c>
      <c r="F69" s="292">
        <f>'Reversion Pagos R4'!F321</f>
        <v>0</v>
      </c>
      <c r="G69" s="292">
        <f>'Reversion Pagos R4'!G321</f>
        <v>0</v>
      </c>
      <c r="H69" s="292">
        <f>'Reversion Pagos R4'!H321</f>
        <v>0</v>
      </c>
      <c r="I69" s="292">
        <f>'Reversion Pagos R4'!I321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R4'!P321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R4'!J321</f>
        <v>0</v>
      </c>
      <c r="V69" s="317">
        <f>'Reversion Pagos R4'!K321</f>
        <v>0</v>
      </c>
      <c r="W69" s="317">
        <f>'Reversion Pagos R4'!L321</f>
        <v>0</v>
      </c>
      <c r="X69" s="317">
        <f>'Reversion Pagos R4'!M321</f>
        <v>0</v>
      </c>
      <c r="Y69" s="318">
        <f>'Reversion Pagos R4'!N321</f>
        <v>0</v>
      </c>
      <c r="Z69" s="319">
        <f t="shared" si="26"/>
        <v>0</v>
      </c>
      <c r="AA69" s="320">
        <f>'Reversion Pagos R4'!O321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R4'!D322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R4'!D356</f>
        <v>0</v>
      </c>
      <c r="E70" s="297">
        <f>'Reversion Pagos R4'!E356</f>
        <v>0</v>
      </c>
      <c r="F70" s="297">
        <f>'Reversion Pagos R4'!F356</f>
        <v>0</v>
      </c>
      <c r="G70" s="297">
        <f>'Reversion Pagos R4'!G356</f>
        <v>0</v>
      </c>
      <c r="H70" s="297">
        <f>'Reversion Pagos R4'!H356</f>
        <v>0</v>
      </c>
      <c r="I70" s="297">
        <f>'Reversion Pagos R4'!I356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R4'!P356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R4'!J356</f>
        <v>0</v>
      </c>
      <c r="V70" s="297">
        <f>'Reversion Pagos R4'!K356</f>
        <v>0</v>
      </c>
      <c r="W70" s="297">
        <f>'Reversion Pagos R4'!L356</f>
        <v>0</v>
      </c>
      <c r="X70" s="297">
        <f>'Reversion Pagos R4'!M356</f>
        <v>0</v>
      </c>
      <c r="Y70" s="289">
        <f>'Reversion Pagos R4'!N356</f>
        <v>0</v>
      </c>
      <c r="Z70" s="319">
        <f t="shared" si="26"/>
        <v>0</v>
      </c>
      <c r="AA70" s="320">
        <f>'Reversion Pagos R4'!O356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R4'!D357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46267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46250</v>
      </c>
      <c r="J83" s="2" t="s">
        <v>28</v>
      </c>
      <c r="K83" s="9">
        <f>K7</f>
        <v>46265</v>
      </c>
      <c r="O83" s="10"/>
      <c r="P83" s="2"/>
      <c r="Q83" s="4"/>
      <c r="S83" s="8"/>
      <c r="U83" s="1" t="str">
        <f>F83</f>
        <v>Fecha Desde:</v>
      </c>
      <c r="V83" s="9">
        <f>G83</f>
        <v>46250</v>
      </c>
      <c r="W83" s="1" t="s">
        <v>1</v>
      </c>
      <c r="X83" s="1" t="str">
        <f>J83</f>
        <v>Feha Hasta:</v>
      </c>
      <c r="Y83" s="9">
        <f>K83</f>
        <v>46265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46267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46250</v>
      </c>
      <c r="J102" s="2" t="s">
        <v>28</v>
      </c>
      <c r="K102" s="9">
        <f>K7</f>
        <v>46265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46250</v>
      </c>
      <c r="W102" s="1" t="s">
        <v>1</v>
      </c>
      <c r="X102" s="1" t="str">
        <f>J102</f>
        <v>Feha Hasta:</v>
      </c>
      <c r="Y102" s="9">
        <f>K102</f>
        <v>46265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46250</v>
      </c>
      <c r="J122" s="2" t="s">
        <v>28</v>
      </c>
      <c r="K122" s="9">
        <f>K7</f>
        <v>46265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21875" bestFit="1" customWidth="1"/>
    <col min="3" max="3" width="16.77734375" customWidth="1"/>
    <col min="4" max="4" width="14.21875" customWidth="1"/>
    <col min="5" max="7" width="17.77734375" customWidth="1"/>
    <col min="8" max="8" width="18.21875" customWidth="1"/>
    <col min="9" max="9" width="15.77734375" customWidth="1"/>
    <col min="10" max="10" width="16.44140625" customWidth="1"/>
    <col min="11" max="11" width="15.77734375" customWidth="1"/>
    <col min="12" max="13" width="18.21875" customWidth="1"/>
    <col min="14" max="14" width="15.77734375" customWidth="1"/>
    <col min="15" max="15" width="14.218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5.21875" style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9.44140625" style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46267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46250</v>
      </c>
      <c r="J7" s="2" t="s">
        <v>28</v>
      </c>
      <c r="K7" s="9">
        <f>'CONSOLIDADO_TOTAL RECAUDO'!K102</f>
        <v>46265</v>
      </c>
      <c r="O7" s="10"/>
      <c r="P7" s="2"/>
      <c r="Q7" s="4"/>
      <c r="S7" s="8"/>
      <c r="U7" s="1" t="str">
        <f>F7</f>
        <v>Fecha Desde:</v>
      </c>
      <c r="V7" s="9">
        <f>G7</f>
        <v>46250</v>
      </c>
      <c r="W7" s="1" t="s">
        <v>1</v>
      </c>
      <c r="X7" s="1" t="str">
        <f>J7</f>
        <v>Feha Hasta:</v>
      </c>
      <c r="Y7" s="9">
        <f>K7</f>
        <v>46265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46250</v>
      </c>
      <c r="J27" s="2" t="s">
        <v>28</v>
      </c>
      <c r="K27" s="9">
        <f>'CONSOLIDADO_TOTAL RECAUDO'!K122</f>
        <v>46265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A8" workbookViewId="0">
      <selection activeCell="E40" sqref="E40"/>
    </sheetView>
  </sheetViews>
  <sheetFormatPr baseColWidth="10" defaultColWidth="11.44140625" defaultRowHeight="14.4" x14ac:dyDescent="0.3"/>
  <cols>
    <col min="1" max="1" width="2.77734375" style="609" customWidth="1"/>
    <col min="2" max="2" width="7.21875" style="609" customWidth="1"/>
    <col min="3" max="3" width="42.777343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330</v>
      </c>
    </row>
    <row r="3" spans="2:20" customFormat="1" x14ac:dyDescent="0.25">
      <c r="F3" s="660" t="s">
        <v>8</v>
      </c>
      <c r="H3" s="660" t="s">
        <v>16</v>
      </c>
      <c r="L3" s="660" t="s">
        <v>228</v>
      </c>
      <c r="M3" s="660" t="s">
        <v>343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229</v>
      </c>
    </row>
    <row r="6" spans="2:20" customFormat="1" x14ac:dyDescent="0.25">
      <c r="C6" s="660" t="s">
        <v>230</v>
      </c>
      <c r="D6" s="660" t="s">
        <v>344</v>
      </c>
      <c r="F6" s="660" t="s">
        <v>231</v>
      </c>
    </row>
    <row r="7" spans="2:20" customFormat="1" x14ac:dyDescent="0.25">
      <c r="C7" s="660" t="s">
        <v>232</v>
      </c>
      <c r="D7" s="660" t="s">
        <v>345</v>
      </c>
      <c r="F7" s="660" t="s">
        <v>27</v>
      </c>
      <c r="G7" s="660" t="s">
        <v>346</v>
      </c>
      <c r="I7" s="660" t="s">
        <v>233</v>
      </c>
      <c r="J7" s="660" t="s">
        <v>347</v>
      </c>
    </row>
    <row r="8" spans="2:20" customFormat="1" ht="43.2" x14ac:dyDescent="0.25">
      <c r="B8" s="661" t="s">
        <v>3</v>
      </c>
      <c r="C8" s="661" t="s">
        <v>234</v>
      </c>
      <c r="D8" s="661" t="s">
        <v>235</v>
      </c>
      <c r="E8" s="661" t="s">
        <v>236</v>
      </c>
      <c r="F8" s="661" t="s">
        <v>237</v>
      </c>
      <c r="G8" s="661" t="s">
        <v>238</v>
      </c>
      <c r="H8" s="661" t="s">
        <v>239</v>
      </c>
      <c r="I8" s="661" t="s">
        <v>240</v>
      </c>
      <c r="J8" s="661" t="s">
        <v>241</v>
      </c>
      <c r="K8" s="661" t="s">
        <v>242</v>
      </c>
      <c r="L8" s="661" t="s">
        <v>243</v>
      </c>
      <c r="M8" s="661" t="s">
        <v>244</v>
      </c>
      <c r="N8" s="661" t="s">
        <v>245</v>
      </c>
      <c r="O8" s="661" t="s">
        <v>246</v>
      </c>
    </row>
    <row r="9" spans="2:20" customFormat="1" ht="13.2" x14ac:dyDescent="0.25">
      <c r="B9" s="641" t="s">
        <v>115</v>
      </c>
      <c r="C9" s="641" t="s">
        <v>10</v>
      </c>
      <c r="D9" s="642">
        <v>18378829331</v>
      </c>
      <c r="E9" s="642">
        <v>980822759</v>
      </c>
      <c r="F9" s="642">
        <v>553086268</v>
      </c>
      <c r="G9" s="642">
        <v>291040191</v>
      </c>
      <c r="H9" s="642">
        <v>4200833349</v>
      </c>
      <c r="I9" s="642">
        <v>157066804</v>
      </c>
      <c r="J9" s="642">
        <v>-3610213749</v>
      </c>
      <c r="K9" s="642">
        <v>15806193709</v>
      </c>
      <c r="L9" s="642">
        <v>189185988</v>
      </c>
      <c r="M9" s="642">
        <v>15617007721</v>
      </c>
      <c r="N9" s="642">
        <v>37169760</v>
      </c>
      <c r="O9" s="642">
        <v>15654177482</v>
      </c>
    </row>
    <row r="10" spans="2:20" customFormat="1" ht="13.2" x14ac:dyDescent="0.25">
      <c r="B10" s="641" t="s">
        <v>116</v>
      </c>
      <c r="C10" s="641" t="s">
        <v>11</v>
      </c>
      <c r="D10" s="642">
        <v>21599709648</v>
      </c>
      <c r="E10" s="642">
        <v>1664913210</v>
      </c>
      <c r="F10" s="642">
        <v>928913039</v>
      </c>
      <c r="G10" s="642">
        <v>484899626</v>
      </c>
      <c r="H10" s="642">
        <v>6836664707</v>
      </c>
      <c r="I10" s="642">
        <v>226464783</v>
      </c>
      <c r="J10" s="642">
        <v>-4289876341</v>
      </c>
      <c r="K10" s="642">
        <v>15747730624</v>
      </c>
      <c r="L10" s="642">
        <v>266580256</v>
      </c>
      <c r="M10" s="642">
        <v>15481150368</v>
      </c>
      <c r="N10" s="642">
        <v>65704059</v>
      </c>
      <c r="O10" s="642">
        <v>15546854427</v>
      </c>
    </row>
    <row r="11" spans="2:20" customFormat="1" ht="13.2" x14ac:dyDescent="0.25">
      <c r="B11" s="641" t="s">
        <v>117</v>
      </c>
      <c r="C11" s="641" t="s">
        <v>247</v>
      </c>
      <c r="D11" s="642">
        <v>16369059896</v>
      </c>
      <c r="E11" s="642">
        <v>1145520725</v>
      </c>
      <c r="F11" s="642">
        <v>645908032</v>
      </c>
      <c r="G11" s="642">
        <v>339211946</v>
      </c>
      <c r="H11" s="642">
        <v>4563959120</v>
      </c>
      <c r="I11" s="642">
        <v>127453979</v>
      </c>
      <c r="J11" s="642">
        <v>-829262233</v>
      </c>
      <c r="K11" s="642">
        <v>10376268326</v>
      </c>
      <c r="L11" s="642">
        <v>154788536</v>
      </c>
      <c r="M11" s="642">
        <v>10221479790</v>
      </c>
      <c r="N11" s="642">
        <v>37498085</v>
      </c>
      <c r="O11" s="642">
        <v>10258977875</v>
      </c>
    </row>
    <row r="12" spans="2:20" customFormat="1" ht="13.2" x14ac:dyDescent="0.25">
      <c r="B12" s="641" t="s">
        <v>248</v>
      </c>
      <c r="C12" s="641" t="s">
        <v>13</v>
      </c>
      <c r="D12" s="642">
        <v>8372092112</v>
      </c>
      <c r="E12" s="642">
        <v>519799230</v>
      </c>
      <c r="F12" s="642">
        <v>291481365</v>
      </c>
      <c r="G12" s="642">
        <v>153357454</v>
      </c>
      <c r="H12" s="642">
        <v>2114189448</v>
      </c>
      <c r="I12" s="642">
        <v>73261230</v>
      </c>
      <c r="J12" s="642">
        <v>-706235925</v>
      </c>
      <c r="K12" s="642">
        <v>5926239312</v>
      </c>
      <c r="L12" s="642">
        <v>120391083</v>
      </c>
      <c r="M12" s="642">
        <v>5805848229</v>
      </c>
      <c r="N12" s="642">
        <v>11313242</v>
      </c>
      <c r="O12" s="642">
        <v>5817161471</v>
      </c>
    </row>
    <row r="13" spans="2:20" customFormat="1" ht="13.2" x14ac:dyDescent="0.25">
      <c r="B13" s="641" t="s">
        <v>118</v>
      </c>
      <c r="C13" s="641" t="s">
        <v>14</v>
      </c>
      <c r="D13" s="642">
        <v>12137660178</v>
      </c>
      <c r="E13" s="642">
        <v>725409164</v>
      </c>
      <c r="F13" s="642">
        <v>408227724</v>
      </c>
      <c r="G13" s="642">
        <v>214644413</v>
      </c>
      <c r="H13" s="642">
        <v>3009772460</v>
      </c>
      <c r="I13" s="642">
        <v>109522049</v>
      </c>
      <c r="J13" s="642">
        <v>-23403941</v>
      </c>
      <c r="K13" s="642">
        <v>7693488309</v>
      </c>
      <c r="L13" s="642">
        <v>128990446</v>
      </c>
      <c r="M13" s="642">
        <v>7564497863</v>
      </c>
      <c r="N13" s="642">
        <v>11174580</v>
      </c>
      <c r="O13" s="642">
        <v>7575672443</v>
      </c>
    </row>
    <row r="14" spans="2:20" customFormat="1" ht="13.2" x14ac:dyDescent="0.25">
      <c r="B14" s="641" t="s">
        <v>249</v>
      </c>
      <c r="C14" s="641" t="s">
        <v>70</v>
      </c>
      <c r="D14" s="642">
        <v>76857351165</v>
      </c>
      <c r="E14" s="642">
        <v>5036465088</v>
      </c>
      <c r="F14" s="642">
        <v>2827616428</v>
      </c>
      <c r="G14" s="642">
        <v>1483153630</v>
      </c>
      <c r="H14" s="642">
        <v>20725419084</v>
      </c>
      <c r="I14" s="642">
        <v>693768845</v>
      </c>
      <c r="J14" s="642">
        <v>-9458992189</v>
      </c>
      <c r="K14" s="642">
        <v>55549920280</v>
      </c>
      <c r="L14" s="642">
        <v>859936309</v>
      </c>
      <c r="M14" s="642">
        <v>54689983971</v>
      </c>
      <c r="N14" s="642">
        <v>162859726</v>
      </c>
      <c r="O14" s="642">
        <v>54852843698</v>
      </c>
    </row>
    <row r="15" spans="2:20" customFormat="1" ht="13.2" x14ac:dyDescent="0.25"/>
    <row r="16" spans="2:20" customFormat="1" ht="13.2" x14ac:dyDescent="0.25">
      <c r="C16" s="662" t="s">
        <v>324</v>
      </c>
    </row>
    <row r="18" spans="2:15" x14ac:dyDescent="0.3">
      <c r="E18" s="611" t="s">
        <v>250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-0.12999725341796875</v>
      </c>
      <c r="E23" s="648">
        <f>E9-'CONSOLIDADO_TOTAL RECAUDO'!E104</f>
        <v>-0.10000002384185791</v>
      </c>
      <c r="F23" s="648">
        <f>F9-'CONSOLIDADO_TOTAL RECAUDO'!F104</f>
        <v>0.23999977111816406</v>
      </c>
      <c r="G23" s="648">
        <f>G9-'CONSOLIDADO_TOTAL RECAUDO'!G104</f>
        <v>-7.9999923706054688E-2</v>
      </c>
      <c r="H23" s="648">
        <f>H9-'CONSOLIDADO_TOTAL RECAUDO'!H104</f>
        <v>0.21000003814697266</v>
      </c>
      <c r="I23" s="648">
        <f>I9-'CONSOLIDADO_TOTAL RECAUDO'!I104</f>
        <v>-0.19999998807907104</v>
      </c>
      <c r="J23" s="648">
        <f>J9-'CONSOLIDADO_TOTAL RECAUDO'!J104</f>
        <v>0.27000045776367188</v>
      </c>
      <c r="K23" s="648">
        <f>K9-'CONSOLIDADO_TOTAL RECAUDO'!K104</f>
        <v>-0.46999740600585938</v>
      </c>
      <c r="L23" s="648">
        <f>L9-'CONSOLIDADO_TOTAL RECAUDO'!L104</f>
        <v>0</v>
      </c>
      <c r="M23" s="648">
        <f>M9-'CONSOLIDADO_TOTAL RECAUDO'!M104</f>
        <v>-0.46999740600585938</v>
      </c>
      <c r="N23" s="648">
        <f>N9-'CONSOLIDADO_TOTAL RECAUDO'!N104</f>
        <v>-0.24000000208616257</v>
      </c>
      <c r="O23" s="648">
        <f>O9-'CONSOLIDADO_TOTAL RECAUDO'!O104</f>
        <v>0.29000282287597656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0.470001220703125</v>
      </c>
      <c r="E24" s="648">
        <f>E10-'CONSOLIDADO_TOTAL RECAUDO'!E105</f>
        <v>0.42000007629394531</v>
      </c>
      <c r="F24" s="648">
        <f>F10-'CONSOLIDADO_TOTAL RECAUDO'!F105</f>
        <v>0.24000000953674316</v>
      </c>
      <c r="G24" s="648">
        <f>G10-'CONSOLIDADO_TOTAL RECAUDO'!G105</f>
        <v>-0.28999996185302734</v>
      </c>
      <c r="H24" s="648">
        <f>H10-'CONSOLIDADO_TOTAL RECAUDO'!H105</f>
        <v>-0.11999893188476563</v>
      </c>
      <c r="I24" s="648">
        <f>I10-'CONSOLIDADO_TOTAL RECAUDO'!I105</f>
        <v>0.12000000476837158</v>
      </c>
      <c r="J24" s="648">
        <f>J10-'CONSOLIDADO_TOTAL RECAUDO'!J105</f>
        <v>0.32999992370605469</v>
      </c>
      <c r="K24" s="648">
        <f>K10-'CONSOLIDADO_TOTAL RECAUDO'!K105</f>
        <v>-0.22999954223632813</v>
      </c>
      <c r="L24" s="648">
        <f>L10-'CONSOLIDADO_TOTAL RECAUDO'!L105</f>
        <v>0</v>
      </c>
      <c r="M24" s="648">
        <f>M10-'CONSOLIDADO_TOTAL RECAUDO'!M105</f>
        <v>-0.22999954223632813</v>
      </c>
      <c r="N24" s="648">
        <f>N10-'CONSOLIDADO_TOTAL RECAUDO'!N105</f>
        <v>3.9999999105930328E-2</v>
      </c>
      <c r="O24" s="648">
        <f>O10-'CONSOLIDADO_TOTAL RECAUDO'!O105</f>
        <v>-0.18999862670898438</v>
      </c>
    </row>
    <row r="25" spans="2:15" x14ac:dyDescent="0.3">
      <c r="B25" s="610" t="s">
        <v>117</v>
      </c>
      <c r="C25" s="610" t="s">
        <v>247</v>
      </c>
      <c r="D25" s="648">
        <f>D11-'CONSOLIDADO_TOTAL RECAUDO'!D106</f>
        <v>0.3300018310546875</v>
      </c>
      <c r="E25" s="648">
        <f>E11-'CONSOLIDADO_TOTAL RECAUDO'!E106</f>
        <v>-0.32000041007995605</v>
      </c>
      <c r="F25" s="648">
        <f>F11-'CONSOLIDADO_TOTAL RECAUDO'!F106</f>
        <v>0.1400001049041748</v>
      </c>
      <c r="G25" s="648">
        <f>G11-'CONSOLIDADO_TOTAL RECAUDO'!G106</f>
        <v>-0.35000008344650269</v>
      </c>
      <c r="H25" s="648">
        <f>H11-'CONSOLIDADO_TOTAL RECAUDO'!H106</f>
        <v>-0.40000057220458984</v>
      </c>
      <c r="I25" s="648">
        <f>I11-'CONSOLIDADO_TOTAL RECAUDO'!I106</f>
        <v>-0.18000000715255737</v>
      </c>
      <c r="J25" s="648">
        <f>J11-'CONSOLIDADO_TOTAL RECAUDO'!J106</f>
        <v>0.29999995231628418</v>
      </c>
      <c r="K25" s="648">
        <f>K11-'CONSOLIDADO_TOTAL RECAUDO'!K106</f>
        <v>0.14000320434570313</v>
      </c>
      <c r="L25" s="648">
        <f>L11-'CONSOLIDADO_TOTAL RECAUDO'!L106</f>
        <v>0</v>
      </c>
      <c r="M25" s="648">
        <f>M11-'CONSOLIDADO_TOTAL RECAUDO'!M106</f>
        <v>0.14000320434570313</v>
      </c>
      <c r="N25" s="648">
        <f>N11-'CONSOLIDADO_TOTAL RECAUDO'!N106</f>
        <v>-0.2199999988079071</v>
      </c>
      <c r="O25" s="648">
        <f>O11-'CONSOLIDADO_TOTAL RECAUDO'!O106</f>
        <v>-7.9996109008789063E-2</v>
      </c>
    </row>
    <row r="26" spans="2:15" x14ac:dyDescent="0.3">
      <c r="B26" s="610" t="s">
        <v>248</v>
      </c>
      <c r="C26" s="610" t="s">
        <v>13</v>
      </c>
      <c r="D26" s="648">
        <f>D12-'CONSOLIDADO_TOTAL RECAUDO'!D107</f>
        <v>-0.47000026702880859</v>
      </c>
      <c r="E26" s="648">
        <f>E12-'CONSOLIDADO_TOTAL RECAUDO'!E107</f>
        <v>0.37000000476837158</v>
      </c>
      <c r="F26" s="648">
        <f>F12-'CONSOLIDADO_TOTAL RECAUDO'!F107</f>
        <v>0.35999995470046997</v>
      </c>
      <c r="G26" s="648">
        <f>G12-'CONSOLIDADO_TOTAL RECAUDO'!G107</f>
        <v>6.9999992847442627E-2</v>
      </c>
      <c r="H26" s="648">
        <f>H12-'CONSOLIDADO_TOTAL RECAUDO'!H107</f>
        <v>-0.1400001049041748</v>
      </c>
      <c r="I26" s="648">
        <f>I12-'CONSOLIDADO_TOTAL RECAUDO'!I107</f>
        <v>0.37999998033046722</v>
      </c>
      <c r="J26" s="648">
        <f>J12-'CONSOLIDADO_TOTAL RECAUDO'!J107</f>
        <v>0.21000027656555176</v>
      </c>
      <c r="K26" s="648">
        <f>K12-'CONSOLIDADO_TOTAL RECAUDO'!K107</f>
        <v>0.28000068664550781</v>
      </c>
      <c r="L26" s="648">
        <f>L12-'CONSOLIDADO_TOTAL RECAUDO'!L107</f>
        <v>0</v>
      </c>
      <c r="M26" s="648">
        <f>M12-'CONSOLIDADO_TOTAL RECAUDO'!M107</f>
        <v>0.28000068664550781</v>
      </c>
      <c r="N26" s="648">
        <f>N12-'CONSOLIDADO_TOTAL RECAUDO'!N107</f>
        <v>9.999999962747097E-2</v>
      </c>
      <c r="O26" s="648">
        <f>O12-'CONSOLIDADO_TOTAL RECAUDO'!O107</f>
        <v>0.38000106811523438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-0.17000198364257813</v>
      </c>
      <c r="E27" s="648">
        <f>E13-'CONSOLIDADO_TOTAL RECAUDO'!E108</f>
        <v>9.9999904632568359E-2</v>
      </c>
      <c r="F27" s="648">
        <f>F13-'CONSOLIDADO_TOTAL RECAUDO'!F108</f>
        <v>0.21000003814697266</v>
      </c>
      <c r="G27" s="648">
        <f>G13-'CONSOLIDADO_TOTAL RECAUDO'!G108</f>
        <v>-0.42000001668930054</v>
      </c>
      <c r="H27" s="648">
        <f>H13-'CONSOLIDADO_TOTAL RECAUDO'!H108</f>
        <v>-0.46000003814697266</v>
      </c>
      <c r="I27" s="648">
        <f>I13-'CONSOLIDADO_TOTAL RECAUDO'!I108</f>
        <v>0.33999998867511749</v>
      </c>
      <c r="J27" s="648">
        <f>J13-'CONSOLIDADO_TOTAL RECAUDO'!J108</f>
        <v>0.30999994277954102</v>
      </c>
      <c r="K27" s="648">
        <f>K13-'CONSOLIDADO_TOTAL RECAUDO'!K108</f>
        <v>-0.25000381469726563</v>
      </c>
      <c r="L27" s="648">
        <f>L13-'CONSOLIDADO_TOTAL RECAUDO'!L108</f>
        <v>0</v>
      </c>
      <c r="M27" s="648">
        <f>M13-'CONSOLIDADO_TOTAL RECAUDO'!M108</f>
        <v>-0.25000381469726563</v>
      </c>
      <c r="N27" s="648">
        <f>N13-'CONSOLIDADO_TOTAL RECAUDO'!N108</f>
        <v>-0.14000000059604645</v>
      </c>
      <c r="O27" s="648">
        <f>O13-'CONSOLIDADO_TOTAL RECAUDO'!O108</f>
        <v>-0.39000415802001953</v>
      </c>
    </row>
    <row r="28" spans="2:15" x14ac:dyDescent="0.3">
      <c r="B28" s="610" t="s">
        <v>249</v>
      </c>
      <c r="C28" s="610" t="s">
        <v>70</v>
      </c>
      <c r="D28" s="648">
        <f>D14-'CONSOLIDADO_TOTAL RECAUDO'!D109</f>
        <v>2.9998779296875E-2</v>
      </c>
      <c r="E28" s="648">
        <f>E14-'CONSOLIDADO_TOTAL RECAUDO'!E109</f>
        <v>0.46999931335449219</v>
      </c>
      <c r="F28" s="648">
        <f>F14-'CONSOLIDADO_TOTAL RECAUDO'!F109</f>
        <v>1.190000057220459</v>
      </c>
      <c r="G28" s="648">
        <f>G14-'CONSOLIDADO_TOTAL RECAUDO'!G109</f>
        <v>-1.070000171661377</v>
      </c>
      <c r="H28" s="648">
        <f>H14-'CONSOLIDADO_TOTAL RECAUDO'!H109</f>
        <v>-0.90999984741210938</v>
      </c>
      <c r="I28" s="648">
        <f>I14-'CONSOLIDADO_TOTAL RECAUDO'!I109</f>
        <v>0.46000003814697266</v>
      </c>
      <c r="J28" s="648">
        <f>J14-'CONSOLIDADO_TOTAL RECAUDO'!J109</f>
        <v>1.4200000762939453</v>
      </c>
      <c r="K28" s="648">
        <f>K14-'CONSOLIDADO_TOTAL RECAUDO'!K109</f>
        <v>-0.529998779296875</v>
      </c>
      <c r="L28" s="648">
        <f>L14-'CONSOLIDADO_TOTAL RECAUDO'!L109</f>
        <v>0</v>
      </c>
      <c r="M28" s="648">
        <f>M14-'CONSOLIDADO_TOTAL RECAUDO'!M109</f>
        <v>-0.529998779296875</v>
      </c>
      <c r="N28" s="648">
        <f>N14-'CONSOLIDADO_TOTAL RECAUDO'!N109</f>
        <v>-0.46000003814697266</v>
      </c>
      <c r="O28" s="648">
        <f>O14-'CONSOLIDADO_TOTAL RECAUDO'!O109</f>
        <v>1.000213623046875E-2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R1'!F50+'Rem. Anticipos R2'!E43+'Reversion Pagos R4'!D66+'Reporte Componentes R1'!F52+'AJUSTES - SF-T'!D47=D9</f>
        <v>1</v>
      </c>
      <c r="E32" s="651" t="b">
        <f>+E23+'Reporte Componentes R1'!G50+'Rem. Anticipos R2'!F43+'Reversion Pagos R4'!E66+'Reporte Componentes R1'!G52+'AJUSTES - SF-T'!E47=E9</f>
        <v>1</v>
      </c>
      <c r="F32" s="651" t="b">
        <f>+F23+'Reporte Componentes R1'!H50+'Rem. Anticipos R2'!G43+'Reversion Pagos R4'!F66+'Reporte Componentes R1'!H52+'AJUSTES - SF-T'!F47=F9</f>
        <v>1</v>
      </c>
      <c r="G32" s="651" t="b">
        <f>+G23+'Reporte Componentes R1'!I50+'Rem. Anticipos R2'!H43+'Reversion Pagos R4'!G66+'Reporte Componentes R1'!I52+'AJUSTES - SF-T'!G47=G9</f>
        <v>1</v>
      </c>
      <c r="H32" s="651" t="b">
        <f>+H23+'Reporte Componentes R1'!J50+'Rem. Anticipos R2'!I43+'Reversion Pagos R4'!H66+'Reporte Componentes R1'!J52+'AJUSTES - SF-T'!H47=H9</f>
        <v>1</v>
      </c>
      <c r="I32" s="651" t="b">
        <f>+I23+'Reporte Componentes R1'!K50+'Rem. Anticipos R2'!J43+'Reversion Pagos R4'!I66+'Reporte Componentes R1'!K52+'AJUSTES - SF-T'!I47=I9</f>
        <v>1</v>
      </c>
      <c r="J32" s="651" t="b">
        <f>+'BCE SC POR FACT.'!F3+J23=J9</f>
        <v>1</v>
      </c>
      <c r="K32" s="651" t="b">
        <f>('Reporte Componentes R1'!F50+'Rem. Anticipos R2'!E43+'Reversion Pagos R4'!D66+'Reporte Componentes R1'!F52-('Reporte Componentes R1'!G50+'Rem. Anticipos R2'!F43+'Reversion Pagos R4'!E66+'Reporte Componentes R1'!G52+'Reporte Componentes R1'!H50+'Rem. Anticipos R2'!G43+'Reversion Pagos R4'!F66+'Reporte Componentes R1'!H52+'Reporte Componentes R1'!I50+'Rem. Anticipos R2'!H43+'Reversion Pagos R4'!G66+'Reporte Componentes R1'!I52+'Reporte Componentes R1'!J50+'Rem. Anticipos R2'!I43+'Reversion Pagos R4'!H66+'Reporte Componentes R1'!J52+'Reporte Componentes R1'!K50+'Rem. Anticipos R2'!J43+'Reversion Pagos R4'!I66+'Reporte Componentes R1'!K52+'BCE SC POR FACT.'!F3)+K23)+'AJUSTES - SF-T'!K47=K9</f>
        <v>1</v>
      </c>
      <c r="L32" s="698" t="b">
        <f>INTERVENTORIA!M26+L23=L9</f>
        <v>1</v>
      </c>
      <c r="M32" s="648" t="b">
        <f>((('Reporte Componentes R1'!F50+'Rem. Anticipos R2'!E43+'Reversion Pagos R4'!D66+'Reporte Componentes R1'!F52-('Reporte Componentes R1'!G50+'Rem. Anticipos R2'!F43+'Reversion Pagos R4'!E66+'Reporte Componentes R1'!G52+'Reporte Componentes R1'!H50+'Rem. Anticipos R2'!G43+'Reversion Pagos R4'!F66+'Reporte Componentes R1'!H52+'Reporte Componentes R1'!I50+'Rem. Anticipos R2'!H43+'Reversion Pagos R4'!G66+'Reporte Componentes R1'!I52+'Reporte Componentes R1'!J50+'Rem. Anticipos R2'!I43+'Reversion Pagos R4'!H66+'Reporte Componentes R1'!J52+'Reporte Componentes R1'!K50+'Rem. Anticipos R2'!J43+'Reversion Pagos R4'!I66+'Reporte Componentes R1'!K52+'BCE SC POR FACT.'!F3))-INTERVENTORIA!F15)+M23)+'AJUSTES - SF-T'!M47=M9</f>
        <v>1</v>
      </c>
      <c r="N32" s="648" t="b">
        <f>'Reporte Componentes R1'!L50+'Rem. Anticipos R2'!K43+'Reversion Pagos R4'!P66+'Reporte Componentes R1'!L52+N23=N9</f>
        <v>1</v>
      </c>
      <c r="O32" s="648" t="b">
        <f>((('Reporte Componentes R1'!F50+'Rem. Anticipos R2'!E43+'Reversion Pagos R4'!D66+'Reporte Componentes R1'!F52-('Reporte Componentes R1'!G50+'Rem. Anticipos R2'!F43+'Reversion Pagos R4'!E66+'Reporte Componentes R1'!G52+'Reporte Componentes R1'!H50+'Rem. Anticipos R2'!G43+'Reversion Pagos R4'!F66+'Reporte Componentes R1'!H52+'Reporte Componentes R1'!I50+'Rem. Anticipos R2'!H43+'Reversion Pagos R4'!G66+'Reporte Componentes R1'!I52+'Reporte Componentes R1'!J50+'Rem. Anticipos R2'!I43+'Reversion Pagos R4'!H66+'Reporte Componentes R1'!J52+'Reporte Componentes R1'!K50+'Rem. Anticipos R2'!J43+'Reversion Pagos R4'!I66+'Reporte Componentes R1'!K52+'BCE SC POR FACT.'!F3))-INTERVENTORIA!M26))+'Reporte Componentes R1'!L50+'Rem. Anticipos R2'!K43+'Reversion Pagos R4'!P66+'Reporte Componentes R1'!L52+O23+'AJUSTES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R1'!F194+'Rem. Anticipos R2'!E140+'Reversion Pagos R4'!D161+'Reporte Componentes R1'!F196+'AJUSTES - SF-T'!D48=D10</f>
        <v>1</v>
      </c>
      <c r="E33" s="651" t="b">
        <f>+E24+'Reporte Componentes R1'!G194+'Rem. Anticipos R2'!F140+'Reversion Pagos R4'!E161+'Reporte Componentes R1'!G196+'AJUSTES - SF-T'!E48=E10</f>
        <v>1</v>
      </c>
      <c r="F33" s="651" t="b">
        <f>+F24+'Reporte Componentes R1'!H194+'Rem. Anticipos R2'!G140+'Reversion Pagos R4'!F161+'Reporte Componentes R1'!H196+'AJUSTES - SF-T'!F48=F10</f>
        <v>1</v>
      </c>
      <c r="G33" s="651" t="b">
        <f>+G24+'Reporte Componentes R1'!I194+'Rem. Anticipos R2'!H140+'Reversion Pagos R4'!G161+'Reporte Componentes R1'!I196+'AJUSTES - SF-T'!G48=G10</f>
        <v>1</v>
      </c>
      <c r="H33" s="651" t="b">
        <f>+H24+'Reporte Componentes R1'!J194+'Rem. Anticipos R2'!I140+'Reversion Pagos R4'!H161+'Reporte Componentes R1'!J196+'AJUSTES - SF-T'!H48=H10</f>
        <v>1</v>
      </c>
      <c r="I33" s="651" t="b">
        <f>+I24+'Reporte Componentes R1'!K194+'Rem. Anticipos R2'!J140+'Reversion Pagos R4'!I161+'Reporte Componentes R1'!K196+'AJUSTES - SF-T'!I48=I10</f>
        <v>1</v>
      </c>
      <c r="J33" s="651" t="b">
        <f>+'BCE SC POR FACT.'!F4+J24=J10</f>
        <v>1</v>
      </c>
      <c r="K33" s="648" t="b">
        <f>('Reporte Componentes R1'!F194+'Rem. Anticipos R2'!E140+'Reversion Pagos R4'!D161+'Reporte Componentes R1'!F196-('Reporte Componentes R1'!G194+'Rem. Anticipos R2'!F140+'Reversion Pagos R4'!E161+'Reporte Componentes R1'!G196+'Reporte Componentes R1'!H194+'Rem. Anticipos R2'!G140+'Reversion Pagos R4'!F161+'Reporte Componentes R1'!H196+'Reporte Componentes R1'!I194+'Rem. Anticipos R2'!H140+'Reversion Pagos R4'!G161+'Reporte Componentes R1'!I196+'Reporte Componentes R1'!J194+'Rem. Anticipos R2'!I140+'Reversion Pagos R4'!H161+'Reporte Componentes R1'!J196+'Reporte Componentes R1'!K194+'Rem. Anticipos R2'!J140+'Reversion Pagos R4'!I161+'Reporte Componentes R1'!K196+'BCE SC POR FACT.'!F4)+K24)+'AJUSTES - SF-T'!K48=K10</f>
        <v>1</v>
      </c>
      <c r="L33" s="698" t="b">
        <f>INTERVENTORIA!M27+L24=L10</f>
        <v>1</v>
      </c>
      <c r="M33" s="648" t="b">
        <f>((('Reporte Componentes R1'!F194+'Rem. Anticipos R2'!E140+'Reversion Pagos R4'!D161+'Reporte Componentes R1'!F196-('Reporte Componentes R1'!G194+'Rem. Anticipos R2'!F140+'Reversion Pagos R4'!E161+'Reporte Componentes R1'!G196+'Reporte Componentes R1'!H194+'Rem. Anticipos R2'!G140+'Reversion Pagos R4'!F161+'Reporte Componentes R1'!H196+'Reporte Componentes R1'!I194+'Rem. Anticipos R2'!H140+'Reversion Pagos R4'!G161+'Reporte Componentes R1'!I196+'Reporte Componentes R1'!J194+'Rem. Anticipos R2'!I140+'Reversion Pagos R4'!H161+'Reporte Componentes R1'!J196+'Reporte Componentes R1'!K194+'Rem. Anticipos R2'!J140+'Reversion Pagos R4'!I161+'Reporte Componentes R1'!K196+'BCE SC POR FACT.'!F4))+M24)-INTERVENTORIA!F16)+'AJUSTES - SF-T'!M48=M10</f>
        <v>1</v>
      </c>
      <c r="N33" s="648" t="b">
        <f>+'Reporte Componentes R1'!L194+'Rem. Anticipos R2'!K140+'Reversion Pagos R4'!P161+'Reporte Componentes R1'!L196+N24=N10</f>
        <v>1</v>
      </c>
      <c r="O33" s="648" t="b">
        <f>((('Reporte Componentes R1'!F194+'Rem. Anticipos R2'!E140+'Reversion Pagos R4'!D161+'Reporte Componentes R1'!F196-('Reporte Componentes R1'!G194+'Rem. Anticipos R2'!F140+'Reversion Pagos R4'!E161+'Reporte Componentes R1'!G196+'Reporte Componentes R1'!H194+'Rem. Anticipos R2'!G140+'Reversion Pagos R4'!F161+'Reporte Componentes R1'!H196+'Reporte Componentes R1'!I194+'Rem. Anticipos R2'!H140+'Reversion Pagos R4'!G161+'Reporte Componentes R1'!I196+'Reporte Componentes R1'!J194+'Rem. Anticipos R2'!I140+'Reversion Pagos R4'!H161+'Reporte Componentes R1'!J196+'Reporte Componentes R1'!K194+'Rem. Anticipos R2'!J140+'Reversion Pagos R4'!I161+'Reporte Componentes R1'!K196+'BCE SC POR FACT.'!F4)))-INTERVENTORIA!M27)+O24+'Reporte Componentes R1'!L194+'Rem. Anticipos R2'!K140+'Reversion Pagos R4'!P161+'Reporte Componentes R1'!L196+'AJUSTES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R1'!F325+'Reporte Componentes R1'!F327+'Rem. Anticipos R2'!E257+'Reversion Pagos R4'!D192+D25+'AJUSTES - SF-T'!D49=D11</f>
        <v>1</v>
      </c>
      <c r="E34" s="651" t="b">
        <f>+'Reporte Componentes R1'!G325+'Reporte Componentes R1'!G327+'Rem. Anticipos R2'!F257+'Reversion Pagos R4'!E192+E25+'AJUSTES - SF-T'!E49=E11</f>
        <v>1</v>
      </c>
      <c r="F34" s="651" t="b">
        <f>+'Reporte Componentes R1'!H325+'Reporte Componentes R1'!H327+'Rem. Anticipos R2'!G257+'Reversion Pagos R4'!F192+F25+'AJUSTES - SF-T'!F49=F11</f>
        <v>1</v>
      </c>
      <c r="G34" s="651" t="b">
        <f>+'Reporte Componentes R1'!I325+'Reporte Componentes R1'!I327+'Rem. Anticipos R2'!H257+'Reversion Pagos R4'!G192+G25+'AJUSTES - SF-T'!G49=G11</f>
        <v>1</v>
      </c>
      <c r="H34" s="651" t="b">
        <f>+'Reporte Componentes R1'!J325+'Reporte Componentes R1'!J327+'Rem. Anticipos R2'!I257+'Reversion Pagos R4'!H192+H25+'AJUSTES - SF-T'!H49=H11</f>
        <v>1</v>
      </c>
      <c r="I34" s="651" t="b">
        <f>+'Reporte Componentes R1'!K325+'Reporte Componentes R1'!K327+'Rem. Anticipos R2'!J257+'Reversion Pagos R4'!I192+I25+'AJUSTES - SF-T'!I49=I11</f>
        <v>1</v>
      </c>
      <c r="J34" s="651" t="b">
        <f>+'BCE SC POR FACT.'!F5+J25=J11</f>
        <v>1</v>
      </c>
      <c r="K34" s="648" t="b">
        <f>+'Reporte Componentes R1'!F325+'Reporte Componentes R1'!F327+'Rem. Anticipos R2'!E257+'Reversion Pagos R4'!D192-('Reporte Componentes R1'!G325+'Reporte Componentes R1'!G327+'Rem. Anticipos R2'!F257+'Reversion Pagos R4'!E192+'Reporte Componentes R1'!H325+'Reporte Componentes R1'!H327+'Rem. Anticipos R2'!G257+'Reversion Pagos R4'!F192+'Reporte Componentes R1'!I325+'Reporte Componentes R1'!I327+'Rem. Anticipos R2'!H257+'Reversion Pagos R4'!G192+'Reporte Componentes R1'!J325+'Reporte Componentes R1'!J327+'Rem. Anticipos R2'!I257+'Reversion Pagos R4'!H192+'Reporte Componentes R1'!K325+'Reporte Componentes R1'!K327+'Rem. Anticipos R2'!J257+'Reversion Pagos R4'!I192+'BCE SC POR FACT.'!F5)+K25+'AJUSTES - SF-T'!K49=K11</f>
        <v>1</v>
      </c>
      <c r="L34" s="698" t="b">
        <f>INTERVENTORIA!M28+L25=L11</f>
        <v>1</v>
      </c>
      <c r="M34" s="648" t="b">
        <f>((('Reporte Componentes R1'!F325+'Reporte Componentes R1'!F327+'Rem. Anticipos R2'!E257+'Reversion Pagos R4'!D192-('Reporte Componentes R1'!G325+'Reporte Componentes R1'!G327+'Rem. Anticipos R2'!F257+'Reversion Pagos R4'!E192+'Reporte Componentes R1'!H325+'Reporte Componentes R1'!H327+'Rem. Anticipos R2'!G257+'Reversion Pagos R4'!F192+'Reporte Componentes R1'!I325+'Reporte Componentes R1'!I327+'Rem. Anticipos R2'!H257+'Reversion Pagos R4'!G192+'Reporte Componentes R1'!J325+'Reporte Componentes R1'!J327+'Rem. Anticipos R2'!I257+'Reversion Pagos R4'!H192+'Reporte Componentes R1'!K325+'Reporte Componentes R1'!K327+'Rem. Anticipos R2'!J257+'Reversion Pagos R4'!I192+'BCE SC POR FACT.'!F5))+M25)-INTERVENTORIA!F17)+'AJUSTES - SF-T'!M49=M11</f>
        <v>1</v>
      </c>
      <c r="N34" s="648" t="b">
        <f>+'Reporte Componentes R1'!L325+'Reporte Componentes R1'!L327+'Rem. Anticipos R2'!K257+'Reversion Pagos R4'!P192+N25=N11</f>
        <v>1</v>
      </c>
      <c r="O34" s="648" t="b">
        <f>((('Reporte Componentes R1'!F325+'Reporte Componentes R1'!F327+'Rem. Anticipos R2'!E257+'Reversion Pagos R4'!D192-('Reporte Componentes R1'!G325+'Reporte Componentes R1'!G327+'Rem. Anticipos R2'!F257+'Reversion Pagos R4'!E192+'Reporte Componentes R1'!H325+'Reporte Componentes R1'!H327+'Rem. Anticipos R2'!G257+'Reversion Pagos R4'!F192+'Reporte Componentes R1'!I325+'Reporte Componentes R1'!I327+'Rem. Anticipos R2'!H257+'Reversion Pagos R4'!G192+'Reporte Componentes R1'!J325+'Reporte Componentes R1'!J327+'Rem. Anticipos R2'!I257+'Reversion Pagos R4'!H192+'Reporte Componentes R1'!K325+'Reporte Componentes R1'!K327+'Rem. Anticipos R2'!J257+'Reversion Pagos R4'!I192+'BCE SC POR FACT.'!F5)))-INTERVENTORIA!M28)++'Reporte Componentes R1'!L325+'Reporte Componentes R1'!L327+'Rem. Anticipos R2'!K257+'Reversion Pagos R4'!P192+O25+'AJUSTES - SF-T'!O49=O11</f>
        <v>1</v>
      </c>
    </row>
    <row r="35" spans="2:15" x14ac:dyDescent="0.3">
      <c r="B35" s="610" t="s">
        <v>248</v>
      </c>
      <c r="C35" s="338" t="s">
        <v>13</v>
      </c>
      <c r="D35" s="651" t="b">
        <f>+'Reporte Componentes R1'!F456+'Reporte Componentes R1'!F458+'Rem. Anticipos R2'!E360+'Reversion Pagos R4'!D306+D26+'AJUSTES - SF-T'!D50=D12</f>
        <v>1</v>
      </c>
      <c r="E35" s="651" t="b">
        <f>+'Reporte Componentes R1'!G456+'Reporte Componentes R1'!G458+'Rem. Anticipos R2'!F360+'Reversion Pagos R4'!E306+E26+'AJUSTES - SF-T'!E50=E12</f>
        <v>1</v>
      </c>
      <c r="F35" s="651" t="b">
        <f>+'Reporte Componentes R1'!H456+'Reporte Componentes R1'!H458+'Rem. Anticipos R2'!G360+'Reversion Pagos R4'!F306+F26+'AJUSTES - SF-T'!F50=F12</f>
        <v>1</v>
      </c>
      <c r="G35" s="651" t="b">
        <f>+'Reporte Componentes R1'!I456+'Reporte Componentes R1'!I458+'Rem. Anticipos R2'!H360+'Reversion Pagos R4'!G306+G26+'AJUSTES - SF-T'!G50=G12</f>
        <v>1</v>
      </c>
      <c r="H35" s="651" t="b">
        <f>+'Reporte Componentes R1'!J456+'Reporte Componentes R1'!J458+'Rem. Anticipos R2'!I360+'Reversion Pagos R4'!H306+H26+'AJUSTES - SF-T'!H50=H12</f>
        <v>1</v>
      </c>
      <c r="I35" s="651" t="b">
        <f>+'Reporte Componentes R1'!K456+'Reporte Componentes R1'!K458+'Rem. Anticipos R2'!J360+'Reversion Pagos R4'!I306+I26+'AJUSTES - SF-T'!I50=I12</f>
        <v>1</v>
      </c>
      <c r="J35" s="651" t="b">
        <f>+J26+'BCE SC POR FACT.'!F6=J12</f>
        <v>1</v>
      </c>
      <c r="K35" s="648" t="b">
        <f>+'Reporte Componentes R1'!F456+'Reporte Componentes R1'!F458+'Rem. Anticipos R2'!E360+'Reversion Pagos R4'!D306-('Reporte Componentes R1'!G456+'Reporte Componentes R1'!G458+'Rem. Anticipos R2'!F360+'Reversion Pagos R4'!E306+'Reporte Componentes R1'!H456+'Reporte Componentes R1'!H458+'Rem. Anticipos R2'!G360+'Reversion Pagos R4'!F306+'Reporte Componentes R1'!I456+'Reporte Componentes R1'!I458+'Rem. Anticipos R2'!H360+'Reversion Pagos R4'!G306+'Reporte Componentes R1'!J456+'Reporte Componentes R1'!J458+'Rem. Anticipos R2'!I360+'Reversion Pagos R4'!H306+'Reporte Componentes R1'!K456+'Reporte Componentes R1'!K458+'Rem. Anticipos R2'!J360+'Reversion Pagos R4'!I306+'BCE SC POR FACT.'!F6)+K26+'AJUSTES - SF-T'!K50=K12</f>
        <v>1</v>
      </c>
      <c r="L35" s="698" t="b">
        <f>INTERVENTORIA!M29+L26=L12</f>
        <v>1</v>
      </c>
      <c r="M35" s="648" t="b">
        <f>((('Reporte Componentes R1'!F456+'Reporte Componentes R1'!F458+'Rem. Anticipos R2'!E360+'Reversion Pagos R4'!D306-('Reporte Componentes R1'!G456+'Reporte Componentes R1'!G458+'Rem. Anticipos R2'!F360+'Reversion Pagos R4'!E306+'Reporte Componentes R1'!H456+'Reporte Componentes R1'!H458+'Rem. Anticipos R2'!G360+'Reversion Pagos R4'!F306+'Reporte Componentes R1'!I456+'Reporte Componentes R1'!I458+'Rem. Anticipos R2'!H360+'Reversion Pagos R4'!G306+'Reporte Componentes R1'!J456+'Reporte Componentes R1'!J458+'Rem. Anticipos R2'!I360+'Reversion Pagos R4'!H306+'Reporte Componentes R1'!K456+'Reporte Componentes R1'!K458+'Rem. Anticipos R2'!J360+'Reversion Pagos R4'!I306+'BCE SC POR FACT.'!F6))+M26)-INTERVENTORIA!F18)+'AJUSTES - SF-T'!M50=M12</f>
        <v>1</v>
      </c>
      <c r="N35" s="648" t="b">
        <f>+'Reporte Componentes R1'!L456+'Reporte Componentes R1'!L458+'Rem. Anticipos R2'!K360+'Reversion Pagos R4'!P306+N26=N12</f>
        <v>1</v>
      </c>
      <c r="O35" s="648" t="b">
        <f>((('Reporte Componentes R1'!F456+'Reporte Componentes R1'!F458+'Rem. Anticipos R2'!E360+'Reversion Pagos R4'!D306-('Reporte Componentes R1'!G456+'Reporte Componentes R1'!G458+'Rem. Anticipos R2'!F360+'Reversion Pagos R4'!E306+'Reporte Componentes R1'!H456+'Reporte Componentes R1'!H458+'Rem. Anticipos R2'!G360+'Reversion Pagos R4'!F306+'Reporte Componentes R1'!I456+'Reporte Componentes R1'!I458+'Rem. Anticipos R2'!H360+'Reversion Pagos R4'!G306+'Reporte Componentes R1'!J456+'Reporte Componentes R1'!J458+'Rem. Anticipos R2'!I360+'Reversion Pagos R4'!H306+'Reporte Componentes R1'!K456+'Reporte Componentes R1'!K458+'Rem. Anticipos R2'!J360+'Reversion Pagos R4'!I306+'BCE SC POR FACT.'!F6)))-INTERVENTORIA!M29)+'Reporte Componentes R1'!L456+'Reporte Componentes R1'!L458+'Rem. Anticipos R2'!K360+'Reversion Pagos R4'!P306+O26+'AJUSTES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R1'!F554+'Reporte Componentes R1'!F556+'Rem. Anticipos R2'!E440+'Reversion Pagos R4'!D341+'AJUSTES - SF-T'!D51=D13</f>
        <v>1</v>
      </c>
      <c r="E36" s="651" t="b">
        <f>+E27+'Reporte Componentes R1'!G554+'Reporte Componentes R1'!G556+'Rem. Anticipos R2'!F440+'Reversion Pagos R4'!E341+'AJUSTES - SF-T'!E51=E13</f>
        <v>1</v>
      </c>
      <c r="F36" s="651" t="b">
        <f>+F27+'Reporte Componentes R1'!H554+'Reporte Componentes R1'!H556+'Rem. Anticipos R2'!G440+'Reversion Pagos R4'!F341+'AJUSTES - SF-T'!F51=F13</f>
        <v>1</v>
      </c>
      <c r="G36" s="651" t="b">
        <f>+G27+'Reporte Componentes R1'!I554+'Reporte Componentes R1'!I556+'Rem. Anticipos R2'!H440+'Reversion Pagos R4'!G341+'AJUSTES - SF-T'!G51=G13</f>
        <v>1</v>
      </c>
      <c r="H36" s="651" t="b">
        <f>+H27+'Reporte Componentes R1'!J554+'Reporte Componentes R1'!J556+'Rem. Anticipos R2'!I440+'Reversion Pagos R4'!H341+'AJUSTES - SF-T'!H51=H13</f>
        <v>1</v>
      </c>
      <c r="I36" s="651" t="b">
        <f>+I27+'Reporte Componentes R1'!K554+'Reporte Componentes R1'!K556+'Rem. Anticipos R2'!J440+'Reversion Pagos R4'!I341+'AJUSTES - SF-T'!I51=I13</f>
        <v>1</v>
      </c>
      <c r="J36" s="651" t="b">
        <f>+'BCE SC POR FACT.'!F7+J27=J13</f>
        <v>1</v>
      </c>
      <c r="K36" s="648" t="b">
        <f>+'Reporte Componentes R1'!F554+'Reporte Componentes R1'!F556+'Rem. Anticipos R2'!E440+'Reversion Pagos R4'!D341-('Reporte Componentes R1'!G554+'Reporte Componentes R1'!G556+'Rem. Anticipos R2'!F440+'Reversion Pagos R4'!E341+'Reporte Componentes R1'!H554+'Reporte Componentes R1'!H556+'Rem. Anticipos R2'!G440+'Reversion Pagos R4'!F341+'Reporte Componentes R1'!I554+'Reporte Componentes R1'!I556+'Rem. Anticipos R2'!H440+'Reversion Pagos R4'!G341+'Reporte Componentes R1'!J554+'Reporte Componentes R1'!J556+'Rem. Anticipos R2'!I440+'Reversion Pagos R4'!H341+'Reporte Componentes R1'!K554+'Reporte Componentes R1'!K556+'Rem. Anticipos R2'!J440+'Reversion Pagos R4'!I341+'BCE SC POR FACT.'!F7)+K27+'AJUSTES - SF-T'!K51=K13</f>
        <v>1</v>
      </c>
      <c r="L36" s="698" t="b">
        <f>INTERVENTORIA!M30+L27=L13</f>
        <v>1</v>
      </c>
      <c r="M36" s="648" t="b">
        <f>((('Reporte Componentes R1'!F554+'Reporte Componentes R1'!F556+'Rem. Anticipos R2'!E440+'Reversion Pagos R4'!D341-('Reporte Componentes R1'!G554+'Reporte Componentes R1'!G556+'Rem. Anticipos R2'!F440+'Reversion Pagos R4'!E341+'Reporte Componentes R1'!H554+'Reporte Componentes R1'!H556+'Rem. Anticipos R2'!G440+'Reversion Pagos R4'!F341+'Reporte Componentes R1'!I554+'Reporte Componentes R1'!I556+'Rem. Anticipos R2'!H440+'Reversion Pagos R4'!G341+'Reporte Componentes R1'!J554+'Reporte Componentes R1'!J556+'Rem. Anticipos R2'!I440+'Reversion Pagos R4'!H341+'Reporte Componentes R1'!K554+'Reporte Componentes R1'!K556+'Rem. Anticipos R2'!J440+'Reversion Pagos R4'!I341+'BCE SC POR FACT.'!F7))+M27)-INTERVENTORIA!F19)+'AJUSTES - SF-T'!M51=M13</f>
        <v>1</v>
      </c>
      <c r="N36" s="648" t="b">
        <f>+'Reporte Componentes R1'!L554+'Reporte Componentes R1'!L556+'Rem. Anticipos R2'!K440+'Reversion Pagos R4'!P341+N27=N13</f>
        <v>1</v>
      </c>
      <c r="O36" s="648" t="b">
        <f>((('Reporte Componentes R1'!F554+'Reporte Componentes R1'!F556+'Rem. Anticipos R2'!E440+'Reversion Pagos R4'!D341-('Reporte Componentes R1'!G554+'Reporte Componentes R1'!G556+'Rem. Anticipos R2'!F440+'Reversion Pagos R4'!E341+'Reporte Componentes R1'!H554+'Reporte Componentes R1'!H556+'Rem. Anticipos R2'!G440+'Reversion Pagos R4'!F341+'Reporte Componentes R1'!I554+'Reporte Componentes R1'!I556+'Rem. Anticipos R2'!H440+'Reversion Pagos R4'!G341+'Reporte Componentes R1'!J554+'Reporte Componentes R1'!J556+'Rem. Anticipos R2'!I440+'Reversion Pagos R4'!H341+'Reporte Componentes R1'!K554+'Reporte Componentes R1'!K556+'Rem. Anticipos R2'!J440+'Reversion Pagos R4'!I341+'BCE SC POR FACT.'!F7)))-INTERVENTORIA!M30)+'Reporte Componentes R1'!L554+'Reporte Componentes R1'!L556+'Rem. Anticipos R2'!K440+'Reversion Pagos R4'!P341+O27+'AJUSTES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workbookViewId="0">
      <selection activeCell="A31" sqref="A31"/>
    </sheetView>
  </sheetViews>
  <sheetFormatPr baseColWidth="10" defaultColWidth="11.44140625" defaultRowHeight="14.4" x14ac:dyDescent="0.3"/>
  <cols>
    <col min="1" max="1" width="2.77734375" style="609" customWidth="1"/>
    <col min="2" max="2" width="7.21875" style="609" customWidth="1"/>
    <col min="3" max="3" width="42.777343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228</v>
      </c>
      <c r="K3" s="660" t="s">
        <v>343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229</v>
      </c>
    </row>
    <row r="6" spans="2:15" customFormat="1" x14ac:dyDescent="0.25">
      <c r="C6" s="660" t="s">
        <v>230</v>
      </c>
      <c r="D6" s="660" t="s">
        <v>344</v>
      </c>
      <c r="F6" s="660" t="s">
        <v>231</v>
      </c>
    </row>
    <row r="7" spans="2:15" customFormat="1" x14ac:dyDescent="0.25">
      <c r="C7" s="660" t="s">
        <v>232</v>
      </c>
      <c r="D7" s="660" t="s">
        <v>345</v>
      </c>
      <c r="F7" s="660" t="s">
        <v>27</v>
      </c>
      <c r="G7" s="660" t="s">
        <v>346</v>
      </c>
      <c r="I7" s="660" t="s">
        <v>233</v>
      </c>
      <c r="J7" s="660" t="s">
        <v>347</v>
      </c>
    </row>
    <row r="8" spans="2:15" customFormat="1" ht="43.2" x14ac:dyDescent="0.25">
      <c r="B8" s="661" t="s">
        <v>3</v>
      </c>
      <c r="C8" s="661" t="s">
        <v>234</v>
      </c>
      <c r="D8" s="661" t="s">
        <v>251</v>
      </c>
      <c r="E8" s="661" t="s">
        <v>252</v>
      </c>
      <c r="F8" s="661" t="s">
        <v>253</v>
      </c>
      <c r="G8" s="661" t="s">
        <v>254</v>
      </c>
      <c r="H8" s="661" t="s">
        <v>255</v>
      </c>
      <c r="I8" s="661" t="s">
        <v>256</v>
      </c>
      <c r="J8" s="661" t="s">
        <v>257</v>
      </c>
      <c r="K8" s="661" t="s">
        <v>245</v>
      </c>
      <c r="L8" s="661" t="s">
        <v>258</v>
      </c>
      <c r="M8" s="661" t="s">
        <v>259</v>
      </c>
      <c r="N8" s="661" t="s">
        <v>246</v>
      </c>
      <c r="O8" s="661" t="s">
        <v>260</v>
      </c>
    </row>
    <row r="9" spans="2:15" customFormat="1" ht="13.2" x14ac:dyDescent="0.25">
      <c r="B9" s="641" t="s">
        <v>115</v>
      </c>
      <c r="C9" s="641" t="s">
        <v>10</v>
      </c>
      <c r="D9" s="642">
        <v>1382034225</v>
      </c>
      <c r="E9" s="642">
        <v>1317704098</v>
      </c>
      <c r="F9" s="642">
        <v>6231288425</v>
      </c>
      <c r="G9" s="642">
        <v>2664303472</v>
      </c>
      <c r="H9" s="642">
        <v>256365176</v>
      </c>
      <c r="I9" s="642">
        <v>-189185988</v>
      </c>
      <c r="J9" s="642">
        <v>71785</v>
      </c>
      <c r="K9" s="642">
        <v>37169760</v>
      </c>
      <c r="L9" s="642">
        <v>344212780</v>
      </c>
      <c r="M9" s="642">
        <v>3954426529</v>
      </c>
      <c r="N9" s="642">
        <v>15654177482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1986761437</v>
      </c>
      <c r="E10" s="642">
        <v>1985678431</v>
      </c>
      <c r="F10" s="642">
        <v>9338907055</v>
      </c>
      <c r="G10" s="642">
        <v>3272393487</v>
      </c>
      <c r="H10" s="642">
        <v>369457337</v>
      </c>
      <c r="I10" s="642">
        <v>-266580256</v>
      </c>
      <c r="J10" s="642">
        <v>-219419</v>
      </c>
      <c r="K10" s="642">
        <v>65704059</v>
      </c>
      <c r="L10" s="642">
        <v>-5495124045</v>
      </c>
      <c r="M10" s="642">
        <v>-1205247704</v>
      </c>
      <c r="N10" s="642">
        <v>15546854427</v>
      </c>
      <c r="O10" s="642">
        <v>0</v>
      </c>
    </row>
    <row r="11" spans="2:15" customFormat="1" ht="13.2" x14ac:dyDescent="0.25">
      <c r="B11" s="641" t="s">
        <v>117</v>
      </c>
      <c r="C11" s="641" t="s">
        <v>247</v>
      </c>
      <c r="D11" s="642">
        <v>1117391043</v>
      </c>
      <c r="E11" s="642">
        <v>1090408148</v>
      </c>
      <c r="F11" s="642">
        <v>5154604765</v>
      </c>
      <c r="G11" s="642">
        <v>2710625412</v>
      </c>
      <c r="H11" s="642">
        <v>207908537</v>
      </c>
      <c r="I11" s="642">
        <v>-154788536</v>
      </c>
      <c r="J11" s="642">
        <v>-3857060</v>
      </c>
      <c r="K11" s="642">
        <v>37498085</v>
      </c>
      <c r="L11" s="642">
        <v>-730074752</v>
      </c>
      <c r="M11" s="642">
        <v>99187482</v>
      </c>
      <c r="N11" s="642">
        <v>10258977875</v>
      </c>
      <c r="O11" s="642">
        <v>0</v>
      </c>
    </row>
    <row r="12" spans="2:15" customFormat="1" ht="13.2" x14ac:dyDescent="0.25">
      <c r="B12" s="641" t="s">
        <v>248</v>
      </c>
      <c r="C12" s="641" t="s">
        <v>13</v>
      </c>
      <c r="D12" s="642">
        <v>642180798</v>
      </c>
      <c r="E12" s="642">
        <v>635298381</v>
      </c>
      <c r="F12" s="642">
        <v>3214416091</v>
      </c>
      <c r="G12" s="642">
        <v>1378184761</v>
      </c>
      <c r="H12" s="642">
        <v>119211235</v>
      </c>
      <c r="I12" s="642">
        <v>-120391083</v>
      </c>
      <c r="J12" s="642">
        <v>-12106</v>
      </c>
      <c r="K12" s="642">
        <v>11313242</v>
      </c>
      <c r="L12" s="642">
        <v>-769275774</v>
      </c>
      <c r="M12" s="642">
        <v>-63039848</v>
      </c>
      <c r="N12" s="642">
        <v>5817161471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959806850</v>
      </c>
      <c r="E13" s="642">
        <v>932280572</v>
      </c>
      <c r="F13" s="642">
        <v>4834478372</v>
      </c>
      <c r="G13" s="642">
        <v>2192889841</v>
      </c>
      <c r="H13" s="642">
        <v>178678957</v>
      </c>
      <c r="I13" s="642">
        <v>-128990446</v>
      </c>
      <c r="J13" s="642">
        <v>-105968</v>
      </c>
      <c r="K13" s="642">
        <v>11174580</v>
      </c>
      <c r="L13" s="642">
        <v>-1427944256</v>
      </c>
      <c r="M13" s="642">
        <v>-1404540315</v>
      </c>
      <c r="N13" s="642">
        <v>7575672443</v>
      </c>
      <c r="O13" s="642">
        <v>0</v>
      </c>
    </row>
    <row r="14" spans="2:15" customFormat="1" ht="13.2" x14ac:dyDescent="0.25">
      <c r="B14" s="641" t="s">
        <v>249</v>
      </c>
      <c r="C14" s="641" t="s">
        <v>70</v>
      </c>
      <c r="D14" s="642">
        <v>6088174353</v>
      </c>
      <c r="E14" s="642">
        <v>5961369630</v>
      </c>
      <c r="F14" s="642">
        <v>28773694708</v>
      </c>
      <c r="G14" s="642">
        <v>12218396973</v>
      </c>
      <c r="H14" s="642">
        <v>1131621242</v>
      </c>
      <c r="I14" s="642">
        <v>-859936309</v>
      </c>
      <c r="J14" s="642">
        <v>-4122768</v>
      </c>
      <c r="K14" s="642">
        <v>162859726</v>
      </c>
      <c r="L14" s="642">
        <v>-8078206047</v>
      </c>
      <c r="M14" s="642">
        <v>1380786144</v>
      </c>
      <c r="N14" s="642">
        <v>54852843698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1.9999980926513672E-2</v>
      </c>
      <c r="E16" s="648">
        <f>E9-'CONSOLIDADO_TOTAL RECAUDO'!V104</f>
        <v>-0.16999983787536621</v>
      </c>
      <c r="F16" s="648">
        <f>F9-'CONSOLIDADO_TOTAL RECAUDO'!W104</f>
        <v>0.16000080108642578</v>
      </c>
      <c r="G16" s="648">
        <f>G9-'CONSOLIDADO_TOTAL RECAUDO'!X104</f>
        <v>0.29999971389770508</v>
      </c>
      <c r="H16" s="648">
        <f>H9-'CONSOLIDADO_TOTAL RECAUDO'!Y104</f>
        <v>0.21000000834465027</v>
      </c>
      <c r="I16" s="648">
        <f>I9-'CONSOLIDADO_TOTAL RECAUDO'!Z104</f>
        <v>0</v>
      </c>
      <c r="J16" s="648">
        <f>J9-'CONSOLIDADO_TOTAL RECAUDO'!AA104-'CONSOLIDADO_TOTAL RECAUDO'!AC104</f>
        <v>5.0000000008736833E-2</v>
      </c>
      <c r="K16" s="648">
        <f>K9-'CONSOLIDADO_TOTAL RECAUDO'!AB104</f>
        <v>-0.24000000208616257</v>
      </c>
      <c r="L16" s="648">
        <f>L9-'CONSOLIDADO_TOTAL RECAUDO'!AE104</f>
        <v>0.22999995946884155</v>
      </c>
      <c r="M16" s="648">
        <f>M9-'CONSOLIDADO_TOTAL RECAUDO'!AD104</f>
        <v>-4.0000438690185547E-2</v>
      </c>
      <c r="N16" s="648">
        <f>N9-'CONSOLIDADO_TOTAL RECAUDO'!AF104</f>
        <v>0.28999900817871094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-0.47999978065490723</v>
      </c>
      <c r="E17" s="648">
        <f>E10-'CONSOLIDADO_TOTAL RECAUDO'!V105</f>
        <v>0.34000039100646973</v>
      </c>
      <c r="F17" s="648">
        <f>F10-'CONSOLIDADO_TOTAL RECAUDO'!W105</f>
        <v>-0.31999969482421875</v>
      </c>
      <c r="G17" s="648">
        <f>G10-'CONSOLIDADO_TOTAL RECAUDO'!X105</f>
        <v>0.34000015258789063</v>
      </c>
      <c r="H17" s="648">
        <f>H10-'CONSOLIDADO_TOTAL RECAUDO'!Y105</f>
        <v>8.0000042915344238E-2</v>
      </c>
      <c r="I17" s="648">
        <f>I10-'CONSOLIDADO_TOTAL RECAUDO'!Z105</f>
        <v>0</v>
      </c>
      <c r="J17" s="648">
        <f>J10-'CONSOLIDADO_TOTAL RECAUDO'!AA105-'CONSOLIDADO_TOTAL RECAUDO'!AC105</f>
        <v>7.9999999994186055E-2</v>
      </c>
      <c r="K17" s="648">
        <f>K10-'CONSOLIDADO_TOTAL RECAUDO'!AB105</f>
        <v>3.9999999105930328E-2</v>
      </c>
      <c r="L17" s="648">
        <f>L10-'CONSOLIDADO_TOTAL RECAUDO'!AE105</f>
        <v>5.9999465942382813E-2</v>
      </c>
      <c r="M17" s="648">
        <f>M10-'CONSOLIDADO_TOTAL RECAUDO'!AD105</f>
        <v>-0.27000045776367188</v>
      </c>
      <c r="N17" s="648">
        <f>N10-'CONSOLIDADO_TOTAL RECAUDO'!AF105</f>
        <v>-0.18999862670898438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247</v>
      </c>
      <c r="D18" s="648">
        <f>D11-'CONSOLIDADO_TOTAL RECAUDO'!U106</f>
        <v>-7.9999923706054688E-2</v>
      </c>
      <c r="E18" s="648">
        <f>E11-'CONSOLIDADO_TOTAL RECAUDO'!V106</f>
        <v>0.47000002861022949</v>
      </c>
      <c r="F18" s="648">
        <f>F11-'CONSOLIDADO_TOTAL RECAUDO'!W106</f>
        <v>0.44999980926513672</v>
      </c>
      <c r="G18" s="648">
        <f>G11-'CONSOLIDADO_TOTAL RECAUDO'!X106</f>
        <v>0.21999979019165039</v>
      </c>
      <c r="H18" s="648">
        <f>H11-'CONSOLIDADO_TOTAL RECAUDO'!Y106</f>
        <v>9.0000003576278687E-2</v>
      </c>
      <c r="I18" s="648">
        <f>I11-'CONSOLIDADO_TOTAL RECAUDO'!Z106</f>
        <v>0</v>
      </c>
      <c r="J18" s="648">
        <f>J11-'CONSOLIDADO_TOTAL RECAUDO'!AA106-'CONSOLIDADO_TOTAL RECAUDO'!AC106</f>
        <v>-0.39999999990686774</v>
      </c>
      <c r="K18" s="648">
        <f>K11-'CONSOLIDADO_TOTAL RECAUDO'!AB106</f>
        <v>-0.2199999988079071</v>
      </c>
      <c r="L18" s="648">
        <f>L11-'CONSOLIDADO_TOTAL RECAUDO'!AE106</f>
        <v>-0.30999994277954102</v>
      </c>
      <c r="M18" s="648">
        <f>M11-'CONSOLIDADO_TOTAL RECAUDO'!AD106</f>
        <v>0.3900001049041748</v>
      </c>
      <c r="N18" s="648">
        <f>N11-'CONSOLIDADO_TOTAL RECAUDO'!AF106</f>
        <v>-7.9999923706054688E-2</v>
      </c>
      <c r="O18" s="648">
        <f>O11-'CONSOLIDADO_TOTAL RECAUDO'!AG106</f>
        <v>0</v>
      </c>
    </row>
    <row r="19" spans="2:16" x14ac:dyDescent="0.3">
      <c r="B19" s="610" t="s">
        <v>248</v>
      </c>
      <c r="C19" s="610" t="s">
        <v>13</v>
      </c>
      <c r="D19" s="648">
        <f>D12-'CONSOLIDADO_TOTAL RECAUDO'!U107</f>
        <v>8.9999914169311523E-2</v>
      </c>
      <c r="E19" s="648">
        <f>E12-'CONSOLIDADO_TOTAL RECAUDO'!V107</f>
        <v>-6.9999933242797852E-2</v>
      </c>
      <c r="F19" s="648">
        <f>F12-'CONSOLIDADO_TOTAL RECAUDO'!W107</f>
        <v>-0.19000005722045898</v>
      </c>
      <c r="G19" s="648">
        <f>G12-'CONSOLIDADO_TOTAL RECAUDO'!X107</f>
        <v>0.42000007629394531</v>
      </c>
      <c r="H19" s="648">
        <f>H12-'CONSOLIDADO_TOTAL RECAUDO'!Y107</f>
        <v>-0.36999998986721039</v>
      </c>
      <c r="I19" s="648">
        <f>I12-'CONSOLIDADO_TOTAL RECAUDO'!Z107</f>
        <v>0</v>
      </c>
      <c r="J19" s="648">
        <f>J12-'CONSOLIDADO_TOTAL RECAUDO'!AA107-'CONSOLIDADO_TOTAL RECAUDO'!AC107</f>
        <v>-2.9999999999859028E-2</v>
      </c>
      <c r="K19" s="648">
        <f>K12-'CONSOLIDADO_TOTAL RECAUDO'!AB107</f>
        <v>9.999999962747097E-2</v>
      </c>
      <c r="L19" s="648">
        <f>L12-'CONSOLIDADO_TOTAL RECAUDO'!AE107</f>
        <v>-0.3599998950958252</v>
      </c>
      <c r="M19" s="648">
        <f>M12-'CONSOLIDADO_TOTAL RECAUDO'!AD107</f>
        <v>0.42999982833862305</v>
      </c>
      <c r="N19" s="648">
        <f>N12-'CONSOLIDADO_TOTAL RECAUDO'!AF107</f>
        <v>0.38000106811523438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0.36000001430511475</v>
      </c>
      <c r="E20" s="648">
        <f>E13-'CONSOLIDADO_TOTAL RECAUDO'!V108</f>
        <v>4.0000081062316895E-2</v>
      </c>
      <c r="F20" s="648">
        <f>F13-'CONSOLIDADO_TOTAL RECAUDO'!W108</f>
        <v>-0.46000099182128906</v>
      </c>
      <c r="G20" s="648">
        <f>G13-'CONSOLIDADO_TOTAL RECAUDO'!X108</f>
        <v>0.5</v>
      </c>
      <c r="H20" s="648">
        <f>H13-'CONSOLIDADO_TOTAL RECAUDO'!Y108</f>
        <v>-0.13999998569488525</v>
      </c>
      <c r="I20" s="648">
        <f>I13-'CONSOLIDADO_TOTAL RECAUDO'!Z108</f>
        <v>0</v>
      </c>
      <c r="J20" s="648">
        <f>J13-'CONSOLIDADO_TOTAL RECAUDO'!AA108-'CONSOLIDADO_TOTAL RECAUDO'!AC108</f>
        <v>-0.3599999999976724</v>
      </c>
      <c r="K20" s="648">
        <f>K13-'CONSOLIDADO_TOTAL RECAUDO'!AB108</f>
        <v>-0.14000000059604645</v>
      </c>
      <c r="L20" s="648">
        <f>L13-'CONSOLIDADO_TOTAL RECAUDO'!AE108</f>
        <v>0.11999988555908203</v>
      </c>
      <c r="M20" s="648">
        <f>M13-'CONSOLIDADO_TOTAL RECAUDO'!AD108</f>
        <v>-0.19000005722045898</v>
      </c>
      <c r="N20" s="648">
        <f>N13-'CONSOLIDADO_TOTAL RECAUDO'!AF108</f>
        <v>-0.3899993896484375</v>
      </c>
      <c r="O20" s="648">
        <f>O13-'CONSOLIDADO_TOTAL RECAUDO'!AG108</f>
        <v>0</v>
      </c>
    </row>
    <row r="21" spans="2:16" x14ac:dyDescent="0.3">
      <c r="B21" s="610" t="s">
        <v>249</v>
      </c>
      <c r="C21" s="610" t="s">
        <v>70</v>
      </c>
      <c r="D21" s="648">
        <f>D14-'CONSOLIDADO_TOTAL RECAUDO'!U109</f>
        <v>-9.0000152587890625E-2</v>
      </c>
      <c r="E21" s="648">
        <f>E14-'CONSOLIDADO_TOTAL RECAUDO'!V109</f>
        <v>0.6100006103515625</v>
      </c>
      <c r="F21" s="648">
        <f>F14-'CONSOLIDADO_TOTAL RECAUDO'!W109</f>
        <v>-0.3600006103515625</v>
      </c>
      <c r="G21" s="648">
        <f>G14-'CONSOLIDADO_TOTAL RECAUDO'!X109</f>
        <v>1.779998779296875</v>
      </c>
      <c r="H21" s="648">
        <f>H14-'CONSOLIDADO_TOTAL RECAUDO'!Y109</f>
        <v>-0.12999987602233887</v>
      </c>
      <c r="I21" s="648">
        <f>I14-'CONSOLIDADO_TOTAL RECAUDO'!Z109</f>
        <v>0</v>
      </c>
      <c r="J21" s="648">
        <f>J14-'CONSOLIDADO_TOTAL RECAUDO'!AA109-'CONSOLIDADO_TOTAL RECAUDO'!AC109</f>
        <v>-0.66000000014901161</v>
      </c>
      <c r="K21" s="648">
        <f>K14-'CONSOLIDADO_TOTAL RECAUDO'!AB109</f>
        <v>-0.46000003814697266</v>
      </c>
      <c r="L21" s="648">
        <f>L14-'CONSOLIDADO_TOTAL RECAUDO'!AE109</f>
        <v>-0.26000022888183594</v>
      </c>
      <c r="M21" s="648">
        <f>M14-'CONSOLIDADO_TOTAL RECAUDO'!AD109</f>
        <v>0.31999874114990234</v>
      </c>
      <c r="N21" s="648">
        <f>N14-'CONSOLIDADO_TOTAL RECAUDO'!AF109</f>
        <v>9.9945068359375E-3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R1'!M50+'Reporte Componentes R1'!M52+'Rem. Anticipos R2'!L43+'Reversion Pagos R4'!J66+D16+'AJUSTES - SF-T'!U47=D9</f>
        <v>1</v>
      </c>
      <c r="E24" s="648" t="b">
        <f>+'Reporte Componentes R1'!N50+'Reporte Componentes R1'!N52+'Rem. Anticipos R2'!M43+'Reversion Pagos R4'!K66+E16+'AJUSTES - SF-T'!V47=E9</f>
        <v>1</v>
      </c>
      <c r="F24" s="648" t="b">
        <f>+'Reporte Componentes R1'!O50+'Reporte Componentes R1'!O52+'Rem. Anticipos R2'!N43+'Reversion Pagos R4'!L66+F16+'AJUSTES - SF-T'!W47=F9</f>
        <v>1</v>
      </c>
      <c r="G24" s="648" t="b">
        <f>+'Reporte Componentes R1'!P50+'Reporte Componentes R1'!P52+'Rem. Anticipos R2'!O43+'Reversion Pagos R4'!M66+G16+'AJUSTES - SF-T'!X47=G9</f>
        <v>1</v>
      </c>
      <c r="H24" s="648" t="b">
        <f>+'Reporte Componentes R1'!Q50+'Reporte Componentes R1'!Q52+'Rem. Anticipos R2'!P43+'Reversion Pagos R4'!N66+H16+'AJUSTES - SF-T'!Y47=H9</f>
        <v>1</v>
      </c>
      <c r="I24" s="698" t="b">
        <f>-INTERVENTORIA!M26+I16=I9</f>
        <v>1</v>
      </c>
      <c r="J24" s="648" t="b">
        <f>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SF-T'!AA47+J16=J9</f>
        <v>1</v>
      </c>
      <c r="K24" s="648" t="b">
        <f>+DetRetri2026082!N32</f>
        <v>1</v>
      </c>
      <c r="L24" s="648" t="b">
        <f>'Reporte Componentes R1'!F51+'Rem. Anticipos R2'!E44+'Reporte Componentes R1'!F53+'Reversion Pagos R4'!D67+'AJUSTES - SF-T'!AD47+L16=L9</f>
        <v>1</v>
      </c>
      <c r="M24" s="648" t="b">
        <f>-'BCE SC POR FACT.'!F3+'Reporte Componentes R1'!F51+'Rem. Anticipos R2'!E44+'Reporte Componentes R1'!F53+'Reversion Pagos R4'!D67+'AJUSTES - SF-T'!AD47+M16=M9</f>
        <v>1</v>
      </c>
      <c r="N24" s="648" t="b">
        <f>'Reporte Componentes R1'!F51+'Rem. Anticipos R2'!E44+'Reporte Componentes R1'!F53+'Reversion Pagos R4'!D67+'AJUSTES - SF-T'!AD47+L16=L9</f>
        <v>1</v>
      </c>
      <c r="O24" s="648" t="b">
        <f>'Reporte Componentes R1'!M50+'Reporte Componentes R1'!M52+'Rem. Anticipos R2'!L43+'Reversion Pagos R4'!J66+'Reporte Componentes R1'!N50+'Reporte Componentes R1'!N52+'Rem. Anticipos R2'!M43+'Reversion Pagos R4'!K66+'Reporte Componentes R1'!O50+'Reporte Componentes R1'!O52+'Rem. Anticipos R2'!N43+'Reversion Pagos R4'!L66+'Reporte Componentes R1'!P50+'Reporte Componentes R1'!P52+'Rem. Anticipos R2'!O43+'Reversion Pagos R4'!M66+'Reporte Componentes R1'!Q50+'Reporte Componentes R1'!Q52+'Rem. Anticipos R2'!P43+'Reversion Pagos R4'!N66-INTERVENTORIA!J4+'Reporte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SF-T'!AA47+'Reporte Componentes R1'!L50+'Rem. Anticipos R2'!K43+'Reversion Pagos R4'!P66+'Reporte Componentes R1'!L52-'BCE SC POR FACT.'!F3+'Reporte Componentes R1'!F51+'Rem. Anticipos R2'!E44+'Reporte Componentes R1'!F53+'Reversion Pagos R4'!D67+'AJUSTES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R1'!M194+'Rem. Anticipos R2'!L140+'Reversion Pagos R4'!J161+'Reporte Componentes R1'!M196+D17+'AJUSTES - SF-T'!U48=D10</f>
        <v>1</v>
      </c>
      <c r="E25" s="654" t="b">
        <f>+'Reporte Componentes R1'!N194+'Rem. Anticipos R2'!M140+'Reversion Pagos R4'!K161+'Reporte Componentes R1'!N196+E17+'AJUSTES - SF-T'!V48=E10</f>
        <v>1</v>
      </c>
      <c r="F25" s="654" t="b">
        <f>+'Reporte Componentes R1'!O194+'Rem. Anticipos R2'!N140+'Reversion Pagos R4'!L161+'Reporte Componentes R1'!O196+F17+'AJUSTES - SF-T'!W48=F10</f>
        <v>1</v>
      </c>
      <c r="G25" s="654" t="b">
        <f>+'Reporte Componentes R1'!P194+'Rem. Anticipos R2'!O140+'Reversion Pagos R4'!M161+'Reporte Componentes R1'!P196+G17+'AJUSTES - SF-T'!X48=G10</f>
        <v>1</v>
      </c>
      <c r="H25" s="654" t="b">
        <f>+'Reporte Componentes R1'!Q194+'Rem. Anticipos R2'!P140+'Reversion Pagos R4'!N161+'Reporte Componentes R1'!Q196+H17+'AJUSTES - SF-T'!Y48=H10</f>
        <v>1</v>
      </c>
      <c r="I25" s="698" t="b">
        <f>-INTERVENTORIA!M27+I17=I10</f>
        <v>1</v>
      </c>
      <c r="J25" s="654" t="b">
        <f>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SF-T'!AA48+J17=J10</f>
        <v>1</v>
      </c>
      <c r="K25" s="654" t="b">
        <f>+DetRetri2026082!N33</f>
        <v>1</v>
      </c>
      <c r="L25" s="648" t="b">
        <f>+'Reporte Componentes R1'!F195+'Rem. Anticipos R2'!E141+'Reporte Componentes R1'!F197+'Reversion Pagos R4'!D162+'AJUSTES - SF-T'!AD48+L17=L10</f>
        <v>1</v>
      </c>
      <c r="M25" s="715">
        <f>-'BCE SC POR FACT.'!F4+'Reporte Componentes R1'!F195+'Rem. Anticipos R2'!E141+'Reporte Componentes R1'!F197+'Reversion Pagos R4'!D162+'AJUSTES - SF-T'!AD48+M17-M10</f>
        <v>0</v>
      </c>
      <c r="N25" s="648" t="b">
        <f>'Reporte Componentes R1'!F195+'Rem. Anticipos R2'!E141+'Reporte Componentes R1'!F197+'Reversion Pagos R4'!D162+'AJUSTES - SF-T'!AD48+L17=L10</f>
        <v>1</v>
      </c>
      <c r="O25" s="648" t="b">
        <f>'Reporte Componentes R1'!M194+'Rem. Anticipos R2'!L140+'Reversion Pagos R4'!J161+'Reporte Componentes R1'!M196+'Reporte Componentes R1'!N194+'Rem. Anticipos R2'!M140+'Reversion Pagos R4'!K161+'Reporte Componentes R1'!N196+'Reporte Componentes R1'!O194+'Rem. Anticipos R2'!N140+'Reversion Pagos R4'!L161+'Reporte Componentes R1'!O196+'Reporte Componentes R1'!P194+'Rem. Anticipos R2'!O140+'Reversion Pagos R4'!M161+'Reporte Componentes R1'!P196+'Reporte Componentes R1'!Q194+'Rem. Anticipos R2'!P140+'Reversion Pagos R4'!N161+'Reporte Componentes R1'!Q196-INTERVENTORIA!I5+'Reporte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SF-T'!AA48+'Reporte Componentes R1'!L194+'Rem. Anticipos R2'!K140+'Reversion Pagos R4'!P161+'Reporte Componentes R1'!L196-'BCE SC POR FACT.'!F4+'Reporte Componentes R1'!F195+'Rem. Anticipos R2'!E141+'Reporte Componentes R1'!F197+'Reversion Pagos R4'!D162+'AJUSTES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R1'!M325+'Reporte Componentes R1'!M327+'Rem. Anticipos R2'!L257+'Reversion Pagos R4'!J192+D18+'AJUSTES - SF-T'!U49=D11</f>
        <v>1</v>
      </c>
      <c r="E26" s="648" t="b">
        <f>+'Reporte Componentes R1'!N325+'Reporte Componentes R1'!N327+'Rem. Anticipos R2'!M257+'Reversion Pagos R4'!K192+E18+'AJUSTES - SF-T'!V49=E11</f>
        <v>1</v>
      </c>
      <c r="F26" s="648" t="b">
        <f>+'Reporte Componentes R1'!O325+'Reporte Componentes R1'!O327+'Rem. Anticipos R2'!N257+'Reversion Pagos R4'!L192+F18+'AJUSTES - SF-T'!W49=F11</f>
        <v>1</v>
      </c>
      <c r="G26" s="648" t="b">
        <f>+'Reporte Componentes R1'!P325+'Reporte Componentes R1'!P327+'Rem. Anticipos R2'!O257+'Reversion Pagos R4'!M192+G18+'AJUSTES - SF-T'!X49=G11</f>
        <v>1</v>
      </c>
      <c r="H26" s="648" t="b">
        <f>+'Reporte Componentes R1'!Q325+'Reporte Componentes R1'!Q327+'Rem. Anticipos R2'!P257+'Reversion Pagos R4'!N192+H18+'AJUSTES - SF-T'!Y49=H11</f>
        <v>1</v>
      </c>
      <c r="I26" s="698" t="b">
        <f>-INTERVENTORIA!M28+I18=I11</f>
        <v>1</v>
      </c>
      <c r="J26" s="648" t="b">
        <f>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SF-T'!AA49+J18=J11</f>
        <v>1</v>
      </c>
      <c r="K26" s="648" t="b">
        <f>+DetRetri2026082!N34</f>
        <v>1</v>
      </c>
      <c r="L26" s="648" t="b">
        <f>+'Reporte Componentes R1'!F326+'Rem. Anticipos R2'!E258+'Reporte Componentes R1'!F328+'Reversion Pagos R4'!D193+'AJUSTES - SF-T'!AD49+L18=L11</f>
        <v>1</v>
      </c>
      <c r="M26" s="715">
        <f>-'BCE SC POR FACT.'!F5+'Reporte Componentes R1'!F326+'Rem. Anticipos R2'!E258+'Reporte Componentes R1'!F328+'Reversion Pagos R4'!D193+'AJUSTES - SF-T'!AD49+M18-M11</f>
        <v>0</v>
      </c>
      <c r="N26" s="648" t="b">
        <f>'Reporte Componentes R1'!F326+'Rem. Anticipos R2'!E258+'Reporte Componentes R1'!F328+'Reversion Pagos R4'!D193+'AJUSTES - SF-T'!AD49+L18=L11</f>
        <v>1</v>
      </c>
      <c r="O26" s="712" t="b">
        <f>'Reporte Componentes R1'!M325+'Reporte Componentes R1'!M327+'Rem. Anticipos R2'!L257+'Reversion Pagos R4'!J192+'Reporte Componentes R1'!N325+'Reporte Componentes R1'!N327+'Rem. Anticipos R2'!M257+'Reversion Pagos R4'!K192+'Reporte Componentes R1'!O325+'Reporte Componentes R1'!O327+'Rem. Anticipos R2'!N257+'Reversion Pagos R4'!L192+'Reporte Componentes R1'!P325+'Reporte Componentes R1'!P327+'Rem. Anticipos R2'!O257+'Reversion Pagos R4'!M192+'Reporte Componentes R1'!Q325+'Reporte Componentes R1'!Q327+'Rem. Anticipos R2'!P257+'Reversion Pagos R4'!N192-INTERVENTORIA!I6+'Reporte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SF-T'!AA49+'Reporte Componentes R1'!L325+'Reporte Componentes R1'!L327+'Rem. Anticipos R2'!K257+'Reversion Pagos R4'!P192-'BCE SC POR FACT.'!F5+'Reporte Componentes R1'!F326+'Rem. Anticipos R2'!E258+'Reporte Componentes R1'!F328+'Reversion Pagos R4'!D193+'AJUSTES - SF-T'!AD49+N18=N11</f>
        <v>0</v>
      </c>
    </row>
    <row r="27" spans="2:16" x14ac:dyDescent="0.3">
      <c r="B27" s="610" t="s">
        <v>248</v>
      </c>
      <c r="C27" s="338" t="s">
        <v>13</v>
      </c>
      <c r="D27" s="648" t="b">
        <f>+'Reporte Componentes R1'!M456+'Reporte Componentes R1'!M458+'Rem. Anticipos R2'!L360+'Reversion Pagos R4'!J306+D19+'AJUSTES - SF-T'!U50=D12</f>
        <v>1</v>
      </c>
      <c r="E27" s="648" t="b">
        <f>+'Reporte Componentes R1'!N456+'Reporte Componentes R1'!N458+'Rem. Anticipos R2'!M360+'Reversion Pagos R4'!K306+E19+'AJUSTES - SF-T'!V50=E12</f>
        <v>1</v>
      </c>
      <c r="F27" s="648" t="b">
        <f>+'Reporte Componentes R1'!O456+'Reporte Componentes R1'!O458+'Rem. Anticipos R2'!N360+'Reversion Pagos R4'!L306+F19+'AJUSTES - SF-T'!W50=F12</f>
        <v>1</v>
      </c>
      <c r="G27" s="648" t="b">
        <f>+'Reporte Componentes R1'!P456+'Reporte Componentes R1'!P458+'Rem. Anticipos R2'!O360+'Reversion Pagos R4'!M306+G19+'AJUSTES - SF-T'!X50=G12</f>
        <v>1</v>
      </c>
      <c r="H27" s="648" t="b">
        <f>+'Reporte Componentes R1'!Q456+'Reporte Componentes R1'!Q458+'Rem. Anticipos R2'!P360+'Reversion Pagos R4'!N306+H19+'AJUSTES - SF-T'!Y50=H12</f>
        <v>1</v>
      </c>
      <c r="I27" s="698" t="b">
        <f>-INTERVENTORIA!M29+I19=I12</f>
        <v>1</v>
      </c>
      <c r="J27" s="648" t="b">
        <f>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R4'!R306+'AJUSTES - SF-T'!AA50+J19=J12</f>
        <v>1</v>
      </c>
      <c r="K27" s="648" t="b">
        <f>+DetRetri2026082!N35</f>
        <v>1</v>
      </c>
      <c r="L27" s="648" t="b">
        <f>+'Reporte Componentes R1'!F457+'Rem. Anticipos R2'!E361+'Reporte Componentes R1'!F459+'Reversion Pagos R4'!D307+'AJUSTES - SF-T'!AD50+L19=L12</f>
        <v>1</v>
      </c>
      <c r="M27" s="715">
        <f>-'BCE SC POR FACT.'!F6+'Reporte Componentes R1'!F457+'Rem. Anticipos R2'!E361+'Reporte Componentes R1'!F459+'Reversion Pagos R4'!D307+'AJUSTES - SF-T'!AD50+M19-M12</f>
        <v>8.9406967163085938E-8</v>
      </c>
      <c r="N27" s="648" t="b">
        <f>'Reporte Componentes R1'!F457+'Rem. Anticipos R2'!E361+'Reporte Componentes R1'!F459+'Reversion Pagos R4'!D307+'AJUSTES - SF-T'!AD50+L19=L12</f>
        <v>1</v>
      </c>
      <c r="O27" s="712" t="b">
        <f>'Reporte Componentes R1'!M456+'Reporte Componentes R1'!M458+'Rem. Anticipos R2'!L360+'Reversion Pagos R4'!J306+'Reporte Componentes R1'!N456+'Reporte Componentes R1'!N458+'Rem. Anticipos R2'!M360+'Reversion Pagos R4'!K306+'Reporte Componentes R1'!O456+'Reporte Componentes R1'!O458+'Rem. Anticipos R2'!N360+'Reversion Pagos R4'!L306+'Reporte Componentes R1'!P456+'Reporte Componentes R1'!P458+'Rem. Anticipos R2'!O360+'Reversion Pagos R4'!M306+'Reporte Componentes R1'!Q456+'Reporte Componentes R1'!Q458+'Rem. Anticipos R2'!P360+'Reversion Pagos R4'!N306-INTERVENTORIA!I7+'Reporte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R4'!R306+'AJUSTES - SF-T'!AA50+'Reporte Componentes R1'!L456+'Reporte Componentes R1'!L458+'Rem. Anticipos R2'!K360+'Reversion Pagos R4'!P306-'BCE SC POR FACT.'!F6+'Reporte Componentes R1'!F457+'Rem. Anticipos R2'!E361+'Reporte Componentes R1'!F459+'Reversion Pagos R4'!D307+'AJUSTES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R1'!M554+'Reporte Componentes R1'!M556+'Rem. Anticipos R2'!L440+'Reversion Pagos R4'!J341+D20+'AJUSTES - SF-T'!U51=D13</f>
        <v>1</v>
      </c>
      <c r="E28" s="648" t="b">
        <f>+'Reporte Componentes R1'!N554+'Reporte Componentes R1'!N556+'Rem. Anticipos R2'!M440+'Reversion Pagos R4'!K341+E20+'AJUSTES - SF-T'!V51=E13</f>
        <v>1</v>
      </c>
      <c r="F28" s="648" t="b">
        <f>+'Reporte Componentes R1'!O554+'Reporte Componentes R1'!O556+'Rem. Anticipos R2'!N440+'Reversion Pagos R4'!L341+F20+'AJUSTES - SF-T'!W51=F13</f>
        <v>1</v>
      </c>
      <c r="G28" s="648" t="b">
        <f>+'Reporte Componentes R1'!P554+'Reporte Componentes R1'!P556+'Rem. Anticipos R2'!O440+'Reversion Pagos R4'!M341+G20+'AJUSTES - SF-T'!X51=G13</f>
        <v>1</v>
      </c>
      <c r="H28" s="648" t="b">
        <f>+'Reporte Componentes R1'!Q554+'Reporte Componentes R1'!Q556+'Rem. Anticipos R2'!P440+'Reversion Pagos R4'!N341+H20+'AJUSTES - SF-T'!Y51=H13</f>
        <v>1</v>
      </c>
      <c r="I28" s="698" t="b">
        <f>-INTERVENTORIA!M30+I20=I13</f>
        <v>1</v>
      </c>
      <c r="J28" s="650" t="b">
        <f>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SF-T'!AA51+J20=J13</f>
        <v>1</v>
      </c>
      <c r="K28" s="648" t="b">
        <f>+DetRetri2026082!N36</f>
        <v>1</v>
      </c>
      <c r="L28" s="648" t="b">
        <f>+'Reporte Componentes R1'!F555+'Rem. Anticipos R2'!E441+'Reporte Componentes R1'!F557+'Reversion Pagos R4'!D342+'AJUSTES - SF-T'!AD51+L20=L13</f>
        <v>1</v>
      </c>
      <c r="M28" s="648" t="b">
        <f>-'BCE SC POR FACT.'!F7+'Reporte Componentes R1'!F555+'Rem. Anticipos R2'!E441+'Reporte Componentes R1'!F557+'Reversion Pagos R4'!D342+'AJUSTES - SF-T'!AD51+M20=M13</f>
        <v>1</v>
      </c>
      <c r="N28" s="648" t="b">
        <f>'Reporte Componentes R1'!F555+'Rem. Anticipos R2'!E441+'Reporte Componentes R1'!F557+'Reversion Pagos R4'!D342+'AJUSTES - SF-T'!AD51+L20=L13</f>
        <v>1</v>
      </c>
      <c r="O28" s="648" t="b">
        <f>'Reporte Componentes R1'!M554+'Reporte Componentes R1'!M556+'Rem. Anticipos R2'!L440+'Reversion Pagos R4'!J341+'Reporte Componentes R1'!N554+'Reporte Componentes R1'!N556+'Rem. Anticipos R2'!M440+'Reversion Pagos R4'!K341+'Reporte Componentes R1'!O554+'Reporte Componentes R1'!O556+'Rem. Anticipos R2'!N440+'Reversion Pagos R4'!L341+'Reporte Componentes R1'!P554+'Reporte Componentes R1'!P556+'Rem. Anticipos R2'!O440+'Reversion Pagos R4'!M341+'Reporte Componentes R1'!Q554+'Reporte Componentes R1'!Q556+'Rem. Anticipos R2'!P440+'Reversion Pagos R4'!N341-INTERVENTORIA!I8+'Reporte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SF-T'!AA51+'Reporte Componentes R1'!L554+'Reporte Componentes R1'!L556+'Rem. Anticipos R2'!K440+'Reversion Pagos R4'!P341-'BCE SC POR FACT.'!F7+'Reporte Componentes R1'!F555+'Rem. Anticipos R2'!E441+'Reporte Componentes R1'!F557+'Reversion Pagos R4'!D342+'AJUSTES - SF-T'!AD51+N20=N13</f>
        <v>0</v>
      </c>
    </row>
    <row r="29" spans="2:16" x14ac:dyDescent="0.3">
      <c r="C29" s="649" t="s">
        <v>2</v>
      </c>
      <c r="D29" s="648" t="b">
        <f>'Reporte Componentes R1'!M50+'Reporte Componentes R1'!M52+'Rem. Anticipos R2'!L43+'Reversion Pagos R4'!J66+'Reporte Componentes R1'!M194+'Rem. Anticipos R2'!L140+'Reversion Pagos R4'!J161+'Reporte Componentes R1'!M196+'Reporte Componentes R1'!M325+'Reporte Componentes R1'!M327+'Rem. Anticipos R2'!L257+'Reversion Pagos R4'!J192+'Reporte Componentes R1'!M456+'Reporte Componentes R1'!M458+'Rem. Anticipos R2'!L360+'Reversion Pagos R4'!J306+'Reporte Componentes R1'!M554+'Reporte Componentes R1'!M556+'Rem. Anticipos R2'!L440+'Reversion Pagos R4'!J341+D21+'AJUSTES - SF-T'!U52=D14</f>
        <v>1</v>
      </c>
      <c r="E29" s="648" t="b">
        <f>'Reporte Componentes R1'!N50+'Reporte Componentes R1'!N52+'Rem. Anticipos R2'!M43+'Reversion Pagos R4'!K66+'Reporte Componentes R1'!N194+'Rem. Anticipos R2'!M140+'Reversion Pagos R4'!K161+'Reporte Componentes R1'!N196+'Reporte Componentes R1'!N325+'Reporte Componentes R1'!N327+'Rem. Anticipos R2'!M257+'Reversion Pagos R4'!K192+'Reporte Componentes R1'!N456+'Reporte Componentes R1'!N458+'Rem. Anticipos R2'!M360+'Reversion Pagos R4'!K306+'Reporte Componentes R1'!N554+'Reporte Componentes R1'!N556+'Rem. Anticipos R2'!M440+'Reversion Pagos R4'!K341+E21+'AJUSTES - SF-T'!V52=E14</f>
        <v>1</v>
      </c>
      <c r="F29" s="648" t="b">
        <f>'Reporte Componentes R1'!O50+'Reporte Componentes R1'!O52+'Rem. Anticipos R2'!N43+'Reversion Pagos R4'!L66+'Reporte Componentes R1'!O194+'Rem. Anticipos R2'!N140+'Reversion Pagos R4'!L161+'Reporte Componentes R1'!O196+'Reporte Componentes R1'!O325+'Reporte Componentes R1'!O327+'Rem. Anticipos R2'!N257+'Reversion Pagos R4'!L192+'Reporte Componentes R1'!O456+'Reporte Componentes R1'!O458+'Rem. Anticipos R2'!N360+'Reversion Pagos R4'!L306+'Reporte Componentes R1'!O554+'Reporte Componentes R1'!O556+'Rem. Anticipos R2'!N440+'Reversion Pagos R4'!L341+F21+'AJUSTES - SF-T'!W52=F14</f>
        <v>1</v>
      </c>
      <c r="G29" s="648" t="b">
        <f>'Reporte Componentes R1'!P50+'Reporte Componentes R1'!P52+'Rem. Anticipos R2'!O43+'Reversion Pagos R4'!M66+'Reporte Componentes R1'!P194+'Rem. Anticipos R2'!O140+'Reversion Pagos R4'!M161+'Reporte Componentes R1'!P196+'Reporte Componentes R1'!P325+'Reporte Componentes R1'!P327+'Rem. Anticipos R2'!O257+'Reversion Pagos R4'!M192+'Reporte Componentes R1'!P456+'Reporte Componentes R1'!P458+'Rem. Anticipos R2'!O360+'Reversion Pagos R4'!M306+'Reporte Componentes R1'!P554+'Reporte Componentes R1'!P556+'Rem. Anticipos R2'!O440+'Reversion Pagos R4'!M341+G21+'AJUSTES - SF-T'!X52=G14</f>
        <v>1</v>
      </c>
      <c r="H29" s="648" t="b">
        <f>'Reporte Componentes R1'!Q50+'Reporte Componentes R1'!Q52+'Rem. Anticipos R2'!P43+'Reversion Pagos R4'!N66+'Reporte Componentes R1'!Q194+'Rem. Anticipos R2'!P140+'Reversion Pagos R4'!N161+'Reporte Componentes R1'!Q196+'Reporte Componentes R1'!Q325+'Reporte Componentes R1'!Q327+'Rem. Anticipos R2'!P257+'Reversion Pagos R4'!N192+'Reporte Componentes R1'!Q456+'Reporte Componentes R1'!Q458+'Rem. Anticipos R2'!P360+'Reversion Pagos R4'!N306+'Reporte Componentes R1'!Q554+'Reporte Componentes R1'!Q556+'Rem. Anticipos R2'!P440+'Reversion Pagos R4'!N341+H21+'AJUSTES - SF-T'!Y52=H14</f>
        <v>1</v>
      </c>
      <c r="I29" s="698" t="b">
        <f>-INTERVENTORIA!M31+I21=I14</f>
        <v>1</v>
      </c>
      <c r="J29" s="648" t="b">
        <f>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SF-T'!AA52+J21=J14</f>
        <v>0</v>
      </c>
      <c r="K29" s="648" t="b">
        <f>'Reporte Componentes R1'!L50+'Rem. Anticipos R2'!K43+'Reversion Pagos R4'!P66+'Reporte Componentes R1'!L52+'Reporte Componentes R1'!L194+'Rem. Anticipos R2'!K140+'Reversion Pagos R4'!P161+'Reporte Componentes R1'!L196+'Reporte Componentes R1'!L325+'Reporte Componentes R1'!L327+'Rem. Anticipos R2'!K257+'Reversion Pagos R4'!P192+'Reporte Componentes R1'!L456+'Reporte Componentes R1'!L458+'Rem. Anticipos R2'!K360+'Reversion Pagos R4'!P306+'Reporte Componentes R1'!L554+'Reporte Componentes R1'!L556+'Rem. Anticipos R2'!K440+'Reversion Pagos R4'!P341+K21=K14</f>
        <v>1</v>
      </c>
      <c r="L29" s="711" t="b">
        <f>'Reporte Componentes R1'!F51+'Rem. Anticipos R2'!E44+'Reporte Componentes R1'!F53+'Reversion Pagos R4'!D67+'AJUSTES - SF-T'!AD47+'Reporte Componentes R1'!F195+'Rem. Anticipos R2'!E141+'Reporte Componentes R1'!F197+'Reversion Pagos R4'!D162+'AJUSTES - SF-T'!AD48+'Reporte Componentes R1'!F326+'Rem. Anticipos R2'!E258+'Reporte Componentes R1'!F328+'Reversion Pagos R4'!D193+'AJUSTES - SF-T'!AD49+'Reporte Componentes R1'!F457+'Rem. Anticipos R2'!E361+'Reporte Componentes R1'!F459+'Reversion Pagos R4'!D307+'AJUSTES - SF-T'!AD50+'Reporte Componentes R1'!F555+'Rem. Anticipos R2'!E441+'Reporte Componentes R1'!F557+'Reversion Pagos R4'!D342+'AJUSTES - SF-T'!AD51+L21=L14</f>
        <v>1</v>
      </c>
      <c r="M29" s="648" t="b">
        <f>-'BCE SC POR FACT.'!F3+'Reporte Componentes R1'!F51+'Rem. Anticipos R2'!E44+'Reporte Componentes R1'!F53+'Reversion Pagos R4'!D67+'AJUSTES - SF-T'!AD47-'BCE SC POR FACT.'!F4+'Reporte Componentes R1'!F195+'Rem. Anticipos R2'!E141+'Reporte Componentes R1'!F197+'Reversion Pagos R4'!D162+'AJUSTES - SF-T'!AD48-'BCE SC POR FACT.'!F5+'Reporte Componentes R1'!F326+'Rem. Anticipos R2'!E258+'Reporte Componentes R1'!F328+'Reversion Pagos R4'!D193+'AJUSTES - SF-T'!AD49-'BCE SC POR FACT.'!F6+'Reporte Componentes R1'!F457+'Rem. Anticipos R2'!E361+'Reporte Componentes R1'!F459+'Reversion Pagos R4'!D307+'AJUSTES - SF-T'!AD50-'BCE SC POR FACT.'!F7+'Reporte Componentes R1'!F555+'Rem. Anticipos R2'!E441+'Reporte Componentes R1'!F557+'Reversion Pagos R4'!D342+'AJUSTES - SF-T'!AD51+M21=M14</f>
        <v>1</v>
      </c>
      <c r="N29" s="648" t="b">
        <f>'Reporte Componentes R1'!F51+'Rem. Anticipos R2'!E44+'Reporte Componentes R1'!F53+'Reversion Pagos R4'!D67+'AJUSTES - SF-T'!AD47+'Reporte Componentes R1'!F195+'Rem. Anticipos R2'!E141+'Reporte Componentes R1'!F197+'Reversion Pagos R4'!D162+'AJUSTES - SF-T'!AD48+'Reporte Componentes R1'!F326+'Rem. Anticipos R2'!E258+'Reporte Componentes R1'!F328+'Reversion Pagos R4'!D193+'AJUSTES - SF-T'!AD49+'Reporte Componentes R1'!F457+'Rem. Anticipos R2'!E361+'Reporte Componentes R1'!F459+'Reversion Pagos R4'!D307+'AJUSTES - SF-T'!AD50+'Reporte Componentes R1'!F555+'Rem. Anticipos R2'!E441+'Reporte Componentes R1'!F557+'Reversion Pagos R4'!D342+'AJUSTES - SF-T'!AD51+L21=L14</f>
        <v>1</v>
      </c>
      <c r="O29" s="648" t="b">
        <f>'Reporte Componentes R1'!M50+'Reporte Componentes R1'!M52+'Rem. Anticipos R2'!L43+'Reversion Pagos R4'!J66+'Reporte Componentes R1'!N50+'Reporte Componentes R1'!N52+'Rem. Anticipos R2'!M43+'Reversion Pagos R4'!K66+'Reporte Componentes R1'!O50+'Reporte Componentes R1'!O52+'Rem. Anticipos R2'!N43+'Reversion Pagos R4'!L66+'Reporte Componentes R1'!P50+'Reporte Componentes R1'!P52+'Rem. Anticipos R2'!O43+'Reversion Pagos R4'!M66+'Reporte Componentes R1'!Q50+'Reporte Componentes R1'!Q52+'Rem. Anticipos R2'!P43+'Reversion Pagos R4'!N66-INTERVENTORIA!K15+'Reporte Componentes R1'!R50+'Reporte Componentes R1'!V50+'Rem. Anticipos R2'!Q43+'Reporte Componentes R1'!R52+'Reporte Componentes R1'!V52+'Reversion Pagos R4'!O66+'Reporte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R4'!Q66+'Reversion Pagos R4'!R66+'AJUSTES - SF-T'!AA47+'Reporte Componentes R1'!L50+'Rem. Anticipos R2'!K43+'Reversion Pagos R4'!P66+'Reporte Componentes R1'!L52-'BCE SC POR FACT.'!F3+'Reporte Componentes R1'!F51+'Rem. Anticipos R2'!E44+'Reporte Componentes R1'!F53+'Reversion Pagos R4'!D67+'AJUSTES - SF-T'!AD47+'Reporte Componentes R1'!M194+'Rem. Anticipos R2'!L140+'Reversion Pagos R4'!J161+'Reporte Componentes R1'!M196+'Reporte Componentes R1'!N194+'Rem. Anticipos R2'!M140+'Reversion Pagos R4'!K161+'Reporte Componentes R1'!N196+'Reporte Componentes R1'!O194+'Rem. Anticipos R2'!N140+'Reversion Pagos R4'!L161+'Reporte Componentes R1'!O196+'Reporte Componentes R1'!P194+'Rem. Anticipos R2'!O140+'Reversion Pagos R4'!M161+'Reporte Componentes R1'!P196+'Reporte Componentes R1'!Q194+'Rem. Anticipos R2'!P140+'Reversion Pagos R4'!N161+'Reporte Componentes R1'!Q196-INTERVENTORIA!K16+'Reporte Componentes R1'!R194+'Reporte Componentes R1'!V194+'Rem. Anticipos R2'!Q140+'Reporte Componentes R1'!R196+'Reporte Componentes R1'!V196+'Reversion Pagos R4'!O161+'Reporte Componentes R1'!T194+'Reporte Componentes R1'!U194+'Reporte Componentes R1'!W194+'Reporte Componentes R1'!X194+'Reporte Componentes R1'!Y194+'Reporte Componentes R1'!Z194+'Reporte Componentes R1'!S194+'Rem. Anticipos R2'!R140+'Reporte Componentes R1'!T196+'Reporte Componentes R1'!U196+'Reporte Componentes R1'!W196+'Reporte Componentes R1'!X196+'Reporte Componentes R1'!Y196+'Reporte Componentes R1'!Z196+'Reporte Componentes R1'!S196+'Reversion Pagos R4'!Q161+'Reversion Pagos R4'!R161+'AJUSTES - SF-T'!AA48+'Reporte Componentes R1'!L194+'Rem. Anticipos R2'!K140+'Reversion Pagos R4'!P161+'Reporte Componentes R1'!L196-'BCE SC POR FACT.'!F4+'Reporte Componentes R1'!F195+'Rem. Anticipos R2'!E141+'Reporte Componentes R1'!F197+'Reversion Pagos R4'!D162+'AJUSTES - SF-T'!AD48+'Reporte Componentes R1'!M325+'Reporte Componentes R1'!M327+'Rem. Anticipos R2'!L257+'Reversion Pagos R4'!J192+'Reporte Componentes R1'!N325+'Reporte Componentes R1'!N327+'Rem. Anticipos R2'!M257+'Reversion Pagos R4'!K192+'Reporte Componentes R1'!O325+'Reporte Componentes R1'!O327+'Rem. Anticipos R2'!N257+'Reversion Pagos R4'!L192+'Reporte Componentes R1'!P325+'Reporte Componentes R1'!P327+'Rem. Anticipos R2'!O257+'Reversion Pagos R4'!M192+'Reporte Componentes R1'!Q325+'Reporte Componentes R1'!Q327+'Rem. Anticipos R2'!P257+'Reversion Pagos R4'!N192-INTERVENTORIA!K17+'Reporte Componentes R1'!R325+'Reporte Componentes R1'!V325+'Rem. Anticipos R2'!Q257+'Reporte Componentes R1'!R327+'Reporte Componentes R1'!V327+'Reversion Pagos R4'!O192+'Reporte Componentes R1'!T325+'Reporte Componentes R1'!U325+'Reporte Componentes R1'!W325+'Reporte Componentes R1'!X325+'Reporte Componentes R1'!Y325+'Reporte Componentes R1'!Z325+'Reporte Componentes R1'!S325+'Rem. Anticipos R2'!R257+'Reporte Componentes R1'!T327+'Reporte Componentes R1'!U327+'Reporte Componentes R1'!W327+'Reporte Componentes R1'!X327+'Reporte Componentes R1'!Y327+'Reporte Componentes R1'!Z327+'Reporte Componentes R1'!S327+'Reversion Pagos R4'!Q192+'Reversion Pagos R4'!R192+'AJUSTES - SF-T'!AA49+'Reporte Componentes R1'!L325+'Reporte Componentes R1'!L327+'Rem. Anticipos R2'!K257+'Reversion Pagos R4'!P192-'BCE SC POR FACT.'!F5+'Reporte Componentes R1'!F326+'Rem. Anticipos R2'!E258+'Reporte Componentes R1'!F328+'Reversion Pagos R4'!D193+'AJUSTES - SF-T'!AD49+'Reporte Componentes R1'!M456+'Reporte Componentes R1'!M458+'Rem. Anticipos R2'!L360+'Reversion Pagos R4'!J306+'Reporte Componentes R1'!N456+'Reporte Componentes R1'!N458+'Rem. Anticipos R2'!M360+'Reversion Pagos R4'!K306+'Reporte Componentes R1'!O456+'Reporte Componentes R1'!O458+'Rem. Anticipos R2'!N360+'Reversion Pagos R4'!L306+'Reporte Componentes R1'!P456+'Reporte Componentes R1'!P458+'Rem. Anticipos R2'!O360+'Reversion Pagos R4'!M306+'Reporte Componentes R1'!Q456+'Reporte Componentes R1'!Q458+'Rem. Anticipos R2'!P360+'Reversion Pagos R4'!N306-INTERVENTORIA!K18+'Reporte Componentes R1'!R456+'Reporte Componentes R1'!V456+'Rem. Anticipos R2'!Q360+'Reporte Componentes R1'!R458+'Reporte Componentes R1'!V458+'Reversion Pagos R4'!O306+'Reporte Componentes R1'!T456+'Reporte Componentes R1'!U456+'Reporte Componentes R1'!W456+'Reporte Componentes R1'!X456+'Reporte Componentes R1'!Y456+'Reporte Componentes R1'!Z456+'Reporte Componentes R1'!S456+'Rem. Anticipos R2'!R360+'Reporte Componentes R1'!T458+'Reporte Componentes R1'!U458+'Reporte Componentes R1'!W458+'Reporte Componentes R1'!X458+'Reporte Componentes R1'!Y458+'Reporte Componentes R1'!Z458+'Reporte Componentes R1'!S458+'Reversion Pagos R4'!Q306+'Reversion Pagos R4'!R306+'AJUSTES - SF-T'!AA50+'Reporte Componentes R1'!L456+'Reporte Componentes R1'!L458+'Rem. Anticipos R2'!K360+'Reversion Pagos R4'!P306-'BCE SC POR FACT.'!F6+'Reporte Componentes R1'!F457+'Rem. Anticipos R2'!E361+'Reporte Componentes R1'!F459+'Reversion Pagos R4'!D307+'AJUSTES - SF-T'!AD50+'Reporte Componentes R1'!M554+'Reporte Componentes R1'!M556+'Rem. Anticipos R2'!L440+'Reversion Pagos R4'!J341+'Reporte Componentes R1'!N554+'Reporte Componentes R1'!N556+'Rem. Anticipos R2'!M440+'Reversion Pagos R4'!K341+'Reporte Componentes R1'!O554+'Reporte Componentes R1'!O556+'Rem. Anticipos R2'!N440+'Reversion Pagos R4'!L341+'Reporte Componentes R1'!P554+'Reporte Componentes R1'!P556+'Rem. Anticipos R2'!O440+'Reversion Pagos R4'!M341+'Reporte Componentes R1'!Q554+'Reporte Componentes R1'!Q556+'Rem. Anticipos R2'!P440+'Reversion Pagos R4'!N341-INTERVENTORIA!Q19+'Reporte Componentes R1'!R554+'Reporte Componentes R1'!V554+'Rem. Anticipos R2'!Q440+'Reporte Componentes R1'!R556+'Reporte Componentes R1'!V556+'Reversion Pagos R4'!O341+'Reporte Componentes R1'!T554+'Reporte Componentes R1'!U554+'Reporte Componentes R1'!W554+'Reporte Componentes R1'!X554+'Reporte Componentes R1'!Y554+'Reporte Componentes R1'!Z554+'Reporte Componentes R1'!S554+'Rem. Anticipos R2'!R440+'Reporte Componentes R1'!T556+'Reporte Componentes R1'!U556+'Reporte Componentes R1'!W556+'Reporte Componentes R1'!X556+'Reporte Componentes R1'!Y556+'Reporte Componentes R1'!Z556+'Reporte Componentes R1'!S556+'Reversion Pagos R4'!Q341+'Reversion Pagos R4'!R341+'AJUSTES - SF-T'!AA51+'Reporte Componentes R1'!L554+'Reporte Componentes R1'!L556+'Rem. Anticipos R2'!K440+'Reversion Pagos R4'!P341-'BCE SC POR FACT.'!F7+'Reporte Componentes R1'!F555+'Rem. Anticipos R2'!E441+'Reporte Componentes R1'!F557+'Reversion Pagos R4'!D342+'AJUSTES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92" zoomScaleNormal="100" workbookViewId="0">
      <selection activeCell="E116" sqref="E1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77734375" style="1" customWidth="1"/>
    <col min="4" max="4" width="13.77734375" style="1" bestFit="1" customWidth="1"/>
    <col min="5" max="5" width="16" style="1" customWidth="1"/>
    <col min="6" max="7" width="14.77734375" style="1" customWidth="1"/>
    <col min="8" max="8" width="16.21875" style="1" customWidth="1"/>
    <col min="9" max="9" width="20.218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77734375" style="1" customWidth="1"/>
    <col min="14" max="14" width="15.21875" style="1" customWidth="1"/>
    <col min="15" max="15" width="16.77734375" style="1" customWidth="1"/>
    <col min="16" max="16" width="3.77734375" style="1" customWidth="1"/>
    <col min="17" max="17" width="2.77734375" style="1" customWidth="1"/>
    <col min="18" max="18" width="4.5546875" style="1" customWidth="1"/>
    <col min="19" max="19" width="11.21875" style="1" customWidth="1"/>
    <col min="20" max="20" width="37.5546875" style="1" bestFit="1" customWidth="1"/>
    <col min="21" max="21" width="19.21875" style="1" customWidth="1"/>
    <col min="22" max="22" width="17.77734375" style="1" customWidth="1"/>
    <col min="23" max="23" width="16.44140625" style="1" customWidth="1"/>
    <col min="24" max="24" width="17.21875" style="1" customWidth="1"/>
    <col min="25" max="25" width="15.77734375" style="1" customWidth="1"/>
    <col min="26" max="26" width="16" style="1" customWidth="1"/>
    <col min="27" max="27" width="15" style="1" customWidth="1"/>
    <col min="28" max="29" width="16.77734375" style="1" customWidth="1"/>
    <col min="30" max="31" width="15.44140625" style="1" customWidth="1"/>
    <col min="32" max="32" width="16.21875" style="1" customWidth="1"/>
    <col min="33" max="33" width="18.21875" style="1" customWidth="1"/>
    <col min="34" max="34" width="13.77734375" style="1" customWidth="1"/>
    <col min="35" max="35" width="3.44140625" style="1" customWidth="1"/>
    <col min="36" max="36" width="13.777343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18378829331.129997</v>
      </c>
      <c r="E9" s="292">
        <f>'CONSOLIDADO_TOTAL RECAUDO'!E104</f>
        <v>980822759.10000002</v>
      </c>
      <c r="F9" s="292">
        <f>'CONSOLIDADO_TOTAL RECAUDO'!F104</f>
        <v>553086267.76000023</v>
      </c>
      <c r="G9" s="292">
        <f>'CONSOLIDADO_TOTAL RECAUDO'!G104</f>
        <v>291040191.07999992</v>
      </c>
      <c r="H9" s="292">
        <f>'CONSOLIDADO_TOTAL RECAUDO'!H104</f>
        <v>4200833348.79</v>
      </c>
      <c r="I9" s="292">
        <f>'CONSOLIDADO_TOTAL RECAUDO'!I104</f>
        <v>157066804.19999999</v>
      </c>
      <c r="J9" s="288">
        <f>'CONSOLIDADO_TOTAL RECAUDO'!J104</f>
        <v>-3610213749.2700005</v>
      </c>
      <c r="K9" s="293">
        <f>'CONSOLIDADO_TOTAL RECAUDO'!K104</f>
        <v>15806193709.469997</v>
      </c>
      <c r="L9" s="294">
        <f>'CONSOLIDADO_TOTAL RECAUDO'!L104</f>
        <v>189185988</v>
      </c>
      <c r="M9" s="293">
        <f>'CONSOLIDADO_TOTAL RECAUDO'!M104</f>
        <v>15617007721.469997</v>
      </c>
      <c r="N9" s="294">
        <f>'CONSOLIDADO_TOTAL RECAUDO'!N104</f>
        <v>37169760.240000002</v>
      </c>
      <c r="O9" s="293">
        <f>'CONSOLIDADO_TOTAL RECAUDO'!O104</f>
        <v>15654177481.709997</v>
      </c>
      <c r="Q9" s="306"/>
      <c r="S9" s="303">
        <v>1</v>
      </c>
      <c r="T9" s="304" t="s">
        <v>10</v>
      </c>
      <c r="U9" s="307">
        <f>'CONSOLIDADO_TOTAL RECAUDO'!U104</f>
        <v>1382034224.98</v>
      </c>
      <c r="V9" s="308">
        <f>'CONSOLIDADO_TOTAL RECAUDO'!V104</f>
        <v>1317704098.1699998</v>
      </c>
      <c r="W9" s="308">
        <f>'CONSOLIDADO_TOTAL RECAUDO'!W104</f>
        <v>6231288424.8399992</v>
      </c>
      <c r="X9" s="308">
        <f>'CONSOLIDADO_TOTAL RECAUDO'!X104</f>
        <v>2664303471.7000003</v>
      </c>
      <c r="Y9" s="309">
        <f>'CONSOLIDADO_TOTAL RECAUDO'!Y104</f>
        <v>256365175.78999999</v>
      </c>
      <c r="Z9" s="310">
        <f>'CONSOLIDADO_TOTAL RECAUDO'!Z104</f>
        <v>-189185988</v>
      </c>
      <c r="AA9" s="311">
        <f>'CONSOLIDADO_TOTAL RECAUDO'!AA104</f>
        <v>71590.599999999991</v>
      </c>
      <c r="AB9" s="294">
        <f>'CONSOLIDADO_TOTAL RECAUDO'!AB104</f>
        <v>37169760.240000002</v>
      </c>
      <c r="AC9" s="311">
        <f>'CONSOLIDADO_TOTAL RECAUDO'!AC104</f>
        <v>194.35</v>
      </c>
      <c r="AD9" s="291">
        <f>'CONSOLIDADO_TOTAL RECAUDO'!AD104</f>
        <v>3954426529.0400004</v>
      </c>
      <c r="AE9" s="291">
        <f>'CONSOLIDADO_TOTAL RECAUDO'!AE104</f>
        <v>344212779.77000004</v>
      </c>
      <c r="AF9" s="313">
        <f>'CONSOLIDADO_TOTAL RECAUDO'!AF104</f>
        <v>15654177481.710001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21599709647.529999</v>
      </c>
      <c r="E10" s="292">
        <f>'CONSOLIDADO_TOTAL RECAUDO'!E105</f>
        <v>1664913209.5799999</v>
      </c>
      <c r="F10" s="292">
        <f>'CONSOLIDADO_TOTAL RECAUDO'!F105</f>
        <v>928913038.75999999</v>
      </c>
      <c r="G10" s="292">
        <f>'CONSOLIDADO_TOTAL RECAUDO'!G105</f>
        <v>484899626.28999996</v>
      </c>
      <c r="H10" s="292">
        <f>'CONSOLIDADO_TOTAL RECAUDO'!H105</f>
        <v>6836664707.1199989</v>
      </c>
      <c r="I10" s="292">
        <f>'CONSOLIDADO_TOTAL RECAUDO'!I105</f>
        <v>226464782.88</v>
      </c>
      <c r="J10" s="288">
        <f>'CONSOLIDADO_TOTAL RECAUDO'!J105</f>
        <v>-4289876341.3299999</v>
      </c>
      <c r="K10" s="295">
        <f>'CONSOLIDADO_TOTAL RECAUDO'!K105</f>
        <v>15747730624.23</v>
      </c>
      <c r="L10" s="294">
        <f>'CONSOLIDADO_TOTAL RECAUDO'!L105</f>
        <v>266580256</v>
      </c>
      <c r="M10" s="295">
        <f>'CONSOLIDADO_TOTAL RECAUDO'!M105</f>
        <v>15481150368.23</v>
      </c>
      <c r="N10" s="294">
        <f>'CONSOLIDADO_TOTAL RECAUDO'!N105</f>
        <v>65704058.960000001</v>
      </c>
      <c r="O10" s="295">
        <f>'CONSOLIDADO_TOTAL RECAUDO'!O105</f>
        <v>15546854427.189999</v>
      </c>
      <c r="Q10" s="306"/>
      <c r="S10" s="314">
        <v>2</v>
      </c>
      <c r="T10" s="315" t="s">
        <v>11</v>
      </c>
      <c r="U10" s="316">
        <f>'CONSOLIDADO_TOTAL RECAUDO'!U105</f>
        <v>1986761437.4799998</v>
      </c>
      <c r="V10" s="317">
        <f>'CONSOLIDADO_TOTAL RECAUDO'!V105</f>
        <v>1985678430.6599996</v>
      </c>
      <c r="W10" s="317">
        <f>'CONSOLIDADO_TOTAL RECAUDO'!W105</f>
        <v>9338907055.3199997</v>
      </c>
      <c r="X10" s="317">
        <f>'CONSOLIDADO_TOTAL RECAUDO'!X105</f>
        <v>3272393486.6599998</v>
      </c>
      <c r="Y10" s="318">
        <f>'CONSOLIDADO_TOTAL RECAUDO'!Y105</f>
        <v>369457336.91999996</v>
      </c>
      <c r="Z10" s="319">
        <f>'CONSOLIDADO_TOTAL RECAUDO'!Z105</f>
        <v>-266580256</v>
      </c>
      <c r="AA10" s="320">
        <f>'CONSOLIDADO_TOTAL RECAUDO'!AA105</f>
        <v>-219458.4</v>
      </c>
      <c r="AB10" s="294">
        <f>'CONSOLIDADO_TOTAL RECAUDO'!AB105</f>
        <v>65704058.960000001</v>
      </c>
      <c r="AC10" s="320">
        <f>'CONSOLIDADO_TOTAL RECAUDO'!AC105</f>
        <v>39.319999999999993</v>
      </c>
      <c r="AD10" s="291">
        <f>'CONSOLIDADO_TOTAL RECAUDO'!AD105</f>
        <v>-1205247703.7299995</v>
      </c>
      <c r="AE10" s="291">
        <f>'CONSOLIDADO_TOTAL RECAUDO'!AE105</f>
        <v>-5495124045.0599995</v>
      </c>
      <c r="AF10" s="322">
        <f>'CONSOLIDADO_TOTAL RECAUDO'!AF105</f>
        <v>15546854427.189999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16369059895.669998</v>
      </c>
      <c r="E11" s="292">
        <f>'CONSOLIDADO_TOTAL RECAUDO'!E106</f>
        <v>1145520725.3200004</v>
      </c>
      <c r="F11" s="292">
        <f>'CONSOLIDADO_TOTAL RECAUDO'!F106</f>
        <v>645908031.8599999</v>
      </c>
      <c r="G11" s="292">
        <f>'CONSOLIDADO_TOTAL RECAUDO'!G106</f>
        <v>339211946.35000008</v>
      </c>
      <c r="H11" s="292">
        <f>'CONSOLIDADO_TOTAL RECAUDO'!H106</f>
        <v>4563959120.4000006</v>
      </c>
      <c r="I11" s="292">
        <f>'CONSOLIDADO_TOTAL RECAUDO'!I106</f>
        <v>127453979.18000001</v>
      </c>
      <c r="J11" s="288">
        <f>'CONSOLIDADO_TOTAL RECAUDO'!J106</f>
        <v>-829262233.29999995</v>
      </c>
      <c r="K11" s="295">
        <f>'CONSOLIDADO_TOTAL RECAUDO'!K106</f>
        <v>10376268325.859997</v>
      </c>
      <c r="L11" s="294">
        <f>'CONSOLIDADO_TOTAL RECAUDO'!L106</f>
        <v>154788536</v>
      </c>
      <c r="M11" s="295">
        <f>'CONSOLIDADO_TOTAL RECAUDO'!M106</f>
        <v>10221479789.859997</v>
      </c>
      <c r="N11" s="294">
        <f>'CONSOLIDADO_TOTAL RECAUDO'!N106</f>
        <v>37498085.219999999</v>
      </c>
      <c r="O11" s="295">
        <f>'CONSOLIDADO_TOTAL RECAUDO'!O106</f>
        <v>10258977875.079996</v>
      </c>
      <c r="Q11" s="306"/>
      <c r="S11" s="314">
        <v>3</v>
      </c>
      <c r="T11" s="315" t="s">
        <v>12</v>
      </c>
      <c r="U11" s="316">
        <f>'CONSOLIDADO_TOTAL RECAUDO'!U106</f>
        <v>1117391043.0799999</v>
      </c>
      <c r="V11" s="317">
        <f>'CONSOLIDADO_TOTAL RECAUDO'!V106</f>
        <v>1090408147.53</v>
      </c>
      <c r="W11" s="317">
        <f>'CONSOLIDADO_TOTAL RECAUDO'!W106</f>
        <v>5154604764.5500002</v>
      </c>
      <c r="X11" s="317">
        <f>'CONSOLIDADO_TOTAL RECAUDO'!X106</f>
        <v>2710625411.7800002</v>
      </c>
      <c r="Y11" s="318">
        <f>'CONSOLIDADO_TOTAL RECAUDO'!Y106</f>
        <v>207908536.91</v>
      </c>
      <c r="Z11" s="319">
        <f>'CONSOLIDADO_TOTAL RECAUDO'!Z106</f>
        <v>-154788536</v>
      </c>
      <c r="AA11" s="320">
        <f>'CONSOLIDADO_TOTAL RECAUDO'!AA106</f>
        <v>116539.55</v>
      </c>
      <c r="AB11" s="294">
        <f>'CONSOLIDADO_TOTAL RECAUDO'!AB106</f>
        <v>37498085.219999999</v>
      </c>
      <c r="AC11" s="320">
        <f>'CONSOLIDADO_TOTAL RECAUDO'!AC106</f>
        <v>-3973599.15</v>
      </c>
      <c r="AD11" s="291">
        <f>'CONSOLIDADO_TOTAL RECAUDO'!AD106</f>
        <v>99187481.609999895</v>
      </c>
      <c r="AE11" s="291">
        <f>'CONSOLIDADO_TOTAL RECAUDO'!AE106</f>
        <v>-730074751.69000006</v>
      </c>
      <c r="AF11" s="322">
        <f>'CONSOLIDADO_TOTAL RECAUDO'!AF106</f>
        <v>10258977875.08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8372092112.4700003</v>
      </c>
      <c r="E12" s="292">
        <f>'CONSOLIDADO_TOTAL RECAUDO'!E107</f>
        <v>519799229.63</v>
      </c>
      <c r="F12" s="292">
        <f>'CONSOLIDADO_TOTAL RECAUDO'!F107</f>
        <v>291481364.64000005</v>
      </c>
      <c r="G12" s="292">
        <f>'CONSOLIDADO_TOTAL RECAUDO'!G107</f>
        <v>153357453.93000001</v>
      </c>
      <c r="H12" s="292">
        <f>'CONSOLIDADO_TOTAL RECAUDO'!H107</f>
        <v>2114189448.1400001</v>
      </c>
      <c r="I12" s="292">
        <f>'CONSOLIDADO_TOTAL RECAUDO'!I107</f>
        <v>73261229.62000002</v>
      </c>
      <c r="J12" s="288">
        <f>'CONSOLIDADO_TOTAL RECAUDO'!J107</f>
        <v>-706235925.21000028</v>
      </c>
      <c r="K12" s="295">
        <f>'CONSOLIDADO_TOTAL RECAUDO'!K107</f>
        <v>5926239311.7199993</v>
      </c>
      <c r="L12" s="294">
        <f>'CONSOLIDADO_TOTAL RECAUDO'!L107</f>
        <v>120391083</v>
      </c>
      <c r="M12" s="295">
        <f>'CONSOLIDADO_TOTAL RECAUDO'!M107</f>
        <v>5805848228.7199993</v>
      </c>
      <c r="N12" s="294">
        <f>'CONSOLIDADO_TOTAL RECAUDO'!N107</f>
        <v>11313241.9</v>
      </c>
      <c r="O12" s="295">
        <f>'CONSOLIDADO_TOTAL RECAUDO'!O107</f>
        <v>5817161470.6199989</v>
      </c>
      <c r="Q12" s="306"/>
      <c r="S12" s="314">
        <v>4</v>
      </c>
      <c r="T12" s="315" t="s">
        <v>13</v>
      </c>
      <c r="U12" s="316">
        <f>'CONSOLIDADO_TOTAL RECAUDO'!U107</f>
        <v>642180797.91000009</v>
      </c>
      <c r="V12" s="317">
        <f>'CONSOLIDADO_TOTAL RECAUDO'!V107</f>
        <v>635298381.06999993</v>
      </c>
      <c r="W12" s="317">
        <f>'CONSOLIDADO_TOTAL RECAUDO'!W107</f>
        <v>3214416091.1900001</v>
      </c>
      <c r="X12" s="317">
        <f>'CONSOLIDADO_TOTAL RECAUDO'!X107</f>
        <v>1378184760.5799999</v>
      </c>
      <c r="Y12" s="318">
        <f>'CONSOLIDADO_TOTAL RECAUDO'!Y107</f>
        <v>119211235.36999999</v>
      </c>
      <c r="Z12" s="319">
        <f>'CONSOLIDADO_TOTAL RECAUDO'!Z107</f>
        <v>-120391083</v>
      </c>
      <c r="AA12" s="320">
        <f>'CONSOLIDADO_TOTAL RECAUDO'!AA107</f>
        <v>-12302.84</v>
      </c>
      <c r="AB12" s="294">
        <f>'CONSOLIDADO_TOTAL RECAUDO'!AB107</f>
        <v>11313241.9</v>
      </c>
      <c r="AC12" s="320">
        <f>'CONSOLIDADO_TOTAL RECAUDO'!AC107</f>
        <v>196.87</v>
      </c>
      <c r="AD12" s="291">
        <f>'CONSOLIDADO_TOTAL RECAUDO'!AD107</f>
        <v>-63039848.429999828</v>
      </c>
      <c r="AE12" s="291">
        <f>'CONSOLIDADO_TOTAL RECAUDO'!AE107</f>
        <v>-769275773.6400001</v>
      </c>
      <c r="AF12" s="322">
        <f>'CONSOLIDADO_TOTAL RECAUDO'!AF107</f>
        <v>5817161470.6199989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12137660178.170002</v>
      </c>
      <c r="E13" s="297">
        <f>'CONSOLIDADO_TOTAL RECAUDO'!E108</f>
        <v>725409163.9000001</v>
      </c>
      <c r="F13" s="297">
        <f>'CONSOLIDADO_TOTAL RECAUDO'!F108</f>
        <v>408227723.78999996</v>
      </c>
      <c r="G13" s="297">
        <f>'CONSOLIDADO_TOTAL RECAUDO'!G108</f>
        <v>214644413.42000002</v>
      </c>
      <c r="H13" s="297">
        <f>'CONSOLIDADO_TOTAL RECAUDO'!H108</f>
        <v>3009772460.46</v>
      </c>
      <c r="I13" s="297">
        <f>'CONSOLIDADO_TOTAL RECAUDO'!I108</f>
        <v>109522048.66000001</v>
      </c>
      <c r="J13" s="289">
        <f>'CONSOLIDADO_TOTAL RECAUDO'!J108</f>
        <v>-23403941.309999943</v>
      </c>
      <c r="K13" s="295">
        <f>'CONSOLIDADO_TOTAL RECAUDO'!K108</f>
        <v>7693488309.2500038</v>
      </c>
      <c r="L13" s="294">
        <f>'CONSOLIDADO_TOTAL RECAUDO'!L108</f>
        <v>128990446</v>
      </c>
      <c r="M13" s="298">
        <f>'CONSOLIDADO_TOTAL RECAUDO'!M108</f>
        <v>7564497863.2500038</v>
      </c>
      <c r="N13" s="299">
        <f>'CONSOLIDADO_TOTAL RECAUDO'!N108</f>
        <v>11174580.140000001</v>
      </c>
      <c r="O13" s="298">
        <f>'CONSOLIDADO_TOTAL RECAUDO'!O108</f>
        <v>7575672443.3900042</v>
      </c>
      <c r="Q13" s="306"/>
      <c r="S13" s="324">
        <v>5</v>
      </c>
      <c r="T13" s="325" t="s">
        <v>14</v>
      </c>
      <c r="U13" s="296">
        <f>'CONSOLIDADO_TOTAL RECAUDO'!U108</f>
        <v>959806849.63999999</v>
      </c>
      <c r="V13" s="297">
        <f>'CONSOLIDADO_TOTAL RECAUDO'!V108</f>
        <v>932280571.95999992</v>
      </c>
      <c r="W13" s="297">
        <f>'CONSOLIDADO_TOTAL RECAUDO'!W108</f>
        <v>4834478372.460001</v>
      </c>
      <c r="X13" s="297">
        <f>'CONSOLIDADO_TOTAL RECAUDO'!X108</f>
        <v>2192889840.5</v>
      </c>
      <c r="Y13" s="289">
        <f>'CONSOLIDADO_TOTAL RECAUDO'!Y108</f>
        <v>178678957.13999999</v>
      </c>
      <c r="Z13" s="319">
        <f>'CONSOLIDADO_TOTAL RECAUDO'!Z108</f>
        <v>-128990446</v>
      </c>
      <c r="AA13" s="320">
        <f>'CONSOLIDADO_TOTAL RECAUDO'!AA108</f>
        <v>-105938.44</v>
      </c>
      <c r="AB13" s="294">
        <f>'CONSOLIDADO_TOTAL RECAUDO'!AB108</f>
        <v>11174580.140000001</v>
      </c>
      <c r="AC13" s="320">
        <f>'CONSOLIDADO_TOTAL RECAUDO'!AC108</f>
        <v>-29.2</v>
      </c>
      <c r="AD13" s="291">
        <f>'CONSOLIDADO_TOTAL RECAUDO'!AD108</f>
        <v>-1404540314.8099999</v>
      </c>
      <c r="AE13" s="291">
        <f>'CONSOLIDADO_TOTAL RECAUDO'!AE108</f>
        <v>-1427944256.1199999</v>
      </c>
      <c r="AF13" s="322">
        <f>'CONSOLIDADO_TOTAL RECAUDO'!AF108</f>
        <v>7575672443.3899994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76857351164.970001</v>
      </c>
      <c r="E14" s="290">
        <f>'CONSOLIDADO_TOTAL RECAUDO'!E109</f>
        <v>5036465087.5300007</v>
      </c>
      <c r="F14" s="290">
        <f>'CONSOLIDADO_TOTAL RECAUDO'!F109</f>
        <v>2827616426.8099999</v>
      </c>
      <c r="G14" s="290">
        <f>'CONSOLIDADO_TOTAL RECAUDO'!G109</f>
        <v>1483153631.0700002</v>
      </c>
      <c r="H14" s="290">
        <f>'CONSOLIDADO_TOTAL RECAUDO'!H109</f>
        <v>20725419084.91</v>
      </c>
      <c r="I14" s="290">
        <f>'CONSOLIDADO_TOTAL RECAUDO'!I109</f>
        <v>693768844.53999996</v>
      </c>
      <c r="J14" s="290">
        <f>'CONSOLIDADO_TOTAL RECAUDO'!J109</f>
        <v>-9458992190.4200001</v>
      </c>
      <c r="K14" s="300">
        <f>'CONSOLIDADO_TOTAL RECAUDO'!K109</f>
        <v>55549920280.529999</v>
      </c>
      <c r="L14" s="301">
        <f>'CONSOLIDADO_TOTAL RECAUDO'!L109</f>
        <v>859936309</v>
      </c>
      <c r="M14" s="302">
        <f>'CONSOLIDADO_TOTAL RECAUDO'!M109</f>
        <v>54689983971.529999</v>
      </c>
      <c r="N14" s="301">
        <f>'CONSOLIDADO_TOTAL RECAUDO'!N109</f>
        <v>162859726.46000004</v>
      </c>
      <c r="O14" s="302">
        <f>'CONSOLIDADO_TOTAL RECAUDO'!O109</f>
        <v>54852843697.989998</v>
      </c>
      <c r="P14" s="329"/>
      <c r="Q14" s="306"/>
      <c r="S14" s="327"/>
      <c r="T14" s="328" t="s">
        <v>2</v>
      </c>
      <c r="U14" s="330">
        <f>'CONSOLIDADO_TOTAL RECAUDO'!U109</f>
        <v>6088174353.0900002</v>
      </c>
      <c r="V14" s="330">
        <f>'CONSOLIDADO_TOTAL RECAUDO'!V109</f>
        <v>5961369629.3899994</v>
      </c>
      <c r="W14" s="330">
        <f>'CONSOLIDADO_TOTAL RECAUDO'!W109</f>
        <v>28773694708.360001</v>
      </c>
      <c r="X14" s="330">
        <f>'CONSOLIDADO_TOTAL RECAUDO'!X109</f>
        <v>12218396971.220001</v>
      </c>
      <c r="Y14" s="330">
        <f>'CONSOLIDADO_TOTAL RECAUDO'!Y109</f>
        <v>1131621242.1299999</v>
      </c>
      <c r="Z14" s="290">
        <f>'CONSOLIDADO_TOTAL RECAUDO'!Z109</f>
        <v>-859936309</v>
      </c>
      <c r="AA14" s="290">
        <f>'CONSOLIDADO_TOTAL RECAUDO'!AA109</f>
        <v>-149569.52999999997</v>
      </c>
      <c r="AB14" s="290">
        <f>'CONSOLIDADO_TOTAL RECAUDO'!AB109</f>
        <v>162859726.46000004</v>
      </c>
      <c r="AC14" s="290">
        <f>'CONSOLIDADO_TOTAL RECAUDO'!AC109</f>
        <v>-3973197.81</v>
      </c>
      <c r="AD14" s="290">
        <f>'CONSOLIDADO_TOTAL RECAUDO'!AD109</f>
        <v>1380786143.6800013</v>
      </c>
      <c r="AE14" s="290">
        <f>'CONSOLIDADO_TOTAL RECAUDO'!AE109</f>
        <v>-8078206046.7399998</v>
      </c>
      <c r="AF14" s="331">
        <f>'CONSOLIDADO_TOTAL RECAUDO'!AF109</f>
        <v>54852843697.990005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27760293.829999998</v>
      </c>
      <c r="E27" s="292">
        <f>'REMUNERACION Reciprocidad EAAB'!E105</f>
        <v>2451771.12</v>
      </c>
      <c r="F27" s="292">
        <f>'REMUNERACION Reciprocidad EAAB'!F105</f>
        <v>1344832.79</v>
      </c>
      <c r="G27" s="292">
        <f>'REMUNERACION Reciprocidad EAAB'!G105</f>
        <v>556057.96</v>
      </c>
      <c r="H27" s="292">
        <f>'REMUNERACION Reciprocidad EAAB'!H105</f>
        <v>11035302.6</v>
      </c>
      <c r="I27" s="292">
        <f>'REMUNERACION Reciprocidad EAAB'!I105</f>
        <v>367309.25</v>
      </c>
      <c r="J27" s="288">
        <f>'REMUNERACION Reciprocidad EAAB'!J105</f>
        <v>0</v>
      </c>
      <c r="K27" s="295">
        <f>'REMUNERACION Reciprocidad EAAB'!K105</f>
        <v>12005020.109999998</v>
      </c>
      <c r="L27" s="294">
        <f>'REMUNERACION Reciprocidad EAAB'!L105</f>
        <v>0</v>
      </c>
      <c r="M27" s="295">
        <f>'REMUNERACION Reciprocidad EAAB'!M105</f>
        <v>12005020.109999998</v>
      </c>
      <c r="N27" s="294">
        <f>'REMUNERACION Reciprocidad EAAB'!N105</f>
        <v>0</v>
      </c>
      <c r="O27" s="295">
        <f>'REMUNERACION Reciprocidad EAAB'!O105</f>
        <v>12005020.109999998</v>
      </c>
      <c r="Q27" s="306"/>
      <c r="S27" s="314">
        <v>2</v>
      </c>
      <c r="T27" s="315" t="s">
        <v>11</v>
      </c>
      <c r="U27" s="316">
        <f>'REMUNERACION Reciprocidad EAAB'!U105</f>
        <v>3158192.46</v>
      </c>
      <c r="V27" s="317">
        <f>'REMUNERACION Reciprocidad EAAB'!V105</f>
        <v>3222798.83</v>
      </c>
      <c r="W27" s="317">
        <f>'REMUNERACION Reciprocidad EAAB'!W105</f>
        <v>12978891.09</v>
      </c>
      <c r="X27" s="317">
        <f>'REMUNERACION Reciprocidad EAAB'!X105</f>
        <v>4858991.2</v>
      </c>
      <c r="Y27" s="318">
        <f>'REMUNERACION Reciprocidad EAAB'!Y105</f>
        <v>473018.25</v>
      </c>
      <c r="Z27" s="319">
        <f>'REMUNERACION Reciprocidad EAAB'!Z105</f>
        <v>0</v>
      </c>
      <c r="AA27" s="320">
        <f>'REMUNERACION Reciprocidad EAAB'!AA105</f>
        <v>-71.83</v>
      </c>
      <c r="AB27" s="294">
        <f>'REMUNERACION Reciprocidad EAAB'!AB105</f>
        <v>0</v>
      </c>
      <c r="AC27" s="320">
        <f>'REMUNERACION Reciprocidad EAAB'!AC105</f>
        <v>-0.12</v>
      </c>
      <c r="AD27" s="291">
        <f>'REMUNERACION Reciprocidad EAAB'!AD105</f>
        <v>-12686799.77</v>
      </c>
      <c r="AE27" s="291">
        <f>'REMUNERACION Reciprocidad EAAB'!AE105</f>
        <v>-12686799.77</v>
      </c>
      <c r="AF27" s="322">
        <f>'REMUNERACION Reciprocidad EAAB'!AF105</f>
        <v>12005020.109999999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21378398.210000001</v>
      </c>
      <c r="E29" s="292">
        <f>'REMUNERACION Reciprocidad EAAB'!E107</f>
        <v>1404272.65</v>
      </c>
      <c r="F29" s="292">
        <f>'REMUNERACION Reciprocidad EAAB'!F107</f>
        <v>781572.42</v>
      </c>
      <c r="G29" s="292">
        <f>'REMUNERACION Reciprocidad EAAB'!G107</f>
        <v>318744.15999999997</v>
      </c>
      <c r="H29" s="292">
        <f>'REMUNERACION Reciprocidad EAAB'!H107</f>
        <v>5484035.9699999997</v>
      </c>
      <c r="I29" s="292">
        <f>'REMUNERACION Reciprocidad EAAB'!I107</f>
        <v>175967.09000000003</v>
      </c>
      <c r="J29" s="288">
        <f>'REMUNERACION Reciprocidad EAAB'!J107</f>
        <v>0</v>
      </c>
      <c r="K29" s="295">
        <f>'REMUNERACION Reciprocidad EAAB'!K107</f>
        <v>13213805.920000002</v>
      </c>
      <c r="L29" s="294">
        <f>'REMUNERACION Reciprocidad EAAB'!L107</f>
        <v>0</v>
      </c>
      <c r="M29" s="295">
        <f>'REMUNERACION Reciprocidad EAAB'!M107</f>
        <v>13213805.920000002</v>
      </c>
      <c r="N29" s="294">
        <f>'REMUNERACION Reciprocidad EAAB'!N107</f>
        <v>0</v>
      </c>
      <c r="O29" s="295">
        <f>'REMUNERACION Reciprocidad EAAB'!O107</f>
        <v>13213805.920000002</v>
      </c>
      <c r="Q29" s="306"/>
      <c r="S29" s="314">
        <v>4</v>
      </c>
      <c r="T29" s="315" t="s">
        <v>13</v>
      </c>
      <c r="U29" s="316">
        <f>'REMUNERACION Reciprocidad EAAB'!U107</f>
        <v>1616456.85</v>
      </c>
      <c r="V29" s="317">
        <f>'REMUNERACION Reciprocidad EAAB'!V107</f>
        <v>1554506.5000000002</v>
      </c>
      <c r="W29" s="317">
        <f>'REMUNERACION Reciprocidad EAAB'!W107</f>
        <v>7365853.3999999994</v>
      </c>
      <c r="X29" s="317">
        <f>'REMUNERACION Reciprocidad EAAB'!X107</f>
        <v>3781775.6099999994</v>
      </c>
      <c r="Y29" s="318">
        <f>'REMUNERACION Reciprocidad EAAB'!Y107</f>
        <v>216126.31</v>
      </c>
      <c r="Z29" s="319">
        <f>'REMUNERACION Reciprocidad EAAB'!Z107</f>
        <v>0</v>
      </c>
      <c r="AA29" s="320">
        <f>'REMUNERACION Reciprocidad EAAB'!AA107</f>
        <v>37.700000000000003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-1320950.45</v>
      </c>
      <c r="AE29" s="291">
        <f>'REMUNERACION Reciprocidad EAAB'!AE107</f>
        <v>-1320950.45</v>
      </c>
      <c r="AF29" s="322">
        <f>'REMUNERACION Reciprocidad EAAB'!AF107</f>
        <v>13213805.92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49138692.039999999</v>
      </c>
      <c r="E31" s="290">
        <f>'REMUNERACION Reciprocidad EAAB'!E109</f>
        <v>3856043.77</v>
      </c>
      <c r="F31" s="290">
        <f>'REMUNERACION Reciprocidad EAAB'!F109</f>
        <v>2126405.21</v>
      </c>
      <c r="G31" s="290">
        <f>'REMUNERACION Reciprocidad EAAB'!G109</f>
        <v>874802.11999999988</v>
      </c>
      <c r="H31" s="290">
        <f>'REMUNERACION Reciprocidad EAAB'!H109</f>
        <v>16519338.57</v>
      </c>
      <c r="I31" s="290">
        <f>'REMUNERACION Reciprocidad EAAB'!I109</f>
        <v>543276.34000000008</v>
      </c>
      <c r="J31" s="290">
        <f>'REMUNERACION Reciprocidad EAAB'!J109</f>
        <v>0</v>
      </c>
      <c r="K31" s="300">
        <f>'REMUNERACION Reciprocidad EAAB'!K109</f>
        <v>25218826.030000001</v>
      </c>
      <c r="L31" s="301">
        <f>'REMUNERACION Reciprocidad EAAB'!L109</f>
        <v>0</v>
      </c>
      <c r="M31" s="302">
        <f>'REMUNERACION Reciprocidad EAAB'!M109</f>
        <v>25218826.030000001</v>
      </c>
      <c r="N31" s="301">
        <f>'REMUNERACION Reciprocidad EAAB'!N109</f>
        <v>0</v>
      </c>
      <c r="O31" s="302">
        <f>'REMUNERACION Reciprocidad EAAB'!O109</f>
        <v>25218826.030000001</v>
      </c>
      <c r="P31" s="329"/>
      <c r="Q31" s="306"/>
      <c r="S31" s="327"/>
      <c r="T31" s="328" t="s">
        <v>2</v>
      </c>
      <c r="U31" s="330">
        <f>'REMUNERACION Reciprocidad EAAB'!U109</f>
        <v>4774649.3100000005</v>
      </c>
      <c r="V31" s="330">
        <f>'REMUNERACION Reciprocidad EAAB'!V109</f>
        <v>4777305.33</v>
      </c>
      <c r="W31" s="330">
        <f>'REMUNERACION Reciprocidad EAAB'!W109</f>
        <v>20344744.489999998</v>
      </c>
      <c r="X31" s="330">
        <f>'REMUNERACION Reciprocidad EAAB'!X109</f>
        <v>8640766.8099999987</v>
      </c>
      <c r="Y31" s="330">
        <f>'REMUNERACION Reciprocidad EAAB'!Y109</f>
        <v>689144.56</v>
      </c>
      <c r="Z31" s="290">
        <f>'REMUNERACION Reciprocidad EAAB'!Z109</f>
        <v>0</v>
      </c>
      <c r="AA31" s="290">
        <f>'REMUNERACION Reciprocidad EAAB'!AA109</f>
        <v>-34.129999999999995</v>
      </c>
      <c r="AB31" s="290">
        <f>'REMUNERACION Reciprocidad EAAB'!AB109</f>
        <v>0</v>
      </c>
      <c r="AC31" s="290">
        <f>'REMUNERACION Reciprocidad EAAB'!AC109</f>
        <v>-0.12</v>
      </c>
      <c r="AD31" s="290">
        <f>'REMUNERACION Reciprocidad EAAB'!AD109</f>
        <v>-14007750.219999999</v>
      </c>
      <c r="AE31" s="290">
        <f>'REMUNERACION Reciprocidad EAAB'!AE109</f>
        <v>-14007750.219999999</v>
      </c>
      <c r="AF31" s="331">
        <f>'REMUNERACION Reciprocidad EAAB'!AF109</f>
        <v>25218826.030000001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17481476627.310001</v>
      </c>
      <c r="E43" s="292">
        <f>REMUNERACION_ENEL!E104</f>
        <v>879434175.00000012</v>
      </c>
      <c r="F43" s="292">
        <f>REMUNERACION_ENEL!F104</f>
        <v>495829520.96999997</v>
      </c>
      <c r="G43" s="292">
        <f>REMUNERACION_ENEL!G104</f>
        <v>260968409.75999999</v>
      </c>
      <c r="H43" s="292">
        <f>REMUNERACION_ENEL!H104</f>
        <v>4133030863.6100001</v>
      </c>
      <c r="I43" s="292">
        <f>REMUNERACION_ENEL!I104</f>
        <v>154901314.78</v>
      </c>
      <c r="J43" s="288">
        <f>REMUNERACION_ENEL!J104</f>
        <v>-3610213749.2700005</v>
      </c>
      <c r="K43" s="293">
        <f>REMUNERACION_ENEL!K104</f>
        <v>15167526092.460001</v>
      </c>
      <c r="L43" s="294">
        <f>REMUNERACION_ENEL!L104</f>
        <v>189185988</v>
      </c>
      <c r="M43" s="293">
        <f>REMUNERACION_ENEL!M104</f>
        <v>14978340104.460001</v>
      </c>
      <c r="N43" s="294">
        <f>REMUNERACION_ENEL!N104</f>
        <v>16170630.209999999</v>
      </c>
      <c r="O43" s="293">
        <f>REMUNERACION_ENEL!O104</f>
        <v>14994510734.67</v>
      </c>
      <c r="Q43" s="306"/>
      <c r="S43" s="303">
        <v>1</v>
      </c>
      <c r="T43" s="304" t="s">
        <v>10</v>
      </c>
      <c r="U43" s="307">
        <f>REMUNERACION_ENEL!U104</f>
        <v>1363020266.6600001</v>
      </c>
      <c r="V43" s="308">
        <f>REMUNERACION_ENEL!V104</f>
        <v>1294699651.98</v>
      </c>
      <c r="W43" s="308">
        <f>REMUNERACION_ENEL!W104</f>
        <v>6122934210.7399988</v>
      </c>
      <c r="X43" s="308">
        <f>REMUNERACION_ENEL!X104</f>
        <v>2388849771.6500001</v>
      </c>
      <c r="Y43" s="309">
        <f>REMUNERACION_ENEL!Y104</f>
        <v>252831336.25</v>
      </c>
      <c r="Z43" s="310">
        <f>REMUNERACION_ENEL!Z104</f>
        <v>-189185988</v>
      </c>
      <c r="AA43" s="311">
        <f>REMUNERACION_ENEL!AA104</f>
        <v>2550.5</v>
      </c>
      <c r="AB43" s="294">
        <f>REMUNERACION_ENEL!AB104</f>
        <v>16170630.209999999</v>
      </c>
      <c r="AC43" s="311">
        <f>REMUNERACION_ENEL!AC104</f>
        <v>301.08999999999997</v>
      </c>
      <c r="AD43" s="291">
        <f>REMUNERACION_ENEL!AD104</f>
        <v>3745188003.5900006</v>
      </c>
      <c r="AE43" s="291">
        <f>REMUNERACION_ENEL!AE104</f>
        <v>134974254.32000002</v>
      </c>
      <c r="AF43" s="313">
        <f>REMUNERACION_ENEL!AF104</f>
        <v>14994510734.669998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19257606090.439999</v>
      </c>
      <c r="E44" s="292">
        <f>REMUNERACION_ENEL!E105</f>
        <v>1377947791.8799999</v>
      </c>
      <c r="F44" s="292">
        <f>REMUNERACION_ENEL!F105</f>
        <v>768030457.42000008</v>
      </c>
      <c r="G44" s="292">
        <f>REMUNERACION_ENEL!G105</f>
        <v>400312606.53999996</v>
      </c>
      <c r="H44" s="292">
        <f>REMUNERACION_ENEL!H105</f>
        <v>6464949918.2200003</v>
      </c>
      <c r="I44" s="292">
        <f>REMUNERACION_ENEL!I105</f>
        <v>216662028.45999998</v>
      </c>
      <c r="J44" s="288">
        <f>REMUNERACION_ENEL!J105</f>
        <v>-4289876341.3299999</v>
      </c>
      <c r="K44" s="295">
        <f>REMUNERACION_ENEL!K105</f>
        <v>14319579629.249998</v>
      </c>
      <c r="L44" s="294">
        <f>REMUNERACION_ENEL!L105</f>
        <v>266580256</v>
      </c>
      <c r="M44" s="295">
        <f>REMUNERACION_ENEL!M105</f>
        <v>14052999373.249998</v>
      </c>
      <c r="N44" s="294">
        <f>REMUNERACION_ENEL!N105</f>
        <v>22461697.91</v>
      </c>
      <c r="O44" s="295">
        <f>REMUNERACION_ENEL!O105</f>
        <v>14075461071.159998</v>
      </c>
      <c r="Q44" s="306"/>
      <c r="S44" s="314">
        <v>2</v>
      </c>
      <c r="T44" s="315" t="s">
        <v>11</v>
      </c>
      <c r="U44" s="316">
        <f>REMUNERACION_ENEL!U105</f>
        <v>1900794195.3099999</v>
      </c>
      <c r="V44" s="317">
        <f>REMUNERACION_ENEL!V105</f>
        <v>1868334916.4300003</v>
      </c>
      <c r="W44" s="317">
        <f>REMUNERACION_ENEL!W105</f>
        <v>8785123586.2599983</v>
      </c>
      <c r="X44" s="317">
        <f>REMUNERACION_ENEL!X105</f>
        <v>2713838807.2099996</v>
      </c>
      <c r="Y44" s="318">
        <f>REMUNERACION_ENEL!Y105</f>
        <v>353676289.69</v>
      </c>
      <c r="Z44" s="319">
        <f>REMUNERACION_ENEL!Z105</f>
        <v>-266580256</v>
      </c>
      <c r="AA44" s="320">
        <f>REMUNERACION_ENEL!AA105</f>
        <v>-217685.97</v>
      </c>
      <c r="AB44" s="294">
        <f>REMUNERACION_ENEL!AB105</f>
        <v>22461697.91</v>
      </c>
      <c r="AC44" s="320">
        <f>REMUNERACION_ENEL!AC105</f>
        <v>28.149999999999995</v>
      </c>
      <c r="AD44" s="291">
        <f>REMUNERACION_ENEL!AD105</f>
        <v>-1301970507.8300009</v>
      </c>
      <c r="AE44" s="291">
        <f>REMUNERACION_ENEL!AE105</f>
        <v>-5591846849.1600008</v>
      </c>
      <c r="AF44" s="322">
        <f>REMUNERACION_ENEL!AF105</f>
        <v>14075461071.159996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15116914559.32</v>
      </c>
      <c r="E45" s="292">
        <f>REMUNERACION_ENEL!E106</f>
        <v>977979889.33999991</v>
      </c>
      <c r="F45" s="292">
        <f>REMUNERACION_ENEL!F106</f>
        <v>551503495.3599999</v>
      </c>
      <c r="G45" s="292">
        <f>REMUNERACION_ENEL!G106</f>
        <v>289665457.38999999</v>
      </c>
      <c r="H45" s="292">
        <f>REMUNERACION_ENEL!H106</f>
        <v>4503887509.4700003</v>
      </c>
      <c r="I45" s="292">
        <f>REMUNERACION_ENEL!I106</f>
        <v>125817695.05000001</v>
      </c>
      <c r="J45" s="288">
        <f>REMUNERACION_ENEL!J106</f>
        <v>-829262233.29999995</v>
      </c>
      <c r="K45" s="295">
        <f>REMUNERACION_ENEL!K106</f>
        <v>9497322746.0099983</v>
      </c>
      <c r="L45" s="294">
        <f>REMUNERACION_ENEL!L106</f>
        <v>154788536</v>
      </c>
      <c r="M45" s="295">
        <f>REMUNERACION_ENEL!M106</f>
        <v>9342534210.0099983</v>
      </c>
      <c r="N45" s="294">
        <f>REMUNERACION_ENEL!N106</f>
        <v>20339896.989999998</v>
      </c>
      <c r="O45" s="295">
        <f>REMUNERACION_ENEL!O106</f>
        <v>9362874106.9999981</v>
      </c>
      <c r="Q45" s="306"/>
      <c r="S45" s="314">
        <v>3</v>
      </c>
      <c r="T45" s="315" t="s">
        <v>12</v>
      </c>
      <c r="U45" s="316">
        <f>REMUNERACION_ENEL!U106</f>
        <v>1103026104.3999996</v>
      </c>
      <c r="V45" s="317">
        <f>REMUNERACION_ENEL!V106</f>
        <v>1070765746.1300001</v>
      </c>
      <c r="W45" s="317">
        <f>REMUNERACION_ENEL!W106</f>
        <v>5063892488.2800007</v>
      </c>
      <c r="X45" s="317">
        <f>REMUNERACION_ENEL!X106</f>
        <v>2316416824.7900004</v>
      </c>
      <c r="Y45" s="318">
        <f>REMUNERACION_ENEL!Y106</f>
        <v>205245733.97</v>
      </c>
      <c r="Z45" s="319">
        <f>REMUNERACION_ENEL!Z106</f>
        <v>-154788536</v>
      </c>
      <c r="AA45" s="320">
        <f>REMUNERACION_ENEL!AA106</f>
        <v>117561.4</v>
      </c>
      <c r="AB45" s="294">
        <f>REMUNERACION_ENEL!AB106</f>
        <v>20339896.989999998</v>
      </c>
      <c r="AC45" s="320">
        <f>REMUNERACION_ENEL!AC106</f>
        <v>0.62</v>
      </c>
      <c r="AD45" s="291">
        <f>REMUNERACION_ENEL!AD106</f>
        <v>-262141713.57999992</v>
      </c>
      <c r="AE45" s="291">
        <f>REMUNERACION_ENEL!AE106</f>
        <v>-1091403946.8799999</v>
      </c>
      <c r="AF45" s="322">
        <f>REMUNERACION_ENEL!AF106</f>
        <v>9362874107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7398812532.9499989</v>
      </c>
      <c r="E46" s="292">
        <f>REMUNERACION_ENEL!E107</f>
        <v>423119597.88999999</v>
      </c>
      <c r="F46" s="292">
        <f>REMUNERACION_ENEL!F107</f>
        <v>237319417.35000002</v>
      </c>
      <c r="G46" s="292">
        <f>REMUNERACION_ENEL!G107</f>
        <v>124679484.58</v>
      </c>
      <c r="H46" s="292">
        <f>REMUNERACION_ENEL!H107</f>
        <v>1980020664.25</v>
      </c>
      <c r="I46" s="292">
        <f>REMUNERACION_ENEL!I107</f>
        <v>69543147.450000003</v>
      </c>
      <c r="J46" s="288">
        <f>REMUNERACION_ENEL!J107</f>
        <v>-706235925.21000028</v>
      </c>
      <c r="K46" s="295">
        <f>REMUNERACION_ENEL!K107</f>
        <v>5270366146.6399984</v>
      </c>
      <c r="L46" s="294">
        <f>REMUNERACION_ENEL!L107</f>
        <v>120391083</v>
      </c>
      <c r="M46" s="295">
        <f>REMUNERACION_ENEL!M107</f>
        <v>5149975063.6399984</v>
      </c>
      <c r="N46" s="294">
        <f>REMUNERACION_ENEL!N107</f>
        <v>7773127.7699999996</v>
      </c>
      <c r="O46" s="295">
        <f>REMUNERACION_ENEL!O107</f>
        <v>5157748191.4099989</v>
      </c>
      <c r="Q46" s="306"/>
      <c r="S46" s="314">
        <v>4</v>
      </c>
      <c r="T46" s="315" t="s">
        <v>13</v>
      </c>
      <c r="U46" s="316">
        <f>REMUNERACION_ENEL!U107</f>
        <v>609384239.33000004</v>
      </c>
      <c r="V46" s="317">
        <f>REMUNERACION_ENEL!V107</f>
        <v>591423929.07000005</v>
      </c>
      <c r="W46" s="317">
        <f>REMUNERACION_ENEL!W107</f>
        <v>2999088802.02</v>
      </c>
      <c r="X46" s="317">
        <f>REMUNERACION_ENEL!X107</f>
        <v>1120355776.7</v>
      </c>
      <c r="Y46" s="318">
        <f>REMUNERACION_ENEL!Y107</f>
        <v>113252427.27000001</v>
      </c>
      <c r="Z46" s="319">
        <f>REMUNERACION_ENEL!Z107</f>
        <v>-120391083</v>
      </c>
      <c r="AA46" s="320">
        <f>REMUNERACION_ENEL!AA107</f>
        <v>-13816.190000000002</v>
      </c>
      <c r="AB46" s="294">
        <f>REMUNERACION_ENEL!AB107</f>
        <v>7773127.7699999996</v>
      </c>
      <c r="AC46" s="320">
        <f>REMUNERACION_ENEL!AC107</f>
        <v>381.85</v>
      </c>
      <c r="AD46" s="291">
        <f>REMUNERACION_ENEL!AD107</f>
        <v>-163125593.40999985</v>
      </c>
      <c r="AE46" s="291">
        <f>REMUNERACION_ENEL!AE107</f>
        <v>-869361518.62000012</v>
      </c>
      <c r="AF46" s="322">
        <f>REMUNERACION_ENEL!AF107</f>
        <v>5157748191.4100018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11764023420.48</v>
      </c>
      <c r="E47" s="297">
        <f>REMUNERACION_ENEL!E108</f>
        <v>689282091.66999996</v>
      </c>
      <c r="F47" s="297">
        <f>REMUNERACION_ENEL!F108</f>
        <v>388594654.95000005</v>
      </c>
      <c r="G47" s="297">
        <f>REMUNERACION_ENEL!G108</f>
        <v>204248392.93000001</v>
      </c>
      <c r="H47" s="297">
        <f>REMUNERACION_ENEL!H108</f>
        <v>2978264001.9200001</v>
      </c>
      <c r="I47" s="297">
        <f>REMUNERACION_ENEL!I108</f>
        <v>108269318.42</v>
      </c>
      <c r="J47" s="289">
        <f>REMUNERACION_ENEL!J108</f>
        <v>-23403941.309999943</v>
      </c>
      <c r="K47" s="295">
        <f>REMUNERACION_ENEL!K108</f>
        <v>7418768901.8999977</v>
      </c>
      <c r="L47" s="294">
        <f>REMUNERACION_ENEL!L108</f>
        <v>128990446</v>
      </c>
      <c r="M47" s="298">
        <f>REMUNERACION_ENEL!M108</f>
        <v>7289778455.8999977</v>
      </c>
      <c r="N47" s="299">
        <f>REMUNERACION_ENEL!N108</f>
        <v>8938793.0399999991</v>
      </c>
      <c r="O47" s="298">
        <f>REMUNERACION_ENEL!O108</f>
        <v>7298717248.9399977</v>
      </c>
      <c r="Q47" s="306"/>
      <c r="S47" s="324">
        <v>5</v>
      </c>
      <c r="T47" s="325" t="s">
        <v>14</v>
      </c>
      <c r="U47" s="296">
        <f>REMUNERACION_ENEL!U108</f>
        <v>948827422.16999996</v>
      </c>
      <c r="V47" s="297">
        <f>REMUNERACION_ENEL!V108</f>
        <v>919463935.80000007</v>
      </c>
      <c r="W47" s="297">
        <f>REMUNERACION_ENEL!W108</f>
        <v>4767845574.7600002</v>
      </c>
      <c r="X47" s="297">
        <f>REMUNERACION_ENEL!X108</f>
        <v>2084260220.79</v>
      </c>
      <c r="Y47" s="289">
        <f>REMUNERACION_ENEL!Y108</f>
        <v>176614519.61000001</v>
      </c>
      <c r="Z47" s="319">
        <f>REMUNERACION_ENEL!Z108</f>
        <v>-128990446</v>
      </c>
      <c r="AA47" s="320">
        <f>REMUNERACION_ENEL!AA108</f>
        <v>-103215.67000000001</v>
      </c>
      <c r="AB47" s="294">
        <f>REMUNERACION_ENEL!AB108</f>
        <v>8938793.0399999991</v>
      </c>
      <c r="AC47" s="320">
        <f>REMUNERACION_ENEL!AC108</f>
        <v>5.93</v>
      </c>
      <c r="AD47" s="291">
        <f>REMUNERACION_ENEL!AD108</f>
        <v>-1478139561.49</v>
      </c>
      <c r="AE47" s="291">
        <f>REMUNERACION_ENEL!AE108</f>
        <v>-1501543502.8</v>
      </c>
      <c r="AF47" s="322">
        <f>REMUNERACION_ENEL!AF108</f>
        <v>7298717248.9400024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71018833230.5</v>
      </c>
      <c r="E48" s="290">
        <f>REMUNERACION_ENEL!E109</f>
        <v>4347763545.7799997</v>
      </c>
      <c r="F48" s="290">
        <f>REMUNERACION_ENEL!F109</f>
        <v>2441277546.0500002</v>
      </c>
      <c r="G48" s="290">
        <f>REMUNERACION_ENEL!G109</f>
        <v>1279874351.2</v>
      </c>
      <c r="H48" s="290">
        <f>REMUNERACION_ENEL!H109</f>
        <v>20060152957.470001</v>
      </c>
      <c r="I48" s="290">
        <f>REMUNERACION_ENEL!I109</f>
        <v>675193504.15999997</v>
      </c>
      <c r="J48" s="290">
        <f>REMUNERACION_ENEL!J109</f>
        <v>-9458992190.4200001</v>
      </c>
      <c r="K48" s="300">
        <f>REMUNERACION_ENEL!K109</f>
        <v>51673563516.259995</v>
      </c>
      <c r="L48" s="301">
        <f>REMUNERACION_ENEL!L109</f>
        <v>859936309</v>
      </c>
      <c r="M48" s="302">
        <f>REMUNERACION_ENEL!M109</f>
        <v>50813627207.259995</v>
      </c>
      <c r="N48" s="301">
        <f>REMUNERACION_ENEL!N109</f>
        <v>75684145.919999987</v>
      </c>
      <c r="O48" s="302">
        <f>REMUNERACION_ENEL!O109</f>
        <v>50889311353.179985</v>
      </c>
      <c r="P48" s="329"/>
      <c r="Q48" s="306"/>
      <c r="S48" s="327"/>
      <c r="T48" s="328" t="s">
        <v>2</v>
      </c>
      <c r="U48" s="330">
        <f>REMUNERACION_ENEL!U109</f>
        <v>5925052227.8699999</v>
      </c>
      <c r="V48" s="330">
        <f>REMUNERACION_ENEL!V109</f>
        <v>5744688179.4100008</v>
      </c>
      <c r="W48" s="330">
        <f>REMUNERACION_ENEL!W109</f>
        <v>27738884662.059998</v>
      </c>
      <c r="X48" s="330">
        <f>REMUNERACION_ENEL!X109</f>
        <v>10623721401.139999</v>
      </c>
      <c r="Y48" s="330">
        <f>REMUNERACION_ENEL!Y109</f>
        <v>1101620306.79</v>
      </c>
      <c r="Z48" s="290">
        <f>REMUNERACION_ENEL!Z109</f>
        <v>-859936309</v>
      </c>
      <c r="AA48" s="290">
        <f>REMUNERACION_ENEL!AA109</f>
        <v>-214605.93000000002</v>
      </c>
      <c r="AB48" s="290">
        <f>REMUNERACION_ENEL!AB109</f>
        <v>75684145.919999987</v>
      </c>
      <c r="AC48" s="290">
        <f>REMUNERACION_ENEL!AC109</f>
        <v>717.64</v>
      </c>
      <c r="AD48" s="290">
        <f>REMUNERACION_ENEL!AD109</f>
        <v>539810627.27999997</v>
      </c>
      <c r="AE48" s="290">
        <f>REMUNERACION_ENEL!AE109</f>
        <v>-8919181563.1400013</v>
      </c>
      <c r="AF48" s="331">
        <f>REMUNERACION_ENEL!AF109</f>
        <v>50889311353.18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331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34839232.950000003</v>
      </c>
      <c r="E64" s="291">
        <f>REMUNERACION_ENERBIT!E108</f>
        <v>2299244.4900000002</v>
      </c>
      <c r="F64" s="291">
        <f>REMUNERACION_ENERBIT!F108</f>
        <v>1284765.27</v>
      </c>
      <c r="G64" s="291">
        <f>REMUNERACION_ENERBIT!G108</f>
        <v>682439.44</v>
      </c>
      <c r="H64" s="291">
        <f>REMUNERACION_ENERBIT!H108</f>
        <v>9072446.2599999998</v>
      </c>
      <c r="I64" s="291">
        <f>REMUNERACION_ENERBIT!I108</f>
        <v>315677.46000000002</v>
      </c>
      <c r="J64" s="291">
        <f>REMUNERACION_ENERBIT!J108</f>
        <v>0</v>
      </c>
      <c r="K64" s="295">
        <f>REMUNERACION_ENERBIT!K108</f>
        <v>21184660.030000001</v>
      </c>
      <c r="L64" s="294">
        <f>REMUNERACION_ENERBIT!L108</f>
        <v>0</v>
      </c>
      <c r="M64" s="298">
        <f>REMUNERACION_ENERBIT!M108</f>
        <v>21184660.030000001</v>
      </c>
      <c r="N64" s="299">
        <f>REMUNERACION_ENERBIT!N108</f>
        <v>0</v>
      </c>
      <c r="O64" s="298">
        <f>REMUNERACION_ENERBIT!O108</f>
        <v>21184660.030000001</v>
      </c>
      <c r="Q64" s="306"/>
      <c r="S64" s="324">
        <v>5</v>
      </c>
      <c r="T64" s="325" t="s">
        <v>14</v>
      </c>
      <c r="U64" s="296">
        <f>REMUNERACION_ENERBIT!U108</f>
        <v>2761326.55</v>
      </c>
      <c r="V64" s="297">
        <f>REMUNERACION_ENERBIT!V108</f>
        <v>2764099.9000000004</v>
      </c>
      <c r="W64" s="297">
        <f>REMUNERACION_ENERBIT!W108</f>
        <v>13968457.9</v>
      </c>
      <c r="X64" s="297">
        <f>REMUNERACION_ENERBIT!X108</f>
        <v>6876228.7999999998</v>
      </c>
      <c r="Y64" s="289">
        <f>REMUNERACION_ENERBIT!Y108</f>
        <v>512154.25</v>
      </c>
      <c r="Z64" s="289">
        <f>REMUNERACION_ENERBIT!Z108</f>
        <v>0</v>
      </c>
      <c r="AA64" s="289">
        <f>REMUNERACION_ENERBIT!AA108</f>
        <v>134.32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-5697741.6899999995</v>
      </c>
      <c r="AE64" s="289">
        <f>REMUNERACION_ENERBIT!AE108</f>
        <v>-5697741.6899999995</v>
      </c>
      <c r="AF64" s="322">
        <f>REMUNERACION_ENERBIT!AF108</f>
        <v>21184660.030000001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34839232.950000003</v>
      </c>
      <c r="E65" s="290">
        <f>REMUNERACION_ENERBIT!E109</f>
        <v>2299244.4900000002</v>
      </c>
      <c r="F65" s="290">
        <f>REMUNERACION_ENERBIT!F109</f>
        <v>1284765.27</v>
      </c>
      <c r="G65" s="290">
        <f>REMUNERACION_ENERBIT!G109</f>
        <v>682439.44</v>
      </c>
      <c r="H65" s="290">
        <f>REMUNERACION_ENERBIT!H109</f>
        <v>9072446.2599999998</v>
      </c>
      <c r="I65" s="290">
        <f>REMUNERACION_ENERBIT!I109</f>
        <v>315677.46000000002</v>
      </c>
      <c r="J65" s="290">
        <f>REMUNERACION_ENERBIT!J109</f>
        <v>0</v>
      </c>
      <c r="K65" s="300">
        <f>REMUNERACION_ENERBIT!K109</f>
        <v>21184660.030000001</v>
      </c>
      <c r="L65" s="301">
        <f>REMUNERACION_ENERBIT!L109</f>
        <v>0</v>
      </c>
      <c r="M65" s="302">
        <f>REMUNERACION_ENERBIT!M109</f>
        <v>21184660.030000001</v>
      </c>
      <c r="N65" s="301">
        <f>REMUNERACION_ENERBIT!N109</f>
        <v>0</v>
      </c>
      <c r="O65" s="302">
        <f>REMUNERACION_ENERBIT!O109</f>
        <v>21184660.030000001</v>
      </c>
      <c r="P65" s="329"/>
      <c r="Q65" s="306"/>
      <c r="S65" s="327"/>
      <c r="T65" s="328" t="s">
        <v>2</v>
      </c>
      <c r="U65" s="330">
        <f>REMUNERACION_ENERBIT!U109</f>
        <v>2761326.55</v>
      </c>
      <c r="V65" s="330">
        <f>REMUNERACION_ENERBIT!V109</f>
        <v>2764099.9000000004</v>
      </c>
      <c r="W65" s="330">
        <f>REMUNERACION_ENERBIT!W109</f>
        <v>13968457.9</v>
      </c>
      <c r="X65" s="330">
        <f>REMUNERACION_ENERBIT!X109</f>
        <v>6876228.7999999998</v>
      </c>
      <c r="Y65" s="330">
        <f>REMUNERACION_ENERBIT!Y109</f>
        <v>512154.25</v>
      </c>
      <c r="Z65" s="330">
        <f>REMUNERACION_ENERBIT!Z109</f>
        <v>0</v>
      </c>
      <c r="AA65" s="330">
        <f>REMUNERACION_ENERBIT!AA109</f>
        <v>134.32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-5697741.6899999995</v>
      </c>
      <c r="AE65" s="330">
        <f>REMUNERACION_ENERBIT!AE109</f>
        <v>-5697741.6899999995</v>
      </c>
      <c r="AF65" s="331">
        <f>REMUNERACION_ENERBIT!AF109</f>
        <v>21184660.030000001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897352703.82000005</v>
      </c>
      <c r="E76" s="292">
        <f>'REMUNERACION_OCCIDENTE_ Directa'!E104</f>
        <v>101388584.10000001</v>
      </c>
      <c r="F76" s="292">
        <f>'REMUNERACION_OCCIDENTE_ Directa'!F104</f>
        <v>57256746.789999999</v>
      </c>
      <c r="G76" s="292">
        <f>'REMUNERACION_OCCIDENTE_ Directa'!G104</f>
        <v>30071781.32</v>
      </c>
      <c r="H76" s="292">
        <f>'REMUNERACION_OCCIDENTE_ Directa'!H104</f>
        <v>67802485.180000007</v>
      </c>
      <c r="I76" s="292">
        <f>'REMUNERACION_OCCIDENTE_ Directa'!I104</f>
        <v>2165489.42</v>
      </c>
      <c r="J76" s="288">
        <f>'REMUNERACION_OCCIDENTE_ Directa'!J104</f>
        <v>0</v>
      </c>
      <c r="K76" s="293">
        <f>'REMUNERACION_OCCIDENTE_ Directa'!K104</f>
        <v>638667617.01000011</v>
      </c>
      <c r="L76" s="294">
        <f>'REMUNERACION_OCCIDENTE_ Directa'!L104</f>
        <v>0</v>
      </c>
      <c r="M76" s="293">
        <f>'REMUNERACION_OCCIDENTE_ Directa'!M104</f>
        <v>638667617.01000011</v>
      </c>
      <c r="N76" s="294">
        <f>'REMUNERACION_OCCIDENTE_ Directa'!N104</f>
        <v>20999130.030000001</v>
      </c>
      <c r="O76" s="293">
        <f>'REMUNERACION_OCCIDENTE_ Directa'!O104</f>
        <v>659666747.04000008</v>
      </c>
      <c r="Q76" s="306"/>
      <c r="S76" s="303">
        <v>1</v>
      </c>
      <c r="T76" s="304" t="s">
        <v>10</v>
      </c>
      <c r="U76" s="307">
        <f>'REMUNERACION_OCCIDENTE_ Directa'!U104</f>
        <v>19013958.32</v>
      </c>
      <c r="V76" s="308">
        <f>'REMUNERACION_OCCIDENTE_ Directa'!V104</f>
        <v>23004446.189999998</v>
      </c>
      <c r="W76" s="308">
        <f>'REMUNERACION_OCCIDENTE_ Directa'!W104</f>
        <v>108354214.09999999</v>
      </c>
      <c r="X76" s="308">
        <f>'REMUNERACION_OCCIDENTE_ Directa'!X104</f>
        <v>275453700.04999995</v>
      </c>
      <c r="Y76" s="309">
        <f>'REMUNERACION_OCCIDENTE_ Directa'!Y104</f>
        <v>3533839.54</v>
      </c>
      <c r="Z76" s="310">
        <f>'REMUNERACION_OCCIDENTE_ Directa'!Z104</f>
        <v>0</v>
      </c>
      <c r="AA76" s="311">
        <f>'REMUNERACION_OCCIDENTE_ Directa'!AA104</f>
        <v>69040.100000000006</v>
      </c>
      <c r="AB76" s="294">
        <f>'REMUNERACION_OCCIDENTE_ Directa'!AB104</f>
        <v>20999130.030000001</v>
      </c>
      <c r="AC76" s="311">
        <f>'REMUNERACION_OCCIDENTE_ Directa'!AC104</f>
        <v>-106.74000000000001</v>
      </c>
      <c r="AD76" s="291">
        <f>'REMUNERACION_OCCIDENTE_ Directa'!AD104</f>
        <v>209238525.44999999</v>
      </c>
      <c r="AE76" s="291">
        <f>'REMUNERACION_OCCIDENTE_ Directa'!AE104</f>
        <v>209238525.44999999</v>
      </c>
      <c r="AF76" s="313">
        <f>'REMUNERACION_OCCIDENTE_ Directa'!AF104</f>
        <v>659666747.03999996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2314343263.2599993</v>
      </c>
      <c r="E77" s="292">
        <f>'REMUNERACION_OCCIDENTE_ Directa'!E105</f>
        <v>284513646.58000004</v>
      </c>
      <c r="F77" s="292">
        <f>'REMUNERACION_OCCIDENTE_ Directa'!F105</f>
        <v>159537748.55000001</v>
      </c>
      <c r="G77" s="292">
        <f>'REMUNERACION_OCCIDENTE_ Directa'!G105</f>
        <v>84030961.790000007</v>
      </c>
      <c r="H77" s="292">
        <f>'REMUNERACION_OCCIDENTE_ Directa'!H105</f>
        <v>360679486.30000001</v>
      </c>
      <c r="I77" s="292">
        <f>'REMUNERACION_OCCIDENTE_ Directa'!I105</f>
        <v>9435445.1699999999</v>
      </c>
      <c r="J77" s="288">
        <f>'REMUNERACION_OCCIDENTE_ Directa'!J105</f>
        <v>0</v>
      </c>
      <c r="K77" s="295">
        <f>'REMUNERACION_OCCIDENTE_ Directa'!K105</f>
        <v>1416145974.8699994</v>
      </c>
      <c r="L77" s="294">
        <f>'REMUNERACION_OCCIDENTE_ Directa'!L105</f>
        <v>0</v>
      </c>
      <c r="M77" s="295">
        <f>'REMUNERACION_OCCIDENTE_ Directa'!M105</f>
        <v>1416145974.8699994</v>
      </c>
      <c r="N77" s="294">
        <f>'REMUNERACION_OCCIDENTE_ Directa'!N105</f>
        <v>43242361.049999997</v>
      </c>
      <c r="O77" s="295">
        <f>'REMUNERACION_OCCIDENTE_ Directa'!O105</f>
        <v>1459388335.9199994</v>
      </c>
      <c r="Q77" s="306"/>
      <c r="S77" s="314">
        <v>2</v>
      </c>
      <c r="T77" s="315" t="s">
        <v>11</v>
      </c>
      <c r="U77" s="316">
        <f>'REMUNERACION_OCCIDENTE_ Directa'!U105</f>
        <v>82809049.709999993</v>
      </c>
      <c r="V77" s="317">
        <f>'REMUNERACION_OCCIDENTE_ Directa'!V105</f>
        <v>114120715.40000002</v>
      </c>
      <c r="W77" s="317">
        <f>'REMUNERACION_OCCIDENTE_ Directa'!W105</f>
        <v>540804577.97000003</v>
      </c>
      <c r="X77" s="317">
        <f>'REMUNERACION_OCCIDENTE_ Directa'!X105</f>
        <v>553695688.25</v>
      </c>
      <c r="Y77" s="318">
        <f>'REMUNERACION_OCCIDENTE_ Directa'!Y105</f>
        <v>15308028.979999999</v>
      </c>
      <c r="Z77" s="319">
        <f>'REMUNERACION_OCCIDENTE_ Directa'!Z105</f>
        <v>0</v>
      </c>
      <c r="AA77" s="320">
        <f>'REMUNERACION_OCCIDENTE_ Directa'!AA105</f>
        <v>-1700.6000000000001</v>
      </c>
      <c r="AB77" s="294">
        <f>'REMUNERACION_OCCIDENTE_ Directa'!AB105</f>
        <v>43242361.049999997</v>
      </c>
      <c r="AC77" s="320">
        <f>'REMUNERACION_OCCIDENTE_ Directa'!AC105</f>
        <v>11.29</v>
      </c>
      <c r="AD77" s="291">
        <f>'REMUNERACION_OCCIDENTE_ Directa'!AD105</f>
        <v>109409603.86999999</v>
      </c>
      <c r="AE77" s="291">
        <f>'REMUNERACION_OCCIDENTE_ Directa'!AE105</f>
        <v>109409603.86999999</v>
      </c>
      <c r="AF77" s="322">
        <f>'REMUNERACION_OCCIDENTE_ Directa'!AF105</f>
        <v>1459388335.9199998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1252145336.3500001</v>
      </c>
      <c r="E78" s="292">
        <f>'REMUNERACION_OCCIDENTE_ Directa'!E106</f>
        <v>167540835.97999999</v>
      </c>
      <c r="F78" s="292">
        <f>'REMUNERACION_OCCIDENTE_ Directa'!F106</f>
        <v>94404536.5</v>
      </c>
      <c r="G78" s="292">
        <f>'REMUNERACION_OCCIDENTE_ Directa'!G106</f>
        <v>49546488.960000001</v>
      </c>
      <c r="H78" s="292">
        <f>'REMUNERACION_OCCIDENTE_ Directa'!H106</f>
        <v>60071610.93</v>
      </c>
      <c r="I78" s="292">
        <f>'REMUNERACION_OCCIDENTE_ Directa'!I106</f>
        <v>1636284.1300000001</v>
      </c>
      <c r="J78" s="288">
        <f>'REMUNERACION_OCCIDENTE_ Directa'!J106</f>
        <v>0</v>
      </c>
      <c r="K78" s="295">
        <f>'REMUNERACION_OCCIDENTE_ Directa'!K106</f>
        <v>878945579.85000014</v>
      </c>
      <c r="L78" s="294">
        <f>'REMUNERACION_OCCIDENTE_ Directa'!L106</f>
        <v>0</v>
      </c>
      <c r="M78" s="295">
        <f>'REMUNERACION_OCCIDENTE_ Directa'!M106</f>
        <v>878945579.85000014</v>
      </c>
      <c r="N78" s="294">
        <f>'REMUNERACION_OCCIDENTE_ Directa'!N106</f>
        <v>17158188.23</v>
      </c>
      <c r="O78" s="295">
        <f>'REMUNERACION_OCCIDENTE_ Directa'!O106</f>
        <v>896103768.08000016</v>
      </c>
      <c r="Q78" s="306"/>
      <c r="S78" s="314">
        <v>3</v>
      </c>
      <c r="T78" s="315" t="s">
        <v>12</v>
      </c>
      <c r="U78" s="316">
        <f>'REMUNERACION_OCCIDENTE_ Directa'!U106</f>
        <v>14364938.68</v>
      </c>
      <c r="V78" s="317">
        <f>'REMUNERACION_OCCIDENTE_ Directa'!V106</f>
        <v>19642401.399999999</v>
      </c>
      <c r="W78" s="317">
        <f>'REMUNERACION_OCCIDENTE_ Directa'!W106</f>
        <v>90712276.270000011</v>
      </c>
      <c r="X78" s="317">
        <f>'REMUNERACION_OCCIDENTE_ Directa'!X106</f>
        <v>394208586.99000001</v>
      </c>
      <c r="Y78" s="318">
        <f>'REMUNERACION_OCCIDENTE_ Directa'!Y106</f>
        <v>2662802.94</v>
      </c>
      <c r="Z78" s="319">
        <f>'REMUNERACION_OCCIDENTE_ Directa'!Z106</f>
        <v>0</v>
      </c>
      <c r="AA78" s="320">
        <f>'REMUNERACION_OCCIDENTE_ Directa'!AA106</f>
        <v>-1021.85</v>
      </c>
      <c r="AB78" s="294">
        <f>'REMUNERACION_OCCIDENTE_ Directa'!AB106</f>
        <v>17158188.23</v>
      </c>
      <c r="AC78" s="320">
        <f>'REMUNERACION_OCCIDENTE_ Directa'!AC106</f>
        <v>-3973599.77</v>
      </c>
      <c r="AD78" s="291">
        <f>'REMUNERACION_OCCIDENTE_ Directa'!AD106</f>
        <v>361329195.19</v>
      </c>
      <c r="AE78" s="291">
        <f>'REMUNERACION_OCCIDENTE_ Directa'!AE106</f>
        <v>361329195.19</v>
      </c>
      <c r="AF78" s="322">
        <f>'REMUNERACION_OCCIDENTE_ Directa'!AF106</f>
        <v>896103768.07999992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951901181.30999994</v>
      </c>
      <c r="E79" s="292">
        <f>'REMUNERACION_OCCIDENTE_ Directa'!E107</f>
        <v>95275359.089999989</v>
      </c>
      <c r="F79" s="292">
        <f>'REMUNERACION_OCCIDENTE_ Directa'!F107</f>
        <v>53380374.870000005</v>
      </c>
      <c r="G79" s="292">
        <f>'REMUNERACION_OCCIDENTE_ Directa'!G107</f>
        <v>28359225.190000001</v>
      </c>
      <c r="H79" s="292">
        <f>'REMUNERACION_OCCIDENTE_ Directa'!H107</f>
        <v>128684747.92</v>
      </c>
      <c r="I79" s="292">
        <f>'REMUNERACION_OCCIDENTE_ Directa'!I107</f>
        <v>3542115.08</v>
      </c>
      <c r="J79" s="288">
        <f>'REMUNERACION_OCCIDENTE_ Directa'!J107</f>
        <v>0</v>
      </c>
      <c r="K79" s="295">
        <f>'REMUNERACION_OCCIDENTE_ Directa'!K107</f>
        <v>642659359.15999985</v>
      </c>
      <c r="L79" s="294">
        <f>'REMUNERACION_OCCIDENTE_ Directa'!L107</f>
        <v>0</v>
      </c>
      <c r="M79" s="295">
        <f>'REMUNERACION_OCCIDENTE_ Directa'!M107</f>
        <v>642659359.15999985</v>
      </c>
      <c r="N79" s="294">
        <f>'REMUNERACION_OCCIDENTE_ Directa'!N107</f>
        <v>3540114.13</v>
      </c>
      <c r="O79" s="295">
        <f>'REMUNERACION_OCCIDENTE_ Directa'!O107</f>
        <v>646199473.28999984</v>
      </c>
      <c r="Q79" s="306"/>
      <c r="S79" s="314">
        <v>4</v>
      </c>
      <c r="T79" s="315" t="s">
        <v>13</v>
      </c>
      <c r="U79" s="316">
        <f>'REMUNERACION_OCCIDENTE_ Directa'!U107</f>
        <v>31180101.730000004</v>
      </c>
      <c r="V79" s="317">
        <f>'REMUNERACION_OCCIDENTE_ Directa'!V107</f>
        <v>42319945.500000007</v>
      </c>
      <c r="W79" s="317">
        <f>'REMUNERACION_OCCIDENTE_ Directa'!W107</f>
        <v>207961435.76999998</v>
      </c>
      <c r="X79" s="317">
        <f>'REMUNERACION_OCCIDENTE_ Directa'!X107</f>
        <v>254047208.27000001</v>
      </c>
      <c r="Y79" s="318">
        <f>'REMUNERACION_OCCIDENTE_ Directa'!Y107</f>
        <v>5742681.7899999991</v>
      </c>
      <c r="Z79" s="319">
        <f>'REMUNERACION_OCCIDENTE_ Directa'!Z107</f>
        <v>0</v>
      </c>
      <c r="AA79" s="320">
        <f>'REMUNERACION_OCCIDENTE_ Directa'!AA107</f>
        <v>1475.65</v>
      </c>
      <c r="AB79" s="294">
        <f>'REMUNERACION_OCCIDENTE_ Directa'!AB107</f>
        <v>3540114.13</v>
      </c>
      <c r="AC79" s="320">
        <f>'REMUNERACION_OCCIDENTE_ Directa'!AC107</f>
        <v>-184.98</v>
      </c>
      <c r="AD79" s="291">
        <f>'REMUNERACION_OCCIDENTE_ Directa'!AD107</f>
        <v>101406695.43000001</v>
      </c>
      <c r="AE79" s="291">
        <f>'REMUNERACION_OCCIDENTE_ Directa'!AE107</f>
        <v>101406695.43000001</v>
      </c>
      <c r="AF79" s="322">
        <f>'REMUNERACION_OCCIDENTE_ Directa'!AF107</f>
        <v>646199473.28999996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338797524.74000001</v>
      </c>
      <c r="E80" s="297">
        <f>'REMUNERACION_OCCIDENTE_ Directa'!E108</f>
        <v>33827827.740000002</v>
      </c>
      <c r="F80" s="297">
        <f>'REMUNERACION_OCCIDENTE_ Directa'!F108</f>
        <v>18348303.569999997</v>
      </c>
      <c r="G80" s="297">
        <f>'REMUNERACION_OCCIDENTE_ Directa'!G108</f>
        <v>9713581.0499999989</v>
      </c>
      <c r="H80" s="297">
        <f>'REMUNERACION_OCCIDENTE_ Directa'!H108</f>
        <v>22436012.280000001</v>
      </c>
      <c r="I80" s="297">
        <f>'REMUNERACION_OCCIDENTE_ Directa'!I108</f>
        <v>937052.78</v>
      </c>
      <c r="J80" s="289">
        <f>'REMUNERACION_OCCIDENTE_ Directa'!J108</f>
        <v>0</v>
      </c>
      <c r="K80" s="295">
        <f>'REMUNERACION_OCCIDENTE_ Directa'!K108</f>
        <v>253534747.31999999</v>
      </c>
      <c r="L80" s="294">
        <f>'REMUNERACION_OCCIDENTE_ Directa'!L108</f>
        <v>0</v>
      </c>
      <c r="M80" s="298">
        <f>'REMUNERACION_OCCIDENTE_ Directa'!M108</f>
        <v>253534747.31999999</v>
      </c>
      <c r="N80" s="299">
        <f>'REMUNERACION_OCCIDENTE_ Directa'!N108</f>
        <v>2235787.1</v>
      </c>
      <c r="O80" s="298">
        <f>'REMUNERACION_OCCIDENTE_ Directa'!O108</f>
        <v>255770534.41999999</v>
      </c>
      <c r="Q80" s="306"/>
      <c r="S80" s="324">
        <v>5</v>
      </c>
      <c r="T80" s="325" t="s">
        <v>14</v>
      </c>
      <c r="U80" s="296">
        <f>'REMUNERACION_OCCIDENTE_ Directa'!U108</f>
        <v>8218100.919999999</v>
      </c>
      <c r="V80" s="297">
        <f>'REMUNERACION_OCCIDENTE_ Directa'!V108</f>
        <v>10052536.259999998</v>
      </c>
      <c r="W80" s="297">
        <f>'REMUNERACION_OCCIDENTE_ Directa'!W108</f>
        <v>52664339.800000004</v>
      </c>
      <c r="X80" s="297">
        <f>'REMUNERACION_OCCIDENTE_ Directa'!X108</f>
        <v>101753390.91000001</v>
      </c>
      <c r="Y80" s="289">
        <f>'REMUNERACION_OCCIDENTE_ Directa'!Y108</f>
        <v>1552283.28</v>
      </c>
      <c r="Z80" s="319">
        <f>'REMUNERACION_OCCIDENTE_ Directa'!Z108</f>
        <v>0</v>
      </c>
      <c r="AA80" s="320">
        <f>'REMUNERACION_OCCIDENTE_ Directa'!AA108</f>
        <v>-2857.09</v>
      </c>
      <c r="AB80" s="294">
        <f>'REMUNERACION_OCCIDENTE_ Directa'!AB108</f>
        <v>2235787.1</v>
      </c>
      <c r="AC80" s="320">
        <f>'REMUNERACION_OCCIDENTE_ Directa'!AC108</f>
        <v>-35.129999999999995</v>
      </c>
      <c r="AD80" s="291">
        <f>'REMUNERACION_OCCIDENTE_ Directa'!AD108</f>
        <v>79296988.36999999</v>
      </c>
      <c r="AE80" s="291">
        <f>'REMUNERACION_OCCIDENTE_ Directa'!AE108</f>
        <v>79296988.36999999</v>
      </c>
      <c r="AF80" s="322">
        <f>'REMUNERACION_OCCIDENTE_ Directa'!AF108</f>
        <v>255770534.42000002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5754540009.4799995</v>
      </c>
      <c r="E81" s="290">
        <f>'REMUNERACION_OCCIDENTE_ Directa'!E109</f>
        <v>682546253.49000013</v>
      </c>
      <c r="F81" s="290">
        <f>'REMUNERACION_OCCIDENTE_ Directa'!F109</f>
        <v>382927710.28000003</v>
      </c>
      <c r="G81" s="290">
        <f>'REMUNERACION_OCCIDENTE_ Directa'!G109</f>
        <v>201722038.31000003</v>
      </c>
      <c r="H81" s="290">
        <f>'REMUNERACION_OCCIDENTE_ Directa'!H109</f>
        <v>639674342.61000001</v>
      </c>
      <c r="I81" s="290">
        <f>'REMUNERACION_OCCIDENTE_ Directa'!I109</f>
        <v>17716386.580000002</v>
      </c>
      <c r="J81" s="290">
        <f>'REMUNERACION_OCCIDENTE_ Directa'!J109</f>
        <v>0</v>
      </c>
      <c r="K81" s="300">
        <f>'REMUNERACION_OCCIDENTE_ Directa'!K109</f>
        <v>3829953278.2099996</v>
      </c>
      <c r="L81" s="301">
        <f>'REMUNERACION_OCCIDENTE_ Directa'!L109</f>
        <v>0</v>
      </c>
      <c r="M81" s="302">
        <f>'REMUNERACION_OCCIDENTE_ Directa'!M109</f>
        <v>3829953278.2099996</v>
      </c>
      <c r="N81" s="301">
        <f>'REMUNERACION_OCCIDENTE_ Directa'!N109</f>
        <v>87175580.539999992</v>
      </c>
      <c r="O81" s="302">
        <f>'REMUNERACION_OCCIDENTE_ Directa'!O109</f>
        <v>3917128858.75</v>
      </c>
      <c r="P81" s="329"/>
      <c r="Q81" s="306"/>
      <c r="S81" s="327"/>
      <c r="T81" s="328" t="s">
        <v>2</v>
      </c>
      <c r="U81" s="330">
        <f>'REMUNERACION_OCCIDENTE_ Directa'!U109</f>
        <v>155586149.35999998</v>
      </c>
      <c r="V81" s="330">
        <f>'REMUNERACION_OCCIDENTE_ Directa'!V109</f>
        <v>209140044.75000003</v>
      </c>
      <c r="W81" s="330">
        <f>'REMUNERACION_OCCIDENTE_ Directa'!W109</f>
        <v>1000496843.91</v>
      </c>
      <c r="X81" s="330">
        <f>'REMUNERACION_OCCIDENTE_ Directa'!X109</f>
        <v>1579158574.47</v>
      </c>
      <c r="Y81" s="330">
        <f>'REMUNERACION_OCCIDENTE_ Directa'!Y109</f>
        <v>28799636.530000001</v>
      </c>
      <c r="Z81" s="290">
        <f>'REMUNERACION_OCCIDENTE_ Directa'!Z109</f>
        <v>0</v>
      </c>
      <c r="AA81" s="290">
        <f>'REMUNERACION_OCCIDENTE_ Directa'!AA109</f>
        <v>64936.209999999992</v>
      </c>
      <c r="AB81" s="290">
        <f>'REMUNERACION_OCCIDENTE_ Directa'!AB109</f>
        <v>87175580.539999992</v>
      </c>
      <c r="AC81" s="290">
        <f>'REMUNERACION_OCCIDENTE_ Directa'!AC109</f>
        <v>-3973915.33</v>
      </c>
      <c r="AD81" s="290">
        <f>'REMUNERACION_OCCIDENTE_ Directa'!AD109</f>
        <v>860681008.31000006</v>
      </c>
      <c r="AE81" s="290">
        <f>'REMUNERACION_OCCIDENTE_ Directa'!AE109</f>
        <v>860681008.31000006</v>
      </c>
      <c r="AF81" s="331">
        <f>'REMUNERACION_OCCIDENTE_ Directa'!AF109</f>
        <v>3917128858.75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-1.7881393432617188E-7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2026082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2026082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46267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46250</v>
      </c>
      <c r="H125" s="45"/>
      <c r="I125" s="45"/>
      <c r="J125" s="555" t="s">
        <v>28</v>
      </c>
      <c r="K125" s="557">
        <f>'REMUNERACION_EAAB-CL'!K102</f>
        <v>46265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46250</v>
      </c>
      <c r="W125" s="45" t="s">
        <v>1</v>
      </c>
      <c r="X125" s="45" t="str">
        <f>J125</f>
        <v>Feha Hasta:</v>
      </c>
      <c r="Y125" s="557">
        <f>'REMUNERACION_EAAB-CL'!Y102</f>
        <v>46265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74" workbookViewId="0">
      <selection activeCell="L108" sqref="L108"/>
    </sheetView>
  </sheetViews>
  <sheetFormatPr baseColWidth="10" defaultRowHeight="13.2" x14ac:dyDescent="0.25"/>
  <cols>
    <col min="1" max="1" width="2.44140625" customWidth="1"/>
    <col min="3" max="3" width="36.77734375" bestFit="1" customWidth="1"/>
    <col min="4" max="4" width="12" bestFit="1" customWidth="1"/>
    <col min="5" max="5" width="12.21875" customWidth="1"/>
    <col min="6" max="6" width="9.21875" customWidth="1"/>
    <col min="7" max="7" width="14.77734375" customWidth="1"/>
    <col min="8" max="8" width="15.21875" customWidth="1"/>
    <col min="9" max="9" width="20.21875" bestFit="1" customWidth="1"/>
    <col min="10" max="10" width="15.44140625" customWidth="1"/>
    <col min="11" max="11" width="17.77734375" customWidth="1"/>
    <col min="12" max="12" width="20.77734375" customWidth="1"/>
    <col min="17" max="17" width="1.218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60357214.480000004</v>
      </c>
      <c r="E6" s="309">
        <f>'CONSOLIDADO_TOTAL RECAUDO'!E125</f>
        <v>0</v>
      </c>
      <c r="G6" s="336">
        <f>'CONSOLIDADO_TOTAL RECAUDO'!G125</f>
        <v>63570</v>
      </c>
      <c r="H6" s="310">
        <f>'CONSOLIDADO_TOTAL RECAUDO'!H125</f>
        <v>79505843.86999999</v>
      </c>
      <c r="I6" s="309">
        <f>'CONSOLIDADO_TOTAL RECAUDO'!I125</f>
        <v>806955.98</v>
      </c>
      <c r="J6" s="309">
        <f>'CONSOLIDADO_TOTAL RECAUDO'!J125</f>
        <v>-73090</v>
      </c>
      <c r="K6" s="309">
        <f>'CONSOLIDADO_TOTAL RECAUDO'!K125</f>
        <v>76340</v>
      </c>
      <c r="L6" s="309">
        <f>'CONSOLIDADO_TOTAL RECAUDO'!L125</f>
        <v>66820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189766707.22</v>
      </c>
      <c r="E7" s="288">
        <f>'CONSOLIDADO_TOTAL RECAUDO'!E126</f>
        <v>0</v>
      </c>
      <c r="G7" s="339">
        <f>'CONSOLIDADO_TOTAL RECAUDO'!G126</f>
        <v>221630</v>
      </c>
      <c r="H7" s="340">
        <f>'CONSOLIDADO_TOTAL RECAUDO'!H126</f>
        <v>148193467.34999999</v>
      </c>
      <c r="I7" s="288">
        <f>'CONSOLIDADO_TOTAL RECAUDO'!I126</f>
        <v>506855.36</v>
      </c>
      <c r="J7" s="288">
        <f>'CONSOLIDADO_TOTAL RECAUDO'!J126</f>
        <v>-13472482</v>
      </c>
      <c r="K7" s="288">
        <f>'CONSOLIDADO_TOTAL RECAUDO'!K126</f>
        <v>2593540</v>
      </c>
      <c r="L7" s="288">
        <f>'CONSOLIDADO_TOTAL RECAUDO'!L126</f>
        <v>79350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31138071.23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27963601.280000001</v>
      </c>
      <c r="I8" s="288">
        <f>'CONSOLIDADO_TOTAL RECAUDO'!I127</f>
        <v>118874.84</v>
      </c>
      <c r="J8" s="288">
        <f>'CONSOLIDADO_TOTAL RECAUDO'!J127</f>
        <v>-4617354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99417988.460000008</v>
      </c>
      <c r="E9" s="288">
        <f>'CONSOLIDADO_TOTAL RECAUDO'!E128</f>
        <v>0</v>
      </c>
      <c r="G9" s="339">
        <f>'CONSOLIDADO_TOTAL RECAUDO'!G128</f>
        <v>4030410</v>
      </c>
      <c r="H9" s="340">
        <f>'CONSOLIDADO_TOTAL RECAUDO'!H128</f>
        <v>111213700.35000001</v>
      </c>
      <c r="I9" s="288">
        <f>'CONSOLIDADO_TOTAL RECAUDO'!I128</f>
        <v>318314.48</v>
      </c>
      <c r="J9" s="288">
        <f>'CONSOLIDADO_TOTAL RECAUDO'!J128</f>
        <v>-15663330</v>
      </c>
      <c r="K9" s="288">
        <f>'CONSOLIDADO_TOTAL RECAUDO'!K128</f>
        <v>8227070</v>
      </c>
      <c r="L9" s="288">
        <f>'CONSOLIDADO_TOTAL RECAUDO'!L128</f>
        <v>36570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39219856</v>
      </c>
      <c r="E10" s="344">
        <f>'CONSOLIDADO_TOTAL RECAUDO'!E129</f>
        <v>0</v>
      </c>
      <c r="G10" s="339">
        <f>'CONSOLIDADO_TOTAL RECAUDO'!G129</f>
        <v>1249810</v>
      </c>
      <c r="H10" s="340">
        <f>'CONSOLIDADO_TOTAL RECAUDO'!H129</f>
        <v>35818954.960000001</v>
      </c>
      <c r="I10" s="288">
        <f>'CONSOLIDADO_TOTAL RECAUDO'!I129</f>
        <v>0</v>
      </c>
      <c r="J10" s="288">
        <f>'CONSOLIDADO_TOTAL RECAUDO'!J129</f>
        <v>-4011371.65</v>
      </c>
      <c r="K10" s="288">
        <f>'CONSOLIDADO_TOTAL RECAUDO'!K129</f>
        <v>2298610</v>
      </c>
      <c r="L10" s="288">
        <f>'CONSOLIDADO_TOTAL RECAUDO'!L129</f>
        <v>1057608.3500000001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419899837.38999999</v>
      </c>
      <c r="E12" s="350">
        <f>'CONSOLIDADO_TOTAL RECAUDO'!E131</f>
        <v>0</v>
      </c>
      <c r="F12" s="351"/>
      <c r="G12" s="350">
        <f>'CONSOLIDADO_TOTAL RECAUDO'!G131</f>
        <v>5565420</v>
      </c>
      <c r="H12" s="350">
        <f>'CONSOLIDADO_TOTAL RECAUDO'!H131</f>
        <v>402695567.80999994</v>
      </c>
      <c r="I12" s="350">
        <f>'CONSOLIDADO_TOTAL RECAUDO'!I131</f>
        <v>1751000.66</v>
      </c>
      <c r="J12" s="350">
        <f>'CONSOLIDADO_TOTAL RECAUDO'!J131</f>
        <v>-37837627.649999999</v>
      </c>
      <c r="K12" s="350">
        <f>'CONSOLIDADO_TOTAL RECAUDO'!K131</f>
        <v>13195560</v>
      </c>
      <c r="L12" s="350">
        <f>'CONSOLIDADO_TOTAL RECAUDO'!L131</f>
        <v>1240348.3500000001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9710980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17903228.469999999</v>
      </c>
      <c r="I22" s="288">
        <f>'REMUNERACION Reciprocidad EAAB'!I126</f>
        <v>506855.36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4481330</v>
      </c>
      <c r="E24" s="288">
        <f>'REMUNERACION Reciprocidad EAAB'!E128</f>
        <v>0</v>
      </c>
      <c r="G24" s="339">
        <f>'REMUNERACION Reciprocidad EAAB'!G128</f>
        <v>232870</v>
      </c>
      <c r="H24" s="340">
        <f>'REMUNERACION Reciprocidad EAAB'!H128</f>
        <v>17013703.73</v>
      </c>
      <c r="I24" s="288">
        <f>'REMUNERACION Reciprocidad EAAB'!I128</f>
        <v>318314.48</v>
      </c>
      <c r="J24" s="288">
        <f>'REMUNERACION Reciprocidad EAAB'!J128</f>
        <v>-549540</v>
      </c>
      <c r="K24" s="288">
        <f>'REMUNERACION Reciprocidad EAAB'!K128</f>
        <v>316670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14192310</v>
      </c>
      <c r="E27" s="350">
        <f>'REMUNERACION Reciprocidad EAAB'!E131</f>
        <v>0</v>
      </c>
      <c r="F27" s="351"/>
      <c r="G27" s="350">
        <f>'REMUNERACION Reciprocidad EAAB'!G131</f>
        <v>232870</v>
      </c>
      <c r="H27" s="350">
        <f>'REMUNERACION Reciprocidad EAAB'!H131</f>
        <v>34916932.200000003</v>
      </c>
      <c r="I27" s="350">
        <f>'REMUNERACION Reciprocidad EAAB'!I131</f>
        <v>825169.84</v>
      </c>
      <c r="J27" s="350">
        <f>'REMUNERACION Reciprocidad EAAB'!J131</f>
        <v>-549540</v>
      </c>
      <c r="K27" s="350">
        <f>'REMUNERACION Reciprocidad EAAB'!K131</f>
        <v>316670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40340694</v>
      </c>
      <c r="E35" s="309">
        <f>REMUNERACION_ENEL!E125</f>
        <v>0</v>
      </c>
      <c r="G35" s="336">
        <f>REMUNERACION_ENEL!G125</f>
        <v>63570</v>
      </c>
      <c r="H35" s="310">
        <f>REMUNERACION_ENEL!H125</f>
        <v>51722407.540000007</v>
      </c>
      <c r="I35" s="309">
        <f>REMUNERACION_ENEL!I125</f>
        <v>806955.98</v>
      </c>
      <c r="J35" s="309">
        <f>REMUNERACION_ENEL!J125</f>
        <v>-73090</v>
      </c>
      <c r="K35" s="309">
        <f>REMUNERACION_ENEL!K125</f>
        <v>76340</v>
      </c>
      <c r="L35" s="309">
        <f>REMUNERACION_ENEL!L125</f>
        <v>66820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53772356.219999999</v>
      </c>
      <c r="E36" s="288">
        <f>REMUNERACION_ENEL!E126</f>
        <v>0</v>
      </c>
      <c r="G36" s="339">
        <f>REMUNERACION_ENEL!G126</f>
        <v>196740</v>
      </c>
      <c r="H36" s="340">
        <f>REMUNERACION_ENEL!H126</f>
        <v>33227409.570000004</v>
      </c>
      <c r="I36" s="288">
        <f>REMUNERACION_ENEL!I126</f>
        <v>0</v>
      </c>
      <c r="J36" s="288">
        <f>REMUNERACION_ENEL!J126</f>
        <v>-13447592</v>
      </c>
      <c r="K36" s="288">
        <f>REMUNERACION_ENEL!K126</f>
        <v>2593540</v>
      </c>
      <c r="L36" s="288">
        <f>REMUNERACION_ENEL!L126</f>
        <v>79350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20418516</v>
      </c>
      <c r="E37" s="288">
        <f>REMUNERACION_ENEL!E127</f>
        <v>0</v>
      </c>
      <c r="G37" s="339">
        <f>REMUNERACION_ENEL!G127</f>
        <v>0</v>
      </c>
      <c r="H37" s="340">
        <f>REMUNERACION_ENEL!H127</f>
        <v>16859149.469999999</v>
      </c>
      <c r="I37" s="288">
        <f>REMUNERACION_ENEL!I127</f>
        <v>118874.84</v>
      </c>
      <c r="J37" s="288">
        <f>REMUNERACION_ENEL!J127</f>
        <v>-4617354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37713515</v>
      </c>
      <c r="E38" s="288">
        <f>REMUNERACION_ENEL!E128</f>
        <v>0</v>
      </c>
      <c r="G38" s="339">
        <f>REMUNERACION_ENEL!G128</f>
        <v>3642708</v>
      </c>
      <c r="H38" s="340">
        <f>REMUNERACION_ENEL!H128</f>
        <v>59191372.720000006</v>
      </c>
      <c r="I38" s="288">
        <f>REMUNERACION_ENEL!I128</f>
        <v>0</v>
      </c>
      <c r="J38" s="288">
        <f>REMUNERACION_ENEL!J128</f>
        <v>-14638846</v>
      </c>
      <c r="K38" s="288">
        <f>REMUNERACION_ENEL!K128</f>
        <v>7590288</v>
      </c>
      <c r="L38" s="288">
        <f>REMUNERACION_ENEL!L128</f>
        <v>36570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23895807</v>
      </c>
      <c r="E39" s="344">
        <f>REMUNERACION_ENEL!E129</f>
        <v>0</v>
      </c>
      <c r="G39" s="339">
        <f>REMUNERACION_ENEL!G129</f>
        <v>0</v>
      </c>
      <c r="H39" s="340">
        <f>REMUNERACION_ENEL!H129</f>
        <v>17082544.52</v>
      </c>
      <c r="I39" s="288">
        <f>REMUNERACION_ENEL!I129</f>
        <v>0</v>
      </c>
      <c r="J39" s="288">
        <f>REMUNERACION_ENEL!J129</f>
        <v>-1454550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176140888.22</v>
      </c>
      <c r="E41" s="350">
        <f>REMUNERACION_ENEL!E131</f>
        <v>0</v>
      </c>
      <c r="F41" s="351"/>
      <c r="G41" s="350">
        <f>REMUNERACION_ENEL!G131</f>
        <v>3903018</v>
      </c>
      <c r="H41" s="350">
        <f>REMUNERACION_ENEL!H131</f>
        <v>178082883.82000002</v>
      </c>
      <c r="I41" s="350">
        <f>REMUNERACION_ENEL!I131</f>
        <v>925830.82</v>
      </c>
      <c r="J41" s="350">
        <f>REMUNERACION_ENEL!J131</f>
        <v>-34231432</v>
      </c>
      <c r="K41" s="350">
        <f>REMUNERACION_ENEL!K131</f>
        <v>10260168</v>
      </c>
      <c r="L41" s="350">
        <f>REMUNERACION_ENEL!L131</f>
        <v>182740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332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3772410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6055022.9500000002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3772410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6055022.9500000002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20016520.48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27783436.330000002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126283371</v>
      </c>
      <c r="E64" s="288">
        <f>'REMUNERACION_OCCIDENTE_ Directa'!E126</f>
        <v>0</v>
      </c>
      <c r="G64" s="339">
        <f>'REMUNERACION_OCCIDENTE_ Directa'!G126</f>
        <v>24890</v>
      </c>
      <c r="H64" s="340">
        <f>'REMUNERACION_OCCIDENTE_ Directa'!H126</f>
        <v>97062829.309999987</v>
      </c>
      <c r="I64" s="288">
        <f>'REMUNERACION_OCCIDENTE_ Directa'!I126</f>
        <v>0</v>
      </c>
      <c r="J64" s="288">
        <f>'REMUNERACION_OCCIDENTE_ Directa'!J126</f>
        <v>-24890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10719555.23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11104451.809999999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57223143.460000001</v>
      </c>
      <c r="E66" s="288">
        <f>'REMUNERACION_OCCIDENTE_ Directa'!E128</f>
        <v>0</v>
      </c>
      <c r="G66" s="339">
        <f>'REMUNERACION_OCCIDENTE_ Directa'!G128</f>
        <v>154832</v>
      </c>
      <c r="H66" s="340">
        <f>'REMUNERACION_OCCIDENTE_ Directa'!H128</f>
        <v>35008623.899999999</v>
      </c>
      <c r="I66" s="288">
        <f>'REMUNERACION_OCCIDENTE_ Directa'!I128</f>
        <v>0</v>
      </c>
      <c r="J66" s="288">
        <f>'REMUNERACION_OCCIDENTE_ Directa'!J128</f>
        <v>-474944</v>
      </c>
      <c r="K66" s="288">
        <f>'REMUNERACION_OCCIDENTE_ Directa'!K128</f>
        <v>320112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11551639</v>
      </c>
      <c r="E67" s="344">
        <f>'REMUNERACION_OCCIDENTE_ Directa'!E129</f>
        <v>0</v>
      </c>
      <c r="G67" s="339">
        <f>'REMUNERACION_OCCIDENTE_ Directa'!G129</f>
        <v>1249810</v>
      </c>
      <c r="H67" s="340">
        <f>'REMUNERACION_OCCIDENTE_ Directa'!H129</f>
        <v>12681387.489999998</v>
      </c>
      <c r="I67" s="288">
        <f>'REMUNERACION_OCCIDENTE_ Directa'!I129</f>
        <v>0</v>
      </c>
      <c r="J67" s="288">
        <f>'REMUNERACION_OCCIDENTE_ Directa'!J129</f>
        <v>-2556821.65</v>
      </c>
      <c r="K67" s="288">
        <f>'REMUNERACION_OCCIDENTE_ Directa'!K129</f>
        <v>2298610</v>
      </c>
      <c r="L67" s="288">
        <f>'REMUNERACION_OCCIDENTE_ Directa'!L129</f>
        <v>1057608.3500000001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225794229.16999999</v>
      </c>
      <c r="E69" s="350">
        <f>'REMUNERACION_OCCIDENTE_ Directa'!E131</f>
        <v>0</v>
      </c>
      <c r="F69" s="351"/>
      <c r="G69" s="350">
        <f>'REMUNERACION_OCCIDENTE_ Directa'!G131</f>
        <v>1429532</v>
      </c>
      <c r="H69" s="350">
        <f>'REMUNERACION_OCCIDENTE_ Directa'!H131</f>
        <v>183640728.84</v>
      </c>
      <c r="I69" s="350">
        <f>'REMUNERACION_OCCIDENTE_ Directa'!I131</f>
        <v>0</v>
      </c>
      <c r="J69" s="350">
        <f>'REMUNERACION_OCCIDENTE_ Directa'!J131</f>
        <v>-3056655.65</v>
      </c>
      <c r="K69" s="350">
        <f>'REMUNERACION_OCCIDENTE_ Directa'!K131</f>
        <v>2618722</v>
      </c>
      <c r="L69" s="350">
        <f>'REMUNERACION_OCCIDENTE_ Directa'!L131</f>
        <v>1057608.3500000001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F21" sqref="F21"/>
    </sheetView>
  </sheetViews>
  <sheetFormatPr baseColWidth="10" defaultRowHeight="13.2" x14ac:dyDescent="0.25"/>
  <cols>
    <col min="1" max="1" width="4.77734375" customWidth="1"/>
    <col min="2" max="2" width="10" customWidth="1"/>
    <col min="3" max="3" width="20.44140625" bestFit="1" customWidth="1"/>
    <col min="4" max="4" width="17.21875" customWidth="1"/>
    <col min="5" max="5" width="16.218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2026082</v>
      </c>
      <c r="D2" s="527" t="s">
        <v>224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341</v>
      </c>
      <c r="D7" s="546">
        <v>71118604894</v>
      </c>
      <c r="E7" s="533">
        <v>71179067084</v>
      </c>
      <c r="F7" s="534" t="b">
        <v>1</v>
      </c>
      <c r="G7" s="143"/>
      <c r="H7" s="143"/>
      <c r="I7" s="143"/>
    </row>
    <row r="8" spans="2:9" ht="14.4" x14ac:dyDescent="0.3">
      <c r="C8" s="545" t="s">
        <v>327</v>
      </c>
      <c r="D8" s="546">
        <v>32556620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27905570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5885496214</v>
      </c>
      <c r="E10" s="535">
        <v>5885496214</v>
      </c>
      <c r="F10" s="536">
        <v>77064563298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2026-10-08T17:29:52Z</dcterms:modified>
</cp:coreProperties>
</file>