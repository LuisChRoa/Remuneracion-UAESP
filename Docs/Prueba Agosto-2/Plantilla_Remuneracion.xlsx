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Agosto-2/"/>
    </mc:Choice>
  </mc:AlternateContent>
  <xr:revisionPtr revIDLastSave="5" documentId="13_ncr:1_{5D2C18D4-83B1-43CD-9FDD-CBF11A1D83F4}" xr6:coauthVersionLast="47" xr6:coauthVersionMax="47" xr10:uidLastSave="{C0B2A355-CF7A-4679-8DC6-3AC28B5410F2}"/>
  <bookViews>
    <workbookView xWindow="-108" yWindow="-108" windowWidth="23256" windowHeight="12456" tabRatio="780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8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82" sheetId="93" r:id="rId36"/>
    <sheet name="DetValiRetri202608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D31" i="96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62" i="90" l="1"/>
  <c r="AA11" i="99"/>
  <c r="AA109" i="97"/>
  <c r="AA65" i="90" s="1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H23" i="64" s="1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<sst xmlns="http://schemas.openxmlformats.org/spreadsheetml/2006/main" count="7547" uniqueCount="345">
  <si>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</si>
  <si>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</si>
  <si>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</si>
  <si>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</si>
  <si>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</si>
  <si>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</si>
  <si>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</si>
  <si>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</si>
  <si>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</si>
  <si>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</si>
  <si>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</si>
  <si>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</si>
  <si>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</si>
  <si>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</si>
  <si>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</si>
  <si>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</si>
  <si>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</si>
  <si>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</si>
  <si>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</si>
  <si>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</si>
  <si>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</si>
  <si>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</si>
  <si>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</si>
  <si>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</si>
  <si>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</si>
  <si>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</si>
  <si>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</si>
  <si>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</si>
  <si>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</si>
  <si>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</si>
  <si>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</si>
  <si>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</si>
  <si>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</si>
  <si>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</si>
  <si>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</si>
  <si>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</si>
  <si>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</si>
  <si>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</si>
  <si>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</si>
  <si>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</si>
  <si>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</si>
  <si>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</si>
  <si>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</si>
  <si>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</si>
  <si>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</si>
  <si>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</si>
  <si>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</si>
  <si>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</si>
  <si>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</si>
  <si>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</si>
  <si>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</si>
  <si>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</si>
  <si>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</si>
  <si>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</si>
  <si>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</si>
  <si>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</si>
  <si>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</si>
  <si>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</si>
  <si>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</si>
  <si>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</si>
  <si>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</si>
  <si>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</si>
  <si>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</si>
  <si>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</si>
  <si>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</si>
  <si>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</si>
  <si>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</si>
  <si>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</si>
  <si>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</si>
  <si>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</si>
  <si>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</si>
  <si>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</si>
  <si>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</si>
  <si>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</si>
  <si>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</si>
  <si>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</si>
  <si>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</si>
  <si>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</si>
  <si>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</si>
  <si>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</si>
  <si>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</si>
  <si>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</si>
  <si>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</si>
  <si>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</si>
  <si>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</si>
  <si>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</si>
  <si>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</si>
  <si>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</si>
  <si>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</si>
  <si>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</si>
  <si>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</si>
  <si>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</si>
  <si>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</si>
  <si>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</si>
  <si>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</si>
  <si>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</si>
  <si>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</si>
  <si>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</si>
  <si>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</si>
  <si>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</si>
  <si>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</si>
  <si>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</si>
  <si>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</si>
  <si>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</si>
  <si>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</si>
  <si>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</si>
  <si>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</si>
  <si>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</si>
  <si>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</si>
  <si>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</si>
  <si>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</si>
  <si>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</si>
  <si>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</si>
  <si>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</si>
  <si>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</si>
  <si>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</si>
  <si>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</si>
  <si>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</si>
  <si>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</si>
  <si>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</si>
  <si>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</si>
  <si>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</si>
  <si>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</si>
  <si>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</si>
  <si>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</si>
  <si>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</si>
  <si>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</si>
  <si>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</si>
  <si>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</si>
  <si>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</si>
  <si>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</si>
  <si>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</si>
  <si>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</si>
  <si>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</si>
  <si>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</si>
  <si>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</si>
  <si>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</si>
  <si>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</si>
  <si>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</si>
  <si>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</si>
  <si>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</si>
  <si>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</si>
  <si>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</si>
  <si>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</si>
  <si>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</si>
  <si>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</si>
  <si>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</si>
  <si>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</si>
  <si>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</si>
  <si>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</si>
  <si>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</si>
  <si>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</si>
  <si>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</si>
  <si>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</si>
  <si>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</si>
  <si>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</si>
  <si>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</si>
  <si>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</si>
  <si>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</si>
  <si>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</si>
  <si>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</si>
  <si>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</si>
  <si>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</si>
  <si>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</si>
  <si>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</si>
  <si>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</si>
  <si>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</si>
  <si>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</si>
  <si>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</si>
  <si>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</si>
  <si>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</si>
  <si>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</si>
  <si>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</si>
  <si>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</si>
  <si>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</si>
  <si>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</si>
  <si>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</si>
  <si>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</si>
  <si>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</si>
  <si>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</si>
  <si>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</si>
  <si>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</si>
  <si>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</si>
  <si>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</si>
  <si>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</si>
  <si>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</si>
  <si>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</si>
  <si>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</si>
  <si>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</si>
  <si>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</si>
  <si>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</si>
  <si>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</si>
  <si>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</si>
  <si>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</si>
  <si>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</si>
  <si>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</si>
  <si>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</si>
  <si>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</si>
  <si>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</si>
  <si>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</si>
  <si>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</si>
  <si>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</si>
  <si>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</si>
  <si>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</si>
  <si>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</si>
  <si>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</si>
  <si>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</si>
  <si>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</si>
  <si>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</si>
  <si>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</si>
  <si>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</si>
  <si>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</si>
  <si>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</si>
  <si>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</si>
  <si>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</si>
  <si>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</si>
  <si>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</si>
  <si>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</si>
  <si>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</si>
  <si>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</si>
  <si>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</si>
  <si>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</si>
  <si>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</si>
  <si>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</si>
  <si>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</si>
  <si>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</si>
  <si>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</si>
  <si>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</si>
  <si>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</si>
  <si>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</si>
  <si>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</si>
  <si>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</si>
  <si>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</si>
  <si>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</si>
  <si>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</si>
  <si>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</si>
  <si>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</si>
  <si>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</si>
  <si>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</si>
  <si>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</si>
  <si>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</si>
  <si>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</si>
  <si>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</si>
  <si>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</si>
  <si>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</si>
  <si>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</si>
  <si>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</si>
  <si>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</si>
  <si>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</si>
  <si>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</si>
  <si>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</si>
  <si>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</si>
  <si>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</si>
  <si>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</si>
  <si>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</si>
  <si>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</si>
  <si>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</si>
  <si>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</si>
  <si>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</si>
  <si>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</si>
  <si>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</si>
  <si>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</si>
  <si>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</si>
  <si>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</si>
  <si>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</si>
  <si>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</si>
  <si>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</si>
  <si>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</si>
  <si>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</si>
  <si>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</si>
  <si>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</si>
  <si>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</si>
  <si>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</si>
  <si>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</si>
  <si>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</si>
  <si>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</si>
  <si>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</si>
  <si>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</si>
  <si>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</si>
  <si>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</si>
  <si>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</si>
  <si>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</si>
  <si>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</si>
  <si>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</si>
  <si>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</si>
  <si>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</si>
  <si>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</si>
  <si>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</si>
  <si>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</si>
  <si>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</si>
  <si>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</si>
  <si>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</si>
  <si>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</si>
  <si>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</si>
  <si>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</si>
  <si>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</si>
  <si>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</si>
  <si>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</si>
  <si>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</si>
  <si>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</si>
  <si>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</si>
  <si>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</si>
  <si>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</si>
  <si>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</si>
  <si>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</si>
  <si>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</si>
  <si>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</si>
  <si>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</si>
  <si>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</si>
  <si>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</si>
  <si>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</si>
  <si>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</si>
  <si>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</si>
  <si>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</si>
  <si>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</si>
  <si>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</si>
  <si>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</si>
  <si>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</si>
  <si>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</si>
  <si>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</si>
  <si>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</si>
  <si>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</si>
  <si>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</si>
  <si>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</si>
  <si>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</si>
  <si>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</si>
  <si>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</si>
  <si>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</si>
  <si>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</si>
  <si>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</si>
  <si>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</si>
  <si>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</si>
  <si>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</si>
  <si>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</si>
  <si>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</si>
  <si>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</si>
  <si>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</si>
  <si>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</si>
  <si>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</si>
  <si>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2026072</t>
  </si>
  <si>
    <t>04/08/2026</t>
  </si>
  <si>
    <t>10:15 AM</t>
  </si>
  <si>
    <t>16/07/2026</t>
  </si>
  <si>
    <t>31/07/2026</t>
  </si>
  <si>
    <t>OJO/// PRIMERA QUINCENA SELECCIONAR 1; SEGUNDA QUINCENA SELECCIONAR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</si>
</sst>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2" fillId="0" borderId="0"/>
    <xf numFmtId="165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6" xfId="2599" applyNumberFormat="1" applyFont="1" applyBorder="1"/>
    <xf numFmtId="168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164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3" xfId="2599" applyNumberFormat="1" applyFont="1" applyFill="1" applyBorder="1"/>
    <xf numFmtId="168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44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8" fontId="25" fillId="0" borderId="57" xfId="2599" applyNumberFormat="1" applyFont="1" applyBorder="1"/>
    <xf numFmtId="168" fontId="25" fillId="0" borderId="62" xfId="2599" applyNumberFormat="1" applyFont="1" applyBorder="1"/>
    <xf numFmtId="168" fontId="25" fillId="0" borderId="59" xfId="2599" applyNumberFormat="1" applyFont="1" applyBorder="1"/>
    <xf numFmtId="165" fontId="0" fillId="0" borderId="0" xfId="0" applyNumberFormat="1"/>
    <xf numFmtId="0" fontId="20" fillId="0" borderId="57" xfId="0" applyFont="1" applyBorder="1"/>
    <xf numFmtId="168" fontId="25" fillId="0" borderId="63" xfId="2599" applyNumberFormat="1" applyFont="1" applyBorder="1"/>
    <xf numFmtId="168" fontId="25" fillId="0" borderId="50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4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8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5" xfId="2604" applyFont="1" applyBorder="1"/>
    <xf numFmtId="164" fontId="22" fillId="40" borderId="11" xfId="2604" applyFont="1" applyFill="1" applyBorder="1"/>
    <xf numFmtId="164" fontId="22" fillId="40" borderId="56" xfId="2604" applyFont="1" applyFill="1" applyBorder="1" applyAlignment="1">
      <alignment horizontal="center"/>
    </xf>
    <xf numFmtId="164" fontId="22" fillId="40" borderId="64" xfId="2604" applyFont="1" applyFill="1" applyBorder="1" applyAlignment="1">
      <alignment horizontal="center"/>
    </xf>
    <xf numFmtId="0" fontId="22" fillId="0" borderId="0" xfId="2" applyFont="1"/>
    <xf numFmtId="164" fontId="0" fillId="0" borderId="53" xfId="2604" applyFont="1" applyBorder="1"/>
    <xf numFmtId="164" fontId="0" fillId="0" borderId="54" xfId="2604" applyFont="1" applyBorder="1"/>
    <xf numFmtId="164" fontId="0" fillId="0" borderId="67" xfId="2604" applyFont="1" applyBorder="1" applyAlignment="1">
      <alignment horizontal="right"/>
    </xf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8" xfId="2604" applyFont="1" applyBorder="1"/>
    <xf numFmtId="164" fontId="0" fillId="0" borderId="59" xfId="2604" applyFont="1" applyBorder="1"/>
    <xf numFmtId="164" fontId="22" fillId="39" borderId="19" xfId="2604" applyFont="1" applyFill="1" applyBorder="1"/>
    <xf numFmtId="164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164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8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164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4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3" xfId="2601" applyFont="1" applyBorder="1"/>
    <xf numFmtId="164" fontId="0" fillId="0" borderId="57" xfId="2601" applyFont="1" applyBorder="1"/>
    <xf numFmtId="164" fontId="41" fillId="34" borderId="63" xfId="2601" applyFont="1" applyFill="1" applyBorder="1"/>
    <xf numFmtId="164" fontId="0" fillId="55" borderId="18" xfId="2601" applyFont="1" applyFill="1" applyBorder="1"/>
    <xf numFmtId="164" fontId="41" fillId="34" borderId="72" xfId="2601" applyFont="1" applyFill="1" applyBorder="1"/>
    <xf numFmtId="164" fontId="41" fillId="55" borderId="50" xfId="2601" applyFont="1" applyFill="1" applyBorder="1" applyAlignment="1">
      <alignment horizontal="left"/>
    </xf>
    <xf numFmtId="164" fontId="0" fillId="55" borderId="56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7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165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8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164" fontId="55" fillId="59" borderId="71" xfId="2604" applyFont="1" applyFill="1" applyBorder="1"/>
    <xf numFmtId="164" fontId="55" fillId="59" borderId="42" xfId="2604" applyFont="1" applyFill="1" applyBorder="1"/>
    <xf numFmtId="164" fontId="55" fillId="0" borderId="42" xfId="2604" applyFont="1" applyFill="1" applyBorder="1"/>
    <xf numFmtId="164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164" fontId="55" fillId="59" borderId="54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164" fontId="55" fillId="59" borderId="78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79" xfId="2604" applyFont="1" applyFill="1" applyBorder="1"/>
    <xf numFmtId="172" fontId="61" fillId="36" borderId="11" xfId="2604" applyNumberFormat="1" applyFont="1" applyFill="1" applyBorder="1"/>
    <xf numFmtId="164" fontId="61" fillId="59" borderId="11" xfId="2604" applyFont="1" applyFill="1" applyBorder="1"/>
    <xf numFmtId="164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8" xfId="2604" applyFont="1" applyFill="1" applyBorder="1"/>
    <xf numFmtId="164" fontId="19" fillId="0" borderId="3" xfId="2604" applyFont="1" applyBorder="1"/>
    <xf numFmtId="164" fontId="55" fillId="36" borderId="45" xfId="2604" applyFont="1" applyFill="1" applyBorder="1"/>
    <xf numFmtId="164" fontId="19" fillId="0" borderId="3" xfId="2604" applyFont="1" applyFill="1" applyBorder="1"/>
    <xf numFmtId="164" fontId="61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5" fillId="0" borderId="0" xfId="2617" applyNumberFormat="1"/>
    <xf numFmtId="164" fontId="65" fillId="0" borderId="3" xfId="2617" applyNumberFormat="1" applyBorder="1"/>
    <xf numFmtId="167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164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164" fontId="0" fillId="0" borderId="62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164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164" fontId="0" fillId="0" borderId="57" xfId="2601" applyFont="1" applyBorder="1" applyAlignment="1">
      <alignment vertical="top"/>
    </xf>
    <xf numFmtId="164" fontId="22" fillId="40" borderId="44" xfId="2601" applyFont="1" applyFill="1" applyBorder="1" applyAlignment="1">
      <alignment vertical="top"/>
    </xf>
    <xf numFmtId="164" fontId="22" fillId="40" borderId="3" xfId="2601" applyFont="1" applyFill="1" applyBorder="1" applyAlignment="1">
      <alignment vertical="top"/>
    </xf>
    <xf numFmtId="164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164" fontId="22" fillId="62" borderId="3" xfId="0" applyNumberFormat="1" applyFont="1" applyFill="1" applyBorder="1"/>
    <xf numFmtId="164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164" fontId="41" fillId="38" borderId="56" xfId="2601" applyFont="1" applyFill="1" applyBorder="1" applyAlignment="1">
      <alignment horizontal="center"/>
    </xf>
    <xf numFmtId="164" fontId="41" fillId="34" borderId="64" xfId="2601" applyFont="1" applyFill="1" applyBorder="1" applyAlignment="1">
      <alignment horizontal="center"/>
    </xf>
    <xf numFmtId="164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164" fontId="24" fillId="0" borderId="0" xfId="2601" applyFont="1"/>
    <xf numFmtId="165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8" fontId="0" fillId="0" borderId="3" xfId="2598" applyNumberFormat="1" applyFont="1" applyBorder="1"/>
    <xf numFmtId="168" fontId="0" fillId="42" borderId="3" xfId="0" applyNumberFormat="1" applyFill="1" applyBorder="1"/>
    <xf numFmtId="168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8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8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64" fontId="61" fillId="0" borderId="5" xfId="0" applyNumberFormat="1" applyFont="1" applyBorder="1" applyAlignment="1">
      <alignment horizontal="center"/>
    </xf>
    <xf numFmtId="164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zoomScale="94" zoomScaleNormal="94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3.8" thickBot="1" x14ac:dyDescent="0.3"/>
    <row r="2" spans="2:13" s="95" customFormat="1" ht="13.8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5">
      <c r="C4" s="162">
        <v>2</v>
      </c>
      <c r="D4" s="159">
        <v>0</v>
      </c>
      <c r="E4" s="159">
        <v>0</v>
      </c>
      <c r="F4" s="159">
        <v>0</v>
      </c>
      <c r="G4" s="159">
        <v>0</v>
      </c>
      <c r="J4" s="593"/>
    </row>
    <row r="5" spans="2:13" x14ac:dyDescent="0.25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5">
      <c r="C6" s="162">
        <v>4</v>
      </c>
      <c r="D6" s="159">
        <v>0</v>
      </c>
      <c r="E6" s="159">
        <v>0</v>
      </c>
      <c r="F6" s="159">
        <v>0</v>
      </c>
      <c r="G6" s="159">
        <v>0</v>
      </c>
      <c r="J6" s="593"/>
    </row>
    <row r="7" spans="2:13" ht="13.5" customHeight="1" x14ac:dyDescent="0.25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8" thickBot="1" x14ac:dyDescent="0.3">
      <c r="C8" s="166" t="s">
        <v>89</v>
      </c>
      <c r="D8" s="167"/>
      <c r="E8" s="168"/>
      <c r="F8" s="168"/>
      <c r="G8" s="169"/>
      <c r="J8" s="593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  <c r="J9" s="593"/>
    </row>
    <row r="10" spans="2:13" ht="13.8" thickBot="1" x14ac:dyDescent="0.3"/>
    <row r="11" spans="2:13" s="95" customFormat="1" ht="13.8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8" thickBot="1" x14ac:dyDescent="0.3">
      <c r="C17" s="166" t="s">
        <v>89</v>
      </c>
      <c r="D17" s="167"/>
      <c r="E17" s="168"/>
      <c r="F17" s="168"/>
      <c r="G17" s="169"/>
    </row>
    <row r="18" spans="1:11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3.8" thickBot="1" x14ac:dyDescent="0.3"/>
    <row r="20" spans="1:11" ht="13.8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4140625" defaultRowHeight="13.2" x14ac:dyDescent="0.25"/>
  <cols>
    <col min="1" max="1" width="2.33203125" style="192" customWidth="1"/>
    <col min="2" max="2" width="25" style="192" bestFit="1" customWidth="1"/>
    <col min="3" max="3" width="4.6640625" style="192" bestFit="1" customWidth="1"/>
    <col min="4" max="4" width="13.6640625" style="151" bestFit="1" customWidth="1"/>
    <col min="5" max="5" width="19" style="151" bestFit="1" customWidth="1"/>
    <col min="6" max="6" width="13.6640625" style="151" bestFit="1" customWidth="1"/>
    <col min="7" max="7" width="19" style="151" bestFit="1" customWidth="1"/>
    <col min="8" max="8" width="3.6640625" style="151" customWidth="1"/>
    <col min="9" max="9" width="20" style="151" bestFit="1" customWidth="1"/>
    <col min="10" max="10" width="26.5546875" style="151" bestFit="1" customWidth="1"/>
    <col min="11" max="13" width="19.6640625" style="151" customWidth="1"/>
    <col min="14" max="16384" width="11.44140625" style="192"/>
  </cols>
  <sheetData>
    <row r="1" spans="2:13" ht="13.8" thickBot="1" x14ac:dyDescent="0.3"/>
    <row r="2" spans="2:13" s="193" customFormat="1" ht="13.8" thickBot="1" x14ac:dyDescent="0.3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5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5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5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5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5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167"/>
      <c r="E8" s="168"/>
      <c r="F8" s="168"/>
      <c r="G8" s="169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/>
    <row r="11" spans="2:13" s="193" customFormat="1" ht="13.8" thickBot="1" x14ac:dyDescent="0.3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5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66" t="s">
        <v>89</v>
      </c>
      <c r="D17" s="167"/>
      <c r="E17" s="168"/>
      <c r="F17" s="168"/>
      <c r="G17" s="169"/>
    </row>
    <row r="18" spans="1:13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3" ht="13.8" thickBot="1" x14ac:dyDescent="0.3"/>
    <row r="20" spans="1:13" ht="13.8" thickBot="1" x14ac:dyDescent="0.3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4140625" defaultRowHeight="13.2" x14ac:dyDescent="0.25"/>
  <cols>
    <col min="1" max="1" width="2.33203125" style="150" customWidth="1"/>
    <col min="2" max="2" width="12.6640625" style="150" bestFit="1" customWidth="1"/>
    <col min="3" max="3" width="7.33203125" style="150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  <col min="14" max="16384" width="11.44140625" style="150"/>
  </cols>
  <sheetData>
    <row r="1" spans="2:13" ht="13.8" thickBot="1" x14ac:dyDescent="0.3"/>
    <row r="2" spans="2:13" s="152" customFormat="1" ht="13.8" thickBot="1" x14ac:dyDescent="0.3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218">
        <v>0</v>
      </c>
      <c r="E3" s="160">
        <v>0</v>
      </c>
      <c r="F3" s="160">
        <v>0</v>
      </c>
      <c r="G3" s="161">
        <v>0</v>
      </c>
      <c r="J3" s="593"/>
    </row>
    <row r="4" spans="2:13" x14ac:dyDescent="0.25">
      <c r="C4" s="162">
        <v>2</v>
      </c>
      <c r="D4" s="219">
        <v>0</v>
      </c>
      <c r="E4" s="164">
        <v>0</v>
      </c>
      <c r="F4" s="164">
        <v>0</v>
      </c>
      <c r="G4" s="165">
        <v>0</v>
      </c>
      <c r="J4" s="593"/>
    </row>
    <row r="5" spans="2:13" x14ac:dyDescent="0.25">
      <c r="C5" s="162">
        <v>3</v>
      </c>
      <c r="D5" s="219">
        <v>0</v>
      </c>
      <c r="E5" s="164">
        <v>0</v>
      </c>
      <c r="F5" s="164">
        <v>0</v>
      </c>
      <c r="G5" s="165">
        <v>0</v>
      </c>
      <c r="J5" s="593"/>
    </row>
    <row r="6" spans="2:13" x14ac:dyDescent="0.25">
      <c r="C6" s="162">
        <v>4</v>
      </c>
      <c r="D6" s="219">
        <v>0</v>
      </c>
      <c r="E6" s="164">
        <v>0</v>
      </c>
      <c r="F6" s="164">
        <v>0</v>
      </c>
      <c r="G6" s="165">
        <v>0</v>
      </c>
    </row>
    <row r="7" spans="2:13" x14ac:dyDescent="0.25">
      <c r="C7" s="162">
        <v>5</v>
      </c>
      <c r="D7" s="219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>
      <c r="D10" s="221"/>
    </row>
    <row r="11" spans="2:13" s="152" customFormat="1" ht="13.8" thickBot="1" x14ac:dyDescent="0.3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73" t="s">
        <v>140</v>
      </c>
      <c r="C12" s="174">
        <v>1</v>
      </c>
      <c r="D12" s="218">
        <v>0</v>
      </c>
      <c r="E12" s="160">
        <v>0</v>
      </c>
      <c r="F12" s="160">
        <v>0</v>
      </c>
      <c r="G12" s="161">
        <v>0</v>
      </c>
    </row>
    <row r="13" spans="2:13" x14ac:dyDescent="0.25">
      <c r="C13" s="175">
        <v>2</v>
      </c>
      <c r="D13" s="219">
        <v>0</v>
      </c>
      <c r="E13" s="164">
        <v>0</v>
      </c>
      <c r="F13" s="164">
        <v>0</v>
      </c>
      <c r="G13" s="165">
        <v>0</v>
      </c>
    </row>
    <row r="14" spans="2:13" x14ac:dyDescent="0.25">
      <c r="C14" s="175">
        <v>3</v>
      </c>
      <c r="D14" s="219">
        <v>0</v>
      </c>
      <c r="E14" s="164">
        <v>0</v>
      </c>
      <c r="F14" s="164">
        <v>0</v>
      </c>
      <c r="G14" s="165">
        <v>0</v>
      </c>
    </row>
    <row r="15" spans="2:13" x14ac:dyDescent="0.25">
      <c r="C15" s="175">
        <v>4</v>
      </c>
      <c r="D15" s="219">
        <v>0</v>
      </c>
      <c r="E15" s="164">
        <v>0</v>
      </c>
      <c r="F15" s="164">
        <v>0</v>
      </c>
      <c r="G15" s="165">
        <v>0</v>
      </c>
    </row>
    <row r="16" spans="2:13" x14ac:dyDescent="0.25">
      <c r="C16" s="175">
        <v>5</v>
      </c>
      <c r="D16" s="219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8" thickBot="1" x14ac:dyDescent="0.3">
      <c r="D18" s="177">
        <v>0</v>
      </c>
      <c r="E18" s="177">
        <v>0</v>
      </c>
      <c r="F18" s="177">
        <v>0</v>
      </c>
      <c r="G18" s="177">
        <v>0</v>
      </c>
    </row>
    <row r="19" spans="1:13" ht="13.8" thickBot="1" x14ac:dyDescent="0.3"/>
    <row r="20" spans="1:13" ht="13.8" thickBot="1" x14ac:dyDescent="0.3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80" t="s">
        <v>2</v>
      </c>
      <c r="C21" s="158">
        <v>1</v>
      </c>
      <c r="D21" s="218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50"/>
      <c r="C22" s="162">
        <v>2</v>
      </c>
      <c r="D22" s="219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50"/>
      <c r="C23" s="162">
        <v>3</v>
      </c>
      <c r="D23" s="219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50"/>
      <c r="C24" s="162">
        <v>4</v>
      </c>
      <c r="D24" s="219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50"/>
      <c r="C25" s="162">
        <v>5</v>
      </c>
      <c r="D25" s="219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5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5" zoomScaleNormal="95" workbookViewId="0">
      <selection activeCell="A59" sqref="A59"/>
    </sheetView>
  </sheetViews>
  <sheetFormatPr baseColWidth="10" defaultRowHeight="13.2" x14ac:dyDescent="0.25"/>
  <cols>
    <col min="1" max="1" width="6" customWidth="1"/>
    <col min="2" max="2" width="47.6640625" bestFit="1" customWidth="1"/>
    <col min="3" max="9" width="22.6640625" customWidth="1"/>
    <col min="10" max="10" width="17.6640625" customWidth="1"/>
  </cols>
  <sheetData>
    <row r="1" spans="1:10" x14ac:dyDescent="0.25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5">
      <c r="B2" t="s">
        <v>97</v>
      </c>
      <c r="C2" s="202">
        <f>C13+C23+C32+C41+C51</f>
        <v>0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0</v>
      </c>
    </row>
    <row r="3" spans="1:10" x14ac:dyDescent="0.25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5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8" thickBot="1" x14ac:dyDescent="0.3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8" thickBot="1" x14ac:dyDescent="0.3">
      <c r="B6" t="s">
        <v>70</v>
      </c>
      <c r="C6" s="170">
        <f>SUM(C2:C5)</f>
        <v>0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0</v>
      </c>
    </row>
    <row r="7" spans="1:10" x14ac:dyDescent="0.25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5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3.8" x14ac:dyDescent="0.25">
      <c r="B10" s="50" t="s">
        <v>99</v>
      </c>
      <c r="H10" s="191"/>
    </row>
    <row r="11" spans="1:10" x14ac:dyDescent="0.25">
      <c r="B11" s="107" t="s">
        <v>96</v>
      </c>
    </row>
    <row r="12" spans="1:10" x14ac:dyDescent="0.25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5">
      <c r="B13" t="s">
        <v>97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0</v>
      </c>
      <c r="J13" s="203" t="b">
        <f>SUM(C13:H13)=I13</f>
        <v>1</v>
      </c>
    </row>
    <row r="14" spans="1:10" x14ac:dyDescent="0.25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5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8" thickBot="1" x14ac:dyDescent="0.3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8" thickBot="1" x14ac:dyDescent="0.3">
      <c r="B17" s="89" t="s">
        <v>70</v>
      </c>
      <c r="C17" s="170">
        <f>SUM(C13:C16)</f>
        <v>0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0</v>
      </c>
      <c r="J17" s="203" t="b">
        <f t="shared" si="8"/>
        <v>1</v>
      </c>
      <c r="K17" s="115"/>
    </row>
    <row r="18" spans="2:11" x14ac:dyDescent="0.25">
      <c r="B18" s="89"/>
      <c r="C18" s="106"/>
      <c r="D18" s="106"/>
      <c r="E18" s="106"/>
      <c r="F18" s="106"/>
      <c r="G18" s="106"/>
      <c r="H18" s="106"/>
      <c r="I18" s="106"/>
    </row>
    <row r="19" spans="2:11" x14ac:dyDescent="0.25">
      <c r="C19" s="132"/>
      <c r="D19" s="191"/>
      <c r="I19" s="191"/>
    </row>
    <row r="20" spans="2:11" ht="13.8" x14ac:dyDescent="0.25">
      <c r="B20" s="50" t="s">
        <v>100</v>
      </c>
    </row>
    <row r="21" spans="2:11" x14ac:dyDescent="0.25">
      <c r="B21" s="107" t="s">
        <v>96</v>
      </c>
    </row>
    <row r="22" spans="2:11" x14ac:dyDescent="0.25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5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5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5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8" thickBot="1" x14ac:dyDescent="0.3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8" thickBot="1" x14ac:dyDescent="0.3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3.8" x14ac:dyDescent="0.25">
      <c r="B29" s="50" t="s">
        <v>101</v>
      </c>
      <c r="H29" s="191"/>
      <c r="I29" s="191"/>
    </row>
    <row r="30" spans="2:11" x14ac:dyDescent="0.25">
      <c r="B30" s="107" t="s">
        <v>96</v>
      </c>
    </row>
    <row r="31" spans="2:11" x14ac:dyDescent="0.25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5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5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5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8" thickBot="1" x14ac:dyDescent="0.3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8" thickBot="1" x14ac:dyDescent="0.3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3.8" x14ac:dyDescent="0.25">
      <c r="B38" s="50" t="s">
        <v>102</v>
      </c>
    </row>
    <row r="39" spans="2:10" x14ac:dyDescent="0.25">
      <c r="B39" s="107" t="s">
        <v>96</v>
      </c>
    </row>
    <row r="40" spans="2:10" x14ac:dyDescent="0.25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5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5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5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8" thickBot="1" x14ac:dyDescent="0.3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8" thickBot="1" x14ac:dyDescent="0.3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5">
      <c r="B46" s="89"/>
      <c r="C46" s="106"/>
      <c r="D46" s="106"/>
      <c r="E46" s="106"/>
      <c r="F46" s="106"/>
      <c r="G46" s="106"/>
      <c r="H46" s="106"/>
    </row>
    <row r="47" spans="2:10" x14ac:dyDescent="0.25">
      <c r="F47" s="191"/>
      <c r="G47" s="191"/>
    </row>
    <row r="48" spans="2:10" ht="13.8" x14ac:dyDescent="0.25">
      <c r="B48" s="50" t="s">
        <v>103</v>
      </c>
    </row>
    <row r="49" spans="2:10" x14ac:dyDescent="0.25">
      <c r="B49" s="107" t="s">
        <v>96</v>
      </c>
    </row>
    <row r="50" spans="2:10" x14ac:dyDescent="0.25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5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5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5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8" thickBot="1" x14ac:dyDescent="0.3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8" thickBot="1" x14ac:dyDescent="0.3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5">
      <c r="H57" s="191"/>
      <c r="I57" s="191"/>
    </row>
    <row r="58" spans="2:10" ht="13.8" thickBot="1" x14ac:dyDescent="0.3">
      <c r="F58" s="191"/>
      <c r="G58" s="191"/>
      <c r="H58" s="191"/>
      <c r="I58" s="191"/>
    </row>
    <row r="59" spans="2:10" ht="18" thickBot="1" x14ac:dyDescent="0.35">
      <c r="B59" s="596" t="s">
        <v>334</v>
      </c>
      <c r="C59" s="614">
        <v>2</v>
      </c>
      <c r="D59" s="597" t="s">
        <v>344</v>
      </c>
      <c r="H59" s="151"/>
    </row>
    <row r="60" spans="2:10" x14ac:dyDescent="0.25">
      <c r="H60" s="191"/>
    </row>
    <row r="61" spans="2:10" x14ac:dyDescent="0.25">
      <c r="B61" t="s">
        <v>1</v>
      </c>
      <c r="C61" s="132"/>
      <c r="E61" s="131"/>
    </row>
    <row r="62" spans="2:10" x14ac:dyDescent="0.25">
      <c r="B62" s="598" t="s">
        <v>207</v>
      </c>
      <c r="C62" s="599">
        <f>IF($C$59=1,'Recaudo ENEL'!D21,'Recaudo ENEL'!F21)</f>
        <v>0</v>
      </c>
      <c r="D62" s="598" t="b">
        <f>C17=C62</f>
        <v>1</v>
      </c>
      <c r="E62" s="600">
        <f>C17-C62</f>
        <v>0</v>
      </c>
      <c r="F62" s="191"/>
    </row>
    <row r="63" spans="2:10" x14ac:dyDescent="0.25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5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5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5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5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5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5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5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5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5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5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5">
      <c r="C74" s="151"/>
    </row>
    <row r="75" spans="2:7" x14ac:dyDescent="0.25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5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5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5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5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3.2" x14ac:dyDescent="0.25"/>
  <cols>
    <col min="1" max="1" width="3.44140625" customWidth="1"/>
    <col min="2" max="2" width="20.6640625" bestFit="1" customWidth="1"/>
    <col min="3" max="3" width="13.33203125" bestFit="1" customWidth="1"/>
    <col min="4" max="6" width="12.6640625" bestFit="1" customWidth="1"/>
    <col min="7" max="7" width="12.5546875" customWidth="1"/>
    <col min="8" max="14" width="12.6640625" bestFit="1" customWidth="1"/>
    <col min="16" max="16" width="12.6640625" bestFit="1" customWidth="1"/>
  </cols>
  <sheetData>
    <row r="1" spans="1:16" ht="13.8" thickBot="1" x14ac:dyDescent="0.3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x14ac:dyDescent="0.25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5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8" thickBot="1" x14ac:dyDescent="0.3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8" thickBot="1" x14ac:dyDescent="0.3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5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5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4.4" x14ac:dyDescent="0.3">
      <c r="B8" s="187" t="s">
        <v>148</v>
      </c>
      <c r="C8" s="188"/>
    </row>
    <row r="9" spans="1:16" x14ac:dyDescent="0.25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x14ac:dyDescent="0.25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5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8" thickBot="1" x14ac:dyDescent="0.3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8" thickBot="1" x14ac:dyDescent="0.3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5">
      <c r="E14" s="191"/>
    </row>
    <row r="16" spans="1:16" ht="14.4" x14ac:dyDescent="0.3">
      <c r="B16" s="187" t="s">
        <v>153</v>
      </c>
      <c r="C16" s="188"/>
    </row>
    <row r="17" spans="2:14" x14ac:dyDescent="0.25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x14ac:dyDescent="0.25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5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8" thickBot="1" x14ac:dyDescent="0.3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8" thickBot="1" x14ac:dyDescent="0.3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4.4" x14ac:dyDescent="0.3">
      <c r="B24" s="187" t="s">
        <v>154</v>
      </c>
      <c r="C24" s="188"/>
    </row>
    <row r="25" spans="2:14" x14ac:dyDescent="0.25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x14ac:dyDescent="0.25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5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8" thickBot="1" x14ac:dyDescent="0.3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8" thickBot="1" x14ac:dyDescent="0.3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4.4" x14ac:dyDescent="0.3">
      <c r="B32" s="187" t="s">
        <v>155</v>
      </c>
      <c r="C32" s="188"/>
    </row>
    <row r="33" spans="2:14" x14ac:dyDescent="0.25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x14ac:dyDescent="0.25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5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8" thickBot="1" x14ac:dyDescent="0.3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8" thickBot="1" x14ac:dyDescent="0.3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5">
      <c r="L39" s="191"/>
    </row>
    <row r="40" spans="2:14" ht="14.4" x14ac:dyDescent="0.3">
      <c r="B40" s="187" t="s">
        <v>326</v>
      </c>
      <c r="C40" s="188"/>
    </row>
    <row r="41" spans="2:14" x14ac:dyDescent="0.25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x14ac:dyDescent="0.25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5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8" thickBot="1" x14ac:dyDescent="0.3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8" thickBot="1" x14ac:dyDescent="0.3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6640625" bestFit="1" customWidth="1"/>
    <col min="4" max="4" width="1.6640625" customWidth="1"/>
    <col min="5" max="5" width="14.6640625" customWidth="1"/>
    <col min="6" max="6" width="15.6640625" bestFit="1" customWidth="1"/>
    <col min="7" max="7" width="1.6640625" customWidth="1"/>
    <col min="8" max="8" width="9.33203125" customWidth="1"/>
    <col min="9" max="9" width="15.6640625" bestFit="1" customWidth="1"/>
    <col min="10" max="10" width="1.6640625" customWidth="1"/>
    <col min="11" max="11" width="14.33203125" customWidth="1"/>
    <col min="12" max="12" width="17.44140625" customWidth="1"/>
    <col min="13" max="13" width="1.6640625" customWidth="1"/>
    <col min="14" max="14" width="14.33203125" customWidth="1"/>
    <col min="15" max="15" width="17.44140625" customWidth="1"/>
    <col min="16" max="16" width="1.6640625" customWidth="1"/>
    <col min="17" max="17" width="20.33203125" customWidth="1"/>
    <col min="18" max="18" width="15.6640625" bestFit="1" customWidth="1"/>
    <col min="19" max="19" width="3.5546875" customWidth="1"/>
    <col min="20" max="20" width="48.44140625" bestFit="1" customWidth="1"/>
  </cols>
  <sheetData>
    <row r="1" spans="2:20" s="50" customFormat="1" ht="14.4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6" thickBot="1" x14ac:dyDescent="0.3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5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8" thickBot="1" x14ac:dyDescent="0.3">
      <c r="D10" s="197"/>
      <c r="G10" s="197"/>
      <c r="J10" s="197"/>
      <c r="M10" s="197"/>
      <c r="P10" s="197"/>
    </row>
    <row r="11" spans="2:20" ht="60.6" thickBot="1" x14ac:dyDescent="0.3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5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5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5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5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8" thickBot="1" x14ac:dyDescent="0.3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5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8" thickBot="1" x14ac:dyDescent="0.3">
      <c r="D19" s="197"/>
      <c r="G19" s="197"/>
      <c r="J19" s="197"/>
      <c r="M19" s="197"/>
      <c r="P19" s="197"/>
    </row>
    <row r="20" spans="2:20" ht="36.6" thickBot="1" x14ac:dyDescent="0.3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5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5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5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5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8" thickBot="1" x14ac:dyDescent="0.3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5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5">
      <c r="D28" s="197"/>
      <c r="G28" s="197"/>
      <c r="J28" s="197"/>
      <c r="M28" s="197"/>
      <c r="P28" s="197"/>
    </row>
    <row r="29" spans="2:20" x14ac:dyDescent="0.25">
      <c r="D29" s="197"/>
      <c r="G29" s="197"/>
      <c r="J29" s="197"/>
      <c r="M29" s="197"/>
      <c r="P29" s="197"/>
    </row>
    <row r="30" spans="2:20" x14ac:dyDescent="0.25">
      <c r="D30" s="197"/>
      <c r="G30" s="197"/>
      <c r="J30" s="197"/>
      <c r="M30" s="197"/>
      <c r="P30" s="197"/>
    </row>
    <row r="31" spans="2:20" x14ac:dyDescent="0.25">
      <c r="D31" s="197"/>
      <c r="G31" s="197"/>
      <c r="J31" s="197"/>
      <c r="M31" s="197"/>
      <c r="P31" s="197"/>
    </row>
    <row r="32" spans="2:20" x14ac:dyDescent="0.25">
      <c r="D32" s="197"/>
      <c r="G32" s="197"/>
      <c r="J32" s="197"/>
      <c r="M32" s="197"/>
      <c r="P32" s="197"/>
    </row>
    <row r="33" spans="4:16" x14ac:dyDescent="0.25">
      <c r="D33" s="197"/>
      <c r="G33" s="197"/>
      <c r="J33" s="197"/>
      <c r="M33" s="197"/>
      <c r="P33" s="197"/>
    </row>
    <row r="34" spans="4:16" x14ac:dyDescent="0.25">
      <c r="D34" s="197"/>
      <c r="G34" s="197"/>
      <c r="J34" s="197"/>
      <c r="M34" s="197"/>
      <c r="P34" s="197"/>
    </row>
    <row r="35" spans="4:16" x14ac:dyDescent="0.25">
      <c r="D35" s="197"/>
      <c r="G35" s="197"/>
      <c r="J35" s="197"/>
      <c r="M35" s="197"/>
      <c r="P35" s="197"/>
    </row>
    <row r="36" spans="4:16" x14ac:dyDescent="0.25">
      <c r="D36" s="197"/>
      <c r="G36" s="197"/>
      <c r="J36" s="197"/>
      <c r="M36" s="197"/>
      <c r="P36" s="197"/>
    </row>
    <row r="37" spans="4:16" x14ac:dyDescent="0.25">
      <c r="D37" s="197"/>
      <c r="G37" s="197"/>
      <c r="J37" s="197"/>
      <c r="M37" s="197"/>
      <c r="P37" s="197"/>
    </row>
    <row r="38" spans="4:16" x14ac:dyDescent="0.25">
      <c r="D38" s="197"/>
      <c r="G38" s="197"/>
      <c r="J38" s="197"/>
      <c r="M38" s="197"/>
      <c r="P38" s="197"/>
    </row>
    <row r="39" spans="4:16" x14ac:dyDescent="0.25">
      <c r="D39" s="197"/>
      <c r="G39" s="197"/>
      <c r="J39" s="197"/>
      <c r="M39" s="197"/>
      <c r="P39" s="197"/>
    </row>
    <row r="40" spans="4:16" x14ac:dyDescent="0.25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I13" sqref="I13"/>
    </sheetView>
  </sheetViews>
  <sheetFormatPr baseColWidth="10" defaultRowHeight="13.2" x14ac:dyDescent="0.25"/>
  <cols>
    <col min="3" max="3" width="11.44140625" style="116"/>
    <col min="4" max="4" width="19.33203125" customWidth="1"/>
    <col min="5" max="5" width="18.33203125" customWidth="1"/>
    <col min="6" max="7" width="18" customWidth="1"/>
    <col min="8" max="8" width="27.6640625" customWidth="1"/>
    <col min="9" max="9" width="33.5546875" customWidth="1"/>
    <col min="13" max="13" width="28.44140625" customWidth="1"/>
    <col min="17" max="17" width="12.6640625" bestFit="1" customWidth="1"/>
  </cols>
  <sheetData>
    <row r="1" spans="1:17" ht="13.8" thickBot="1" x14ac:dyDescent="0.3">
      <c r="H1" s="426" t="s">
        <v>1</v>
      </c>
    </row>
    <row r="2" spans="1:17" ht="15" thickBot="1" x14ac:dyDescent="0.35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8" thickBot="1" x14ac:dyDescent="0.3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DetRetri2026082!J9</f>
        <v>0</v>
      </c>
      <c r="I3" s="757">
        <f>F3-H3</f>
        <v>0</v>
      </c>
    </row>
    <row r="4" spans="1:17" ht="13.8" thickBot="1" x14ac:dyDescent="0.3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DetRetri2026082!J10</f>
        <v>0</v>
      </c>
      <c r="I4" s="757">
        <f t="shared" ref="I4:I7" si="0">F4-H4</f>
        <v>0</v>
      </c>
    </row>
    <row r="5" spans="1:17" ht="13.8" thickBot="1" x14ac:dyDescent="0.3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DetRetri2026082!J11</f>
        <v>0</v>
      </c>
      <c r="I5" s="757">
        <f t="shared" si="0"/>
        <v>0</v>
      </c>
    </row>
    <row r="6" spans="1:17" ht="13.8" thickBot="1" x14ac:dyDescent="0.3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DetRetri2026082!J12</f>
        <v>0</v>
      </c>
      <c r="I6" s="757">
        <f t="shared" si="0"/>
        <v>0</v>
      </c>
    </row>
    <row r="7" spans="1:17" ht="13.8" thickBot="1" x14ac:dyDescent="0.3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DetRetri2026082!J13</f>
        <v>0</v>
      </c>
      <c r="I7" s="757">
        <f t="shared" si="0"/>
        <v>0</v>
      </c>
    </row>
    <row r="8" spans="1:17" ht="13.8" thickBot="1" x14ac:dyDescent="0.3">
      <c r="D8" s="133"/>
      <c r="E8" s="133"/>
      <c r="F8" s="133"/>
      <c r="G8" s="423"/>
      <c r="H8" s="132"/>
      <c r="I8" s="217"/>
    </row>
    <row r="9" spans="1:17" ht="13.8" thickBot="1" x14ac:dyDescent="0.3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8" thickBot="1" x14ac:dyDescent="0.3">
      <c r="D10" s="133"/>
      <c r="E10" s="133"/>
      <c r="F10" s="133"/>
      <c r="G10" s="423"/>
      <c r="H10" s="206" t="b">
        <f>H9=DetRetri2026082!J14</f>
        <v>1</v>
      </c>
    </row>
    <row r="11" spans="1:17" ht="13.8" thickBot="1" x14ac:dyDescent="0.3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5">
      <c r="D12" s="133"/>
      <c r="E12" s="133"/>
      <c r="F12" s="206" t="b">
        <f>ROUND(F11,2)=ROUND(F9,2)</f>
        <v>1</v>
      </c>
      <c r="H12" s="133"/>
    </row>
    <row r="13" spans="1:17" x14ac:dyDescent="0.25">
      <c r="D13" s="133"/>
      <c r="E13" s="133"/>
      <c r="F13" s="508">
        <f>ROUND(F11,2)-ROUND(F9,2)</f>
        <v>0</v>
      </c>
      <c r="G13" s="423"/>
      <c r="H13" s="133"/>
    </row>
    <row r="14" spans="1:17" x14ac:dyDescent="0.25">
      <c r="H14" s="132"/>
      <c r="I14" s="126"/>
    </row>
    <row r="15" spans="1:17" x14ac:dyDescent="0.25">
      <c r="H15" s="132"/>
      <c r="I15" s="126"/>
    </row>
    <row r="16" spans="1:17" x14ac:dyDescent="0.25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8" thickBot="1" x14ac:dyDescent="0.3">
      <c r="D17" s="207"/>
      <c r="E17" s="207"/>
      <c r="F17" s="207"/>
      <c r="G17" s="207"/>
      <c r="H17" s="132"/>
      <c r="I17" s="126"/>
    </row>
    <row r="18" spans="4:9" ht="15" thickBot="1" x14ac:dyDescent="0.35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5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5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5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5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8" thickBot="1" x14ac:dyDescent="0.3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8" thickBot="1" x14ac:dyDescent="0.3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5">
      <c r="F26" s="126"/>
    </row>
    <row r="28" spans="4:9" x14ac:dyDescent="0.25">
      <c r="F28" s="207"/>
    </row>
    <row r="29" spans="4:9" x14ac:dyDescent="0.25">
      <c r="F29" s="207"/>
    </row>
    <row r="30" spans="4:9" x14ac:dyDescent="0.25">
      <c r="F30" s="207"/>
    </row>
    <row r="31" spans="4:9" x14ac:dyDescent="0.25">
      <c r="F31" s="207"/>
    </row>
    <row r="32" spans="4:9" x14ac:dyDescent="0.25">
      <c r="F32" s="207"/>
    </row>
    <row r="33" spans="6:7" x14ac:dyDescent="0.25">
      <c r="F33" s="207"/>
    </row>
    <row r="34" spans="6:7" x14ac:dyDescent="0.25">
      <c r="F34" s="207"/>
      <c r="G34" s="126"/>
    </row>
    <row r="35" spans="6:7" x14ac:dyDescent="0.25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5546875" style="25" bestFit="1" customWidth="1"/>
    <col min="3" max="3" width="18.6640625" style="25" bestFit="1" customWidth="1"/>
    <col min="4" max="4" width="18" style="25" bestFit="1" customWidth="1"/>
    <col min="5" max="5" width="25.33203125" style="25" bestFit="1" customWidth="1"/>
    <col min="6" max="6" width="17.88671875" style="25" bestFit="1" customWidth="1"/>
    <col min="7" max="7" width="18.109375" style="25" bestFit="1" customWidth="1"/>
    <col min="8" max="8" width="17.88671875" style="25" bestFit="1" customWidth="1"/>
    <col min="9" max="9" width="15" style="25" bestFit="1" customWidth="1"/>
    <col min="10" max="10" width="18.44140625" style="25" bestFit="1" customWidth="1"/>
    <col min="11" max="11" width="19.44140625" style="25" bestFit="1" customWidth="1"/>
    <col min="12" max="12" width="24.33203125" style="25" bestFit="1" customWidth="1"/>
    <col min="13" max="13" width="18.33203125" style="25" bestFit="1" customWidth="1"/>
    <col min="14" max="16" width="18.109375" style="25" bestFit="1" customWidth="1"/>
    <col min="17" max="17" width="23.33203125" style="25" bestFit="1" customWidth="1"/>
    <col min="18" max="18" width="15.109375" style="25" bestFit="1" customWidth="1"/>
    <col min="19" max="19" width="21.6640625" style="25" bestFit="1" customWidth="1"/>
    <col min="20" max="20" width="30.33203125" style="25" bestFit="1" customWidth="1"/>
    <col min="21" max="22" width="29.6640625" style="25" bestFit="1" customWidth="1"/>
    <col min="23" max="23" width="23.6640625" style="25" bestFit="1" customWidth="1"/>
    <col min="24" max="24" width="21.88671875" style="25" bestFit="1" customWidth="1"/>
    <col min="25" max="25" width="30.33203125" style="25" bestFit="1" customWidth="1"/>
    <col min="26" max="26" width="14.44140625" style="25" bestFit="1" customWidth="1"/>
    <col min="27" max="42" width="5" style="25" bestFit="1" customWidth="1"/>
    <col min="43" max="65" width="11.5546875" style="25"/>
    <col min="66" max="66" width="3" style="25" customWidth="1"/>
    <col min="67" max="16384" width="11.5546875" style="25"/>
  </cols>
  <sheetData>
    <row r="1" spans="1:66" x14ac:dyDescent="0.25">
      <c r="F1" s="623"/>
      <c r="BN1" s="624"/>
    </row>
    <row r="2" spans="1:66" x14ac:dyDescent="0.25">
      <c r="BN2" s="624"/>
    </row>
    <row r="3" spans="1:66" x14ac:dyDescent="0.25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x14ac:dyDescent="0.25">
      <c r="B4" s="50" t="s">
        <v>74</v>
      </c>
      <c r="BN4" s="624"/>
    </row>
    <row r="5" spans="1:66" s="50" customFormat="1" ht="27.6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5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5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5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5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5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5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5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5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5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5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5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5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5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5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5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5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5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5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5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5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5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5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5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5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5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5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5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5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5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5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5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5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5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5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5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5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5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5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5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5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5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5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5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5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5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5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5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5">
      <c r="C53" s="771" t="s">
        <v>2</v>
      </c>
      <c r="D53" s="768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5">
      <c r="C54" s="771"/>
      <c r="D54" s="768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5">
      <c r="C55" s="771"/>
      <c r="D55" s="768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5">
      <c r="C56" s="771"/>
      <c r="D56" s="768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5">
      <c r="C58" s="771" t="s">
        <v>160</v>
      </c>
      <c r="D58" s="768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5">
      <c r="C59" s="771"/>
      <c r="D59" s="768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5">
      <c r="C60" s="771"/>
      <c r="D60" s="768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5">
      <c r="C61" s="771"/>
      <c r="D61" s="768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5">
      <c r="C63" s="771" t="s">
        <v>155</v>
      </c>
      <c r="D63" s="768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5">
      <c r="C64" s="771"/>
      <c r="D64" s="768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5">
      <c r="B65" s="653"/>
      <c r="C65" s="771"/>
      <c r="D65" s="768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5">
      <c r="B66" s="653"/>
      <c r="C66" s="771"/>
      <c r="D66" s="768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5">
      <c r="C68" s="769" t="s">
        <v>326</v>
      </c>
      <c r="D68" s="768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5">
      <c r="C69" s="769"/>
      <c r="D69" s="768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5">
      <c r="C70" s="769"/>
      <c r="D70" s="768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5">
      <c r="C71" s="769"/>
      <c r="D71" s="768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5">
      <c r="C73" s="771" t="s">
        <v>119</v>
      </c>
      <c r="D73" s="768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5">
      <c r="C74" s="771"/>
      <c r="D74" s="768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5">
      <c r="C75" s="771"/>
      <c r="D75" s="768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5">
      <c r="C76" s="771"/>
      <c r="D76" s="768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5">
      <c r="C78" s="770" t="s">
        <v>161</v>
      </c>
      <c r="D78" s="768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5">
      <c r="C79" s="770"/>
      <c r="D79" s="768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5">
      <c r="C80" s="770"/>
      <c r="D80" s="768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5">
      <c r="C81" s="770"/>
      <c r="D81" s="768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x14ac:dyDescent="0.25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5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x14ac:dyDescent="0.25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5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27.6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5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5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5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5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5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5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5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5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5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5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5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5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5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5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5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5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5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5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5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5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5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5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5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5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5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5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5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5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5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5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5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5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5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5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5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5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5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5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5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5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5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5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5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5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5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5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5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5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5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5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5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5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5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5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5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5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5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5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5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5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5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5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5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5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5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5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5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5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5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5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5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5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5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5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5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5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5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5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5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5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5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5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5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5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5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5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5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5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5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5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5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5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5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5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5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5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5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5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5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5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5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5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5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5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5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5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5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5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5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5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5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5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5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5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5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5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5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5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5">
      <c r="C206" s="771" t="s">
        <v>2</v>
      </c>
      <c r="D206" s="768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5">
      <c r="C207" s="771"/>
      <c r="D207" s="768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5">
      <c r="C208" s="771"/>
      <c r="D208" s="768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5">
      <c r="C209" s="771"/>
      <c r="D209" s="768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5">
      <c r="C211" s="771" t="s">
        <v>160</v>
      </c>
      <c r="D211" s="768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5">
      <c r="C212" s="771"/>
      <c r="D212" s="768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5">
      <c r="C213" s="771"/>
      <c r="D213" s="768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5">
      <c r="C214" s="771"/>
      <c r="D214" s="768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5">
      <c r="C216" s="771" t="s">
        <v>155</v>
      </c>
      <c r="D216" s="768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5">
      <c r="C217" s="771"/>
      <c r="D217" s="768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5">
      <c r="C218" s="771"/>
      <c r="D218" s="768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5">
      <c r="C219" s="771"/>
      <c r="D219" s="768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5">
      <c r="C221" s="769" t="s">
        <v>326</v>
      </c>
      <c r="D221" s="768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5">
      <c r="C222" s="769"/>
      <c r="D222" s="768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5">
      <c r="C223" s="769"/>
      <c r="D223" s="768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5">
      <c r="C224" s="769"/>
      <c r="D224" s="768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5">
      <c r="C226" s="771" t="s">
        <v>119</v>
      </c>
      <c r="D226" s="768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5">
      <c r="C227" s="771"/>
      <c r="D227" s="768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5">
      <c r="C228" s="771"/>
      <c r="D228" s="768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5">
      <c r="C229" s="771"/>
      <c r="D229" s="768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5">
      <c r="C231" s="770" t="s">
        <v>161</v>
      </c>
      <c r="D231" s="768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5">
      <c r="C232" s="770"/>
      <c r="D232" s="768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5">
      <c r="C233" s="770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5">
      <c r="C234" s="770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x14ac:dyDescent="0.25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5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x14ac:dyDescent="0.25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5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27.6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5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5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5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5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5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5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5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5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5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5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5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5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5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5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5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5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5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5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5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5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5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5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5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5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5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5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5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5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5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5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5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5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5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5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5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5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5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5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5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5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5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5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5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5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5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5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5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5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5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5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5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5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5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5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5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5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5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5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5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5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5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5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5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5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5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5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5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5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5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5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5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5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5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5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5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5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5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5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5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5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5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5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5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5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5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5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5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5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5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5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5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5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5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5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5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5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5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5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5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5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5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5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5">
      <c r="C343" s="771" t="s">
        <v>2</v>
      </c>
      <c r="D343" s="768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5">
      <c r="C344" s="771"/>
      <c r="D344" s="768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5">
      <c r="A345" s="627"/>
      <c r="C345" s="771"/>
      <c r="D345" s="768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5">
      <c r="C346" s="771"/>
      <c r="D346" s="768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5">
      <c r="C348" s="771" t="s">
        <v>160</v>
      </c>
      <c r="D348" s="768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5">
      <c r="C349" s="771"/>
      <c r="D349" s="768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5">
      <c r="C350" s="771"/>
      <c r="D350" s="768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5">
      <c r="C351" s="771"/>
      <c r="D351" s="768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5">
      <c r="C353" s="771" t="s">
        <v>155</v>
      </c>
      <c r="D353" s="768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5">
      <c r="C354" s="771"/>
      <c r="D354" s="768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5">
      <c r="C355" s="771"/>
      <c r="D355" s="768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5">
      <c r="C356" s="771"/>
      <c r="D356" s="768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5">
      <c r="C358" s="769" t="s">
        <v>326</v>
      </c>
      <c r="D358" s="768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5">
      <c r="C359" s="769"/>
      <c r="D359" s="768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5">
      <c r="C360" s="769"/>
      <c r="D360" s="768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5">
      <c r="C361" s="769"/>
      <c r="D361" s="768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5">
      <c r="C363" s="771" t="s">
        <v>119</v>
      </c>
      <c r="D363" s="768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5">
      <c r="C364" s="771"/>
      <c r="D364" s="768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5">
      <c r="C365" s="771"/>
      <c r="D365" s="768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5">
      <c r="C366" s="771"/>
      <c r="D366" s="768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5">
      <c r="C368" s="770" t="s">
        <v>161</v>
      </c>
      <c r="D368" s="768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5">
      <c r="C369" s="770"/>
      <c r="D369" s="768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5">
      <c r="C370" s="770"/>
      <c r="D370" s="768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5">
      <c r="C371" s="770"/>
      <c r="D371" s="768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x14ac:dyDescent="0.25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5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x14ac:dyDescent="0.25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27.6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5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5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5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5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5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5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5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5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5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5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5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5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5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5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5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5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5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5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5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5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5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5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5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5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5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5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5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5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5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5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5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5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5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5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5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5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5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5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5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5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5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5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5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5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5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5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5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5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5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5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5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5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5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5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5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5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5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5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5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5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5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5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5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5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5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5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5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5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5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5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5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5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5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5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5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5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5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5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5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5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5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5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5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5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5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5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5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5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5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5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5">
      <c r="C468" s="771" t="s">
        <v>2</v>
      </c>
      <c r="D468" s="768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5">
      <c r="C469" s="771"/>
      <c r="D469" s="768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5">
      <c r="C470" s="771"/>
      <c r="D470" s="768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5">
      <c r="C471" s="771"/>
      <c r="D471" s="768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5">
      <c r="C473" s="771" t="s">
        <v>160</v>
      </c>
      <c r="D473" s="768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5">
      <c r="C474" s="771"/>
      <c r="D474" s="768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5">
      <c r="C475" s="771"/>
      <c r="D475" s="768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5">
      <c r="C476" s="771"/>
      <c r="D476" s="768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5">
      <c r="C478" s="771" t="s">
        <v>155</v>
      </c>
      <c r="D478" s="768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5">
      <c r="C479" s="771"/>
      <c r="D479" s="768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5">
      <c r="C480" s="771"/>
      <c r="D480" s="768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5">
      <c r="C481" s="771"/>
      <c r="D481" s="768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5">
      <c r="C483" s="769" t="s">
        <v>326</v>
      </c>
      <c r="D483" s="768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5">
      <c r="C484" s="769"/>
      <c r="D484" s="768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5">
      <c r="C485" s="769"/>
      <c r="D485" s="768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5">
      <c r="C486" s="769"/>
      <c r="D486" s="768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5">
      <c r="C488" s="771" t="s">
        <v>119</v>
      </c>
      <c r="D488" s="768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5">
      <c r="C489" s="771"/>
      <c r="D489" s="768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5">
      <c r="C490" s="771"/>
      <c r="D490" s="768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5">
      <c r="C491" s="771"/>
      <c r="D491" s="768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5">
      <c r="C493" s="770" t="s">
        <v>161</v>
      </c>
      <c r="D493" s="768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5">
      <c r="C494" s="770"/>
      <c r="D494" s="768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5">
      <c r="C495" s="770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5">
      <c r="C496" s="770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x14ac:dyDescent="0.25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5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x14ac:dyDescent="0.25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5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27.6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5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5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5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5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5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5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5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5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5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5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5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5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5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5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5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5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5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5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5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5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5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5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5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5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5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5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5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5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5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5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5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5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5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5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5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5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5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5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5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5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5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5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5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5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5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5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5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5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5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5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5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5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5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5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5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5">
      <c r="C558" s="771" t="s">
        <v>2</v>
      </c>
      <c r="D558" s="768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5">
      <c r="C559" s="771"/>
      <c r="D559" s="768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5">
      <c r="C560" s="771"/>
      <c r="D560" s="768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5">
      <c r="C561" s="771"/>
      <c r="D561" s="768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5">
      <c r="C563" s="771" t="s">
        <v>160</v>
      </c>
      <c r="D563" s="768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5">
      <c r="C564" s="771"/>
      <c r="D564" s="768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5">
      <c r="C565" s="771"/>
      <c r="D565" s="768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5">
      <c r="C566" s="771"/>
      <c r="D566" s="768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5">
      <c r="C568" s="771" t="s">
        <v>155</v>
      </c>
      <c r="D568" s="768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5">
      <c r="C569" s="771"/>
      <c r="D569" s="768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5">
      <c r="C570" s="771"/>
      <c r="D570" s="768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5">
      <c r="C571" s="771"/>
      <c r="D571" s="768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5">
      <c r="C573" s="769" t="s">
        <v>326</v>
      </c>
      <c r="D573" s="768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5">
      <c r="C574" s="769"/>
      <c r="D574" s="768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5">
      <c r="C575" s="769"/>
      <c r="D575" s="768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5">
      <c r="C576" s="769"/>
      <c r="D576" s="768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x14ac:dyDescent="0.25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5">
      <c r="C578" s="771" t="s">
        <v>119</v>
      </c>
      <c r="D578" s="768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5">
      <c r="C579" s="771"/>
      <c r="D579" s="768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5">
      <c r="C580" s="771"/>
      <c r="D580" s="768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5">
      <c r="C581" s="771"/>
      <c r="D581" s="768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5">
      <c r="C583" s="770" t="s">
        <v>161</v>
      </c>
      <c r="D583" s="768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5">
      <c r="C584" s="770"/>
      <c r="D584" s="768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5">
      <c r="C585" s="770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5">
      <c r="C586" s="770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x14ac:dyDescent="0.25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5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x14ac:dyDescent="0.25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5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546875" defaultRowHeight="13.8" x14ac:dyDescent="0.25"/>
  <cols>
    <col min="1" max="1" width="12.33203125" style="25" bestFit="1" customWidth="1"/>
    <col min="2" max="2" width="29.88671875" style="25" bestFit="1" customWidth="1"/>
    <col min="3" max="3" width="12.6640625" style="25" bestFit="1" customWidth="1"/>
    <col min="4" max="4" width="25.6640625" style="25" bestFit="1" customWidth="1"/>
    <col min="5" max="5" width="14.88671875" style="25" bestFit="1" customWidth="1"/>
    <col min="6" max="6" width="18.109375" style="25" bestFit="1" customWidth="1"/>
    <col min="7" max="7" width="17.88671875" style="25" bestFit="1" customWidth="1"/>
    <col min="8" max="8" width="20.109375" style="25" bestFit="1" customWidth="1"/>
    <col min="9" max="9" width="18.44140625" style="25" bestFit="1" customWidth="1"/>
    <col min="10" max="10" width="19.44140625" style="25" bestFit="1" customWidth="1"/>
    <col min="11" max="11" width="11.5546875" style="25" bestFit="1" customWidth="1"/>
    <col min="12" max="12" width="18.33203125" style="25" bestFit="1" customWidth="1"/>
    <col min="13" max="15" width="18.109375" style="25" bestFit="1" customWidth="1"/>
    <col min="16" max="16" width="23.33203125" style="25" bestFit="1" customWidth="1"/>
    <col min="17" max="17" width="10.109375" style="25" bestFit="1" customWidth="1"/>
    <col min="18" max="18" width="15.88671875" style="25" bestFit="1" customWidth="1"/>
    <col min="19" max="19" width="4.88671875" style="25" bestFit="1" customWidth="1"/>
    <col min="20" max="25" width="11.5546875" style="25"/>
    <col min="26" max="26" width="2.332031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5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5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5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5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5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5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5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5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5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5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5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5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5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5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5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5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5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5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5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5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5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5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5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5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5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5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5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5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5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5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5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5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5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5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5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5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5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5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5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5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5">
      <c r="B43" s="771" t="s">
        <v>2</v>
      </c>
      <c r="C43" s="768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5">
      <c r="B44" s="771"/>
      <c r="C44" s="768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5">
      <c r="B46" s="771" t="s">
        <v>160</v>
      </c>
      <c r="C46" s="768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5">
      <c r="B47" s="771"/>
      <c r="C47" s="768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5">
      <c r="B49" s="771" t="s">
        <v>155</v>
      </c>
      <c r="C49" s="768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5">
      <c r="B50" s="771"/>
      <c r="C50" s="768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5">
      <c r="B52" s="769" t="s">
        <v>326</v>
      </c>
      <c r="C52" s="768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5">
      <c r="B53" s="769"/>
      <c r="C53" s="768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5">
      <c r="B55" s="771" t="s">
        <v>119</v>
      </c>
      <c r="C55" s="768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5">
      <c r="B56" s="771"/>
      <c r="C56" s="768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5">
      <c r="B58" s="770" t="s">
        <v>161</v>
      </c>
      <c r="C58" s="768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5">
      <c r="B59" s="770"/>
      <c r="C59" s="768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5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x14ac:dyDescent="0.25">
      <c r="B61" s="676" t="s">
        <v>75</v>
      </c>
      <c r="Z61" s="624"/>
    </row>
    <row r="62" spans="1:26" s="50" customFormat="1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5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5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5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5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5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5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5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5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5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5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5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5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5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5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5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5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5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5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5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5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5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5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5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5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5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5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5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5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5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5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5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5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5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5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5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5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5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5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5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5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5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5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5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5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5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5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5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5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5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5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5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5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5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5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5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5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5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5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5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5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5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5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5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5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5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5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5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5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5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5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5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5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5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5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5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5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5">
      <c r="B139" s="771" t="s">
        <v>2</v>
      </c>
      <c r="C139" s="768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5">
      <c r="B140" s="771"/>
      <c r="C140" s="768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5">
      <c r="B142" s="771" t="s">
        <v>160</v>
      </c>
      <c r="C142" s="768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5">
      <c r="B143" s="771"/>
      <c r="C143" s="768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5">
      <c r="B145" s="771" t="s">
        <v>155</v>
      </c>
      <c r="C145" s="768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5">
      <c r="B146" s="771"/>
      <c r="C146" s="768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5">
      <c r="B148" s="769" t="s">
        <v>326</v>
      </c>
      <c r="C148" s="768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5">
      <c r="B149" s="769"/>
      <c r="C149" s="768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5">
      <c r="B151" s="771" t="s">
        <v>119</v>
      </c>
      <c r="C151" s="768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5">
      <c r="B152" s="771"/>
      <c r="C152" s="768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5">
      <c r="B154" s="770" t="s">
        <v>161</v>
      </c>
      <c r="C154" s="768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5">
      <c r="B155" s="770"/>
      <c r="C155" s="768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5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x14ac:dyDescent="0.25">
      <c r="B157" s="676" t="s">
        <v>76</v>
      </c>
      <c r="Z157" s="624"/>
    </row>
    <row r="158" spans="1:26" s="50" customFormat="1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5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5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5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5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5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5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5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5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5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5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5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5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5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5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5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5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5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5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5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5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5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5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5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5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5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5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5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5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5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5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5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5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5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5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5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5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5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5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5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5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5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5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5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5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5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5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5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5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5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5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5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5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5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5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5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5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5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5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5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5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5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5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5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5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5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5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5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5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5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5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5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5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5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5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5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5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5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5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5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5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5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5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5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5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5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5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5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5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5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5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5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5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5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5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5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5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5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5">
      <c r="B256" s="771" t="s">
        <v>2</v>
      </c>
      <c r="C256" s="768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5">
      <c r="B257" s="771"/>
      <c r="C257" s="768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5">
      <c r="B259" s="771" t="s">
        <v>160</v>
      </c>
      <c r="C259" s="768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5">
      <c r="B260" s="771"/>
      <c r="C260" s="768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5">
      <c r="B262" s="771" t="s">
        <v>155</v>
      </c>
      <c r="C262" s="768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5">
      <c r="B263" s="771"/>
      <c r="C263" s="768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x14ac:dyDescent="0.25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5">
      <c r="B265" s="769" t="s">
        <v>326</v>
      </c>
      <c r="C265" s="768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5">
      <c r="B266" s="769"/>
      <c r="C266" s="768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x14ac:dyDescent="0.25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5">
      <c r="B268" s="771" t="s">
        <v>119</v>
      </c>
      <c r="C268" s="768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5">
      <c r="B269" s="771"/>
      <c r="C269" s="768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5">
      <c r="B271" s="770" t="s">
        <v>161</v>
      </c>
      <c r="C271" s="768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5">
      <c r="B272" s="770"/>
      <c r="C272" s="768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5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x14ac:dyDescent="0.25">
      <c r="B274" s="676" t="s">
        <v>88</v>
      </c>
      <c r="Z274" s="624"/>
    </row>
    <row r="275" spans="1:26" s="50" customFormat="1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5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5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5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5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5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5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5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5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5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5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5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5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5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5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5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5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5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5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5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5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5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5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5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5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5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5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5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5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5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5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5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5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5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5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5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5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5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5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5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5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5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5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5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5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5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5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5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5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5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5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5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5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5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5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5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5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5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5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5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5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5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5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5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5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5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5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5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5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5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5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5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5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5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5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5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5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5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5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5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5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5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5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5">
      <c r="B358" s="771" t="s">
        <v>2</v>
      </c>
      <c r="C358" s="768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5">
      <c r="B359" s="771"/>
      <c r="C359" s="768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5">
      <c r="B361" s="771" t="s">
        <v>160</v>
      </c>
      <c r="C361" s="768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5">
      <c r="B362" s="771"/>
      <c r="C362" s="768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5">
      <c r="B364" s="771" t="s">
        <v>155</v>
      </c>
      <c r="C364" s="768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5">
      <c r="B365" s="771"/>
      <c r="C365" s="768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5">
      <c r="B367" s="769" t="s">
        <v>326</v>
      </c>
      <c r="C367" s="768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5">
      <c r="B368" s="769"/>
      <c r="C368" s="768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5">
      <c r="A370" s="25" t="s">
        <v>227</v>
      </c>
      <c r="B370" s="771" t="s">
        <v>119</v>
      </c>
      <c r="C370" s="768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5">
      <c r="B371" s="771"/>
      <c r="C371" s="768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5">
      <c r="B373" s="770" t="s">
        <v>161</v>
      </c>
      <c r="C373" s="768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5">
      <c r="B374" s="770"/>
      <c r="C374" s="768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x14ac:dyDescent="0.25">
      <c r="B376" s="676" t="s">
        <v>93</v>
      </c>
      <c r="Z376" s="624"/>
    </row>
    <row r="377" spans="1:26" s="50" customFormat="1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5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5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5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5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5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5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5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5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5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5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5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5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5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5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5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5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5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5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5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5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5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5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5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5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5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5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5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5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5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5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5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5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5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5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5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5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5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5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5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5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5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5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5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5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5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5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5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5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5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5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5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5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5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5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5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5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5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5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5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5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5">
      <c r="B438" s="771" t="s">
        <v>2</v>
      </c>
      <c r="C438" s="768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5">
      <c r="B439" s="771"/>
      <c r="C439" s="768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5">
      <c r="B441" s="771" t="s">
        <v>160</v>
      </c>
      <c r="C441" s="768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5">
      <c r="B442" s="771"/>
      <c r="C442" s="768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5">
      <c r="B444" s="771" t="s">
        <v>155</v>
      </c>
      <c r="C444" s="768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5">
      <c r="B445" s="771"/>
      <c r="C445" s="768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5">
      <c r="B447" s="769" t="s">
        <v>326</v>
      </c>
      <c r="C447" s="768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5">
      <c r="B448" s="769"/>
      <c r="C448" s="768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x14ac:dyDescent="0.25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5">
      <c r="B450" s="771" t="s">
        <v>119</v>
      </c>
      <c r="C450" s="768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5">
      <c r="B451" s="771"/>
      <c r="C451" s="768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5">
      <c r="B453" s="770" t="s">
        <v>161</v>
      </c>
      <c r="C453" s="768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5">
      <c r="B454" s="770"/>
      <c r="C454" s="768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5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  <mergeCell ref="B43:B44"/>
    <mergeCell ref="C43:C44"/>
    <mergeCell ref="B46:B47"/>
    <mergeCell ref="C46:C47"/>
    <mergeCell ref="B52:B53"/>
    <mergeCell ref="C52:C53"/>
    <mergeCell ref="B49:B50"/>
    <mergeCell ref="C49:C50"/>
    <mergeCell ref="B256:B257"/>
    <mergeCell ref="C256:C257"/>
    <mergeCell ref="B259:B260"/>
    <mergeCell ref="C259:C260"/>
    <mergeCell ref="B262:B263"/>
    <mergeCell ref="C262:C263"/>
    <mergeCell ref="B268:B269"/>
    <mergeCell ref="C268:C269"/>
    <mergeCell ref="B265:B266"/>
    <mergeCell ref="C265:C266"/>
    <mergeCell ref="B271:B272"/>
    <mergeCell ref="C271:C272"/>
    <mergeCell ref="B358:B359"/>
    <mergeCell ref="C358:C359"/>
    <mergeCell ref="B361:B362"/>
    <mergeCell ref="C361:C362"/>
    <mergeCell ref="B364:B365"/>
    <mergeCell ref="C364:C365"/>
    <mergeCell ref="B370:B371"/>
    <mergeCell ref="C370:C371"/>
    <mergeCell ref="B373:B374"/>
    <mergeCell ref="C373:C374"/>
    <mergeCell ref="B367:B368"/>
    <mergeCell ref="C367:C368"/>
    <mergeCell ref="B438:B439"/>
    <mergeCell ref="C438:C439"/>
    <mergeCell ref="B441:B442"/>
    <mergeCell ref="C441:C442"/>
    <mergeCell ref="B444:B445"/>
    <mergeCell ref="C444:C445"/>
    <mergeCell ref="B450:B451"/>
    <mergeCell ref="C450:C451"/>
    <mergeCell ref="B453:B454"/>
    <mergeCell ref="C453:C454"/>
    <mergeCell ref="B447:B448"/>
    <mergeCell ref="C447:C4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3.8" x14ac:dyDescent="0.25"/>
  <cols>
    <col min="1" max="1" width="29.88671875" style="681" customWidth="1"/>
    <col min="2" max="2" width="20.5546875" style="681" bestFit="1" customWidth="1"/>
    <col min="3" max="3" width="25.33203125" style="681" bestFit="1" customWidth="1"/>
    <col min="4" max="4" width="16.33203125" style="681" bestFit="1" customWidth="1"/>
    <col min="5" max="5" width="18.109375" style="681" bestFit="1" customWidth="1"/>
    <col min="6" max="6" width="17.88671875" style="681" bestFit="1" customWidth="1"/>
    <col min="7" max="7" width="20.109375" style="681" bestFit="1" customWidth="1"/>
    <col min="8" max="8" width="18.44140625" style="681" bestFit="1" customWidth="1"/>
    <col min="9" max="9" width="19.44140625" style="681" bestFit="1" customWidth="1"/>
    <col min="10" max="10" width="18.33203125" style="681" bestFit="1" customWidth="1"/>
    <col min="11" max="13" width="18.109375" style="681" bestFit="1" customWidth="1"/>
    <col min="14" max="14" width="23.33203125" style="681" bestFit="1" customWidth="1"/>
    <col min="15" max="15" width="15.109375" style="681" bestFit="1" customWidth="1"/>
    <col min="16" max="16" width="24.109375" style="681" bestFit="1" customWidth="1"/>
    <col min="17" max="17" width="21.6640625" style="681" bestFit="1" customWidth="1"/>
    <col min="18" max="18" width="6.33203125" style="681" bestFit="1" customWidth="1"/>
    <col min="19" max="24" width="30" style="681"/>
    <col min="25" max="25" width="30.109375" style="681" customWidth="1"/>
    <col min="26" max="26" width="2.109375" style="681" customWidth="1"/>
    <col min="27" max="16384" width="30" style="681"/>
  </cols>
  <sheetData>
    <row r="1" spans="1:26" x14ac:dyDescent="0.25">
      <c r="B1" s="707" t="s">
        <v>74</v>
      </c>
      <c r="Z1" s="701"/>
    </row>
    <row r="2" spans="1:26" s="682" customFormat="1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5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5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5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5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5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5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5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5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5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5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5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5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5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5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5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5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5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5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5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5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5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5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5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5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5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5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5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5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5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5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5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5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5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5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5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5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5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5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5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5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5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5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5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5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5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5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5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5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5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5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5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5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5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5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5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5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5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5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5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5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5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5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5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5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5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5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5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5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5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5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5">
      <c r="A73" s="774" t="s">
        <v>2</v>
      </c>
      <c r="B73" s="773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5">
      <c r="A74" s="774"/>
      <c r="B74" s="773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5">
      <c r="A76" s="774" t="s">
        <v>160</v>
      </c>
      <c r="B76" s="773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5">
      <c r="A77" s="774"/>
      <c r="B77" s="773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5">
      <c r="A79" s="774" t="s">
        <v>155</v>
      </c>
      <c r="B79" s="773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5">
      <c r="A80" s="774"/>
      <c r="B80" s="773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x14ac:dyDescent="0.25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5">
      <c r="A82" s="772" t="s">
        <v>326</v>
      </c>
      <c r="B82" s="773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5">
      <c r="A83" s="772"/>
      <c r="B83" s="773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5">
      <c r="A85" s="774" t="s">
        <v>119</v>
      </c>
      <c r="B85" s="773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5">
      <c r="A86" s="774"/>
      <c r="B86" s="773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5">
      <c r="A88" s="775" t="s">
        <v>161</v>
      </c>
      <c r="B88" s="773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5">
      <c r="A89" s="775"/>
      <c r="B89" s="773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5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x14ac:dyDescent="0.25">
      <c r="B91" s="707" t="s">
        <v>75</v>
      </c>
      <c r="Z91" s="701"/>
    </row>
    <row r="92" spans="1:26" s="682" customFormat="1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5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5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5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5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5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5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5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5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5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5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5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5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5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5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5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5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5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5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5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5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5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5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5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5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5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5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5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5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5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5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5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5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5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5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5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5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5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5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5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5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5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5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5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5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5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5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5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5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5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5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5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5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5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5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5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5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5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5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5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5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5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5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5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5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5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5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5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5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5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5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5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5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5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5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5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5">
      <c r="A168" s="774" t="s">
        <v>2</v>
      </c>
      <c r="B168" s="773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5">
      <c r="A169" s="774"/>
      <c r="B169" s="773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5">
      <c r="A171" s="774" t="s">
        <v>160</v>
      </c>
      <c r="B171" s="773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5">
      <c r="A172" s="774"/>
      <c r="B172" s="773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5">
      <c r="A174" s="774" t="s">
        <v>155</v>
      </c>
      <c r="B174" s="773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5">
      <c r="A175" s="774"/>
      <c r="B175" s="773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x14ac:dyDescent="0.25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5">
      <c r="A177" s="772" t="s">
        <v>326</v>
      </c>
      <c r="B177" s="773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5">
      <c r="A178" s="772"/>
      <c r="B178" s="773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5">
      <c r="A180" s="774" t="s">
        <v>119</v>
      </c>
      <c r="B180" s="773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5">
      <c r="A181" s="774"/>
      <c r="B181" s="773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5">
      <c r="A183" s="775" t="s">
        <v>161</v>
      </c>
      <c r="B183" s="773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5">
      <c r="A184" s="775"/>
      <c r="B184" s="773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5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x14ac:dyDescent="0.25">
      <c r="B186" s="707" t="s">
        <v>76</v>
      </c>
      <c r="Z186" s="701"/>
    </row>
    <row r="187" spans="1:26" s="682" customFormat="1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5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5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5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5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5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5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5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5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5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5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5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5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5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5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5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5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5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5">
      <c r="A205" s="774" t="s">
        <v>2</v>
      </c>
      <c r="B205" s="773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5">
      <c r="A206" s="774"/>
      <c r="B206" s="773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5">
      <c r="A208" s="774" t="s">
        <v>160</v>
      </c>
      <c r="B208" s="773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5">
      <c r="A209" s="774"/>
      <c r="B209" s="773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5">
      <c r="A211" s="774" t="s">
        <v>155</v>
      </c>
      <c r="B211" s="773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5">
      <c r="A212" s="774"/>
      <c r="B212" s="773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x14ac:dyDescent="0.25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5">
      <c r="A214" s="772" t="s">
        <v>326</v>
      </c>
      <c r="B214" s="773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5">
      <c r="A215" s="772"/>
      <c r="B215" s="773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5">
      <c r="A217" s="774" t="s">
        <v>119</v>
      </c>
      <c r="B217" s="773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5">
      <c r="A218" s="774"/>
      <c r="B218" s="773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5">
      <c r="A220" s="775" t="s">
        <v>161</v>
      </c>
      <c r="B220" s="773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5">
      <c r="A221" s="775"/>
      <c r="B221" s="773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5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x14ac:dyDescent="0.25">
      <c r="B223" s="707" t="s">
        <v>88</v>
      </c>
      <c r="Z223" s="701"/>
    </row>
    <row r="224" spans="1:26" s="682" customFormat="1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5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5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5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5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5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5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5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5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5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5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5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5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5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5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5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5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5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5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5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5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5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5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5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5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5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5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5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5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5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5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5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5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5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5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5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5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5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5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5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5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5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5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5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5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5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5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5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5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5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5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5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5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5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5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5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5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5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5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5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5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5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5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5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5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5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5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5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5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5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5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5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5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5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5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5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5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5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5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5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5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5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5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5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5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5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5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5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5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5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5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5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5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5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5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5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5">
      <c r="A320" s="774" t="s">
        <v>2</v>
      </c>
      <c r="B320" s="773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5">
      <c r="A321" s="774"/>
      <c r="B321" s="773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5">
      <c r="A323" s="774" t="s">
        <v>160</v>
      </c>
      <c r="B323" s="773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5">
      <c r="A324" s="774"/>
      <c r="B324" s="773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5">
      <c r="A326" s="774" t="s">
        <v>155</v>
      </c>
      <c r="B326" s="773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5">
      <c r="A327" s="774"/>
      <c r="B327" s="773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x14ac:dyDescent="0.25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5">
      <c r="A329" s="772" t="s">
        <v>326</v>
      </c>
      <c r="B329" s="773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5">
      <c r="A330" s="772"/>
      <c r="B330" s="773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5">
      <c r="A332" s="774" t="s">
        <v>119</v>
      </c>
      <c r="B332" s="773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5">
      <c r="A333" s="774"/>
      <c r="B333" s="773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5">
      <c r="A335" s="775" t="s">
        <v>161</v>
      </c>
      <c r="B335" s="773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5">
      <c r="A336" s="775"/>
      <c r="B336" s="773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5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x14ac:dyDescent="0.25">
      <c r="B338" s="707" t="s">
        <v>93</v>
      </c>
      <c r="Z338" s="701"/>
    </row>
    <row r="339" spans="1:26" s="682" customFormat="1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5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5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5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5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5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5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5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5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5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5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5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5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5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5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5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5">
      <c r="A355" s="774" t="s">
        <v>2</v>
      </c>
      <c r="B355" s="773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5">
      <c r="A356" s="774"/>
      <c r="B356" s="773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5">
      <c r="A358" s="774" t="s">
        <v>160</v>
      </c>
      <c r="B358" s="773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5">
      <c r="A359" s="774"/>
      <c r="B359" s="773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5">
      <c r="A361" s="774" t="s">
        <v>155</v>
      </c>
      <c r="B361" s="773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5">
      <c r="A362" s="774"/>
      <c r="B362" s="773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5">
      <c r="A364" s="772" t="s">
        <v>326</v>
      </c>
      <c r="B364" s="773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5">
      <c r="A365" s="772"/>
      <c r="B365" s="773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5">
      <c r="A367" s="774" t="s">
        <v>119</v>
      </c>
      <c r="B367" s="773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5">
      <c r="A368" s="774"/>
      <c r="B368" s="773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5">
      <c r="A370" s="775" t="s">
        <v>161</v>
      </c>
      <c r="B370" s="773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5">
      <c r="A371" s="775"/>
      <c r="B371" s="773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5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5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5">
      <c r="D376" s="681">
        <f>D74+D169+D206+D321+D356</f>
        <v>0</v>
      </c>
    </row>
  </sheetData>
  <mergeCells count="60"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  <mergeCell ref="A326:A327"/>
    <mergeCell ref="B326:B327"/>
    <mergeCell ref="A332:A333"/>
    <mergeCell ref="B332:B333"/>
    <mergeCell ref="A329:A330"/>
    <mergeCell ref="B329:B330"/>
    <mergeCell ref="A220:A221"/>
    <mergeCell ref="B220:B221"/>
    <mergeCell ref="A320:A321"/>
    <mergeCell ref="B320:B321"/>
    <mergeCell ref="A323:A324"/>
    <mergeCell ref="B323:B324"/>
    <mergeCell ref="A208:A209"/>
    <mergeCell ref="B208:B209"/>
    <mergeCell ref="A211:A212"/>
    <mergeCell ref="B211:B212"/>
    <mergeCell ref="A217:A218"/>
    <mergeCell ref="B217:B218"/>
    <mergeCell ref="A180:A181"/>
    <mergeCell ref="B180:B181"/>
    <mergeCell ref="A183:A184"/>
    <mergeCell ref="B183:B184"/>
    <mergeCell ref="A205:A206"/>
    <mergeCell ref="B205:B206"/>
    <mergeCell ref="A73:A74"/>
    <mergeCell ref="B73:B74"/>
    <mergeCell ref="A76:A77"/>
    <mergeCell ref="B76:B77"/>
    <mergeCell ref="A79:A80"/>
    <mergeCell ref="B79:B80"/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109375" style="25" bestFit="1" customWidth="1"/>
    <col min="3" max="3" width="11.6640625" style="675" bestFit="1" customWidth="1"/>
    <col min="4" max="4" width="18.109375" style="25" bestFit="1" customWidth="1"/>
    <col min="5" max="5" width="17.88671875" style="25" bestFit="1" customWidth="1"/>
    <col min="6" max="6" width="20.109375" style="25" bestFit="1" customWidth="1"/>
    <col min="7" max="7" width="18.44140625" style="25" bestFit="1" customWidth="1"/>
    <col min="8" max="8" width="19.44140625" style="25" bestFit="1" customWidth="1"/>
    <col min="9" max="9" width="11.5546875" style="25" bestFit="1" customWidth="1"/>
    <col min="10" max="10" width="18.33203125" style="25" bestFit="1" customWidth="1"/>
    <col min="11" max="13" width="18.109375" style="25" bestFit="1" customWidth="1"/>
    <col min="14" max="14" width="23.33203125" style="25" bestFit="1" customWidth="1"/>
    <col min="15" max="15" width="10.109375" style="25" bestFit="1" customWidth="1"/>
    <col min="16" max="16" width="4.88671875" style="25" bestFit="1" customWidth="1"/>
    <col min="17" max="25" width="11.5546875" style="25"/>
    <col min="26" max="26" width="1.441406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5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5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5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5">
      <c r="Z8" s="624"/>
    </row>
    <row r="9" spans="1:26" x14ac:dyDescent="0.25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5">
      <c r="B10" s="709" t="s">
        <v>73</v>
      </c>
      <c r="C10" s="679">
        <f>C6</f>
        <v>0</v>
      </c>
      <c r="D10" s="653"/>
      <c r="Z10" s="624"/>
    </row>
    <row r="11" spans="1:26" x14ac:dyDescent="0.25">
      <c r="D11" s="653"/>
      <c r="Z11" s="624"/>
    </row>
    <row r="12" spans="1:26" x14ac:dyDescent="0.25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x14ac:dyDescent="0.25">
      <c r="B13" s="676" t="s">
        <v>75</v>
      </c>
      <c r="Z13" s="624"/>
    </row>
    <row r="14" spans="1:26" s="50" customFormat="1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5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5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5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5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5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5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5">
      <c r="B23" s="709" t="s">
        <v>73</v>
      </c>
      <c r="C23" s="679">
        <f>C19</f>
        <v>0</v>
      </c>
      <c r="Z23" s="624"/>
    </row>
    <row r="24" spans="1:26" x14ac:dyDescent="0.25">
      <c r="Z24" s="624"/>
    </row>
    <row r="25" spans="1:26" x14ac:dyDescent="0.25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x14ac:dyDescent="0.25">
      <c r="B26" s="676" t="s">
        <v>76</v>
      </c>
      <c r="Z26" s="624"/>
    </row>
    <row r="27" spans="1:26" s="50" customFormat="1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5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5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5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5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5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5">
      <c r="B35" s="709" t="s">
        <v>73</v>
      </c>
      <c r="C35" s="679">
        <f>C31</f>
        <v>0</v>
      </c>
      <c r="Z35" s="624"/>
    </row>
    <row r="36" spans="1:26" x14ac:dyDescent="0.25">
      <c r="Z36" s="624"/>
    </row>
    <row r="37" spans="1:26" x14ac:dyDescent="0.25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x14ac:dyDescent="0.25">
      <c r="B38" s="676" t="s">
        <v>88</v>
      </c>
      <c r="Z38" s="624"/>
    </row>
    <row r="39" spans="1:26" s="50" customFormat="1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5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5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5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5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5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5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5">
      <c r="B48" s="709" t="s">
        <v>73</v>
      </c>
      <c r="C48" s="679">
        <f>C44</f>
        <v>0</v>
      </c>
      <c r="Z48" s="624"/>
    </row>
    <row r="49" spans="1:26" x14ac:dyDescent="0.25">
      <c r="Z49" s="624"/>
    </row>
    <row r="50" spans="1:26" x14ac:dyDescent="0.25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x14ac:dyDescent="0.25">
      <c r="B51" s="676" t="s">
        <v>93</v>
      </c>
      <c r="Z51" s="624"/>
    </row>
    <row r="52" spans="1:26" s="50" customFormat="1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5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5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5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5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5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5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5">
      <c r="Z59" s="624"/>
    </row>
    <row r="60" spans="1:26" x14ac:dyDescent="0.25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5">
      <c r="B61" s="709" t="s">
        <v>73</v>
      </c>
      <c r="C61" s="679">
        <f>C57</f>
        <v>0</v>
      </c>
      <c r="Z61" s="624"/>
    </row>
    <row r="62" spans="1:26" x14ac:dyDescent="0.25"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546875" defaultRowHeight="13.8" x14ac:dyDescent="0.25"/>
  <cols>
    <col min="1" max="1" width="12.6640625" style="25" bestFit="1" customWidth="1"/>
    <col min="2" max="2" width="27.5546875" style="25" bestFit="1" customWidth="1"/>
    <col min="3" max="3" width="6" style="675" bestFit="1" customWidth="1"/>
    <col min="4" max="4" width="18.6640625" style="25" bestFit="1" customWidth="1"/>
    <col min="5" max="5" width="18.5546875" style="25" bestFit="1" customWidth="1"/>
    <col min="6" max="6" width="20.33203125" style="25" bestFit="1" customWidth="1"/>
    <col min="7" max="7" width="18.5546875" style="25" bestFit="1" customWidth="1"/>
    <col min="8" max="8" width="19.6640625" style="25" bestFit="1" customWidth="1"/>
    <col min="9" max="9" width="11.6640625" style="25" bestFit="1" customWidth="1"/>
    <col min="10" max="13" width="18.6640625" style="25" bestFit="1" customWidth="1"/>
    <col min="14" max="14" width="23.88671875" style="25" bestFit="1" customWidth="1"/>
    <col min="15" max="15" width="10.5546875" style="25" bestFit="1" customWidth="1"/>
    <col min="16" max="25" width="11.5546875" style="25"/>
    <col min="26" max="26" width="3.554687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5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5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5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5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5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5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5">
      <c r="B11" s="709" t="s">
        <v>73</v>
      </c>
      <c r="C11" s="679">
        <f>C7</f>
        <v>0</v>
      </c>
      <c r="Z11" s="624"/>
    </row>
    <row r="12" spans="1:26" x14ac:dyDescent="0.25">
      <c r="Z12" s="624"/>
    </row>
    <row r="13" spans="1:26" x14ac:dyDescent="0.25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x14ac:dyDescent="0.25">
      <c r="B14" s="676" t="s">
        <v>75</v>
      </c>
      <c r="Z14" s="624"/>
    </row>
    <row r="15" spans="1:26" s="50" customFormat="1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5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5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5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5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5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5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5">
      <c r="B24" s="709" t="s">
        <v>73</v>
      </c>
      <c r="C24" s="679">
        <f>C20</f>
        <v>0</v>
      </c>
      <c r="Z24" s="624"/>
    </row>
    <row r="25" spans="1:26" x14ac:dyDescent="0.25">
      <c r="Z25" s="624"/>
    </row>
    <row r="26" spans="1:26" x14ac:dyDescent="0.25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x14ac:dyDescent="0.25">
      <c r="B27" s="676" t="s">
        <v>76</v>
      </c>
      <c r="Z27" s="624"/>
    </row>
    <row r="28" spans="1:26" s="50" customFormat="1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5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5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5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5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5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5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5">
      <c r="B37" s="709" t="s">
        <v>73</v>
      </c>
      <c r="C37" s="679">
        <f>C33</f>
        <v>0</v>
      </c>
      <c r="Z37" s="624"/>
    </row>
    <row r="38" spans="1:26" x14ac:dyDescent="0.25">
      <c r="Z38" s="624"/>
    </row>
    <row r="39" spans="1:26" x14ac:dyDescent="0.25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x14ac:dyDescent="0.25">
      <c r="B40" s="676" t="s">
        <v>88</v>
      </c>
      <c r="Z40" s="624"/>
    </row>
    <row r="41" spans="1:26" s="50" customFormat="1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5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5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5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5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5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5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5">
      <c r="B50" s="709" t="s">
        <v>73</v>
      </c>
      <c r="C50" s="679">
        <f>C46</f>
        <v>0</v>
      </c>
      <c r="Z50" s="624"/>
    </row>
    <row r="51" spans="1:26" x14ac:dyDescent="0.25">
      <c r="Z51" s="624"/>
    </row>
    <row r="52" spans="1:26" x14ac:dyDescent="0.25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x14ac:dyDescent="0.25">
      <c r="B53" s="676" t="s">
        <v>93</v>
      </c>
      <c r="Z53" s="624"/>
    </row>
    <row r="54" spans="1:26" s="50" customFormat="1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5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5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5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5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5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5">
      <c r="Z60" s="624"/>
    </row>
    <row r="61" spans="1:26" x14ac:dyDescent="0.25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5">
      <c r="B62" s="709" t="s">
        <v>73</v>
      </c>
      <c r="C62" s="679">
        <f>C58</f>
        <v>0</v>
      </c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36" zoomScaleNormal="100" workbookViewId="0">
      <selection activeCell="E54" sqref="E5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9.33203125" style="1" bestFit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8" width="16.6640625" style="1" customWidth="1"/>
    <col min="29" max="30" width="15.6640625" style="1" bestFit="1" customWidth="1"/>
    <col min="31" max="31" width="16.33203125" style="1" customWidth="1"/>
    <col min="32" max="32" width="18.33203125" style="1" customWidth="1"/>
    <col min="33" max="33" width="13.6640625" style="1" customWidth="1"/>
    <col min="34" max="34" width="3.44140625" style="1" customWidth="1"/>
    <col min="35" max="35" width="13.664062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ht="12" x14ac:dyDescent="0.25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ht="12" x14ac:dyDescent="0.25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ht="12" x14ac:dyDescent="0.25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ht="12" x14ac:dyDescent="0.25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6" thickBot="1" x14ac:dyDescent="0.3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8" thickBot="1" x14ac:dyDescent="0.3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B3" zoomScaleNormal="100" workbookViewId="0">
      <selection activeCell="H15" sqref="H15"/>
    </sheetView>
  </sheetViews>
  <sheetFormatPr baseColWidth="10" defaultRowHeight="13.8" x14ac:dyDescent="0.3"/>
  <cols>
    <col min="1" max="1" width="2.6640625" customWidth="1"/>
    <col min="2" max="2" width="17.44140625" bestFit="1" customWidth="1"/>
    <col min="3" max="3" width="4.6640625" style="135" bestFit="1" customWidth="1"/>
    <col min="4" max="4" width="42.6640625" style="135" bestFit="1" customWidth="1"/>
    <col min="5" max="5" width="9" customWidth="1"/>
    <col min="6" max="6" width="15.6640625" customWidth="1"/>
    <col min="7" max="7" width="17.44140625" bestFit="1" customWidth="1"/>
    <col min="8" max="8" width="14.33203125" customWidth="1"/>
    <col min="9" max="9" width="16.33203125" bestFit="1" customWidth="1"/>
    <col min="10" max="10" width="16.6640625" customWidth="1"/>
    <col min="11" max="11" width="17.5546875" customWidth="1"/>
    <col min="12" max="12" width="15.5546875" bestFit="1" customWidth="1"/>
    <col min="13" max="13" width="15.6640625" bestFit="1" customWidth="1"/>
    <col min="14" max="14" width="17" customWidth="1"/>
    <col min="15" max="15" width="17.6640625" customWidth="1"/>
    <col min="16" max="16" width="16.6640625" customWidth="1"/>
    <col min="17" max="17" width="18" customWidth="1"/>
    <col min="18" max="18" width="14.33203125" bestFit="1" customWidth="1"/>
    <col min="19" max="19" width="15.6640625" bestFit="1" customWidth="1"/>
    <col min="20" max="20" width="14.33203125" bestFit="1" customWidth="1"/>
  </cols>
  <sheetData>
    <row r="1" spans="2:19" ht="14.4" thickBot="1" x14ac:dyDescent="0.35"/>
    <row r="2" spans="2:19" s="135" customFormat="1" ht="14.4" thickBot="1" x14ac:dyDescent="0.3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8.2" thickBot="1" x14ac:dyDescent="0.3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3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3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3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3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4.4" thickBot="1" x14ac:dyDescent="0.3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4.4" thickBot="1" x14ac:dyDescent="0.3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35">
      <c r="B10" s="544"/>
      <c r="F10" s="776">
        <f>SUM(F9:G9)</f>
        <v>1719872614</v>
      </c>
      <c r="G10" s="777"/>
      <c r="H10" s="776">
        <f>SUM(H9:I9)</f>
        <v>1719872614</v>
      </c>
      <c r="I10" s="777"/>
      <c r="J10" s="776">
        <f>SUM(J9:K9)</f>
        <v>1719872614</v>
      </c>
      <c r="K10" s="777"/>
      <c r="L10" s="776">
        <f>SUM(L9:M9)</f>
        <v>1719872614</v>
      </c>
      <c r="M10" s="777"/>
      <c r="N10" s="776">
        <f>SUM(N9:O9)</f>
        <v>1719872614</v>
      </c>
      <c r="O10" s="777"/>
      <c r="P10" s="776">
        <f>SUM(P9:Q9)</f>
        <v>1719872614</v>
      </c>
      <c r="Q10" s="777"/>
    </row>
    <row r="12" spans="2:19" ht="14.4" thickBot="1" x14ac:dyDescent="0.35"/>
    <row r="13" spans="2:19" s="135" customFormat="1" ht="14.4" thickBot="1" x14ac:dyDescent="0.3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8.2" thickBot="1" x14ac:dyDescent="0.3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3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3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3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3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4.4" thickBot="1" x14ac:dyDescent="0.3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4.4" thickBot="1" x14ac:dyDescent="0.3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4.4" thickBot="1" x14ac:dyDescent="0.35">
      <c r="B21" s="544"/>
      <c r="F21" s="776">
        <f>SUM(F20:G20)</f>
        <v>1719872614</v>
      </c>
      <c r="G21" s="777">
        <v>1191383498</v>
      </c>
      <c r="H21" s="776">
        <f>SUM(H20:I20)</f>
        <v>1719872614</v>
      </c>
      <c r="I21" s="777">
        <v>1191383498</v>
      </c>
      <c r="J21" s="776">
        <f>SUM(J20:K20)</f>
        <v>1719872614</v>
      </c>
      <c r="K21" s="777">
        <v>1191383498</v>
      </c>
      <c r="L21" s="776">
        <f>SUM(L20:M20)</f>
        <v>1719872614</v>
      </c>
      <c r="M21" s="777">
        <v>1191383498</v>
      </c>
      <c r="N21" s="776">
        <f>SUM(N20:O20)</f>
        <v>1719872614</v>
      </c>
      <c r="O21" s="777">
        <v>1191383498</v>
      </c>
      <c r="P21" s="776">
        <f>SUM(P20:Q20)</f>
        <v>1719872614</v>
      </c>
      <c r="Q21" s="777">
        <v>1191383498</v>
      </c>
    </row>
    <row r="24" spans="2:19" ht="14.4" thickBot="1" x14ac:dyDescent="0.3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3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3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189185988</v>
      </c>
      <c r="R26" s="575">
        <f>F15</f>
        <v>189185988</v>
      </c>
      <c r="S26" t="b">
        <f>Q26=R26</f>
        <v>1</v>
      </c>
    </row>
    <row r="27" spans="2:19" x14ac:dyDescent="0.3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266580256</v>
      </c>
      <c r="R27" s="575">
        <f t="shared" ref="R27:R31" si="1">F16</f>
        <v>266580256</v>
      </c>
      <c r="S27" t="b">
        <f>Q27=R27</f>
        <v>1</v>
      </c>
    </row>
    <row r="28" spans="2:19" x14ac:dyDescent="0.3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154788536</v>
      </c>
      <c r="R28" s="575">
        <f t="shared" si="1"/>
        <v>154788536</v>
      </c>
      <c r="S28" t="b">
        <f t="shared" ref="S28:S31" si="2">Q28=R28</f>
        <v>1</v>
      </c>
    </row>
    <row r="29" spans="2:19" x14ac:dyDescent="0.3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4.4" thickBot="1" x14ac:dyDescent="0.3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128990446</v>
      </c>
      <c r="R30" s="575">
        <f t="shared" si="1"/>
        <v>128990446</v>
      </c>
      <c r="S30" t="b">
        <f t="shared" si="2"/>
        <v>1</v>
      </c>
    </row>
    <row r="31" spans="2:19" ht="14.4" thickBot="1" x14ac:dyDescent="0.3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859936309</v>
      </c>
      <c r="R31" s="575">
        <f t="shared" si="1"/>
        <v>859936309</v>
      </c>
      <c r="S31" t="b">
        <f t="shared" si="2"/>
        <v>1</v>
      </c>
    </row>
    <row r="32" spans="2:19" x14ac:dyDescent="0.3">
      <c r="G32" s="514"/>
      <c r="H32" s="151"/>
      <c r="I32" s="151"/>
      <c r="K32" s="528">
        <f>SUM(M31:N31)</f>
        <v>1719872614</v>
      </c>
      <c r="L32" s="211"/>
    </row>
    <row r="33" spans="7:17" x14ac:dyDescent="0.3">
      <c r="G33" s="514"/>
      <c r="H33" s="151"/>
      <c r="J33" s="211"/>
      <c r="K33" s="211"/>
      <c r="Q33" s="191"/>
    </row>
    <row r="34" spans="7:17" x14ac:dyDescent="0.3">
      <c r="G34" s="514"/>
      <c r="H34" s="151"/>
      <c r="Q34" s="191"/>
    </row>
    <row r="35" spans="7:17" x14ac:dyDescent="0.3">
      <c r="H35" s="151"/>
      <c r="K35" s="574"/>
      <c r="Q35" s="191"/>
    </row>
    <row r="36" spans="7:17" x14ac:dyDescent="0.3">
      <c r="H36" s="151"/>
      <c r="K36" s="574"/>
      <c r="Q36" s="191"/>
    </row>
    <row r="37" spans="7:17" x14ac:dyDescent="0.3">
      <c r="H37" s="151"/>
      <c r="K37" s="574"/>
      <c r="Q37" s="191"/>
    </row>
    <row r="38" spans="7:17" x14ac:dyDescent="0.3">
      <c r="H38" s="151"/>
      <c r="K38" s="574"/>
      <c r="Q38" s="191"/>
    </row>
    <row r="39" spans="7:17" x14ac:dyDescent="0.3">
      <c r="H39" s="151"/>
      <c r="K39" s="574"/>
    </row>
    <row r="40" spans="7:17" x14ac:dyDescent="0.3">
      <c r="H40" s="151"/>
      <c r="K40" s="574"/>
    </row>
    <row r="41" spans="7:17" x14ac:dyDescent="0.3">
      <c r="H41" s="151"/>
    </row>
    <row r="42" spans="7:17" x14ac:dyDescent="0.3">
      <c r="H42" s="151"/>
    </row>
    <row r="43" spans="7:17" x14ac:dyDescent="0.3">
      <c r="H43" s="151"/>
    </row>
    <row r="44" spans="7:17" x14ac:dyDescent="0.3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4140625" defaultRowHeight="11.4" x14ac:dyDescent="0.2"/>
  <cols>
    <col min="1" max="1" width="3" style="315" customWidth="1"/>
    <col min="2" max="2" width="4.44140625" style="315" bestFit="1" customWidth="1"/>
    <col min="3" max="3" width="38.33203125" style="315" customWidth="1"/>
    <col min="4" max="4" width="15.33203125" style="315" customWidth="1"/>
    <col min="5" max="5" width="16" style="315" customWidth="1"/>
    <col min="6" max="7" width="14.6640625" style="315" customWidth="1"/>
    <col min="8" max="9" width="16" style="315" customWidth="1"/>
    <col min="10" max="10" width="17.5546875" style="315" customWidth="1"/>
    <col min="11" max="11" width="3.6640625" style="315" customWidth="1"/>
    <col min="12" max="12" width="2.6640625" style="315" customWidth="1"/>
    <col min="13" max="13" width="4.5546875" style="315" customWidth="1"/>
    <col min="14" max="14" width="11.33203125" style="315" customWidth="1"/>
    <col min="15" max="15" width="37.5546875" style="315" bestFit="1" customWidth="1"/>
    <col min="16" max="16" width="19.33203125" style="315" customWidth="1"/>
    <col min="17" max="17" width="17.6640625" style="315" customWidth="1"/>
    <col min="18" max="18" width="16.44140625" style="315" customWidth="1"/>
    <col min="19" max="19" width="17.33203125" style="315" customWidth="1"/>
    <col min="20" max="20" width="15.6640625" style="315" customWidth="1"/>
    <col min="21" max="21" width="16.33203125" style="315" customWidth="1"/>
    <col min="22" max="22" width="13.33203125" style="317" customWidth="1"/>
    <col min="23" max="23" width="13.6640625" style="315" customWidth="1"/>
    <col min="24" max="24" width="3.44140625" style="315" customWidth="1"/>
    <col min="25" max="25" width="13.6640625" style="315" bestFit="1" customWidth="1"/>
    <col min="26" max="27" width="11.44140625" style="315"/>
    <col min="28" max="28" width="15.6640625" style="315" bestFit="1" customWidth="1"/>
    <col min="29" max="16384" width="11.441406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" thickBot="1" x14ac:dyDescent="0.25">
      <c r="L3" s="316"/>
      <c r="X3" s="316"/>
    </row>
    <row r="4" spans="2:28" ht="12" x14ac:dyDescent="0.25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6" x14ac:dyDescent="0.3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6" x14ac:dyDescent="0.3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6" x14ac:dyDescent="0.3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6" x14ac:dyDescent="0.3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6" x14ac:dyDescent="0.3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9.8" thickBot="1" x14ac:dyDescent="0.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599999999999994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ht="12" x14ac:dyDescent="0.25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ht="12" x14ac:dyDescent="0.25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ht="12" x14ac:dyDescent="0.25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ht="12" x14ac:dyDescent="0.25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6" thickBot="1" x14ac:dyDescent="0.3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6" thickBot="1" x14ac:dyDescent="0.3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6" thickBot="1" x14ac:dyDescent="0.3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6" thickBot="1" x14ac:dyDescent="0.3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6" thickBot="1" x14ac:dyDescent="0.3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ht="12" x14ac:dyDescent="0.25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ht="12" x14ac:dyDescent="0.25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6" x14ac:dyDescent="0.3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E1" zoomScaleNormal="100" workbookViewId="0">
      <selection activeCell="L9" sqref="L9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20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4.6640625" style="212" bestFit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38" width="11.44140625" style="1"/>
    <col min="39" max="39" width="15.664062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13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6" x14ac:dyDescent="0.3">
      <c r="B6" s="8"/>
      <c r="C6" s="511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6" thickBot="1" x14ac:dyDescent="0.3">
      <c r="B7" s="8"/>
      <c r="C7" s="511" t="s">
        <v>0</v>
      </c>
      <c r="D7" s="198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ht="12" x14ac:dyDescent="0.25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INTERVENTORIA!H15</f>
        <v>189185988</v>
      </c>
      <c r="M9" s="229">
        <f>K9-L9</f>
        <v>-189185988</v>
      </c>
      <c r="N9" s="314">
        <f>'Reporte Componentes R1'!L53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-189185988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-189185988</v>
      </c>
      <c r="AG9" s="439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INTERVENTORIA!H16</f>
        <v>266580256</v>
      </c>
      <c r="M10" s="231">
        <f>K10-L10</f>
        <v>-266580256</v>
      </c>
      <c r="N10" s="230">
        <f>'Reporte Componentes R1'!L206</f>
        <v>0</v>
      </c>
      <c r="O10" s="231">
        <f>M10+N10</f>
        <v>-266580256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-266580256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-266580256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INTERVENTORIA!H17</f>
        <v>154788536</v>
      </c>
      <c r="M11" s="231">
        <f>K11-L11</f>
        <v>-154788536</v>
      </c>
      <c r="N11" s="230">
        <f>'Reporte Componentes R1'!L343</f>
        <v>0</v>
      </c>
      <c r="O11" s="231">
        <f>M11+N11</f>
        <v>-154788536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-154788536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-154788536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INTERVENTORIA!H18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INTERVENTORIA!H19</f>
        <v>128990446</v>
      </c>
      <c r="M13" s="234">
        <f>K13-L13</f>
        <v>-128990446</v>
      </c>
      <c r="N13" s="235">
        <f>'Reporte Componentes R1'!L558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-128990446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-128990446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859936309</v>
      </c>
      <c r="M14" s="238">
        <f t="shared" si="3"/>
        <v>-859936309</v>
      </c>
      <c r="N14" s="237">
        <f t="shared" si="3"/>
        <v>0</v>
      </c>
      <c r="O14" s="238">
        <f t="shared" si="3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-859936309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-859936309</v>
      </c>
      <c r="AG14" s="442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13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13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13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13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13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6" x14ac:dyDescent="0.3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ht="12" x14ac:dyDescent="0.25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-189185988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ht="12" x14ac:dyDescent="0.25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53">M105+N105</f>
        <v>-266580256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-266580256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-266580256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ht="12" x14ac:dyDescent="0.25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53"/>
        <v>-154788536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-154788536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-154788536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ht="12" x14ac:dyDescent="0.25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53"/>
        <v>-128990446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-128990446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-128990446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8" thickBot="1" x14ac:dyDescent="0.3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859936309</v>
      </c>
      <c r="M109" s="238">
        <f t="shared" si="61"/>
        <v>-859936309</v>
      </c>
      <c r="N109" s="237">
        <f t="shared" si="61"/>
        <v>0</v>
      </c>
      <c r="O109" s="238">
        <f>SUM(O104:O108)</f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-859936309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-859936309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241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ht="12" x14ac:dyDescent="0.25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ht="12" x14ac:dyDescent="0.25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ht="12" x14ac:dyDescent="0.25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ht="12" x14ac:dyDescent="0.25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ht="12" x14ac:dyDescent="0.25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0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10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4" sqref="C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4" width="16.66406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0</v>
      </c>
      <c r="G3" s="228">
        <f>'CONSOLIDADO_TOTAL RECAUDO'!H142</f>
        <v>0</v>
      </c>
      <c r="H3" s="276">
        <f>SUM(C3:G3)</f>
        <v>0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0</v>
      </c>
      <c r="P3" s="1" t="b">
        <f t="shared" ref="P3:P9" si="0">INT(O3)=0</f>
        <v>1</v>
      </c>
    </row>
    <row r="4" spans="2:16" s="291" customFormat="1" x14ac:dyDescent="0.25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5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5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5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8" thickBot="1" x14ac:dyDescent="0.3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>SUM(H3:H8)</f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0</v>
      </c>
      <c r="P9" s="1" t="b">
        <f t="shared" si="0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Recaudo'!F10</f>
        <v>0</v>
      </c>
    </row>
    <row r="15" spans="2:16" x14ac:dyDescent="0.25">
      <c r="C15" s="202" t="b">
        <f>C14=C9</f>
        <v>1</v>
      </c>
    </row>
    <row r="16" spans="2:16" x14ac:dyDescent="0.25">
      <c r="C16" s="291"/>
    </row>
    <row r="18" spans="3:18" ht="13.8" thickBot="1" x14ac:dyDescent="0.3">
      <c r="D18" s="580" t="s">
        <v>270</v>
      </c>
      <c r="E18" s="580"/>
    </row>
    <row r="19" spans="3:18" ht="36" x14ac:dyDescent="0.25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5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5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0</v>
      </c>
      <c r="H21" s="716">
        <f>VALIDACION_ENEL!G9</f>
        <v>0</v>
      </c>
      <c r="I21" s="716">
        <f>VALIDACION_ENEL!H9</f>
        <v>0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5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5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5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0</v>
      </c>
      <c r="H24" s="717">
        <f t="shared" ref="H24:O24" si="5">SUM(H20:H23)</f>
        <v>0</v>
      </c>
      <c r="I24" s="717">
        <f t="shared" si="5"/>
        <v>0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5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8" thickBot="1" x14ac:dyDescent="0.3">
      <c r="D27" s="580" t="s">
        <v>271</v>
      </c>
    </row>
    <row r="28" spans="3:18" ht="57" customHeight="1" thickBot="1" x14ac:dyDescent="0.3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5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5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0</v>
      </c>
      <c r="P30" s="719">
        <f>I30+J30-K30-L30-M30-N30-O30</f>
        <v>0</v>
      </c>
      <c r="Q30" s="723">
        <f>G30-P30</f>
        <v>0</v>
      </c>
      <c r="R30" s="130"/>
    </row>
    <row r="31" spans="3:18" x14ac:dyDescent="0.25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5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5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0</v>
      </c>
      <c r="P33" s="717">
        <f>SUM(P29:P32)</f>
        <v>0</v>
      </c>
      <c r="Q33" s="717">
        <f>SUM(Q29:Q32)</f>
        <v>0</v>
      </c>
    </row>
    <row r="34" spans="4:17" x14ac:dyDescent="0.25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5">
      <c r="K35" s="130"/>
      <c r="P35" s="727">
        <f>P33-G33</f>
        <v>0</v>
      </c>
    </row>
    <row r="36" spans="4:17" x14ac:dyDescent="0.25">
      <c r="L36" s="130"/>
      <c r="P36" s="130"/>
    </row>
    <row r="37" spans="4:17" x14ac:dyDescent="0.25">
      <c r="P37" s="514"/>
    </row>
    <row r="38" spans="4:17" x14ac:dyDescent="0.25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4.6640625" style="1" bestFit="1" customWidth="1"/>
    <col min="5" max="5" width="15.44140625" style="1" bestFit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1.3320312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18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Recaudo'!D9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9.66406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189185988</v>
      </c>
      <c r="M9" s="229">
        <f>K9-L9</f>
        <v>-189185988</v>
      </c>
      <c r="N9" s="230">
        <f>'Reporte Componentes R1'!L63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-189185988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-189185988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266580256</v>
      </c>
      <c r="M10" s="231">
        <f>K10-L10</f>
        <v>-266580256</v>
      </c>
      <c r="N10" s="230">
        <f>'Reporte Componentes R1'!L216</f>
        <v>0</v>
      </c>
      <c r="O10" s="231">
        <f t="shared" ref="O10:O12" si="0">M10+N10</f>
        <v>-266580256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-266580256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-266580256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154788536</v>
      </c>
      <c r="M11" s="231">
        <f>K11-L11</f>
        <v>-154788536</v>
      </c>
      <c r="N11" s="230">
        <f>'Reporte Componentes R1'!L353</f>
        <v>0</v>
      </c>
      <c r="O11" s="231">
        <f t="shared" si="0"/>
        <v>-154788536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-154788536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-154788536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128990446</v>
      </c>
      <c r="M13" s="234">
        <f>K13-L13</f>
        <v>-128990446</v>
      </c>
      <c r="N13" s="235">
        <f>'Reporte Componentes R1'!L568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-128990446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-128990446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859936309</v>
      </c>
      <c r="M14" s="238">
        <f t="shared" si="5"/>
        <v>-859936309</v>
      </c>
      <c r="N14" s="237">
        <f t="shared" si="5"/>
        <v>0</v>
      </c>
      <c r="O14" s="238">
        <f t="shared" si="5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-859936309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-859936309</v>
      </c>
      <c r="AG14" s="268">
        <f>SUM(AG9:AG13)</f>
        <v>0</v>
      </c>
      <c r="AH14" s="1" t="b">
        <f t="shared" si="2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6" thickBot="1" x14ac:dyDescent="0.3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6" thickBot="1" x14ac:dyDescent="0.3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-189185988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46">M105+N105</f>
        <v>-266580256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-266580256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-266580256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46"/>
        <v>-154788536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-154788536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-154788536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46"/>
        <v>-128990446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-128990446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-128990446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859936309</v>
      </c>
      <c r="M109" s="238">
        <f t="shared" si="55"/>
        <v>-859936309</v>
      </c>
      <c r="N109" s="237">
        <f t="shared" si="55"/>
        <v>0</v>
      </c>
      <c r="O109" s="238">
        <f t="shared" si="55"/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-859936309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-859936309</v>
      </c>
      <c r="AG109" s="268">
        <f>SUM(AG104:AG108)</f>
        <v>0</v>
      </c>
      <c r="AH109" s="1" t="b">
        <f t="shared" si="49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0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443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0</v>
      </c>
      <c r="G3" s="228">
        <f>REMUNERACION_ENEL!H142</f>
        <v>0</v>
      </c>
      <c r="H3" s="276">
        <f>SUM(C3:G3)</f>
        <v>0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Recaudo'!D7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Recaudo'!D8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ht="12" x14ac:dyDescent="0.25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Recaudo'!D10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ht="12" x14ac:dyDescent="0.25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6" thickBot="1" x14ac:dyDescent="0.3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ht="12" x14ac:dyDescent="0.25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ht="12" x14ac:dyDescent="0.25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ht="12" x14ac:dyDescent="0.25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ht="12" x14ac:dyDescent="0.25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6" thickBot="1" x14ac:dyDescent="0.3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6" thickBot="1" x14ac:dyDescent="0.3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96" t="s">
        <v>1</v>
      </c>
    </row>
    <row r="14" spans="2:16" x14ac:dyDescent="0.25">
      <c r="C14" s="200">
        <f>'Valida - Control Recaudo'!E3+'Valida - Control Recaudo'!E5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ht="12" x14ac:dyDescent="0.25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ht="12" x14ac:dyDescent="0.25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ht="12" x14ac:dyDescent="0.25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ht="12" x14ac:dyDescent="0.25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ht="12" x14ac:dyDescent="0.25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6" thickBot="1" x14ac:dyDescent="0.3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6" thickBot="1" x14ac:dyDescent="0.3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ht="12" x14ac:dyDescent="0.25">
      <c r="B37" s="2"/>
      <c r="C37" s="2"/>
      <c r="D37" s="24"/>
      <c r="Q37" s="4"/>
      <c r="AI37" s="241"/>
    </row>
    <row r="38" spans="1:35" ht="12" x14ac:dyDescent="0.25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20" customFormat="1" ht="13.2" x14ac:dyDescent="0.25"/>
    <row r="2" spans="2:20" customFormat="1" ht="13.2" x14ac:dyDescent="0.25">
      <c r="T2" s="131" t="s">
        <v>329</v>
      </c>
    </row>
    <row r="3" spans="2:20" customFormat="1" x14ac:dyDescent="0.25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5">
      <c r="F4" s="540" t="s">
        <v>29</v>
      </c>
    </row>
    <row r="5" spans="2:20" customFormat="1" x14ac:dyDescent="0.25">
      <c r="F5" s="540" t="s">
        <v>229</v>
      </c>
    </row>
    <row r="6" spans="2:20" customFormat="1" x14ac:dyDescent="0.25">
      <c r="C6" s="540" t="s">
        <v>230</v>
      </c>
      <c r="D6" s="540" t="s">
        <v>340</v>
      </c>
      <c r="F6" s="540" t="s">
        <v>231</v>
      </c>
    </row>
    <row r="7" spans="2:20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20" customFormat="1" ht="43.2" x14ac:dyDescent="0.25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3.2" x14ac:dyDescent="0.25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3.2" x14ac:dyDescent="0.25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3.2" x14ac:dyDescent="0.25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3.2" x14ac:dyDescent="0.25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8" thickBot="1" x14ac:dyDescent="0.3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8" thickBot="1" x14ac:dyDescent="0.3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3.2" x14ac:dyDescent="0.25"/>
    <row r="16" spans="2:20" customFormat="1" ht="13.2" x14ac:dyDescent="0.25">
      <c r="C16" s="542"/>
    </row>
    <row r="18" spans="2:15" x14ac:dyDescent="0.3">
      <c r="E18" s="522" t="s">
        <v>250</v>
      </c>
    </row>
    <row r="19" spans="2:15" x14ac:dyDescent="0.3">
      <c r="F19" s="522" t="s">
        <v>25</v>
      </c>
    </row>
    <row r="22" spans="2:15" ht="36" x14ac:dyDescent="0.3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3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-189185988</v>
      </c>
      <c r="M23" s="531">
        <f>M9-'CONSOLIDADO_TOTAL RECAUDO'!M104</f>
        <v>189185988</v>
      </c>
      <c r="N23" s="531">
        <f>N9-'CONSOLIDADO_TOTAL RECAUDO'!N104</f>
        <v>0</v>
      </c>
      <c r="O23" s="531">
        <f>O9-'CONSOLIDADO_TOTAL RECAUDO'!O104</f>
        <v>189185988</v>
      </c>
    </row>
    <row r="24" spans="2:15" x14ac:dyDescent="0.3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-266580256</v>
      </c>
      <c r="M24" s="531">
        <f>M10-'CONSOLIDADO_TOTAL RECAUDO'!M105</f>
        <v>266580256</v>
      </c>
      <c r="N24" s="531">
        <f>N10-'CONSOLIDADO_TOTAL RECAUDO'!N105</f>
        <v>0</v>
      </c>
      <c r="O24" s="531">
        <f>O10-'CONSOLIDADO_TOTAL RECAUDO'!O105</f>
        <v>266580256</v>
      </c>
    </row>
    <row r="25" spans="2:15" x14ac:dyDescent="0.3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-154788536</v>
      </c>
      <c r="M25" s="531">
        <f>M11-'CONSOLIDADO_TOTAL RECAUDO'!M106</f>
        <v>154788536</v>
      </c>
      <c r="N25" s="531">
        <f>N11-'CONSOLIDADO_TOTAL RECAUDO'!N106</f>
        <v>0</v>
      </c>
      <c r="O25" s="531">
        <f>O11-'CONSOLIDADO_TOTAL RECAUDO'!O106</f>
        <v>154788536</v>
      </c>
    </row>
    <row r="26" spans="2:15" x14ac:dyDescent="0.3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" thickBot="1" x14ac:dyDescent="0.35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-128990446</v>
      </c>
      <c r="M27" s="531">
        <f>M13-'CONSOLIDADO_TOTAL RECAUDO'!M108</f>
        <v>128990446</v>
      </c>
      <c r="N27" s="531">
        <f>N13-'CONSOLIDADO_TOTAL RECAUDO'!N108</f>
        <v>0</v>
      </c>
      <c r="O27" s="531">
        <f>O13-'CONSOLIDADO_TOTAL RECAUDO'!O108</f>
        <v>128990446</v>
      </c>
    </row>
    <row r="28" spans="2:15" customFormat="1" ht="13.8" thickBot="1" x14ac:dyDescent="0.3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-859936309</v>
      </c>
      <c r="M28" s="735">
        <f>M14-'CONSOLIDADO_TOTAL RECAUDO'!M109</f>
        <v>859936309</v>
      </c>
      <c r="N28" s="735">
        <f>N14-'CONSOLIDADO_TOTAL RECAUDO'!N109</f>
        <v>0</v>
      </c>
      <c r="O28" s="736">
        <f>O14-'CONSOLIDADO_TOTAL RECAUDO'!O109</f>
        <v>859936309</v>
      </c>
    </row>
    <row r="31" spans="2:15" ht="36" x14ac:dyDescent="0.3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3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1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3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1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3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1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3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3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1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3">
      <c r="N38" s="535"/>
    </row>
    <row r="39" spans="2:15" x14ac:dyDescent="0.3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1" workbookViewId="0">
      <selection activeCell="O25" sqref="O25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15" customFormat="1" ht="13.2" x14ac:dyDescent="0.25"/>
    <row r="2" spans="2:15" customFormat="1" ht="13.2" x14ac:dyDescent="0.25"/>
    <row r="3" spans="2:15" customFormat="1" x14ac:dyDescent="0.25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5">
      <c r="F4" s="540" t="s">
        <v>29</v>
      </c>
    </row>
    <row r="5" spans="2:15" customFormat="1" x14ac:dyDescent="0.25">
      <c r="F5" s="540" t="s">
        <v>229</v>
      </c>
    </row>
    <row r="6" spans="2:15" customFormat="1" x14ac:dyDescent="0.25">
      <c r="C6" s="540" t="s">
        <v>230</v>
      </c>
      <c r="D6" s="540" t="s">
        <v>340</v>
      </c>
      <c r="F6" s="540" t="s">
        <v>231</v>
      </c>
    </row>
    <row r="7" spans="2:15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3.2" x14ac:dyDescent="0.25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3.2" x14ac:dyDescent="0.25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3.2" x14ac:dyDescent="0.25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3.2" x14ac:dyDescent="0.25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3.2" x14ac:dyDescent="0.25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8" thickBot="1" x14ac:dyDescent="0.3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8" thickBot="1" x14ac:dyDescent="0.3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3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189185988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189185988</v>
      </c>
      <c r="O16" s="531">
        <f>O9-'CONSOLIDADO_TOTAL RECAUDO'!AG104</f>
        <v>0</v>
      </c>
    </row>
    <row r="17" spans="2:16" x14ac:dyDescent="0.3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266580256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266580256</v>
      </c>
      <c r="O17" s="531">
        <f>O10-'CONSOLIDADO_TOTAL RECAUDO'!AG105</f>
        <v>0</v>
      </c>
    </row>
    <row r="18" spans="2:16" x14ac:dyDescent="0.3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154788536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154788536</v>
      </c>
      <c r="O18" s="531">
        <f>O11-'CONSOLIDADO_TOTAL RECAUDO'!AG106</f>
        <v>0</v>
      </c>
    </row>
    <row r="19" spans="2:16" x14ac:dyDescent="0.3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" thickBot="1" x14ac:dyDescent="0.35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128990446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128990446</v>
      </c>
      <c r="O20" s="531">
        <f>O13-'CONSOLIDADO_TOTAL RECAUDO'!AG108</f>
        <v>0</v>
      </c>
    </row>
    <row r="21" spans="2:16" customFormat="1" ht="13.8" thickBot="1" x14ac:dyDescent="0.3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859936309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859936309</v>
      </c>
      <c r="O21" s="736">
        <f>O14-'CONSOLIDADO_TOTAL RECAUDO'!AG109</f>
        <v>0</v>
      </c>
    </row>
    <row r="22" spans="2:16" ht="15" thickBot="1" x14ac:dyDescent="0.35">
      <c r="M22" s="535"/>
    </row>
    <row r="23" spans="2:16" ht="36.6" thickBot="1" x14ac:dyDescent="0.35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3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1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+DetRetri2026082!N32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1</v>
      </c>
    </row>
    <row r="25" spans="2:16" x14ac:dyDescent="0.3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1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+DetRetri2026082!N33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536"/>
    </row>
    <row r="26" spans="2:16" x14ac:dyDescent="0.3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1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+DetRetri2026082!N34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3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+DetRetri2026082!N35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3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1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+DetRetri2026082!N36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3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1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3">
      <c r="M30" s="538"/>
    </row>
    <row r="31" spans="2:16" x14ac:dyDescent="0.3">
      <c r="I31" s="576"/>
      <c r="J31" s="578"/>
    </row>
    <row r="32" spans="2:16" x14ac:dyDescent="0.3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3.6640625" style="1" bestFit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ht="12" x14ac:dyDescent="0.25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189185988</v>
      </c>
      <c r="M9" s="229">
        <f>'CONSOLIDADO_TOTAL RECAUDO'!M104</f>
        <v>-189185988</v>
      </c>
      <c r="N9" s="230">
        <f>'CONSOLIDADO_TOTAL RECAUDO'!N104</f>
        <v>0</v>
      </c>
      <c r="O9" s="229">
        <f>'CONSOLIDADO_TOTAL RECAUDO'!O104</f>
        <v>-189185988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-189185988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-189185988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ht="12" x14ac:dyDescent="0.25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266580256</v>
      </c>
      <c r="M10" s="231">
        <f>'CONSOLIDADO_TOTAL RECAUDO'!M105</f>
        <v>-266580256</v>
      </c>
      <c r="N10" s="230">
        <f>'CONSOLIDADO_TOTAL RECAUDO'!N105</f>
        <v>0</v>
      </c>
      <c r="O10" s="231">
        <f>'CONSOLIDADO_TOTAL RECAUDO'!O105</f>
        <v>-266580256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-266580256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-266580256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ht="12" x14ac:dyDescent="0.25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154788536</v>
      </c>
      <c r="M11" s="231">
        <f>'CONSOLIDADO_TOTAL RECAUDO'!M106</f>
        <v>-154788536</v>
      </c>
      <c r="N11" s="230">
        <f>'CONSOLIDADO_TOTAL RECAUDO'!N106</f>
        <v>0</v>
      </c>
      <c r="O11" s="231">
        <f>'CONSOLIDADO_TOTAL RECAUDO'!O106</f>
        <v>-154788536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-154788536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-154788536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ht="12" x14ac:dyDescent="0.25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6" thickBot="1" x14ac:dyDescent="0.3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128990446</v>
      </c>
      <c r="M13" s="234">
        <f>'CONSOLIDADO_TOTAL RECAUDO'!M108</f>
        <v>-128990446</v>
      </c>
      <c r="N13" s="235">
        <f>'CONSOLIDADO_TOTAL RECAUDO'!N108</f>
        <v>0</v>
      </c>
      <c r="O13" s="234">
        <f>'CONSOLIDADO_TOTAL RECAUDO'!O108</f>
        <v>-128990446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-128990446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-128990446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8" thickBot="1" x14ac:dyDescent="0.3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859936309</v>
      </c>
      <c r="M14" s="238">
        <f>'CONSOLIDADO_TOTAL RECAUDO'!M109</f>
        <v>-859936309</v>
      </c>
      <c r="N14" s="237">
        <f>'CONSOLIDADO_TOTAL RECAUDO'!N109</f>
        <v>0</v>
      </c>
      <c r="O14" s="238">
        <f>'CONSOLIDADO_TOTAL RECAUDO'!O109</f>
        <v>-859936309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-859936309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-859936309</v>
      </c>
      <c r="AG14" s="442">
        <f>'CONSOLIDADO_TOTAL RECAUDO'!AG109</f>
        <v>0</v>
      </c>
      <c r="AH14" s="1" t="s">
        <v>1</v>
      </c>
      <c r="AI14" s="242"/>
      <c r="AM14" s="269"/>
    </row>
    <row r="15" spans="2:39" ht="12" x14ac:dyDescent="0.25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ht="12" x14ac:dyDescent="0.25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ht="12" x14ac:dyDescent="0.25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ht="12" x14ac:dyDescent="0.25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ht="12" x14ac:dyDescent="0.25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ht="12" x14ac:dyDescent="0.25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6" thickBot="1" x14ac:dyDescent="0.3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8" thickBot="1" x14ac:dyDescent="0.3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ht="12" x14ac:dyDescent="0.25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ht="12" x14ac:dyDescent="0.25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ht="12" x14ac:dyDescent="0.25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ht="12" x14ac:dyDescent="0.25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189185988</v>
      </c>
      <c r="M43" s="229">
        <f>REMUNERACION_ENEL!M104</f>
        <v>-189185988</v>
      </c>
      <c r="N43" s="230">
        <f>REMUNERACION_ENEL!N104</f>
        <v>0</v>
      </c>
      <c r="O43" s="229">
        <f>REMUNERACION_ENEL!O104</f>
        <v>-189185988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-189185988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-189185988</v>
      </c>
      <c r="AG43" s="439">
        <f>REMUNERACION_ENEL!AG104</f>
        <v>0</v>
      </c>
      <c r="AH43" s="1"/>
      <c r="AI43" s="242"/>
      <c r="AM43" s="269"/>
    </row>
    <row r="44" spans="1:39" s="241" customFormat="1" ht="12" x14ac:dyDescent="0.25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266580256</v>
      </c>
      <c r="M44" s="231">
        <f>REMUNERACION_ENEL!M105</f>
        <v>-266580256</v>
      </c>
      <c r="N44" s="230">
        <f>REMUNERACION_ENEL!N105</f>
        <v>0</v>
      </c>
      <c r="O44" s="231">
        <f>REMUNERACION_ENEL!O105</f>
        <v>-266580256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-266580256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-266580256</v>
      </c>
      <c r="AG44" s="440">
        <f>REMUNERACION_ENEL!AG105</f>
        <v>0</v>
      </c>
      <c r="AH44" s="1"/>
      <c r="AI44" s="242"/>
      <c r="AM44" s="269"/>
    </row>
    <row r="45" spans="1:39" s="241" customFormat="1" ht="12" x14ac:dyDescent="0.25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154788536</v>
      </c>
      <c r="M45" s="231">
        <f>REMUNERACION_ENEL!M106</f>
        <v>-154788536</v>
      </c>
      <c r="N45" s="230">
        <f>REMUNERACION_ENEL!N106</f>
        <v>0</v>
      </c>
      <c r="O45" s="231">
        <f>REMUNERACION_ENEL!O106</f>
        <v>-154788536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-154788536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-154788536</v>
      </c>
      <c r="AG45" s="440">
        <f>REMUNERACION_ENEL!AG106</f>
        <v>0</v>
      </c>
      <c r="AH45" s="1"/>
      <c r="AI45" s="242"/>
      <c r="AM45" s="269"/>
    </row>
    <row r="46" spans="1:39" s="241" customFormat="1" ht="12" x14ac:dyDescent="0.25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6" thickBot="1" x14ac:dyDescent="0.3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128990446</v>
      </c>
      <c r="M47" s="234">
        <f>REMUNERACION_ENEL!M108</f>
        <v>-128990446</v>
      </c>
      <c r="N47" s="235">
        <f>REMUNERACION_ENEL!N108</f>
        <v>0</v>
      </c>
      <c r="O47" s="234">
        <f>REMUNERACION_ENEL!O108</f>
        <v>-128990446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-128990446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-128990446</v>
      </c>
      <c r="AG47" s="441">
        <f>REMUNERACION_ENEL!AG108</f>
        <v>0</v>
      </c>
      <c r="AH47" s="1"/>
      <c r="AI47" s="242"/>
      <c r="AM47" s="269"/>
    </row>
    <row r="48" spans="1:39" s="241" customFormat="1" ht="13.8" thickBot="1" x14ac:dyDescent="0.3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859936309</v>
      </c>
      <c r="M48" s="238">
        <f>REMUNERACION_ENEL!M109</f>
        <v>-859936309</v>
      </c>
      <c r="N48" s="237">
        <f>REMUNERACION_ENEL!N109</f>
        <v>0</v>
      </c>
      <c r="O48" s="238">
        <f>REMUNERACION_ENEL!O109</f>
        <v>-859936309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-859936309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-859936309</v>
      </c>
      <c r="AG48" s="442">
        <f>REMUNERACION_ENEL!AG109</f>
        <v>0</v>
      </c>
      <c r="AH48" s="1"/>
      <c r="AI48" s="242"/>
      <c r="AM48" s="269"/>
    </row>
    <row r="49" spans="1:39" ht="12" x14ac:dyDescent="0.25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ht="12" x14ac:dyDescent="0.25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ht="12" x14ac:dyDescent="0.25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ht="12" x14ac:dyDescent="0.25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ht="12" x14ac:dyDescent="0.25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ht="12" x14ac:dyDescent="0.25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ht="12" x14ac:dyDescent="0.25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6" thickBot="1" x14ac:dyDescent="0.3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8" thickBot="1" x14ac:dyDescent="0.3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ht="12" x14ac:dyDescent="0.25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ht="12" x14ac:dyDescent="0.25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6" thickBot="1" x14ac:dyDescent="0.3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ht="12" x14ac:dyDescent="0.25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ht="12" x14ac:dyDescent="0.25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ht="12" x14ac:dyDescent="0.25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ht="12" x14ac:dyDescent="0.25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6" thickBot="1" x14ac:dyDescent="0.3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8" thickBot="1" x14ac:dyDescent="0.3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6" thickBot="1" x14ac:dyDescent="0.3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6" thickBot="1" x14ac:dyDescent="0.3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ht="12" x14ac:dyDescent="0.25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ht="12" x14ac:dyDescent="0.25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ht="12" x14ac:dyDescent="0.25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ht="12" x14ac:dyDescent="0.25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ht="12" x14ac:dyDescent="0.25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6" thickBot="1" x14ac:dyDescent="0.3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8" thickBot="1" x14ac:dyDescent="0.3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6" thickBot="1" x14ac:dyDescent="0.3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6" thickBot="1" x14ac:dyDescent="0.3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ht="12" x14ac:dyDescent="0.25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ht="12" x14ac:dyDescent="0.25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ht="12" x14ac:dyDescent="0.25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ht="12" x14ac:dyDescent="0.25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6" thickBot="1" x14ac:dyDescent="0.3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6" thickBot="1" x14ac:dyDescent="0.3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ht="12" x14ac:dyDescent="0.25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ht="12" x14ac:dyDescent="0.25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3.2" x14ac:dyDescent="0.25"/>
  <cols>
    <col min="1" max="1" width="2.44140625" customWidth="1"/>
    <col min="3" max="3" width="36.6640625" bestFit="1" customWidth="1"/>
    <col min="4" max="4" width="12" bestFit="1" customWidth="1"/>
    <col min="5" max="5" width="12.33203125" customWidth="1"/>
    <col min="6" max="6" width="9.33203125" customWidth="1"/>
    <col min="7" max="7" width="14.6640625" customWidth="1"/>
    <col min="8" max="8" width="15.33203125" customWidth="1"/>
    <col min="9" max="9" width="20.33203125" bestFit="1" customWidth="1"/>
    <col min="10" max="10" width="15.44140625" customWidth="1"/>
    <col min="11" max="11" width="17.6640625" customWidth="1"/>
    <col min="12" max="12" width="20.6640625" customWidth="1"/>
    <col min="17" max="17" width="1.3320312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6" x14ac:dyDescent="0.3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5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5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5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5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5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ht="12.6" thickBot="1" x14ac:dyDescent="0.3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ht="12.6" thickBot="1" x14ac:dyDescent="0.3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5">
      <c r="B13" s="2"/>
      <c r="C13" s="2"/>
      <c r="D13" s="374"/>
      <c r="Q13" s="4"/>
    </row>
    <row r="14" spans="1:33" s="1" customFormat="1" ht="12" x14ac:dyDescent="0.25">
      <c r="B14" s="2"/>
      <c r="C14" s="2"/>
      <c r="D14" s="374"/>
      <c r="Q14" s="4"/>
    </row>
    <row r="15" spans="1:33" s="1" customFormat="1" ht="12" x14ac:dyDescent="0.25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6" x14ac:dyDescent="0.3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5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5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5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5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5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ht="12.6" thickBot="1" x14ac:dyDescent="0.3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ht="12.6" thickBot="1" x14ac:dyDescent="0.3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5">
      <c r="B28" s="2"/>
      <c r="C28" s="2"/>
      <c r="D28" s="374"/>
      <c r="Q28" s="4"/>
    </row>
    <row r="29" spans="1:17" s="1" customFormat="1" ht="12" x14ac:dyDescent="0.25">
      <c r="B29" s="2"/>
      <c r="C29" s="2"/>
      <c r="D29" s="374"/>
      <c r="Q29" s="4"/>
    </row>
    <row r="30" spans="1:17" s="1" customFormat="1" ht="12" x14ac:dyDescent="0.25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6" x14ac:dyDescent="0.3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5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5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5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5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5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ht="12.6" thickBot="1" x14ac:dyDescent="0.3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ht="12.6" thickBot="1" x14ac:dyDescent="0.3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5">
      <c r="B42" s="2"/>
      <c r="C42" s="2"/>
      <c r="D42" s="374"/>
      <c r="Q42" s="4"/>
    </row>
    <row r="43" spans="1:17" s="1" customFormat="1" ht="12" x14ac:dyDescent="0.25">
      <c r="B43" s="2"/>
      <c r="C43" s="2"/>
      <c r="D43" s="374"/>
      <c r="Q43" s="4"/>
    </row>
    <row r="44" spans="1:17" s="1" customFormat="1" ht="12" x14ac:dyDescent="0.25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5">
      <c r="B45" s="2"/>
      <c r="C45" s="2"/>
      <c r="D45" s="374"/>
      <c r="Q45" s="4"/>
    </row>
    <row r="46" spans="1:17" s="1" customFormat="1" ht="15.6" x14ac:dyDescent="0.3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5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5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5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5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5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ht="12.6" thickBot="1" x14ac:dyDescent="0.3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ht="12.6" thickBot="1" x14ac:dyDescent="0.3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5">
      <c r="B56" s="2"/>
      <c r="C56" s="2"/>
      <c r="D56" s="374"/>
      <c r="Q56" s="4"/>
    </row>
    <row r="57" spans="1:17" s="1" customFormat="1" ht="12" x14ac:dyDescent="0.25">
      <c r="B57" s="2"/>
      <c r="C57" s="2"/>
      <c r="D57" s="374"/>
      <c r="Q57" s="4"/>
    </row>
    <row r="58" spans="1:17" s="1" customFormat="1" ht="12" x14ac:dyDescent="0.25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6" x14ac:dyDescent="0.3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5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5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5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5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5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ht="12.6" thickBot="1" x14ac:dyDescent="0.3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ht="12.6" thickBot="1" x14ac:dyDescent="0.3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5">
      <c r="B70" s="2"/>
      <c r="C70" s="2"/>
      <c r="D70" s="374"/>
      <c r="Q70" s="4"/>
    </row>
    <row r="71" spans="1:17" s="1" customFormat="1" ht="12" x14ac:dyDescent="0.25">
      <c r="B71" s="2"/>
      <c r="C71" s="2"/>
      <c r="D71" s="374"/>
      <c r="Q71" s="4"/>
    </row>
    <row r="72" spans="1:17" s="1" customFormat="1" ht="12" x14ac:dyDescent="0.25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6" x14ac:dyDescent="0.3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5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5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5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5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5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ht="12.6" thickBot="1" x14ac:dyDescent="0.3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ht="12.6" thickBot="1" x14ac:dyDescent="0.3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5">
      <c r="B84" s="2"/>
      <c r="C84" s="2"/>
      <c r="D84" s="374"/>
      <c r="Q84" s="4"/>
    </row>
    <row r="85" spans="1:17" s="1" customFormat="1" ht="12" x14ac:dyDescent="0.25">
      <c r="B85" s="2"/>
      <c r="C85" s="2"/>
      <c r="D85" s="374"/>
      <c r="Q85" s="4"/>
    </row>
    <row r="86" spans="1:17" s="1" customFormat="1" ht="12" x14ac:dyDescent="0.25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6" x14ac:dyDescent="0.3">
      <c r="F88" s="41" t="s">
        <v>190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5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5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5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5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5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ht="12.6" thickBot="1" x14ac:dyDescent="0.3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ht="12.6" thickBot="1" x14ac:dyDescent="0.3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5">
      <c r="B99" s="2"/>
      <c r="C99" s="2"/>
      <c r="D99" s="374"/>
      <c r="Q99" s="4"/>
    </row>
    <row r="100" spans="1:17" s="1" customFormat="1" ht="12" x14ac:dyDescent="0.25">
      <c r="B100" s="2"/>
      <c r="C100" s="2"/>
      <c r="D100" s="374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3.2" x14ac:dyDescent="0.25"/>
  <cols>
    <col min="1" max="1" width="4.6640625" customWidth="1"/>
    <col min="2" max="2" width="10" customWidth="1"/>
    <col min="3" max="3" width="20.44140625" bestFit="1" customWidth="1"/>
    <col min="4" max="4" width="17.33203125" customWidth="1"/>
    <col min="5" max="5" width="16.33203125" customWidth="1"/>
    <col min="6" max="6" width="21" bestFit="1" customWidth="1"/>
  </cols>
  <sheetData>
    <row r="1" spans="2:9" ht="13.8" thickBot="1" x14ac:dyDescent="0.3"/>
    <row r="2" spans="2:9" ht="15" thickBot="1" x14ac:dyDescent="0.35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4.4" x14ac:dyDescent="0.3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4.4" x14ac:dyDescent="0.3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4.4" x14ac:dyDescent="0.3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" thickBot="1" x14ac:dyDescent="0.35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4.4" x14ac:dyDescent="0.3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4.4" x14ac:dyDescent="0.3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4.4" x14ac:dyDescent="0.3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" thickBot="1" x14ac:dyDescent="0.35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202608-2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DetRetri2026082</vt:lpstr>
      <vt:lpstr>DetValiRetri2026082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2026-10-08T15:17:56Z</dcterms:modified>
</cp:coreProperties>
</file>